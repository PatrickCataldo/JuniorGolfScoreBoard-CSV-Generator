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rick Cataldo\Desktop\Master_workbook Project\"/>
    </mc:Choice>
  </mc:AlternateContent>
  <xr:revisionPtr revIDLastSave="0" documentId="13_ncr:1_{C947B0E1-C821-4B36-A15C-C5FEDFE4236A}" xr6:coauthVersionLast="47" xr6:coauthVersionMax="47" xr10:uidLastSave="{00000000-0000-0000-0000-000000000000}"/>
  <workbookProtection workbookAlgorithmName="SHA-512" workbookHashValue="whXWQ6gEuKseF+OAtHtvnAo81ZOHbZ8ZzVhVsr1hUmPPiJGwG6z0eF4xlpZP3sjHh0p/43vMaDOr3Y6TUxBgHw==" workbookSaltValue="vKb0gYlQc4HZi/87pKMY+Q==" workbookSpinCount="100000" lockStructure="1"/>
  <bookViews>
    <workbookView xWindow="-120" yWindow="-120" windowWidth="29040" windowHeight="15720" activeTab="1" xr2:uid="{00000000-000D-0000-FFFF-FFFF00000000}"/>
  </bookViews>
  <sheets>
    <sheet name="MAIN" sheetId="1" r:id="rId1"/>
    <sheet name="READ_ME" sheetId="3" r:id="rId2"/>
    <sheet name="CLEAN_DATA" sheetId="4" state="hidden" r:id="rId3"/>
    <sheet name="lookup_values" sheetId="2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4" l="1"/>
  <c r="K6" i="4" a="1"/>
  <c r="K6" i="4" s="1"/>
  <c r="K7" i="4" a="1"/>
  <c r="K7" i="4" s="1"/>
  <c r="K8" i="4" a="1"/>
  <c r="K8" i="4" s="1"/>
  <c r="K9" i="4" a="1"/>
  <c r="K9" i="4" s="1"/>
  <c r="K10" i="4" a="1"/>
  <c r="K10" i="4" s="1"/>
  <c r="K11" i="4" a="1"/>
  <c r="K11" i="4" s="1"/>
  <c r="K12" i="4" a="1"/>
  <c r="K12" i="4" s="1"/>
  <c r="K13" i="4" a="1"/>
  <c r="K13" i="4" s="1"/>
  <c r="K14" i="4" a="1"/>
  <c r="K14" i="4" s="1"/>
  <c r="K15" i="4" a="1"/>
  <c r="K15" i="4" s="1"/>
  <c r="K16" i="4" a="1"/>
  <c r="K16" i="4" s="1"/>
  <c r="K17" i="4" a="1"/>
  <c r="K17" i="4" s="1"/>
  <c r="K18" i="4" a="1"/>
  <c r="K18" i="4" s="1"/>
  <c r="K19" i="4" a="1"/>
  <c r="K19" i="4" s="1"/>
  <c r="K20" i="4" a="1"/>
  <c r="K20" i="4" s="1"/>
  <c r="K21" i="4" a="1"/>
  <c r="K21" i="4" s="1"/>
  <c r="K22" i="4" a="1"/>
  <c r="K22" i="4" s="1"/>
  <c r="K23" i="4" a="1"/>
  <c r="K23" i="4" s="1"/>
  <c r="K24" i="4" a="1"/>
  <c r="K24" i="4" s="1"/>
  <c r="K25" i="4" a="1"/>
  <c r="K25" i="4" s="1"/>
  <c r="K26" i="4" a="1"/>
  <c r="K26" i="4" s="1"/>
  <c r="K27" i="4" a="1"/>
  <c r="K27" i="4" s="1"/>
  <c r="K28" i="4" a="1"/>
  <c r="K28" i="4" s="1"/>
  <c r="K29" i="4" a="1"/>
  <c r="K29" i="4" s="1"/>
  <c r="K30" i="4" a="1"/>
  <c r="K30" i="4" s="1"/>
  <c r="K31" i="4" a="1"/>
  <c r="K31" i="4" s="1"/>
  <c r="K32" i="4" a="1"/>
  <c r="K32" i="4" s="1"/>
  <c r="K33" i="4" a="1"/>
  <c r="K33" i="4" s="1"/>
  <c r="K34" i="4" a="1"/>
  <c r="K34" i="4" s="1"/>
  <c r="K35" i="4" a="1"/>
  <c r="K35" i="4" s="1"/>
  <c r="K36" i="4" a="1"/>
  <c r="K36" i="4" s="1"/>
  <c r="K37" i="4" a="1"/>
  <c r="K37" i="4" s="1"/>
  <c r="K38" i="4" a="1"/>
  <c r="K38" i="4" s="1"/>
  <c r="K39" i="4" a="1"/>
  <c r="K39" i="4" s="1"/>
  <c r="K40" i="4" a="1"/>
  <c r="K40" i="4" s="1"/>
  <c r="K41" i="4" a="1"/>
  <c r="K41" i="4" s="1"/>
  <c r="K42" i="4" a="1"/>
  <c r="K42" i="4" s="1"/>
  <c r="K43" i="4" a="1"/>
  <c r="K43" i="4" s="1"/>
  <c r="K44" i="4" a="1"/>
  <c r="K44" i="4" s="1"/>
  <c r="K45" i="4" a="1"/>
  <c r="K45" i="4" s="1"/>
  <c r="K46" i="4" a="1"/>
  <c r="K46" i="4" s="1"/>
  <c r="K47" i="4" a="1"/>
  <c r="K47" i="4" s="1"/>
  <c r="K48" i="4" a="1"/>
  <c r="K48" i="4" s="1"/>
  <c r="K49" i="4" a="1"/>
  <c r="K49" i="4" s="1"/>
  <c r="K50" i="4" a="1"/>
  <c r="K50" i="4" s="1"/>
  <c r="K51" i="4" a="1"/>
  <c r="K51" i="4" s="1"/>
  <c r="K52" i="4" a="1"/>
  <c r="K52" i="4" s="1"/>
  <c r="K53" i="4" a="1"/>
  <c r="K53" i="4" s="1"/>
  <c r="K54" i="4" a="1"/>
  <c r="K54" i="4" s="1"/>
  <c r="K55" i="4" a="1"/>
  <c r="K55" i="4" s="1"/>
  <c r="K56" i="4" a="1"/>
  <c r="K56" i="4" s="1"/>
  <c r="K57" i="4" a="1"/>
  <c r="K57" i="4" s="1"/>
  <c r="K58" i="4" a="1"/>
  <c r="K58" i="4" s="1"/>
  <c r="K59" i="4" a="1"/>
  <c r="K59" i="4" s="1"/>
  <c r="K60" i="4" a="1"/>
  <c r="K60" i="4" s="1"/>
  <c r="K61" i="4" a="1"/>
  <c r="K61" i="4" s="1"/>
  <c r="K62" i="4" a="1"/>
  <c r="K62" i="4" s="1"/>
  <c r="K63" i="4" a="1"/>
  <c r="K63" i="4" s="1"/>
  <c r="K64" i="4" a="1"/>
  <c r="K64" i="4" s="1"/>
  <c r="K65" i="4" a="1"/>
  <c r="K65" i="4" s="1"/>
  <c r="K66" i="4" a="1"/>
  <c r="K66" i="4" s="1"/>
  <c r="K67" i="4" a="1"/>
  <c r="K67" i="4" s="1"/>
  <c r="K68" i="4" a="1"/>
  <c r="K68" i="4" s="1"/>
  <c r="K69" i="4" a="1"/>
  <c r="K69" i="4" s="1"/>
  <c r="K70" i="4" a="1"/>
  <c r="K70" i="4" s="1"/>
  <c r="K71" i="4" a="1"/>
  <c r="K71" i="4" s="1"/>
  <c r="K72" i="4" a="1"/>
  <c r="K72" i="4" s="1"/>
  <c r="K73" i="4" a="1"/>
  <c r="K73" i="4" s="1"/>
  <c r="K74" i="4" a="1"/>
  <c r="K74" i="4" s="1"/>
  <c r="K75" i="4" a="1"/>
  <c r="K75" i="4" s="1"/>
  <c r="K76" i="4" a="1"/>
  <c r="K76" i="4" s="1"/>
  <c r="K77" i="4" a="1"/>
  <c r="K77" i="4" s="1"/>
  <c r="K78" i="4" a="1"/>
  <c r="K78" i="4" s="1"/>
  <c r="K79" i="4" a="1"/>
  <c r="K79" i="4" s="1"/>
  <c r="K80" i="4" a="1"/>
  <c r="K80" i="4" s="1"/>
  <c r="K81" i="4" a="1"/>
  <c r="K81" i="4" s="1"/>
  <c r="K82" i="4" a="1"/>
  <c r="K82" i="4" s="1"/>
  <c r="K83" i="4" a="1"/>
  <c r="K83" i="4" s="1"/>
  <c r="K84" i="4" a="1"/>
  <c r="K84" i="4" s="1"/>
  <c r="K85" i="4" a="1"/>
  <c r="K85" i="4" s="1"/>
  <c r="K86" i="4" a="1"/>
  <c r="K86" i="4" s="1"/>
  <c r="K87" i="4" a="1"/>
  <c r="K87" i="4" s="1"/>
  <c r="K88" i="4" a="1"/>
  <c r="K88" i="4" s="1"/>
  <c r="K89" i="4" a="1"/>
  <c r="K89" i="4" s="1"/>
  <c r="K90" i="4" a="1"/>
  <c r="K90" i="4" s="1"/>
  <c r="K91" i="4" a="1"/>
  <c r="K91" i="4" s="1"/>
  <c r="K92" i="4" a="1"/>
  <c r="K92" i="4" s="1"/>
  <c r="K93" i="4" a="1"/>
  <c r="K93" i="4" s="1"/>
  <c r="K94" i="4" a="1"/>
  <c r="K94" i="4" s="1"/>
  <c r="K95" i="4" a="1"/>
  <c r="K95" i="4" s="1"/>
  <c r="K96" i="4" a="1"/>
  <c r="K96" i="4" s="1"/>
  <c r="K97" i="4" a="1"/>
  <c r="K97" i="4" s="1"/>
  <c r="K98" i="4" a="1"/>
  <c r="K98" i="4" s="1"/>
  <c r="K99" i="4" a="1"/>
  <c r="K99" i="4" s="1"/>
  <c r="K100" i="4" a="1"/>
  <c r="K100" i="4" s="1"/>
  <c r="K101" i="4" a="1"/>
  <c r="K101" i="4" s="1"/>
  <c r="K102" i="4" a="1"/>
  <c r="K102" i="4" s="1"/>
  <c r="K103" i="4" a="1"/>
  <c r="K103" i="4" s="1"/>
  <c r="K104" i="4" a="1"/>
  <c r="K104" i="4" s="1"/>
  <c r="K105" i="4" a="1"/>
  <c r="K105" i="4" s="1"/>
  <c r="K106" i="4" a="1"/>
  <c r="K106" i="4" s="1"/>
  <c r="K107" i="4" a="1"/>
  <c r="K107" i="4" s="1"/>
  <c r="K108" i="4" a="1"/>
  <c r="K108" i="4" s="1"/>
  <c r="K109" i="4" a="1"/>
  <c r="K109" i="4" s="1"/>
  <c r="K110" i="4" a="1"/>
  <c r="K110" i="4" s="1"/>
  <c r="K111" i="4" a="1"/>
  <c r="K111" i="4" s="1"/>
  <c r="K112" i="4" a="1"/>
  <c r="K112" i="4" s="1"/>
  <c r="K113" i="4" a="1"/>
  <c r="K113" i="4" s="1"/>
  <c r="K114" i="4" a="1"/>
  <c r="K114" i="4" s="1"/>
  <c r="K115" i="4" a="1"/>
  <c r="K115" i="4" s="1"/>
  <c r="K116" i="4" a="1"/>
  <c r="K116" i="4" s="1"/>
  <c r="K117" i="4" a="1"/>
  <c r="K117" i="4" s="1"/>
  <c r="K118" i="4" a="1"/>
  <c r="K118" i="4" s="1"/>
  <c r="K119" i="4" a="1"/>
  <c r="K119" i="4" s="1"/>
  <c r="K120" i="4" a="1"/>
  <c r="K120" i="4" s="1"/>
  <c r="K121" i="4" a="1"/>
  <c r="K121" i="4" s="1"/>
  <c r="K122" i="4" a="1"/>
  <c r="K122" i="4" s="1"/>
  <c r="K123" i="4" a="1"/>
  <c r="K123" i="4" s="1"/>
  <c r="K124" i="4" a="1"/>
  <c r="K124" i="4" s="1"/>
  <c r="K125" i="4" a="1"/>
  <c r="K125" i="4" s="1"/>
  <c r="K126" i="4" a="1"/>
  <c r="K126" i="4" s="1"/>
  <c r="K127" i="4" a="1"/>
  <c r="K127" i="4" s="1"/>
  <c r="K128" i="4" a="1"/>
  <c r="K128" i="4" s="1"/>
  <c r="K129" i="4" a="1"/>
  <c r="K129" i="4" s="1"/>
  <c r="K130" i="4" a="1"/>
  <c r="K130" i="4" s="1"/>
  <c r="K131" i="4" a="1"/>
  <c r="K131" i="4" s="1"/>
  <c r="K132" i="4" a="1"/>
  <c r="K132" i="4" s="1"/>
  <c r="K133" i="4" a="1"/>
  <c r="K133" i="4" s="1"/>
  <c r="K134" i="4" a="1"/>
  <c r="K134" i="4" s="1"/>
  <c r="K135" i="4" a="1"/>
  <c r="K135" i="4" s="1"/>
  <c r="K136" i="4" a="1"/>
  <c r="K136" i="4" s="1"/>
  <c r="K137" i="4" a="1"/>
  <c r="K137" i="4" s="1"/>
  <c r="K138" i="4" a="1"/>
  <c r="K138" i="4" s="1"/>
  <c r="K139" i="4" a="1"/>
  <c r="K139" i="4" s="1"/>
  <c r="K140" i="4" a="1"/>
  <c r="K140" i="4" s="1"/>
  <c r="K141" i="4" a="1"/>
  <c r="K141" i="4" s="1"/>
  <c r="K142" i="4" a="1"/>
  <c r="K142" i="4" s="1"/>
  <c r="K143" i="4" a="1"/>
  <c r="K143" i="4" s="1"/>
  <c r="K144" i="4" a="1"/>
  <c r="K144" i="4" s="1"/>
  <c r="K145" i="4" a="1"/>
  <c r="K145" i="4" s="1"/>
  <c r="K146" i="4" a="1"/>
  <c r="K146" i="4" s="1"/>
  <c r="K147" i="4" a="1"/>
  <c r="K147" i="4" s="1"/>
  <c r="K148" i="4" a="1"/>
  <c r="K148" i="4" s="1"/>
  <c r="K149" i="4" a="1"/>
  <c r="K149" i="4" s="1"/>
  <c r="K150" i="4" a="1"/>
  <c r="K150" i="4" s="1"/>
  <c r="K151" i="4" a="1"/>
  <c r="K151" i="4" s="1"/>
  <c r="K152" i="4" a="1"/>
  <c r="K152" i="4" s="1"/>
  <c r="K153" i="4" a="1"/>
  <c r="K153" i="4" s="1"/>
  <c r="K154" i="4" a="1"/>
  <c r="K154" i="4" s="1"/>
  <c r="K155" i="4" a="1"/>
  <c r="K155" i="4" s="1"/>
  <c r="K156" i="4" a="1"/>
  <c r="K156" i="4" s="1"/>
  <c r="K157" i="4" a="1"/>
  <c r="K157" i="4" s="1"/>
  <c r="K158" i="4" a="1"/>
  <c r="K158" i="4" s="1"/>
  <c r="K159" i="4" a="1"/>
  <c r="K159" i="4" s="1"/>
  <c r="K160" i="4" a="1"/>
  <c r="K160" i="4" s="1"/>
  <c r="K161" i="4" a="1"/>
  <c r="K161" i="4" s="1"/>
  <c r="K162" i="4" a="1"/>
  <c r="K162" i="4" s="1"/>
  <c r="K163" i="4" a="1"/>
  <c r="K163" i="4" s="1"/>
  <c r="K164" i="4" a="1"/>
  <c r="K164" i="4" s="1"/>
  <c r="K165" i="4" a="1"/>
  <c r="K165" i="4" s="1"/>
  <c r="K166" i="4" a="1"/>
  <c r="K166" i="4" s="1"/>
  <c r="K167" i="4" a="1"/>
  <c r="K167" i="4" s="1"/>
  <c r="K168" i="4" a="1"/>
  <c r="K168" i="4" s="1"/>
  <c r="K169" i="4" a="1"/>
  <c r="K169" i="4" s="1"/>
  <c r="K170" i="4" a="1"/>
  <c r="K170" i="4" s="1"/>
  <c r="K171" i="4" a="1"/>
  <c r="K171" i="4" s="1"/>
  <c r="K172" i="4" a="1"/>
  <c r="K172" i="4" s="1"/>
  <c r="K173" i="4" a="1"/>
  <c r="K173" i="4" s="1"/>
  <c r="K174" i="4" a="1"/>
  <c r="K174" i="4" s="1"/>
  <c r="K175" i="4" a="1"/>
  <c r="K175" i="4" s="1"/>
  <c r="K176" i="4" a="1"/>
  <c r="K176" i="4" s="1"/>
  <c r="K177" i="4" a="1"/>
  <c r="K177" i="4" s="1"/>
  <c r="K178" i="4" a="1"/>
  <c r="K178" i="4" s="1"/>
  <c r="K179" i="4" a="1"/>
  <c r="K179" i="4" s="1"/>
  <c r="K180" i="4" a="1"/>
  <c r="K180" i="4" s="1"/>
  <c r="K181" i="4" a="1"/>
  <c r="K181" i="4" s="1"/>
  <c r="K182" i="4" a="1"/>
  <c r="K182" i="4" s="1"/>
  <c r="K183" i="4" a="1"/>
  <c r="K183" i="4" s="1"/>
  <c r="K184" i="4" a="1"/>
  <c r="K184" i="4" s="1"/>
  <c r="K185" i="4" a="1"/>
  <c r="K185" i="4" s="1"/>
  <c r="K186" i="4" a="1"/>
  <c r="K186" i="4" s="1"/>
  <c r="K187" i="4" a="1"/>
  <c r="K187" i="4" s="1"/>
  <c r="K188" i="4" a="1"/>
  <c r="K188" i="4" s="1"/>
  <c r="K189" i="4" a="1"/>
  <c r="K189" i="4" s="1"/>
  <c r="K190" i="4" a="1"/>
  <c r="K190" i="4" s="1"/>
  <c r="K191" i="4" a="1"/>
  <c r="K191" i="4" s="1"/>
  <c r="K192" i="4" a="1"/>
  <c r="K192" i="4" s="1"/>
  <c r="K193" i="4" a="1"/>
  <c r="K193" i="4" s="1"/>
  <c r="K194" i="4" a="1"/>
  <c r="K194" i="4" s="1"/>
  <c r="K195" i="4" a="1"/>
  <c r="K195" i="4" s="1"/>
  <c r="K196" i="4" a="1"/>
  <c r="K196" i="4" s="1"/>
  <c r="K197" i="4" a="1"/>
  <c r="K197" i="4" s="1"/>
  <c r="K198" i="4" a="1"/>
  <c r="K198" i="4" s="1"/>
  <c r="K199" i="4" a="1"/>
  <c r="K199" i="4" s="1"/>
  <c r="K200" i="4" a="1"/>
  <c r="K200" i="4" s="1"/>
  <c r="K201" i="4" a="1"/>
  <c r="K201" i="4" s="1"/>
  <c r="K202" i="4" a="1"/>
  <c r="K202" i="4" s="1"/>
  <c r="K203" i="4" a="1"/>
  <c r="K203" i="4" s="1"/>
  <c r="K204" i="4" a="1"/>
  <c r="K204" i="4" s="1"/>
  <c r="K205" i="4" a="1"/>
  <c r="K205" i="4" s="1"/>
  <c r="K206" i="4" a="1"/>
  <c r="K206" i="4" s="1"/>
  <c r="K207" i="4" a="1"/>
  <c r="K207" i="4" s="1"/>
  <c r="K208" i="4" a="1"/>
  <c r="K208" i="4" s="1"/>
  <c r="K209" i="4" a="1"/>
  <c r="K209" i="4" s="1"/>
  <c r="K210" i="4" a="1"/>
  <c r="K210" i="4" s="1"/>
  <c r="K211" i="4" a="1"/>
  <c r="K211" i="4" s="1"/>
  <c r="K212" i="4" a="1"/>
  <c r="K212" i="4" s="1"/>
  <c r="K213" i="4" a="1"/>
  <c r="K213" i="4" s="1"/>
  <c r="K214" i="4" a="1"/>
  <c r="K214" i="4" s="1"/>
  <c r="K215" i="4" a="1"/>
  <c r="K215" i="4" s="1"/>
  <c r="K216" i="4" a="1"/>
  <c r="K216" i="4" s="1"/>
  <c r="K217" i="4" a="1"/>
  <c r="K217" i="4" s="1"/>
  <c r="K218" i="4" a="1"/>
  <c r="K218" i="4" s="1"/>
  <c r="K219" i="4" a="1"/>
  <c r="K219" i="4" s="1"/>
  <c r="K220" i="4" a="1"/>
  <c r="K220" i="4" s="1"/>
  <c r="K221" i="4" a="1"/>
  <c r="K221" i="4" s="1"/>
  <c r="K222" i="4" a="1"/>
  <c r="K222" i="4" s="1"/>
  <c r="K223" i="4" a="1"/>
  <c r="K223" i="4" s="1"/>
  <c r="K224" i="4" a="1"/>
  <c r="K224" i="4" s="1"/>
  <c r="K225" i="4" a="1"/>
  <c r="K225" i="4" s="1"/>
  <c r="K226" i="4" a="1"/>
  <c r="K226" i="4" s="1"/>
  <c r="K227" i="4" a="1"/>
  <c r="K227" i="4" s="1"/>
  <c r="K228" i="4" a="1"/>
  <c r="K228" i="4" s="1"/>
  <c r="K229" i="4" a="1"/>
  <c r="K229" i="4" s="1"/>
  <c r="K230" i="4" a="1"/>
  <c r="K230" i="4" s="1"/>
  <c r="K231" i="4" a="1"/>
  <c r="K231" i="4" s="1"/>
  <c r="K232" i="4" a="1"/>
  <c r="K232" i="4" s="1"/>
  <c r="K233" i="4" a="1"/>
  <c r="K233" i="4" s="1"/>
  <c r="K234" i="4" a="1"/>
  <c r="K234" i="4" s="1"/>
  <c r="K235" i="4" a="1"/>
  <c r="K235" i="4" s="1"/>
  <c r="K236" i="4" a="1"/>
  <c r="K236" i="4" s="1"/>
  <c r="K237" i="4" a="1"/>
  <c r="K237" i="4" s="1"/>
  <c r="K238" i="4" a="1"/>
  <c r="K238" i="4" s="1"/>
  <c r="K239" i="4" a="1"/>
  <c r="K239" i="4" s="1"/>
  <c r="K240" i="4" a="1"/>
  <c r="K240" i="4" s="1"/>
  <c r="K241" i="4" a="1"/>
  <c r="K241" i="4" s="1"/>
  <c r="K242" i="4" a="1"/>
  <c r="K242" i="4" s="1"/>
  <c r="K243" i="4" a="1"/>
  <c r="K243" i="4" s="1"/>
  <c r="K244" i="4" a="1"/>
  <c r="K244" i="4" s="1"/>
  <c r="K245" i="4" a="1"/>
  <c r="K245" i="4" s="1"/>
  <c r="K246" i="4" a="1"/>
  <c r="K246" i="4" s="1"/>
  <c r="K247" i="4" a="1"/>
  <c r="K247" i="4" s="1"/>
  <c r="K248" i="4" a="1"/>
  <c r="K248" i="4" s="1"/>
  <c r="K249" i="4" a="1"/>
  <c r="K249" i="4" s="1"/>
  <c r="K250" i="4" a="1"/>
  <c r="K250" i="4" s="1"/>
  <c r="K251" i="4" a="1"/>
  <c r="K251" i="4" s="1"/>
  <c r="K252" i="4" a="1"/>
  <c r="K252" i="4" s="1"/>
  <c r="K253" i="4" a="1"/>
  <c r="K253" i="4" s="1"/>
  <c r="K254" i="4" a="1"/>
  <c r="K254" i="4" s="1"/>
  <c r="K255" i="4" a="1"/>
  <c r="K255" i="4" s="1"/>
  <c r="K256" i="4" a="1"/>
  <c r="K256" i="4" s="1"/>
  <c r="K257" i="4" a="1"/>
  <c r="K257" i="4" s="1"/>
  <c r="K258" i="4" a="1"/>
  <c r="K258" i="4" s="1"/>
  <c r="K259" i="4" a="1"/>
  <c r="K259" i="4" s="1"/>
  <c r="K260" i="4" a="1"/>
  <c r="K260" i="4" s="1"/>
  <c r="K261" i="4" a="1"/>
  <c r="K261" i="4" s="1"/>
  <c r="K262" i="4" a="1"/>
  <c r="K262" i="4" s="1"/>
  <c r="K263" i="4" a="1"/>
  <c r="K263" i="4" s="1"/>
  <c r="K264" i="4" a="1"/>
  <c r="K264" i="4" s="1"/>
  <c r="K265" i="4" a="1"/>
  <c r="K265" i="4" s="1"/>
  <c r="K266" i="4" a="1"/>
  <c r="K266" i="4" s="1"/>
  <c r="K267" i="4" a="1"/>
  <c r="K267" i="4" s="1"/>
  <c r="K268" i="4" a="1"/>
  <c r="K268" i="4" s="1"/>
  <c r="K269" i="4" a="1"/>
  <c r="K269" i="4" s="1"/>
  <c r="K270" i="4" a="1"/>
  <c r="K270" i="4" s="1"/>
  <c r="K271" i="4" a="1"/>
  <c r="K271" i="4" s="1"/>
  <c r="K272" i="4" a="1"/>
  <c r="K272" i="4" s="1"/>
  <c r="K273" i="4" a="1"/>
  <c r="K273" i="4" s="1"/>
  <c r="K274" i="4" a="1"/>
  <c r="K274" i="4" s="1"/>
  <c r="K275" i="4" a="1"/>
  <c r="K275" i="4" s="1"/>
  <c r="K276" i="4" a="1"/>
  <c r="K276" i="4" s="1"/>
  <c r="K277" i="4" a="1"/>
  <c r="K277" i="4" s="1"/>
  <c r="K278" i="4" a="1"/>
  <c r="K278" i="4" s="1"/>
  <c r="K279" i="4" a="1"/>
  <c r="K279" i="4" s="1"/>
  <c r="K280" i="4" a="1"/>
  <c r="K280" i="4" s="1"/>
  <c r="K281" i="4" a="1"/>
  <c r="K281" i="4" s="1"/>
  <c r="K282" i="4" a="1"/>
  <c r="K282" i="4" s="1"/>
  <c r="K283" i="4" a="1"/>
  <c r="K283" i="4" s="1"/>
  <c r="K284" i="4" a="1"/>
  <c r="K284" i="4" s="1"/>
  <c r="K285" i="4" a="1"/>
  <c r="K285" i="4" s="1"/>
  <c r="K286" i="4" a="1"/>
  <c r="K286" i="4" s="1"/>
  <c r="K287" i="4" a="1"/>
  <c r="K287" i="4" s="1"/>
  <c r="K288" i="4" a="1"/>
  <c r="K288" i="4" s="1"/>
  <c r="K289" i="4" a="1"/>
  <c r="K289" i="4" s="1"/>
  <c r="K290" i="4" a="1"/>
  <c r="K290" i="4" s="1"/>
  <c r="K291" i="4" a="1"/>
  <c r="K291" i="4" s="1"/>
  <c r="K292" i="4" a="1"/>
  <c r="K292" i="4" s="1"/>
  <c r="K293" i="4" a="1"/>
  <c r="K293" i="4" s="1"/>
  <c r="K294" i="4" a="1"/>
  <c r="K294" i="4" s="1"/>
  <c r="K295" i="4" a="1"/>
  <c r="K295" i="4" s="1"/>
  <c r="K296" i="4" a="1"/>
  <c r="K296" i="4" s="1"/>
  <c r="K297" i="4" a="1"/>
  <c r="K297" i="4" s="1"/>
  <c r="K298" i="4" a="1"/>
  <c r="K298" i="4" s="1"/>
  <c r="K299" i="4" a="1"/>
  <c r="K299" i="4" s="1"/>
  <c r="K300" i="4" a="1"/>
  <c r="K300" i="4" s="1"/>
  <c r="K301" i="4" a="1"/>
  <c r="K301" i="4" s="1"/>
  <c r="K302" i="4" a="1"/>
  <c r="K302" i="4" s="1"/>
  <c r="K303" i="4" a="1"/>
  <c r="K303" i="4" s="1"/>
  <c r="K304" i="4" a="1"/>
  <c r="K304" i="4" s="1"/>
  <c r="K305" i="4" a="1"/>
  <c r="K305" i="4" s="1"/>
  <c r="K306" i="4" a="1"/>
  <c r="K306" i="4" s="1"/>
  <c r="K307" i="4" a="1"/>
  <c r="K307" i="4" s="1"/>
  <c r="K308" i="4" a="1"/>
  <c r="K308" i="4" s="1"/>
  <c r="K309" i="4" a="1"/>
  <c r="K309" i="4" s="1"/>
  <c r="K310" i="4" a="1"/>
  <c r="K310" i="4" s="1"/>
  <c r="K311" i="4" a="1"/>
  <c r="K311" i="4" s="1"/>
  <c r="K312" i="4" a="1"/>
  <c r="K312" i="4" s="1"/>
  <c r="K313" i="4" a="1"/>
  <c r="K313" i="4" s="1"/>
  <c r="K314" i="4" a="1"/>
  <c r="K314" i="4" s="1"/>
  <c r="K315" i="4" a="1"/>
  <c r="K315" i="4" s="1"/>
  <c r="K316" i="4" a="1"/>
  <c r="K316" i="4" s="1"/>
  <c r="K317" i="4" a="1"/>
  <c r="K317" i="4" s="1"/>
  <c r="K318" i="4" a="1"/>
  <c r="K318" i="4" s="1"/>
  <c r="K319" i="4" a="1"/>
  <c r="K319" i="4" s="1"/>
  <c r="K320" i="4" a="1"/>
  <c r="K320" i="4" s="1"/>
  <c r="K321" i="4" a="1"/>
  <c r="K321" i="4" s="1"/>
  <c r="K322" i="4" a="1"/>
  <c r="K322" i="4" s="1"/>
  <c r="K323" i="4" a="1"/>
  <c r="K323" i="4" s="1"/>
  <c r="K324" i="4" a="1"/>
  <c r="K324" i="4" s="1"/>
  <c r="K325" i="4" a="1"/>
  <c r="K325" i="4" s="1"/>
  <c r="K326" i="4" a="1"/>
  <c r="K326" i="4" s="1"/>
  <c r="K327" i="4" a="1"/>
  <c r="K327" i="4" s="1"/>
  <c r="K328" i="4" a="1"/>
  <c r="K328" i="4" s="1"/>
  <c r="K329" i="4" a="1"/>
  <c r="K329" i="4" s="1"/>
  <c r="K330" i="4" a="1"/>
  <c r="K330" i="4" s="1"/>
  <c r="K331" i="4" a="1"/>
  <c r="K331" i="4" s="1"/>
  <c r="K332" i="4" a="1"/>
  <c r="K332" i="4" s="1"/>
  <c r="K333" i="4" a="1"/>
  <c r="K333" i="4" s="1"/>
  <c r="K334" i="4" a="1"/>
  <c r="K334" i="4" s="1"/>
  <c r="K335" i="4" a="1"/>
  <c r="K335" i="4" s="1"/>
  <c r="K336" i="4" a="1"/>
  <c r="K336" i="4" s="1"/>
  <c r="K337" i="4" a="1"/>
  <c r="K337" i="4" s="1"/>
  <c r="K338" i="4" a="1"/>
  <c r="K338" i="4" s="1"/>
  <c r="K339" i="4" a="1"/>
  <c r="K339" i="4" s="1"/>
  <c r="K340" i="4" a="1"/>
  <c r="K340" i="4" s="1"/>
  <c r="K341" i="4" a="1"/>
  <c r="K341" i="4" s="1"/>
  <c r="K342" i="4" a="1"/>
  <c r="K342" i="4" s="1"/>
  <c r="K343" i="4" a="1"/>
  <c r="K343" i="4" s="1"/>
  <c r="K344" i="4" a="1"/>
  <c r="K344" i="4" s="1"/>
  <c r="K345" i="4" a="1"/>
  <c r="K345" i="4" s="1"/>
  <c r="K346" i="4" a="1"/>
  <c r="K346" i="4" s="1"/>
  <c r="K347" i="4" a="1"/>
  <c r="K347" i="4" s="1"/>
  <c r="K348" i="4" a="1"/>
  <c r="K348" i="4" s="1"/>
  <c r="K349" i="4" a="1"/>
  <c r="K349" i="4" s="1"/>
  <c r="K350" i="4" a="1"/>
  <c r="K350" i="4" s="1"/>
  <c r="K351" i="4" a="1"/>
  <c r="K351" i="4" s="1"/>
  <c r="K352" i="4" a="1"/>
  <c r="K352" i="4" s="1"/>
  <c r="K353" i="4" a="1"/>
  <c r="K353" i="4" s="1"/>
  <c r="K354" i="4" a="1"/>
  <c r="K354" i="4" s="1"/>
  <c r="K355" i="4" a="1"/>
  <c r="K355" i="4" s="1"/>
  <c r="K356" i="4" a="1"/>
  <c r="K356" i="4" s="1"/>
  <c r="K357" i="4" a="1"/>
  <c r="K357" i="4" s="1"/>
  <c r="K358" i="4" a="1"/>
  <c r="K358" i="4" s="1"/>
  <c r="K359" i="4" a="1"/>
  <c r="K359" i="4" s="1"/>
  <c r="K360" i="4" a="1"/>
  <c r="K360" i="4" s="1"/>
  <c r="K361" i="4" a="1"/>
  <c r="K361" i="4" s="1"/>
  <c r="K362" i="4" a="1"/>
  <c r="K362" i="4" s="1"/>
  <c r="K363" i="4" a="1"/>
  <c r="K363" i="4" s="1"/>
  <c r="K364" i="4" a="1"/>
  <c r="K364" i="4" s="1"/>
  <c r="K365" i="4" a="1"/>
  <c r="K365" i="4" s="1"/>
  <c r="K366" i="4" a="1"/>
  <c r="K366" i="4" s="1"/>
  <c r="K367" i="4" a="1"/>
  <c r="K367" i="4" s="1"/>
  <c r="K368" i="4" a="1"/>
  <c r="K368" i="4" s="1"/>
  <c r="K369" i="4" a="1"/>
  <c r="K369" i="4" s="1"/>
  <c r="K370" i="4" a="1"/>
  <c r="K370" i="4" s="1"/>
  <c r="K371" i="4" a="1"/>
  <c r="K371" i="4" s="1"/>
  <c r="K372" i="4" a="1"/>
  <c r="K372" i="4" s="1"/>
  <c r="K373" i="4" a="1"/>
  <c r="K373" i="4" s="1"/>
  <c r="K374" i="4" a="1"/>
  <c r="K374" i="4" s="1"/>
  <c r="K375" i="4" a="1"/>
  <c r="K375" i="4" s="1"/>
  <c r="K376" i="4" a="1"/>
  <c r="K376" i="4" s="1"/>
  <c r="K377" i="4" a="1"/>
  <c r="K377" i="4" s="1"/>
  <c r="K378" i="4" a="1"/>
  <c r="K378" i="4" s="1"/>
  <c r="K379" i="4" a="1"/>
  <c r="K379" i="4" s="1"/>
  <c r="K380" i="4" a="1"/>
  <c r="K380" i="4" s="1"/>
  <c r="K381" i="4" a="1"/>
  <c r="K381" i="4" s="1"/>
  <c r="K382" i="4" a="1"/>
  <c r="K382" i="4" s="1"/>
  <c r="K383" i="4" a="1"/>
  <c r="K383" i="4" s="1"/>
  <c r="K384" i="4" a="1"/>
  <c r="K384" i="4" s="1"/>
  <c r="K385" i="4" a="1"/>
  <c r="K385" i="4" s="1"/>
  <c r="K386" i="4" a="1"/>
  <c r="K386" i="4" s="1"/>
  <c r="K387" i="4" a="1"/>
  <c r="K387" i="4" s="1"/>
  <c r="K388" i="4" a="1"/>
  <c r="K388" i="4" s="1"/>
  <c r="K389" i="4" a="1"/>
  <c r="K389" i="4" s="1"/>
  <c r="K390" i="4" a="1"/>
  <c r="K390" i="4" s="1"/>
  <c r="K391" i="4" a="1"/>
  <c r="K391" i="4" s="1"/>
  <c r="K392" i="4" a="1"/>
  <c r="K392" i="4" s="1"/>
  <c r="K393" i="4" a="1"/>
  <c r="K393" i="4" s="1"/>
  <c r="K394" i="4" a="1"/>
  <c r="K394" i="4" s="1"/>
  <c r="K395" i="4" a="1"/>
  <c r="K395" i="4" s="1"/>
  <c r="K396" i="4" a="1"/>
  <c r="K396" i="4" s="1"/>
  <c r="K397" i="4" a="1"/>
  <c r="K397" i="4" s="1"/>
  <c r="K398" i="4" a="1"/>
  <c r="K398" i="4" s="1"/>
  <c r="K399" i="4" a="1"/>
  <c r="K399" i="4" s="1"/>
  <c r="K400" i="4" a="1"/>
  <c r="K400" i="4" s="1"/>
  <c r="K401" i="4" a="1"/>
  <c r="K401" i="4" s="1"/>
  <c r="K402" i="4" a="1"/>
  <c r="K402" i="4" s="1"/>
  <c r="K403" i="4" a="1"/>
  <c r="K403" i="4" s="1"/>
  <c r="K404" i="4" a="1"/>
  <c r="K404" i="4" s="1"/>
  <c r="K405" i="4" a="1"/>
  <c r="K405" i="4" s="1"/>
  <c r="K406" i="4" a="1"/>
  <c r="K406" i="4" s="1"/>
  <c r="K407" i="4" a="1"/>
  <c r="K407" i="4" s="1"/>
  <c r="K408" i="4" a="1"/>
  <c r="K408" i="4" s="1"/>
  <c r="K409" i="4" a="1"/>
  <c r="K409" i="4" s="1"/>
  <c r="K410" i="4" a="1"/>
  <c r="K410" i="4" s="1"/>
  <c r="K411" i="4" a="1"/>
  <c r="K411" i="4" s="1"/>
  <c r="K412" i="4" a="1"/>
  <c r="K412" i="4" s="1"/>
  <c r="K413" i="4" a="1"/>
  <c r="K413" i="4" s="1"/>
  <c r="K414" i="4" a="1"/>
  <c r="K414" i="4" s="1"/>
  <c r="K415" i="4" a="1"/>
  <c r="K415" i="4" s="1"/>
  <c r="K416" i="4" a="1"/>
  <c r="K416" i="4" s="1"/>
  <c r="K417" i="4" a="1"/>
  <c r="K417" i="4" s="1"/>
  <c r="K418" i="4" a="1"/>
  <c r="K418" i="4" s="1"/>
  <c r="K419" i="4" a="1"/>
  <c r="K419" i="4" s="1"/>
  <c r="K420" i="4" a="1"/>
  <c r="K420" i="4" s="1"/>
  <c r="K421" i="4" a="1"/>
  <c r="K421" i="4" s="1"/>
  <c r="K422" i="4" a="1"/>
  <c r="K422" i="4" s="1"/>
  <c r="K423" i="4" a="1"/>
  <c r="K423" i="4" s="1"/>
  <c r="K424" i="4" a="1"/>
  <c r="K424" i="4" s="1"/>
  <c r="K425" i="4" a="1"/>
  <c r="K425" i="4" s="1"/>
  <c r="K426" i="4" a="1"/>
  <c r="K426" i="4" s="1"/>
  <c r="K427" i="4" a="1"/>
  <c r="K427" i="4" s="1"/>
  <c r="K428" i="4" a="1"/>
  <c r="K428" i="4" s="1"/>
  <c r="K429" i="4" a="1"/>
  <c r="K429" i="4" s="1"/>
  <c r="K430" i="4" a="1"/>
  <c r="K430" i="4" s="1"/>
  <c r="K431" i="4" a="1"/>
  <c r="K431" i="4" s="1"/>
  <c r="K432" i="4" a="1"/>
  <c r="K432" i="4" s="1"/>
  <c r="K433" i="4" a="1"/>
  <c r="K433" i="4" s="1"/>
  <c r="K434" i="4" a="1"/>
  <c r="K434" i="4" s="1"/>
  <c r="K435" i="4" a="1"/>
  <c r="K435" i="4" s="1"/>
  <c r="K436" i="4" a="1"/>
  <c r="K436" i="4" s="1"/>
  <c r="K437" i="4" a="1"/>
  <c r="K437" i="4" s="1"/>
  <c r="K438" i="4" a="1"/>
  <c r="K438" i="4" s="1"/>
  <c r="K439" i="4" a="1"/>
  <c r="K439" i="4" s="1"/>
  <c r="K440" i="4" a="1"/>
  <c r="K440" i="4" s="1"/>
  <c r="K441" i="4" a="1"/>
  <c r="K441" i="4" s="1"/>
  <c r="K442" i="4" a="1"/>
  <c r="K442" i="4" s="1"/>
  <c r="K443" i="4" a="1"/>
  <c r="K443" i="4" s="1"/>
  <c r="K444" i="4" a="1"/>
  <c r="K444" i="4" s="1"/>
  <c r="K445" i="4" a="1"/>
  <c r="K445" i="4" s="1"/>
  <c r="K446" i="4" a="1"/>
  <c r="K446" i="4" s="1"/>
  <c r="K447" i="4" a="1"/>
  <c r="K447" i="4" s="1"/>
  <c r="K448" i="4" a="1"/>
  <c r="K448" i="4" s="1"/>
  <c r="K449" i="4" a="1"/>
  <c r="K449" i="4" s="1"/>
  <c r="K450" i="4" a="1"/>
  <c r="K450" i="4" s="1"/>
  <c r="K451" i="4" a="1"/>
  <c r="K451" i="4" s="1"/>
  <c r="K452" i="4" a="1"/>
  <c r="K452" i="4" s="1"/>
  <c r="K453" i="4" a="1"/>
  <c r="K453" i="4" s="1"/>
  <c r="K454" i="4" a="1"/>
  <c r="K454" i="4" s="1"/>
  <c r="K455" i="4" a="1"/>
  <c r="K455" i="4" s="1"/>
  <c r="K456" i="4" a="1"/>
  <c r="K456" i="4" s="1"/>
  <c r="K457" i="4" a="1"/>
  <c r="K457" i="4" s="1"/>
  <c r="K458" i="4" a="1"/>
  <c r="K458" i="4" s="1"/>
  <c r="K459" i="4" a="1"/>
  <c r="K459" i="4" s="1"/>
  <c r="K460" i="4" a="1"/>
  <c r="K460" i="4" s="1"/>
  <c r="K461" i="4" a="1"/>
  <c r="K461" i="4" s="1"/>
  <c r="K462" i="4" a="1"/>
  <c r="K462" i="4" s="1"/>
  <c r="K463" i="4" a="1"/>
  <c r="K463" i="4" s="1"/>
  <c r="K464" i="4" a="1"/>
  <c r="K464" i="4" s="1"/>
  <c r="K465" i="4" a="1"/>
  <c r="K465" i="4" s="1"/>
  <c r="K466" i="4" a="1"/>
  <c r="K466" i="4" s="1"/>
  <c r="K467" i="4" a="1"/>
  <c r="K467" i="4" s="1"/>
  <c r="K468" i="4" a="1"/>
  <c r="K468" i="4" s="1"/>
  <c r="K469" i="4" a="1"/>
  <c r="K469" i="4" s="1"/>
  <c r="K470" i="4" a="1"/>
  <c r="K470" i="4" s="1"/>
  <c r="K471" i="4" a="1"/>
  <c r="K471" i="4" s="1"/>
  <c r="K472" i="4" a="1"/>
  <c r="K472" i="4" s="1"/>
  <c r="K473" i="4" a="1"/>
  <c r="K473" i="4" s="1"/>
  <c r="K474" i="4" a="1"/>
  <c r="K474" i="4" s="1"/>
  <c r="K475" i="4" a="1"/>
  <c r="K475" i="4" s="1"/>
  <c r="K476" i="4" a="1"/>
  <c r="K476" i="4" s="1"/>
  <c r="K477" i="4" a="1"/>
  <c r="K477" i="4" s="1"/>
  <c r="K478" i="4" a="1"/>
  <c r="K478" i="4" s="1"/>
  <c r="K479" i="4" a="1"/>
  <c r="K479" i="4" s="1"/>
  <c r="K480" i="4" a="1"/>
  <c r="K480" i="4" s="1"/>
  <c r="K481" i="4" a="1"/>
  <c r="K481" i="4" s="1"/>
  <c r="K482" i="4" a="1"/>
  <c r="K482" i="4" s="1"/>
  <c r="K483" i="4" a="1"/>
  <c r="K483" i="4" s="1"/>
  <c r="K484" i="4" a="1"/>
  <c r="K484" i="4" s="1"/>
  <c r="K485" i="4" a="1"/>
  <c r="K485" i="4" s="1"/>
  <c r="K486" i="4" a="1"/>
  <c r="K486" i="4" s="1"/>
  <c r="K487" i="4" a="1"/>
  <c r="K487" i="4" s="1"/>
  <c r="K488" i="4" a="1"/>
  <c r="K488" i="4" s="1"/>
  <c r="K489" i="4" a="1"/>
  <c r="K489" i="4" s="1"/>
  <c r="K490" i="4" a="1"/>
  <c r="K490" i="4" s="1"/>
  <c r="K491" i="4" a="1"/>
  <c r="K491" i="4" s="1"/>
  <c r="K492" i="4" a="1"/>
  <c r="K492" i="4" s="1"/>
  <c r="K493" i="4" a="1"/>
  <c r="K493" i="4" s="1"/>
  <c r="K494" i="4" a="1"/>
  <c r="K494" i="4" s="1"/>
  <c r="K495" i="4" a="1"/>
  <c r="K495" i="4" s="1"/>
  <c r="K496" i="4" a="1"/>
  <c r="K496" i="4" s="1"/>
  <c r="K497" i="4" a="1"/>
  <c r="K497" i="4" s="1"/>
  <c r="K498" i="4" a="1"/>
  <c r="K498" i="4" s="1"/>
  <c r="K499" i="4" a="1"/>
  <c r="K499" i="4" s="1"/>
  <c r="K500" i="4" a="1"/>
  <c r="K500" i="4" s="1"/>
  <c r="K501" i="4" a="1"/>
  <c r="K501" i="4" s="1"/>
  <c r="K502" i="4" a="1"/>
  <c r="K502" i="4" s="1"/>
  <c r="K503" i="4" a="1"/>
  <c r="K503" i="4" s="1"/>
  <c r="K504" i="4" a="1"/>
  <c r="K504" i="4" s="1"/>
  <c r="K505" i="4" a="1"/>
  <c r="K505" i="4" s="1"/>
  <c r="K506" i="4" a="1"/>
  <c r="K506" i="4" s="1"/>
  <c r="K507" i="4" a="1"/>
  <c r="K507" i="4" s="1"/>
  <c r="K508" i="4" a="1"/>
  <c r="K508" i="4" s="1"/>
  <c r="K509" i="4" a="1"/>
  <c r="K509" i="4" s="1"/>
  <c r="K510" i="4" a="1"/>
  <c r="K510" i="4" s="1"/>
  <c r="K511" i="4" a="1"/>
  <c r="K511" i="4" s="1"/>
  <c r="K512" i="4" a="1"/>
  <c r="K512" i="4" s="1"/>
  <c r="K513" i="4" a="1"/>
  <c r="K513" i="4" s="1"/>
  <c r="K514" i="4" a="1"/>
  <c r="K514" i="4" s="1"/>
  <c r="K515" i="4" a="1"/>
  <c r="K515" i="4" s="1"/>
  <c r="K516" i="4" a="1"/>
  <c r="K516" i="4" s="1"/>
  <c r="K517" i="4" a="1"/>
  <c r="K517" i="4" s="1"/>
  <c r="K518" i="4" a="1"/>
  <c r="K518" i="4" s="1"/>
  <c r="K519" i="4" a="1"/>
  <c r="K519" i="4" s="1"/>
  <c r="K520" i="4" a="1"/>
  <c r="K520" i="4" s="1"/>
  <c r="K521" i="4" a="1"/>
  <c r="K521" i="4" s="1"/>
  <c r="K522" i="4" a="1"/>
  <c r="K522" i="4" s="1"/>
  <c r="K523" i="4" a="1"/>
  <c r="K523" i="4" s="1"/>
  <c r="K524" i="4" a="1"/>
  <c r="K524" i="4" s="1"/>
  <c r="K525" i="4" a="1"/>
  <c r="K525" i="4" s="1"/>
  <c r="K526" i="4" a="1"/>
  <c r="K526" i="4" s="1"/>
  <c r="K527" i="4" a="1"/>
  <c r="K527" i="4" s="1"/>
  <c r="K528" i="4" a="1"/>
  <c r="K528" i="4" s="1"/>
  <c r="K529" i="4" a="1"/>
  <c r="K529" i="4" s="1"/>
  <c r="K530" i="4" a="1"/>
  <c r="K530" i="4" s="1"/>
  <c r="K531" i="4" a="1"/>
  <c r="K531" i="4" s="1"/>
  <c r="K532" i="4" a="1"/>
  <c r="K532" i="4" s="1"/>
  <c r="K533" i="4" a="1"/>
  <c r="K533" i="4" s="1"/>
  <c r="K534" i="4" a="1"/>
  <c r="K534" i="4" s="1"/>
  <c r="K535" i="4" a="1"/>
  <c r="K535" i="4" s="1"/>
  <c r="K536" i="4" a="1"/>
  <c r="K536" i="4" s="1"/>
  <c r="K537" i="4" a="1"/>
  <c r="K537" i="4" s="1"/>
  <c r="K538" i="4" a="1"/>
  <c r="K538" i="4" s="1"/>
  <c r="K539" i="4" a="1"/>
  <c r="K539" i="4" s="1"/>
  <c r="K540" i="4" a="1"/>
  <c r="K540" i="4" s="1"/>
  <c r="K541" i="4" a="1"/>
  <c r="K541" i="4" s="1"/>
  <c r="K542" i="4" a="1"/>
  <c r="K542" i="4" s="1"/>
  <c r="K543" i="4" a="1"/>
  <c r="K543" i="4" s="1"/>
  <c r="K544" i="4" a="1"/>
  <c r="K544" i="4" s="1"/>
  <c r="K545" i="4" a="1"/>
  <c r="K545" i="4" s="1"/>
  <c r="K546" i="4" a="1"/>
  <c r="K546" i="4" s="1"/>
  <c r="K547" i="4" a="1"/>
  <c r="K547" i="4" s="1"/>
  <c r="K548" i="4" a="1"/>
  <c r="K548" i="4" s="1"/>
  <c r="K549" i="4" a="1"/>
  <c r="K549" i="4" s="1"/>
  <c r="K550" i="4" a="1"/>
  <c r="K550" i="4" s="1"/>
  <c r="K551" i="4" a="1"/>
  <c r="K551" i="4" s="1"/>
  <c r="K552" i="4" a="1"/>
  <c r="K552" i="4" s="1"/>
  <c r="K553" i="4" a="1"/>
  <c r="K553" i="4" s="1"/>
  <c r="K554" i="4" a="1"/>
  <c r="K554" i="4" s="1"/>
  <c r="K555" i="4" a="1"/>
  <c r="K555" i="4" s="1"/>
  <c r="K556" i="4" a="1"/>
  <c r="K556" i="4" s="1"/>
  <c r="K557" i="4" a="1"/>
  <c r="K557" i="4" s="1"/>
  <c r="K558" i="4" a="1"/>
  <c r="K558" i="4" s="1"/>
  <c r="K559" i="4" a="1"/>
  <c r="K559" i="4" s="1"/>
  <c r="K560" i="4" a="1"/>
  <c r="K560" i="4" s="1"/>
  <c r="K561" i="4" a="1"/>
  <c r="K561" i="4" s="1"/>
  <c r="K562" i="4" a="1"/>
  <c r="K562" i="4" s="1"/>
  <c r="K563" i="4" a="1"/>
  <c r="K563" i="4" s="1"/>
  <c r="K564" i="4" a="1"/>
  <c r="K564" i="4" s="1"/>
  <c r="K565" i="4" a="1"/>
  <c r="K565" i="4" s="1"/>
  <c r="K566" i="4" a="1"/>
  <c r="K566" i="4" s="1"/>
  <c r="K567" i="4" a="1"/>
  <c r="K567" i="4" s="1"/>
  <c r="K568" i="4" a="1"/>
  <c r="K568" i="4" s="1"/>
  <c r="K569" i="4" a="1"/>
  <c r="K569" i="4" s="1"/>
  <c r="K570" i="4" a="1"/>
  <c r="K570" i="4" s="1"/>
  <c r="K571" i="4" a="1"/>
  <c r="K571" i="4" s="1"/>
  <c r="K572" i="4" a="1"/>
  <c r="K572" i="4" s="1"/>
  <c r="K573" i="4" a="1"/>
  <c r="K573" i="4" s="1"/>
  <c r="K574" i="4" a="1"/>
  <c r="K574" i="4" s="1"/>
  <c r="K575" i="4" a="1"/>
  <c r="K575" i="4" s="1"/>
  <c r="K576" i="4" a="1"/>
  <c r="K576" i="4" s="1"/>
  <c r="K577" i="4" a="1"/>
  <c r="K577" i="4" s="1"/>
  <c r="K578" i="4" a="1"/>
  <c r="K578" i="4" s="1"/>
  <c r="K579" i="4" a="1"/>
  <c r="K579" i="4" s="1"/>
  <c r="K580" i="4" a="1"/>
  <c r="K580" i="4" s="1"/>
  <c r="K581" i="4" a="1"/>
  <c r="K581" i="4" s="1"/>
  <c r="K582" i="4" a="1"/>
  <c r="K582" i="4" s="1"/>
  <c r="K583" i="4" a="1"/>
  <c r="K583" i="4" s="1"/>
  <c r="K584" i="4" a="1"/>
  <c r="K584" i="4" s="1"/>
  <c r="K585" i="4" a="1"/>
  <c r="K585" i="4" s="1"/>
  <c r="K586" i="4" a="1"/>
  <c r="K586" i="4" s="1"/>
  <c r="K587" i="4" a="1"/>
  <c r="K587" i="4" s="1"/>
  <c r="K588" i="4" a="1"/>
  <c r="K588" i="4" s="1"/>
  <c r="K589" i="4" a="1"/>
  <c r="K589" i="4" s="1"/>
  <c r="K590" i="4" a="1"/>
  <c r="K590" i="4" s="1"/>
  <c r="K591" i="4" a="1"/>
  <c r="K591" i="4" s="1"/>
  <c r="K592" i="4" a="1"/>
  <c r="K592" i="4" s="1"/>
  <c r="K593" i="4" a="1"/>
  <c r="K593" i="4" s="1"/>
  <c r="K594" i="4" a="1"/>
  <c r="K594" i="4" s="1"/>
  <c r="K595" i="4" a="1"/>
  <c r="K595" i="4" s="1"/>
  <c r="K596" i="4" a="1"/>
  <c r="K596" i="4" s="1"/>
  <c r="K597" i="4" a="1"/>
  <c r="K597" i="4" s="1"/>
  <c r="K598" i="4" a="1"/>
  <c r="K598" i="4" s="1"/>
  <c r="K599" i="4" a="1"/>
  <c r="K599" i="4" s="1"/>
  <c r="K600" i="4" a="1"/>
  <c r="K600" i="4" s="1"/>
  <c r="K601" i="4" a="1"/>
  <c r="K601" i="4" s="1"/>
  <c r="K602" i="4" a="1"/>
  <c r="K602" i="4" s="1"/>
  <c r="K603" i="4" a="1"/>
  <c r="K603" i="4" s="1"/>
  <c r="K604" i="4" a="1"/>
  <c r="K604" i="4" s="1"/>
  <c r="K605" i="4" a="1"/>
  <c r="K605" i="4" s="1"/>
  <c r="K606" i="4" a="1"/>
  <c r="K606" i="4" s="1"/>
  <c r="K607" i="4" a="1"/>
  <c r="K607" i="4" s="1"/>
  <c r="K608" i="4" a="1"/>
  <c r="K608" i="4" s="1"/>
  <c r="K609" i="4" a="1"/>
  <c r="K609" i="4" s="1"/>
  <c r="K610" i="4" a="1"/>
  <c r="K610" i="4" s="1"/>
  <c r="K611" i="4" a="1"/>
  <c r="K611" i="4" s="1"/>
  <c r="K612" i="4" a="1"/>
  <c r="K612" i="4" s="1"/>
  <c r="K613" i="4" a="1"/>
  <c r="K613" i="4" s="1"/>
  <c r="K614" i="4" a="1"/>
  <c r="K614" i="4" s="1"/>
  <c r="K615" i="4" a="1"/>
  <c r="K615" i="4" s="1"/>
  <c r="K616" i="4" a="1"/>
  <c r="K616" i="4" s="1"/>
  <c r="K617" i="4" a="1"/>
  <c r="K617" i="4" s="1"/>
  <c r="K618" i="4" a="1"/>
  <c r="K618" i="4" s="1"/>
  <c r="K619" i="4" a="1"/>
  <c r="K619" i="4" s="1"/>
  <c r="K620" i="4" a="1"/>
  <c r="K620" i="4" s="1"/>
  <c r="K621" i="4" a="1"/>
  <c r="K621" i="4" s="1"/>
  <c r="K622" i="4" a="1"/>
  <c r="K622" i="4" s="1"/>
  <c r="K623" i="4" a="1"/>
  <c r="K623" i="4" s="1"/>
  <c r="K624" i="4" a="1"/>
  <c r="K624" i="4" s="1"/>
  <c r="K625" i="4" a="1"/>
  <c r="K625" i="4" s="1"/>
  <c r="K626" i="4" a="1"/>
  <c r="K626" i="4" s="1"/>
  <c r="K627" i="4" a="1"/>
  <c r="K627" i="4" s="1"/>
  <c r="K628" i="4" a="1"/>
  <c r="K628" i="4" s="1"/>
  <c r="K629" i="4" a="1"/>
  <c r="K629" i="4" s="1"/>
  <c r="K630" i="4" a="1"/>
  <c r="K630" i="4" s="1"/>
  <c r="K631" i="4" a="1"/>
  <c r="K631" i="4" s="1"/>
  <c r="K632" i="4" a="1"/>
  <c r="K632" i="4" s="1"/>
  <c r="K633" i="4" a="1"/>
  <c r="K633" i="4" s="1"/>
  <c r="K634" i="4" a="1"/>
  <c r="K634" i="4" s="1"/>
  <c r="K635" i="4" a="1"/>
  <c r="K635" i="4" s="1"/>
  <c r="K636" i="4" a="1"/>
  <c r="K636" i="4" s="1"/>
  <c r="K637" i="4" a="1"/>
  <c r="K637" i="4" s="1"/>
  <c r="K638" i="4" a="1"/>
  <c r="K638" i="4" s="1"/>
  <c r="K639" i="4" a="1"/>
  <c r="K639" i="4" s="1"/>
  <c r="K640" i="4" a="1"/>
  <c r="K640" i="4" s="1"/>
  <c r="K641" i="4" a="1"/>
  <c r="K641" i="4" s="1"/>
  <c r="K642" i="4" a="1"/>
  <c r="K642" i="4" s="1"/>
  <c r="K643" i="4" a="1"/>
  <c r="K643" i="4" s="1"/>
  <c r="K644" i="4" a="1"/>
  <c r="K644" i="4" s="1"/>
  <c r="K645" i="4" a="1"/>
  <c r="K645" i="4" s="1"/>
  <c r="K646" i="4" a="1"/>
  <c r="K646" i="4" s="1"/>
  <c r="K647" i="4" a="1"/>
  <c r="K647" i="4" s="1"/>
  <c r="K648" i="4" a="1"/>
  <c r="K648" i="4" s="1"/>
  <c r="K649" i="4" a="1"/>
  <c r="K649" i="4" s="1"/>
  <c r="K650" i="4" a="1"/>
  <c r="K650" i="4" s="1"/>
  <c r="K651" i="4" a="1"/>
  <c r="K651" i="4" s="1"/>
  <c r="K652" i="4" a="1"/>
  <c r="K652" i="4" s="1"/>
  <c r="K653" i="4" a="1"/>
  <c r="K653" i="4" s="1"/>
  <c r="K654" i="4" a="1"/>
  <c r="K654" i="4" s="1"/>
  <c r="K655" i="4" a="1"/>
  <c r="K655" i="4" s="1"/>
  <c r="K656" i="4" a="1"/>
  <c r="K656" i="4" s="1"/>
  <c r="K657" i="4" a="1"/>
  <c r="K657" i="4" s="1"/>
  <c r="K658" i="4" a="1"/>
  <c r="K658" i="4" s="1"/>
  <c r="K659" i="4" a="1"/>
  <c r="K659" i="4" s="1"/>
  <c r="K660" i="4" a="1"/>
  <c r="K660" i="4" s="1"/>
  <c r="K661" i="4" a="1"/>
  <c r="K661" i="4" s="1"/>
  <c r="K662" i="4" a="1"/>
  <c r="K662" i="4" s="1"/>
  <c r="K663" i="4" a="1"/>
  <c r="K663" i="4" s="1"/>
  <c r="K664" i="4" a="1"/>
  <c r="K664" i="4" s="1"/>
  <c r="K665" i="4" a="1"/>
  <c r="K665" i="4" s="1"/>
  <c r="K666" i="4" a="1"/>
  <c r="K666" i="4" s="1"/>
  <c r="K667" i="4" a="1"/>
  <c r="K667" i="4" s="1"/>
  <c r="K668" i="4" a="1"/>
  <c r="K668" i="4" s="1"/>
  <c r="K669" i="4" a="1"/>
  <c r="K669" i="4" s="1"/>
  <c r="K670" i="4" a="1"/>
  <c r="K670" i="4" s="1"/>
  <c r="K671" i="4" a="1"/>
  <c r="K671" i="4" s="1"/>
  <c r="K672" i="4" a="1"/>
  <c r="K672" i="4" s="1"/>
  <c r="K673" i="4" a="1"/>
  <c r="K673" i="4" s="1"/>
  <c r="K674" i="4" a="1"/>
  <c r="K674" i="4" s="1"/>
  <c r="K675" i="4" a="1"/>
  <c r="K675" i="4" s="1"/>
  <c r="K676" i="4" a="1"/>
  <c r="K676" i="4" s="1"/>
  <c r="K677" i="4" a="1"/>
  <c r="K677" i="4" s="1"/>
  <c r="K678" i="4" a="1"/>
  <c r="K678" i="4" s="1"/>
  <c r="K679" i="4" a="1"/>
  <c r="K679" i="4" s="1"/>
  <c r="K680" i="4" a="1"/>
  <c r="K680" i="4" s="1"/>
  <c r="K681" i="4" a="1"/>
  <c r="K681" i="4" s="1"/>
  <c r="K682" i="4" a="1"/>
  <c r="K682" i="4" s="1"/>
  <c r="K683" i="4" a="1"/>
  <c r="K683" i="4" s="1"/>
  <c r="K684" i="4" a="1"/>
  <c r="K684" i="4" s="1"/>
  <c r="K685" i="4" a="1"/>
  <c r="K685" i="4" s="1"/>
  <c r="K686" i="4" a="1"/>
  <c r="K686" i="4" s="1"/>
  <c r="K687" i="4" a="1"/>
  <c r="K687" i="4" s="1"/>
  <c r="K688" i="4" a="1"/>
  <c r="K688" i="4" s="1"/>
  <c r="K689" i="4" a="1"/>
  <c r="K689" i="4" s="1"/>
  <c r="K690" i="4" a="1"/>
  <c r="K690" i="4" s="1"/>
  <c r="K691" i="4" a="1"/>
  <c r="K691" i="4" s="1"/>
  <c r="K692" i="4" a="1"/>
  <c r="K692" i="4" s="1"/>
  <c r="K693" i="4" a="1"/>
  <c r="K693" i="4" s="1"/>
  <c r="K694" i="4" a="1"/>
  <c r="K694" i="4" s="1"/>
  <c r="K695" i="4" a="1"/>
  <c r="K695" i="4" s="1"/>
  <c r="K696" i="4" a="1"/>
  <c r="K696" i="4" s="1"/>
  <c r="K697" i="4" a="1"/>
  <c r="K697" i="4" s="1"/>
  <c r="K698" i="4" a="1"/>
  <c r="K698" i="4" s="1"/>
  <c r="K699" i="4" a="1"/>
  <c r="K699" i="4" s="1"/>
  <c r="K700" i="4" a="1"/>
  <c r="K700" i="4" s="1"/>
  <c r="K701" i="4" a="1"/>
  <c r="K701" i="4" s="1"/>
  <c r="K702" i="4" a="1"/>
  <c r="K702" i="4" s="1"/>
  <c r="K703" i="4" a="1"/>
  <c r="K703" i="4" s="1"/>
  <c r="K704" i="4" a="1"/>
  <c r="K704" i="4" s="1"/>
  <c r="K705" i="4" a="1"/>
  <c r="K705" i="4" s="1"/>
  <c r="K706" i="4" a="1"/>
  <c r="K706" i="4" s="1"/>
  <c r="K707" i="4" a="1"/>
  <c r="K707" i="4" s="1"/>
  <c r="K708" i="4" a="1"/>
  <c r="K708" i="4" s="1"/>
  <c r="K709" i="4" a="1"/>
  <c r="K709" i="4" s="1"/>
  <c r="K710" i="4" a="1"/>
  <c r="K710" i="4" s="1"/>
  <c r="K711" i="4" a="1"/>
  <c r="K711" i="4" s="1"/>
  <c r="K712" i="4" a="1"/>
  <c r="K712" i="4" s="1"/>
  <c r="K713" i="4" a="1"/>
  <c r="K713" i="4" s="1"/>
  <c r="K714" i="4" a="1"/>
  <c r="K714" i="4" s="1"/>
  <c r="K715" i="4" a="1"/>
  <c r="K715" i="4" s="1"/>
  <c r="K716" i="4" a="1"/>
  <c r="K716" i="4" s="1"/>
  <c r="K717" i="4" a="1"/>
  <c r="K717" i="4" s="1"/>
  <c r="K718" i="4" a="1"/>
  <c r="K718" i="4" s="1"/>
  <c r="K719" i="4" a="1"/>
  <c r="K719" i="4" s="1"/>
  <c r="K720" i="4" a="1"/>
  <c r="K720" i="4" s="1"/>
  <c r="K721" i="4" a="1"/>
  <c r="K721" i="4" s="1"/>
  <c r="K722" i="4" a="1"/>
  <c r="K722" i="4" s="1"/>
  <c r="K723" i="4" a="1"/>
  <c r="K723" i="4" s="1"/>
  <c r="K724" i="4" a="1"/>
  <c r="K724" i="4" s="1"/>
  <c r="K725" i="4" a="1"/>
  <c r="K725" i="4" s="1"/>
  <c r="K726" i="4" a="1"/>
  <c r="K726" i="4" s="1"/>
  <c r="K727" i="4" a="1"/>
  <c r="K727" i="4" s="1"/>
  <c r="K728" i="4" a="1"/>
  <c r="K728" i="4" s="1"/>
  <c r="K729" i="4" a="1"/>
  <c r="K729" i="4" s="1"/>
  <c r="K730" i="4" a="1"/>
  <c r="K730" i="4" s="1"/>
  <c r="K731" i="4" a="1"/>
  <c r="K731" i="4" s="1"/>
  <c r="K732" i="4" a="1"/>
  <c r="K732" i="4" s="1"/>
  <c r="K733" i="4" a="1"/>
  <c r="K733" i="4" s="1"/>
  <c r="K734" i="4" a="1"/>
  <c r="K734" i="4" s="1"/>
  <c r="K735" i="4" a="1"/>
  <c r="K735" i="4" s="1"/>
  <c r="K736" i="4" a="1"/>
  <c r="K736" i="4" s="1"/>
  <c r="K737" i="4" a="1"/>
  <c r="K737" i="4" s="1"/>
  <c r="K738" i="4" a="1"/>
  <c r="K738" i="4" s="1"/>
  <c r="K739" i="4" a="1"/>
  <c r="K739" i="4" s="1"/>
  <c r="K740" i="4" a="1"/>
  <c r="K740" i="4" s="1"/>
  <c r="K741" i="4" a="1"/>
  <c r="K741" i="4" s="1"/>
  <c r="K742" i="4" a="1"/>
  <c r="K742" i="4" s="1"/>
  <c r="K743" i="4" a="1"/>
  <c r="K743" i="4" s="1"/>
  <c r="K744" i="4" a="1"/>
  <c r="K744" i="4" s="1"/>
  <c r="K745" i="4" a="1"/>
  <c r="K745" i="4" s="1"/>
  <c r="K746" i="4" a="1"/>
  <c r="K746" i="4" s="1"/>
  <c r="K747" i="4" a="1"/>
  <c r="K747" i="4" s="1"/>
  <c r="K748" i="4" a="1"/>
  <c r="K748" i="4" s="1"/>
  <c r="K749" i="4" a="1"/>
  <c r="K749" i="4" s="1"/>
  <c r="K750" i="4" a="1"/>
  <c r="K750" i="4" s="1"/>
  <c r="K751" i="4" a="1"/>
  <c r="K751" i="4" s="1"/>
  <c r="K752" i="4" a="1"/>
  <c r="K752" i="4" s="1"/>
  <c r="K753" i="4" a="1"/>
  <c r="K753" i="4" s="1"/>
  <c r="K754" i="4" a="1"/>
  <c r="K754" i="4" s="1"/>
  <c r="K755" i="4" a="1"/>
  <c r="K755" i="4" s="1"/>
  <c r="K756" i="4" a="1"/>
  <c r="K756" i="4" s="1"/>
  <c r="K757" i="4" a="1"/>
  <c r="K757" i="4" s="1"/>
  <c r="K758" i="4" a="1"/>
  <c r="K758" i="4" s="1"/>
  <c r="K759" i="4" a="1"/>
  <c r="K759" i="4" s="1"/>
  <c r="K760" i="4" a="1"/>
  <c r="K760" i="4" s="1"/>
  <c r="K761" i="4" a="1"/>
  <c r="K761" i="4" s="1"/>
  <c r="K762" i="4" a="1"/>
  <c r="K762" i="4" s="1"/>
  <c r="K763" i="4" a="1"/>
  <c r="K763" i="4" s="1"/>
  <c r="K764" i="4" a="1"/>
  <c r="K764" i="4" s="1"/>
  <c r="K765" i="4" a="1"/>
  <c r="K765" i="4" s="1"/>
  <c r="K766" i="4" a="1"/>
  <c r="K766" i="4" s="1"/>
  <c r="K767" i="4" a="1"/>
  <c r="K767" i="4" s="1"/>
  <c r="K768" i="4" a="1"/>
  <c r="K768" i="4" s="1"/>
  <c r="K769" i="4" a="1"/>
  <c r="K769" i="4" s="1"/>
  <c r="K770" i="4" a="1"/>
  <c r="K770" i="4" s="1"/>
  <c r="K771" i="4" a="1"/>
  <c r="K771" i="4" s="1"/>
  <c r="K772" i="4" a="1"/>
  <c r="K772" i="4" s="1"/>
  <c r="K773" i="4" a="1"/>
  <c r="K773" i="4" s="1"/>
  <c r="K774" i="4" a="1"/>
  <c r="K774" i="4" s="1"/>
  <c r="K775" i="4" a="1"/>
  <c r="K775" i="4" s="1"/>
  <c r="K776" i="4" a="1"/>
  <c r="K776" i="4" s="1"/>
  <c r="K777" i="4" a="1"/>
  <c r="K777" i="4" s="1"/>
  <c r="K778" i="4" a="1"/>
  <c r="K778" i="4" s="1"/>
  <c r="K779" i="4" a="1"/>
  <c r="K779" i="4" s="1"/>
  <c r="K780" i="4" a="1"/>
  <c r="K780" i="4" s="1"/>
  <c r="K781" i="4" a="1"/>
  <c r="K781" i="4" s="1"/>
  <c r="K782" i="4" a="1"/>
  <c r="K782" i="4" s="1"/>
  <c r="K783" i="4" a="1"/>
  <c r="K783" i="4" s="1"/>
  <c r="K784" i="4" a="1"/>
  <c r="K784" i="4" s="1"/>
  <c r="K785" i="4" a="1"/>
  <c r="K785" i="4" s="1"/>
  <c r="K786" i="4" a="1"/>
  <c r="K786" i="4" s="1"/>
  <c r="K787" i="4" a="1"/>
  <c r="K787" i="4" s="1"/>
  <c r="K788" i="4" a="1"/>
  <c r="K788" i="4" s="1"/>
  <c r="K789" i="4" a="1"/>
  <c r="K789" i="4" s="1"/>
  <c r="K790" i="4" a="1"/>
  <c r="K790" i="4" s="1"/>
  <c r="K791" i="4" a="1"/>
  <c r="K791" i="4" s="1"/>
  <c r="K792" i="4" a="1"/>
  <c r="K792" i="4" s="1"/>
  <c r="K793" i="4" a="1"/>
  <c r="K793" i="4" s="1"/>
  <c r="K794" i="4" a="1"/>
  <c r="K794" i="4" s="1"/>
  <c r="K795" i="4" a="1"/>
  <c r="K795" i="4" s="1"/>
  <c r="K796" i="4" a="1"/>
  <c r="K796" i="4" s="1"/>
  <c r="K797" i="4" a="1"/>
  <c r="K797" i="4" s="1"/>
  <c r="K798" i="4" a="1"/>
  <c r="K798" i="4" s="1"/>
  <c r="K799" i="4" a="1"/>
  <c r="K799" i="4" s="1"/>
  <c r="K800" i="4" a="1"/>
  <c r="K800" i="4" s="1"/>
  <c r="K801" i="4" a="1"/>
  <c r="K801" i="4" s="1"/>
  <c r="K802" i="4" a="1"/>
  <c r="K802" i="4" s="1"/>
  <c r="K803" i="4" a="1"/>
  <c r="K803" i="4" s="1"/>
  <c r="K804" i="4" a="1"/>
  <c r="K804" i="4" s="1"/>
  <c r="K805" i="4" a="1"/>
  <c r="K805" i="4" s="1"/>
  <c r="K806" i="4" a="1"/>
  <c r="K806" i="4" s="1"/>
  <c r="K807" i="4" a="1"/>
  <c r="K807" i="4" s="1"/>
  <c r="K808" i="4" a="1"/>
  <c r="K808" i="4" s="1"/>
  <c r="K809" i="4" a="1"/>
  <c r="K809" i="4" s="1"/>
  <c r="K810" i="4" a="1"/>
  <c r="K810" i="4" s="1"/>
  <c r="K811" i="4" a="1"/>
  <c r="K811" i="4" s="1"/>
  <c r="K812" i="4" a="1"/>
  <c r="K812" i="4" s="1"/>
  <c r="K813" i="4" a="1"/>
  <c r="K813" i="4" s="1"/>
  <c r="K814" i="4" a="1"/>
  <c r="K814" i="4" s="1"/>
  <c r="K815" i="4" a="1"/>
  <c r="K815" i="4" s="1"/>
  <c r="K816" i="4" a="1"/>
  <c r="K816" i="4" s="1"/>
  <c r="K817" i="4" a="1"/>
  <c r="K817" i="4" s="1"/>
  <c r="K818" i="4" a="1"/>
  <c r="K818" i="4" s="1"/>
  <c r="K819" i="4" a="1"/>
  <c r="K819" i="4" s="1"/>
  <c r="K820" i="4" a="1"/>
  <c r="K820" i="4" s="1"/>
  <c r="K821" i="4" a="1"/>
  <c r="K821" i="4" s="1"/>
  <c r="K822" i="4" a="1"/>
  <c r="K822" i="4" s="1"/>
  <c r="K823" i="4" a="1"/>
  <c r="K823" i="4" s="1"/>
  <c r="K824" i="4" a="1"/>
  <c r="K824" i="4" s="1"/>
  <c r="K825" i="4" a="1"/>
  <c r="K825" i="4" s="1"/>
  <c r="K826" i="4" a="1"/>
  <c r="K826" i="4" s="1"/>
  <c r="K827" i="4" a="1"/>
  <c r="K827" i="4" s="1"/>
  <c r="K828" i="4" a="1"/>
  <c r="K828" i="4" s="1"/>
  <c r="K829" i="4" a="1"/>
  <c r="K829" i="4" s="1"/>
  <c r="K830" i="4" a="1"/>
  <c r="K830" i="4" s="1"/>
  <c r="K831" i="4" a="1"/>
  <c r="K831" i="4" s="1"/>
  <c r="K832" i="4" a="1"/>
  <c r="K832" i="4" s="1"/>
  <c r="K833" i="4" a="1"/>
  <c r="K833" i="4" s="1"/>
  <c r="K834" i="4" a="1"/>
  <c r="K834" i="4" s="1"/>
  <c r="K835" i="4" a="1"/>
  <c r="K835" i="4" s="1"/>
  <c r="K836" i="4" a="1"/>
  <c r="K836" i="4" s="1"/>
  <c r="K837" i="4" a="1"/>
  <c r="K837" i="4" s="1"/>
  <c r="K838" i="4" a="1"/>
  <c r="K838" i="4" s="1"/>
  <c r="K839" i="4" a="1"/>
  <c r="K839" i="4" s="1"/>
  <c r="K840" i="4" a="1"/>
  <c r="K840" i="4" s="1"/>
  <c r="K841" i="4" a="1"/>
  <c r="K841" i="4" s="1"/>
  <c r="K842" i="4" a="1"/>
  <c r="K842" i="4" s="1"/>
  <c r="K843" i="4" a="1"/>
  <c r="K843" i="4" s="1"/>
  <c r="K844" i="4" a="1"/>
  <c r="K844" i="4" s="1"/>
  <c r="K845" i="4" a="1"/>
  <c r="K845" i="4" s="1"/>
  <c r="K846" i="4" a="1"/>
  <c r="K846" i="4" s="1"/>
  <c r="K847" i="4" a="1"/>
  <c r="K847" i="4" s="1"/>
  <c r="K848" i="4" a="1"/>
  <c r="K848" i="4" s="1"/>
  <c r="K849" i="4" a="1"/>
  <c r="K849" i="4" s="1"/>
  <c r="K850" i="4" a="1"/>
  <c r="K850" i="4" s="1"/>
  <c r="K851" i="4" a="1"/>
  <c r="K851" i="4" s="1"/>
  <c r="K852" i="4" a="1"/>
  <c r="K852" i="4" s="1"/>
  <c r="K853" i="4" a="1"/>
  <c r="K853" i="4" s="1"/>
  <c r="K854" i="4" a="1"/>
  <c r="K854" i="4" s="1"/>
  <c r="K855" i="4" a="1"/>
  <c r="K855" i="4" s="1"/>
  <c r="K856" i="4" a="1"/>
  <c r="K856" i="4" s="1"/>
  <c r="K857" i="4" a="1"/>
  <c r="K857" i="4" s="1"/>
  <c r="K858" i="4" a="1"/>
  <c r="K858" i="4" s="1"/>
  <c r="K859" i="4" a="1"/>
  <c r="K859" i="4" s="1"/>
  <c r="K860" i="4" a="1"/>
  <c r="K860" i="4" s="1"/>
  <c r="K861" i="4" a="1"/>
  <c r="K861" i="4" s="1"/>
  <c r="K862" i="4" a="1"/>
  <c r="K862" i="4" s="1"/>
  <c r="K863" i="4" a="1"/>
  <c r="K863" i="4" s="1"/>
  <c r="K864" i="4" a="1"/>
  <c r="K864" i="4" s="1"/>
  <c r="K865" i="4" a="1"/>
  <c r="K865" i="4" s="1"/>
  <c r="K866" i="4" a="1"/>
  <c r="K866" i="4" s="1"/>
  <c r="K867" i="4" a="1"/>
  <c r="K867" i="4" s="1"/>
  <c r="K868" i="4" a="1"/>
  <c r="K868" i="4" s="1"/>
  <c r="K869" i="4" a="1"/>
  <c r="K869" i="4" s="1"/>
  <c r="K870" i="4" a="1"/>
  <c r="K870" i="4" s="1"/>
  <c r="K871" i="4" a="1"/>
  <c r="K871" i="4" s="1"/>
  <c r="K872" i="4" a="1"/>
  <c r="K872" i="4" s="1"/>
  <c r="K873" i="4" a="1"/>
  <c r="K873" i="4" s="1"/>
  <c r="K874" i="4" a="1"/>
  <c r="K874" i="4" s="1"/>
  <c r="K875" i="4" a="1"/>
  <c r="K875" i="4" s="1"/>
  <c r="K876" i="4" a="1"/>
  <c r="K876" i="4" s="1"/>
  <c r="K877" i="4" a="1"/>
  <c r="K877" i="4" s="1"/>
  <c r="K878" i="4" a="1"/>
  <c r="K878" i="4" s="1"/>
  <c r="K879" i="4" a="1"/>
  <c r="K879" i="4" s="1"/>
  <c r="K880" i="4" a="1"/>
  <c r="K880" i="4" s="1"/>
  <c r="K881" i="4" a="1"/>
  <c r="K881" i="4" s="1"/>
  <c r="K882" i="4" a="1"/>
  <c r="K882" i="4" s="1"/>
  <c r="K883" i="4" a="1"/>
  <c r="K883" i="4" s="1"/>
  <c r="K884" i="4" a="1"/>
  <c r="K884" i="4" s="1"/>
  <c r="K885" i="4" a="1"/>
  <c r="K885" i="4" s="1"/>
  <c r="K886" i="4" a="1"/>
  <c r="K886" i="4" s="1"/>
  <c r="K887" i="4" a="1"/>
  <c r="K887" i="4" s="1"/>
  <c r="K888" i="4" a="1"/>
  <c r="K888" i="4" s="1"/>
  <c r="K889" i="4" a="1"/>
  <c r="K889" i="4" s="1"/>
  <c r="K890" i="4" a="1"/>
  <c r="K890" i="4" s="1"/>
  <c r="K891" i="4" a="1"/>
  <c r="K891" i="4" s="1"/>
  <c r="K892" i="4" a="1"/>
  <c r="K892" i="4" s="1"/>
  <c r="K893" i="4" a="1"/>
  <c r="K893" i="4" s="1"/>
  <c r="K894" i="4" a="1"/>
  <c r="K894" i="4" s="1"/>
  <c r="K895" i="4" a="1"/>
  <c r="K895" i="4" s="1"/>
  <c r="K896" i="4" a="1"/>
  <c r="K896" i="4" s="1"/>
  <c r="K897" i="4" a="1"/>
  <c r="K897" i="4" s="1"/>
  <c r="K898" i="4" a="1"/>
  <c r="K898" i="4" s="1"/>
  <c r="K899" i="4" a="1"/>
  <c r="K899" i="4" s="1"/>
  <c r="K900" i="4" a="1"/>
  <c r="K900" i="4" s="1"/>
  <c r="K901" i="4" a="1"/>
  <c r="K901" i="4" s="1"/>
  <c r="K902" i="4" a="1"/>
  <c r="K902" i="4" s="1"/>
  <c r="K903" i="4" a="1"/>
  <c r="K903" i="4" s="1"/>
  <c r="K904" i="4" a="1"/>
  <c r="K904" i="4" s="1"/>
  <c r="K905" i="4" a="1"/>
  <c r="K905" i="4" s="1"/>
  <c r="K906" i="4" a="1"/>
  <c r="K906" i="4" s="1"/>
  <c r="K907" i="4" a="1"/>
  <c r="K907" i="4" s="1"/>
  <c r="K908" i="4" a="1"/>
  <c r="K908" i="4" s="1"/>
  <c r="K909" i="4" a="1"/>
  <c r="K909" i="4" s="1"/>
  <c r="K910" i="4" a="1"/>
  <c r="K910" i="4" s="1"/>
  <c r="K911" i="4" a="1"/>
  <c r="K911" i="4" s="1"/>
  <c r="K912" i="4" a="1"/>
  <c r="K912" i="4" s="1"/>
  <c r="K913" i="4" a="1"/>
  <c r="K913" i="4" s="1"/>
  <c r="K914" i="4" a="1"/>
  <c r="K914" i="4" s="1"/>
  <c r="K915" i="4" a="1"/>
  <c r="K915" i="4" s="1"/>
  <c r="K916" i="4" a="1"/>
  <c r="K916" i="4" s="1"/>
  <c r="K917" i="4" a="1"/>
  <c r="K917" i="4" s="1"/>
  <c r="K918" i="4" a="1"/>
  <c r="K918" i="4" s="1"/>
  <c r="K919" i="4" a="1"/>
  <c r="K919" i="4" s="1"/>
  <c r="K920" i="4" a="1"/>
  <c r="K920" i="4" s="1"/>
  <c r="K921" i="4" a="1"/>
  <c r="K921" i="4" s="1"/>
  <c r="K922" i="4" a="1"/>
  <c r="K922" i="4" s="1"/>
  <c r="K923" i="4" a="1"/>
  <c r="K923" i="4" s="1"/>
  <c r="K924" i="4" a="1"/>
  <c r="K924" i="4" s="1"/>
  <c r="K925" i="4" a="1"/>
  <c r="K925" i="4" s="1"/>
  <c r="K926" i="4" a="1"/>
  <c r="K926" i="4" s="1"/>
  <c r="K927" i="4" a="1"/>
  <c r="K927" i="4" s="1"/>
  <c r="K928" i="4" a="1"/>
  <c r="K928" i="4" s="1"/>
  <c r="K929" i="4" a="1"/>
  <c r="K929" i="4" s="1"/>
  <c r="K930" i="4" a="1"/>
  <c r="K930" i="4" s="1"/>
  <c r="K931" i="4" a="1"/>
  <c r="K931" i="4" s="1"/>
  <c r="K932" i="4" a="1"/>
  <c r="K932" i="4" s="1"/>
  <c r="K933" i="4" a="1"/>
  <c r="K933" i="4" s="1"/>
  <c r="K934" i="4" a="1"/>
  <c r="K934" i="4" s="1"/>
  <c r="K935" i="4" a="1"/>
  <c r="K935" i="4" s="1"/>
  <c r="K936" i="4" a="1"/>
  <c r="K936" i="4" s="1"/>
  <c r="K937" i="4" a="1"/>
  <c r="K937" i="4" s="1"/>
  <c r="K938" i="4" a="1"/>
  <c r="K938" i="4" s="1"/>
  <c r="K939" i="4" a="1"/>
  <c r="K939" i="4" s="1"/>
  <c r="K940" i="4" a="1"/>
  <c r="K940" i="4" s="1"/>
  <c r="K941" i="4" a="1"/>
  <c r="K941" i="4" s="1"/>
  <c r="K942" i="4" a="1"/>
  <c r="K942" i="4" s="1"/>
  <c r="K943" i="4" a="1"/>
  <c r="K943" i="4" s="1"/>
  <c r="K944" i="4" a="1"/>
  <c r="K944" i="4" s="1"/>
  <c r="K945" i="4" a="1"/>
  <c r="K945" i="4" s="1"/>
  <c r="K946" i="4" a="1"/>
  <c r="K946" i="4" s="1"/>
  <c r="K947" i="4" a="1"/>
  <c r="K947" i="4" s="1"/>
  <c r="K948" i="4" a="1"/>
  <c r="K948" i="4" s="1"/>
  <c r="K949" i="4" a="1"/>
  <c r="K949" i="4" s="1"/>
  <c r="K950" i="4" a="1"/>
  <c r="K950" i="4" s="1"/>
  <c r="K951" i="4" a="1"/>
  <c r="K951" i="4" s="1"/>
  <c r="K952" i="4" a="1"/>
  <c r="K952" i="4" s="1"/>
  <c r="K953" i="4" a="1"/>
  <c r="K953" i="4" s="1"/>
  <c r="K954" i="4" a="1"/>
  <c r="K954" i="4" s="1"/>
  <c r="K955" i="4" a="1"/>
  <c r="K955" i="4" s="1"/>
  <c r="K956" i="4" a="1"/>
  <c r="K956" i="4" s="1"/>
  <c r="K957" i="4" a="1"/>
  <c r="K957" i="4" s="1"/>
  <c r="K958" i="4" a="1"/>
  <c r="K958" i="4" s="1"/>
  <c r="K959" i="4" a="1"/>
  <c r="K959" i="4" s="1"/>
  <c r="K960" i="4" a="1"/>
  <c r="K960" i="4" s="1"/>
  <c r="K961" i="4" a="1"/>
  <c r="K961" i="4" s="1"/>
  <c r="K962" i="4" a="1"/>
  <c r="K962" i="4" s="1"/>
  <c r="K963" i="4" a="1"/>
  <c r="K963" i="4" s="1"/>
  <c r="K964" i="4" a="1"/>
  <c r="K964" i="4" s="1"/>
  <c r="K965" i="4" a="1"/>
  <c r="K965" i="4" s="1"/>
  <c r="K966" i="4" a="1"/>
  <c r="K966" i="4" s="1"/>
  <c r="K967" i="4" a="1"/>
  <c r="K967" i="4" s="1"/>
  <c r="K968" i="4" a="1"/>
  <c r="K968" i="4" s="1"/>
  <c r="K969" i="4" a="1"/>
  <c r="K969" i="4" s="1"/>
  <c r="K970" i="4" a="1"/>
  <c r="K970" i="4" s="1"/>
  <c r="K971" i="4" a="1"/>
  <c r="K971" i="4" s="1"/>
  <c r="K972" i="4" a="1"/>
  <c r="K972" i="4" s="1"/>
  <c r="K973" i="4" a="1"/>
  <c r="K973" i="4" s="1"/>
  <c r="K974" i="4" a="1"/>
  <c r="K974" i="4" s="1"/>
  <c r="K975" i="4" a="1"/>
  <c r="K975" i="4" s="1"/>
  <c r="K976" i="4" a="1"/>
  <c r="K976" i="4" s="1"/>
  <c r="K977" i="4" a="1"/>
  <c r="K977" i="4" s="1"/>
  <c r="K978" i="4" a="1"/>
  <c r="K978" i="4" s="1"/>
  <c r="K979" i="4" a="1"/>
  <c r="K979" i="4" s="1"/>
  <c r="K980" i="4" a="1"/>
  <c r="K980" i="4" s="1"/>
  <c r="K981" i="4" a="1"/>
  <c r="K981" i="4" s="1"/>
  <c r="K982" i="4" a="1"/>
  <c r="K982" i="4" s="1"/>
  <c r="K983" i="4" a="1"/>
  <c r="K983" i="4" s="1"/>
  <c r="K984" i="4" a="1"/>
  <c r="K984" i="4" s="1"/>
  <c r="K985" i="4" a="1"/>
  <c r="K985" i="4" s="1"/>
  <c r="K986" i="4" a="1"/>
  <c r="K986" i="4" s="1"/>
  <c r="K987" i="4" a="1"/>
  <c r="K987" i="4" s="1"/>
  <c r="K988" i="4" a="1"/>
  <c r="K988" i="4" s="1"/>
  <c r="K989" i="4" a="1"/>
  <c r="K989" i="4" s="1"/>
  <c r="K990" i="4" a="1"/>
  <c r="K990" i="4" s="1"/>
  <c r="K991" i="4" a="1"/>
  <c r="K991" i="4" s="1"/>
  <c r="K992" i="4" a="1"/>
  <c r="K992" i="4" s="1"/>
  <c r="K993" i="4" a="1"/>
  <c r="K993" i="4" s="1"/>
  <c r="K994" i="4" a="1"/>
  <c r="K994" i="4" s="1"/>
  <c r="K995" i="4" a="1"/>
  <c r="K995" i="4" s="1"/>
  <c r="K996" i="4" a="1"/>
  <c r="K996" i="4" s="1"/>
  <c r="K997" i="4" a="1"/>
  <c r="K997" i="4" s="1"/>
  <c r="K998" i="4" a="1"/>
  <c r="K998" i="4" s="1"/>
  <c r="K999" i="4" a="1"/>
  <c r="K999" i="4" s="1"/>
  <c r="K1000" i="4" a="1"/>
  <c r="K1000" i="4" s="1"/>
  <c r="K5" i="4" a="1"/>
  <c r="K5" i="4" s="1"/>
  <c r="D90" i="4"/>
  <c r="E90" i="4" s="1"/>
  <c r="G6" i="4"/>
  <c r="H6" i="4"/>
  <c r="I6" i="4"/>
  <c r="J6" i="4"/>
  <c r="G7" i="4"/>
  <c r="H7" i="4"/>
  <c r="I7" i="4"/>
  <c r="J7" i="4"/>
  <c r="G8" i="4"/>
  <c r="H8" i="4"/>
  <c r="I8" i="4"/>
  <c r="J8" i="4"/>
  <c r="G9" i="4"/>
  <c r="H9" i="4"/>
  <c r="I9" i="4"/>
  <c r="J9" i="4"/>
  <c r="G10" i="4"/>
  <c r="H10" i="4"/>
  <c r="I10" i="4"/>
  <c r="J10" i="4"/>
  <c r="G11" i="4"/>
  <c r="H11" i="4"/>
  <c r="I11" i="4"/>
  <c r="J11" i="4"/>
  <c r="G12" i="4"/>
  <c r="H12" i="4"/>
  <c r="I12" i="4"/>
  <c r="J12" i="4"/>
  <c r="G13" i="4"/>
  <c r="H13" i="4"/>
  <c r="I13" i="4"/>
  <c r="J13" i="4"/>
  <c r="G14" i="4"/>
  <c r="H14" i="4"/>
  <c r="I14" i="4"/>
  <c r="J14" i="4"/>
  <c r="G15" i="4"/>
  <c r="H15" i="4"/>
  <c r="I15" i="4"/>
  <c r="J15" i="4"/>
  <c r="G16" i="4"/>
  <c r="H16" i="4"/>
  <c r="I16" i="4"/>
  <c r="J16" i="4"/>
  <c r="G17" i="4"/>
  <c r="H17" i="4"/>
  <c r="I17" i="4"/>
  <c r="J17" i="4"/>
  <c r="G18" i="4"/>
  <c r="H18" i="4"/>
  <c r="I18" i="4"/>
  <c r="J18" i="4"/>
  <c r="G19" i="4"/>
  <c r="H19" i="4"/>
  <c r="I19" i="4"/>
  <c r="J19" i="4"/>
  <c r="G20" i="4"/>
  <c r="H20" i="4"/>
  <c r="I20" i="4"/>
  <c r="J20" i="4"/>
  <c r="G21" i="4"/>
  <c r="H21" i="4"/>
  <c r="I21" i="4"/>
  <c r="J21" i="4"/>
  <c r="G22" i="4"/>
  <c r="H22" i="4"/>
  <c r="I22" i="4"/>
  <c r="J22" i="4"/>
  <c r="G23" i="4"/>
  <c r="H23" i="4"/>
  <c r="I23" i="4"/>
  <c r="J23" i="4"/>
  <c r="G24" i="4"/>
  <c r="H24" i="4"/>
  <c r="I24" i="4"/>
  <c r="J24" i="4"/>
  <c r="G25" i="4"/>
  <c r="H25" i="4"/>
  <c r="I25" i="4"/>
  <c r="J25" i="4"/>
  <c r="G26" i="4"/>
  <c r="H26" i="4"/>
  <c r="I26" i="4"/>
  <c r="J26" i="4"/>
  <c r="G27" i="4"/>
  <c r="H27" i="4"/>
  <c r="I27" i="4"/>
  <c r="J27" i="4"/>
  <c r="G28" i="4"/>
  <c r="H28" i="4"/>
  <c r="I28" i="4"/>
  <c r="J28" i="4"/>
  <c r="G29" i="4"/>
  <c r="H29" i="4"/>
  <c r="I29" i="4"/>
  <c r="J29" i="4"/>
  <c r="G30" i="4"/>
  <c r="H30" i="4"/>
  <c r="I30" i="4"/>
  <c r="J30" i="4"/>
  <c r="G31" i="4"/>
  <c r="H31" i="4"/>
  <c r="I31" i="4"/>
  <c r="J31" i="4"/>
  <c r="G32" i="4"/>
  <c r="H32" i="4"/>
  <c r="I32" i="4"/>
  <c r="J32" i="4"/>
  <c r="G33" i="4"/>
  <c r="H33" i="4"/>
  <c r="I33" i="4"/>
  <c r="J33" i="4"/>
  <c r="G34" i="4"/>
  <c r="H34" i="4"/>
  <c r="I34" i="4"/>
  <c r="J34" i="4"/>
  <c r="G35" i="4"/>
  <c r="H35" i="4"/>
  <c r="I35" i="4"/>
  <c r="J35" i="4"/>
  <c r="G36" i="4"/>
  <c r="H36" i="4"/>
  <c r="I36" i="4"/>
  <c r="J36" i="4"/>
  <c r="G37" i="4"/>
  <c r="H37" i="4"/>
  <c r="I37" i="4"/>
  <c r="J37" i="4"/>
  <c r="G38" i="4"/>
  <c r="H38" i="4"/>
  <c r="I38" i="4"/>
  <c r="J38" i="4"/>
  <c r="G39" i="4"/>
  <c r="H39" i="4"/>
  <c r="I39" i="4"/>
  <c r="J39" i="4"/>
  <c r="G40" i="4"/>
  <c r="H40" i="4"/>
  <c r="I40" i="4"/>
  <c r="J40" i="4"/>
  <c r="G41" i="4"/>
  <c r="H41" i="4"/>
  <c r="I41" i="4"/>
  <c r="J41" i="4"/>
  <c r="G42" i="4"/>
  <c r="H42" i="4"/>
  <c r="I42" i="4"/>
  <c r="J42" i="4"/>
  <c r="G43" i="4"/>
  <c r="H43" i="4"/>
  <c r="I43" i="4"/>
  <c r="J43" i="4"/>
  <c r="G44" i="4"/>
  <c r="H44" i="4"/>
  <c r="I44" i="4"/>
  <c r="J44" i="4"/>
  <c r="G45" i="4"/>
  <c r="H45" i="4"/>
  <c r="I45" i="4"/>
  <c r="J45" i="4"/>
  <c r="G46" i="4"/>
  <c r="H46" i="4"/>
  <c r="I46" i="4"/>
  <c r="J46" i="4"/>
  <c r="G47" i="4"/>
  <c r="H47" i="4"/>
  <c r="I47" i="4"/>
  <c r="J47" i="4"/>
  <c r="G48" i="4"/>
  <c r="H48" i="4"/>
  <c r="I48" i="4"/>
  <c r="J48" i="4"/>
  <c r="G49" i="4"/>
  <c r="H49" i="4"/>
  <c r="I49" i="4"/>
  <c r="J49" i="4"/>
  <c r="G50" i="4"/>
  <c r="H50" i="4"/>
  <c r="I50" i="4"/>
  <c r="J50" i="4"/>
  <c r="G51" i="4"/>
  <c r="H51" i="4"/>
  <c r="I51" i="4"/>
  <c r="J51" i="4"/>
  <c r="G52" i="4"/>
  <c r="H52" i="4"/>
  <c r="I52" i="4"/>
  <c r="J52" i="4"/>
  <c r="G53" i="4"/>
  <c r="H53" i="4"/>
  <c r="I53" i="4"/>
  <c r="J53" i="4"/>
  <c r="G54" i="4"/>
  <c r="H54" i="4"/>
  <c r="I54" i="4"/>
  <c r="J54" i="4"/>
  <c r="G55" i="4"/>
  <c r="H55" i="4"/>
  <c r="I55" i="4"/>
  <c r="J55" i="4"/>
  <c r="G56" i="4"/>
  <c r="H56" i="4"/>
  <c r="I56" i="4"/>
  <c r="J56" i="4"/>
  <c r="G57" i="4"/>
  <c r="H57" i="4"/>
  <c r="I57" i="4"/>
  <c r="J57" i="4"/>
  <c r="G58" i="4"/>
  <c r="H58" i="4"/>
  <c r="I58" i="4"/>
  <c r="J58" i="4"/>
  <c r="G59" i="4"/>
  <c r="H59" i="4"/>
  <c r="I59" i="4"/>
  <c r="J59" i="4"/>
  <c r="G60" i="4"/>
  <c r="H60" i="4"/>
  <c r="I60" i="4"/>
  <c r="J60" i="4"/>
  <c r="G61" i="4"/>
  <c r="H61" i="4"/>
  <c r="I61" i="4"/>
  <c r="J61" i="4"/>
  <c r="G62" i="4"/>
  <c r="H62" i="4"/>
  <c r="I62" i="4"/>
  <c r="J62" i="4"/>
  <c r="G63" i="4"/>
  <c r="H63" i="4"/>
  <c r="I63" i="4"/>
  <c r="J63" i="4"/>
  <c r="G64" i="4"/>
  <c r="H64" i="4"/>
  <c r="I64" i="4"/>
  <c r="J64" i="4"/>
  <c r="G65" i="4"/>
  <c r="H65" i="4"/>
  <c r="I65" i="4"/>
  <c r="J65" i="4"/>
  <c r="G66" i="4"/>
  <c r="H66" i="4"/>
  <c r="I66" i="4"/>
  <c r="J66" i="4"/>
  <c r="G67" i="4"/>
  <c r="H67" i="4"/>
  <c r="I67" i="4"/>
  <c r="J67" i="4"/>
  <c r="G68" i="4"/>
  <c r="H68" i="4"/>
  <c r="I68" i="4"/>
  <c r="J68" i="4"/>
  <c r="G69" i="4"/>
  <c r="H69" i="4"/>
  <c r="I69" i="4"/>
  <c r="J69" i="4"/>
  <c r="G70" i="4"/>
  <c r="H70" i="4"/>
  <c r="I70" i="4"/>
  <c r="J70" i="4"/>
  <c r="G71" i="4"/>
  <c r="H71" i="4"/>
  <c r="I71" i="4"/>
  <c r="J71" i="4"/>
  <c r="G72" i="4"/>
  <c r="H72" i="4"/>
  <c r="I72" i="4"/>
  <c r="J72" i="4"/>
  <c r="G73" i="4"/>
  <c r="H73" i="4"/>
  <c r="I73" i="4"/>
  <c r="J73" i="4"/>
  <c r="G74" i="4"/>
  <c r="H74" i="4"/>
  <c r="I74" i="4"/>
  <c r="J74" i="4"/>
  <c r="G75" i="4"/>
  <c r="H75" i="4"/>
  <c r="I75" i="4"/>
  <c r="J75" i="4"/>
  <c r="G76" i="4"/>
  <c r="H76" i="4"/>
  <c r="I76" i="4"/>
  <c r="J76" i="4"/>
  <c r="G77" i="4"/>
  <c r="H77" i="4"/>
  <c r="I77" i="4"/>
  <c r="J77" i="4"/>
  <c r="G78" i="4"/>
  <c r="H78" i="4"/>
  <c r="I78" i="4"/>
  <c r="J78" i="4"/>
  <c r="G79" i="4"/>
  <c r="H79" i="4"/>
  <c r="I79" i="4"/>
  <c r="J79" i="4"/>
  <c r="G80" i="4"/>
  <c r="H80" i="4"/>
  <c r="I80" i="4"/>
  <c r="J80" i="4"/>
  <c r="G81" i="4"/>
  <c r="H81" i="4"/>
  <c r="I81" i="4"/>
  <c r="J81" i="4"/>
  <c r="G82" i="4"/>
  <c r="H82" i="4"/>
  <c r="I82" i="4"/>
  <c r="J82" i="4"/>
  <c r="G83" i="4"/>
  <c r="H83" i="4"/>
  <c r="I83" i="4"/>
  <c r="J83" i="4"/>
  <c r="G84" i="4"/>
  <c r="H84" i="4"/>
  <c r="I84" i="4"/>
  <c r="J84" i="4"/>
  <c r="G85" i="4"/>
  <c r="H85" i="4"/>
  <c r="I85" i="4"/>
  <c r="J85" i="4"/>
  <c r="G86" i="4"/>
  <c r="H86" i="4"/>
  <c r="I86" i="4"/>
  <c r="J86" i="4"/>
  <c r="G87" i="4"/>
  <c r="H87" i="4"/>
  <c r="I87" i="4"/>
  <c r="J87" i="4"/>
  <c r="G88" i="4"/>
  <c r="H88" i="4"/>
  <c r="I88" i="4"/>
  <c r="J88" i="4"/>
  <c r="G89" i="4"/>
  <c r="H89" i="4"/>
  <c r="I89" i="4"/>
  <c r="J89" i="4"/>
  <c r="G90" i="4"/>
  <c r="H90" i="4"/>
  <c r="I90" i="4"/>
  <c r="J90" i="4"/>
  <c r="G91" i="4"/>
  <c r="H91" i="4"/>
  <c r="I91" i="4"/>
  <c r="J91" i="4"/>
  <c r="G92" i="4"/>
  <c r="H92" i="4"/>
  <c r="I92" i="4"/>
  <c r="J92" i="4"/>
  <c r="G93" i="4"/>
  <c r="H93" i="4"/>
  <c r="I93" i="4"/>
  <c r="J93" i="4"/>
  <c r="G94" i="4"/>
  <c r="H94" i="4"/>
  <c r="I94" i="4"/>
  <c r="J94" i="4"/>
  <c r="G95" i="4"/>
  <c r="H95" i="4"/>
  <c r="I95" i="4"/>
  <c r="J95" i="4"/>
  <c r="G96" i="4"/>
  <c r="H96" i="4"/>
  <c r="I96" i="4"/>
  <c r="J96" i="4"/>
  <c r="G97" i="4"/>
  <c r="H97" i="4"/>
  <c r="I97" i="4"/>
  <c r="J97" i="4"/>
  <c r="G98" i="4"/>
  <c r="H98" i="4"/>
  <c r="I98" i="4"/>
  <c r="J98" i="4"/>
  <c r="G99" i="4"/>
  <c r="H99" i="4"/>
  <c r="I99" i="4"/>
  <c r="J99" i="4"/>
  <c r="G100" i="4"/>
  <c r="H100" i="4"/>
  <c r="I100" i="4"/>
  <c r="J100" i="4"/>
  <c r="G101" i="4"/>
  <c r="H101" i="4"/>
  <c r="I101" i="4"/>
  <c r="J101" i="4"/>
  <c r="G102" i="4"/>
  <c r="H102" i="4"/>
  <c r="I102" i="4"/>
  <c r="J102" i="4"/>
  <c r="G103" i="4"/>
  <c r="H103" i="4"/>
  <c r="I103" i="4"/>
  <c r="J103" i="4"/>
  <c r="G104" i="4"/>
  <c r="H104" i="4"/>
  <c r="I104" i="4"/>
  <c r="J104" i="4"/>
  <c r="G105" i="4"/>
  <c r="H105" i="4"/>
  <c r="I105" i="4"/>
  <c r="J105" i="4"/>
  <c r="G106" i="4"/>
  <c r="H106" i="4"/>
  <c r="I106" i="4"/>
  <c r="J106" i="4"/>
  <c r="G107" i="4"/>
  <c r="H107" i="4"/>
  <c r="I107" i="4"/>
  <c r="J107" i="4"/>
  <c r="G108" i="4"/>
  <c r="H108" i="4"/>
  <c r="I108" i="4"/>
  <c r="J108" i="4"/>
  <c r="G109" i="4"/>
  <c r="H109" i="4"/>
  <c r="I109" i="4"/>
  <c r="J109" i="4"/>
  <c r="G110" i="4"/>
  <c r="H110" i="4"/>
  <c r="I110" i="4"/>
  <c r="J110" i="4"/>
  <c r="G111" i="4"/>
  <c r="H111" i="4"/>
  <c r="I111" i="4"/>
  <c r="J111" i="4"/>
  <c r="G112" i="4"/>
  <c r="H112" i="4"/>
  <c r="I112" i="4"/>
  <c r="J112" i="4"/>
  <c r="G113" i="4"/>
  <c r="H113" i="4"/>
  <c r="I113" i="4"/>
  <c r="J113" i="4"/>
  <c r="G114" i="4"/>
  <c r="H114" i="4"/>
  <c r="I114" i="4"/>
  <c r="J114" i="4"/>
  <c r="G115" i="4"/>
  <c r="H115" i="4"/>
  <c r="I115" i="4"/>
  <c r="J115" i="4"/>
  <c r="G116" i="4"/>
  <c r="H116" i="4"/>
  <c r="I116" i="4"/>
  <c r="J116" i="4"/>
  <c r="G117" i="4"/>
  <c r="H117" i="4"/>
  <c r="I117" i="4"/>
  <c r="J117" i="4"/>
  <c r="G118" i="4"/>
  <c r="H118" i="4"/>
  <c r="I118" i="4"/>
  <c r="J118" i="4"/>
  <c r="G119" i="4"/>
  <c r="H119" i="4"/>
  <c r="I119" i="4"/>
  <c r="J119" i="4"/>
  <c r="G120" i="4"/>
  <c r="H120" i="4"/>
  <c r="I120" i="4"/>
  <c r="J120" i="4"/>
  <c r="G121" i="4"/>
  <c r="H121" i="4"/>
  <c r="I121" i="4"/>
  <c r="J121" i="4"/>
  <c r="G122" i="4"/>
  <c r="H122" i="4"/>
  <c r="I122" i="4"/>
  <c r="J122" i="4"/>
  <c r="G123" i="4"/>
  <c r="H123" i="4"/>
  <c r="I123" i="4"/>
  <c r="J123" i="4"/>
  <c r="G124" i="4"/>
  <c r="H124" i="4"/>
  <c r="I124" i="4"/>
  <c r="J124" i="4"/>
  <c r="G125" i="4"/>
  <c r="H125" i="4"/>
  <c r="I125" i="4"/>
  <c r="J125" i="4"/>
  <c r="G126" i="4"/>
  <c r="H126" i="4"/>
  <c r="I126" i="4"/>
  <c r="J126" i="4"/>
  <c r="G127" i="4"/>
  <c r="H127" i="4"/>
  <c r="I127" i="4"/>
  <c r="J127" i="4"/>
  <c r="G128" i="4"/>
  <c r="H128" i="4"/>
  <c r="I128" i="4"/>
  <c r="J128" i="4"/>
  <c r="G129" i="4"/>
  <c r="H129" i="4"/>
  <c r="I129" i="4"/>
  <c r="J129" i="4"/>
  <c r="G130" i="4"/>
  <c r="H130" i="4"/>
  <c r="I130" i="4"/>
  <c r="J130" i="4"/>
  <c r="G131" i="4"/>
  <c r="H131" i="4"/>
  <c r="I131" i="4"/>
  <c r="J131" i="4"/>
  <c r="G132" i="4"/>
  <c r="H132" i="4"/>
  <c r="I132" i="4"/>
  <c r="J132" i="4"/>
  <c r="G133" i="4"/>
  <c r="H133" i="4"/>
  <c r="I133" i="4"/>
  <c r="J133" i="4"/>
  <c r="G134" i="4"/>
  <c r="H134" i="4"/>
  <c r="I134" i="4"/>
  <c r="J134" i="4"/>
  <c r="G135" i="4"/>
  <c r="H135" i="4"/>
  <c r="I135" i="4"/>
  <c r="J135" i="4"/>
  <c r="G136" i="4"/>
  <c r="H136" i="4"/>
  <c r="I136" i="4"/>
  <c r="J136" i="4"/>
  <c r="G137" i="4"/>
  <c r="H137" i="4"/>
  <c r="I137" i="4"/>
  <c r="J137" i="4"/>
  <c r="G138" i="4"/>
  <c r="H138" i="4"/>
  <c r="I138" i="4"/>
  <c r="J138" i="4"/>
  <c r="G139" i="4"/>
  <c r="H139" i="4"/>
  <c r="I139" i="4"/>
  <c r="J139" i="4"/>
  <c r="G140" i="4"/>
  <c r="H140" i="4"/>
  <c r="I140" i="4"/>
  <c r="J140" i="4"/>
  <c r="G141" i="4"/>
  <c r="H141" i="4"/>
  <c r="I141" i="4"/>
  <c r="J141" i="4"/>
  <c r="G142" i="4"/>
  <c r="H142" i="4"/>
  <c r="I142" i="4"/>
  <c r="J142" i="4"/>
  <c r="G143" i="4"/>
  <c r="H143" i="4"/>
  <c r="I143" i="4"/>
  <c r="J143" i="4"/>
  <c r="G144" i="4"/>
  <c r="H144" i="4"/>
  <c r="I144" i="4"/>
  <c r="J144" i="4"/>
  <c r="G145" i="4"/>
  <c r="H145" i="4"/>
  <c r="I145" i="4"/>
  <c r="J145" i="4"/>
  <c r="G146" i="4"/>
  <c r="H146" i="4"/>
  <c r="I146" i="4"/>
  <c r="J146" i="4"/>
  <c r="G147" i="4"/>
  <c r="H147" i="4"/>
  <c r="I147" i="4"/>
  <c r="J147" i="4"/>
  <c r="G148" i="4"/>
  <c r="H148" i="4"/>
  <c r="I148" i="4"/>
  <c r="J148" i="4"/>
  <c r="G149" i="4"/>
  <c r="H149" i="4"/>
  <c r="I149" i="4"/>
  <c r="J149" i="4"/>
  <c r="G150" i="4"/>
  <c r="H150" i="4"/>
  <c r="I150" i="4"/>
  <c r="J150" i="4"/>
  <c r="G151" i="4"/>
  <c r="H151" i="4"/>
  <c r="I151" i="4"/>
  <c r="J151" i="4"/>
  <c r="G152" i="4"/>
  <c r="H152" i="4"/>
  <c r="I152" i="4"/>
  <c r="J152" i="4"/>
  <c r="G153" i="4"/>
  <c r="H153" i="4"/>
  <c r="I153" i="4"/>
  <c r="J153" i="4"/>
  <c r="G154" i="4"/>
  <c r="H154" i="4"/>
  <c r="I154" i="4"/>
  <c r="J154" i="4"/>
  <c r="G155" i="4"/>
  <c r="H155" i="4"/>
  <c r="I155" i="4"/>
  <c r="J155" i="4"/>
  <c r="G156" i="4"/>
  <c r="H156" i="4"/>
  <c r="I156" i="4"/>
  <c r="J156" i="4"/>
  <c r="G157" i="4"/>
  <c r="H157" i="4"/>
  <c r="I157" i="4"/>
  <c r="J157" i="4"/>
  <c r="G158" i="4"/>
  <c r="H158" i="4"/>
  <c r="I158" i="4"/>
  <c r="J158" i="4"/>
  <c r="G159" i="4"/>
  <c r="H159" i="4"/>
  <c r="I159" i="4"/>
  <c r="J159" i="4"/>
  <c r="G160" i="4"/>
  <c r="H160" i="4"/>
  <c r="I160" i="4"/>
  <c r="J160" i="4"/>
  <c r="G161" i="4"/>
  <c r="H161" i="4"/>
  <c r="I161" i="4"/>
  <c r="J161" i="4"/>
  <c r="G162" i="4"/>
  <c r="H162" i="4"/>
  <c r="I162" i="4"/>
  <c r="J162" i="4"/>
  <c r="G163" i="4"/>
  <c r="H163" i="4"/>
  <c r="I163" i="4"/>
  <c r="J163" i="4"/>
  <c r="G164" i="4"/>
  <c r="H164" i="4"/>
  <c r="I164" i="4"/>
  <c r="J164" i="4"/>
  <c r="G165" i="4"/>
  <c r="H165" i="4"/>
  <c r="I165" i="4"/>
  <c r="J165" i="4"/>
  <c r="G166" i="4"/>
  <c r="H166" i="4"/>
  <c r="I166" i="4"/>
  <c r="J166" i="4"/>
  <c r="G167" i="4"/>
  <c r="H167" i="4"/>
  <c r="I167" i="4"/>
  <c r="J167" i="4"/>
  <c r="G168" i="4"/>
  <c r="H168" i="4"/>
  <c r="I168" i="4"/>
  <c r="J168" i="4"/>
  <c r="G169" i="4"/>
  <c r="H169" i="4"/>
  <c r="I169" i="4"/>
  <c r="J169" i="4"/>
  <c r="G170" i="4"/>
  <c r="H170" i="4"/>
  <c r="I170" i="4"/>
  <c r="J170" i="4"/>
  <c r="G171" i="4"/>
  <c r="H171" i="4"/>
  <c r="I171" i="4"/>
  <c r="J171" i="4"/>
  <c r="G172" i="4"/>
  <c r="H172" i="4"/>
  <c r="I172" i="4"/>
  <c r="J172" i="4"/>
  <c r="G173" i="4"/>
  <c r="H173" i="4"/>
  <c r="I173" i="4"/>
  <c r="J173" i="4"/>
  <c r="G174" i="4"/>
  <c r="H174" i="4"/>
  <c r="I174" i="4"/>
  <c r="J174" i="4"/>
  <c r="G175" i="4"/>
  <c r="H175" i="4"/>
  <c r="I175" i="4"/>
  <c r="J175" i="4"/>
  <c r="G176" i="4"/>
  <c r="H176" i="4"/>
  <c r="I176" i="4"/>
  <c r="J176" i="4"/>
  <c r="G177" i="4"/>
  <c r="H177" i="4"/>
  <c r="I177" i="4"/>
  <c r="J177" i="4"/>
  <c r="G178" i="4"/>
  <c r="H178" i="4"/>
  <c r="I178" i="4"/>
  <c r="J178" i="4"/>
  <c r="G179" i="4"/>
  <c r="H179" i="4"/>
  <c r="I179" i="4"/>
  <c r="J179" i="4"/>
  <c r="G180" i="4"/>
  <c r="H180" i="4"/>
  <c r="I180" i="4"/>
  <c r="J180" i="4"/>
  <c r="G181" i="4"/>
  <c r="H181" i="4"/>
  <c r="I181" i="4"/>
  <c r="J181" i="4"/>
  <c r="G182" i="4"/>
  <c r="H182" i="4"/>
  <c r="I182" i="4"/>
  <c r="J182" i="4"/>
  <c r="G183" i="4"/>
  <c r="H183" i="4"/>
  <c r="I183" i="4"/>
  <c r="J183" i="4"/>
  <c r="G184" i="4"/>
  <c r="H184" i="4"/>
  <c r="I184" i="4"/>
  <c r="J184" i="4"/>
  <c r="G185" i="4"/>
  <c r="H185" i="4"/>
  <c r="I185" i="4"/>
  <c r="J185" i="4"/>
  <c r="G186" i="4"/>
  <c r="H186" i="4"/>
  <c r="I186" i="4"/>
  <c r="J186" i="4"/>
  <c r="G187" i="4"/>
  <c r="H187" i="4"/>
  <c r="I187" i="4"/>
  <c r="J187" i="4"/>
  <c r="G188" i="4"/>
  <c r="H188" i="4"/>
  <c r="I188" i="4"/>
  <c r="J188" i="4"/>
  <c r="G189" i="4"/>
  <c r="H189" i="4"/>
  <c r="I189" i="4"/>
  <c r="J189" i="4"/>
  <c r="G190" i="4"/>
  <c r="H190" i="4"/>
  <c r="I190" i="4"/>
  <c r="J190" i="4"/>
  <c r="G191" i="4"/>
  <c r="H191" i="4"/>
  <c r="I191" i="4"/>
  <c r="J191" i="4"/>
  <c r="G192" i="4"/>
  <c r="H192" i="4"/>
  <c r="I192" i="4"/>
  <c r="J192" i="4"/>
  <c r="G193" i="4"/>
  <c r="H193" i="4"/>
  <c r="I193" i="4"/>
  <c r="J193" i="4"/>
  <c r="G194" i="4"/>
  <c r="H194" i="4"/>
  <c r="I194" i="4"/>
  <c r="J194" i="4"/>
  <c r="G195" i="4"/>
  <c r="H195" i="4"/>
  <c r="I195" i="4"/>
  <c r="J195" i="4"/>
  <c r="G196" i="4"/>
  <c r="H196" i="4"/>
  <c r="I196" i="4"/>
  <c r="J196" i="4"/>
  <c r="G197" i="4"/>
  <c r="H197" i="4"/>
  <c r="I197" i="4"/>
  <c r="J197" i="4"/>
  <c r="G198" i="4"/>
  <c r="H198" i="4"/>
  <c r="I198" i="4"/>
  <c r="J198" i="4"/>
  <c r="G199" i="4"/>
  <c r="H199" i="4"/>
  <c r="I199" i="4"/>
  <c r="J199" i="4"/>
  <c r="G200" i="4"/>
  <c r="H200" i="4"/>
  <c r="I200" i="4"/>
  <c r="J200" i="4"/>
  <c r="G201" i="4"/>
  <c r="H201" i="4"/>
  <c r="I201" i="4"/>
  <c r="J201" i="4"/>
  <c r="G202" i="4"/>
  <c r="H202" i="4"/>
  <c r="I202" i="4"/>
  <c r="J202" i="4"/>
  <c r="G203" i="4"/>
  <c r="H203" i="4"/>
  <c r="I203" i="4"/>
  <c r="J203" i="4"/>
  <c r="G204" i="4"/>
  <c r="H204" i="4"/>
  <c r="I204" i="4"/>
  <c r="J204" i="4"/>
  <c r="G205" i="4"/>
  <c r="H205" i="4"/>
  <c r="I205" i="4"/>
  <c r="J205" i="4"/>
  <c r="G206" i="4"/>
  <c r="H206" i="4"/>
  <c r="I206" i="4"/>
  <c r="J206" i="4"/>
  <c r="G207" i="4"/>
  <c r="H207" i="4"/>
  <c r="I207" i="4"/>
  <c r="J207" i="4"/>
  <c r="G208" i="4"/>
  <c r="H208" i="4"/>
  <c r="I208" i="4"/>
  <c r="J208" i="4"/>
  <c r="G209" i="4"/>
  <c r="H209" i="4"/>
  <c r="I209" i="4"/>
  <c r="J209" i="4"/>
  <c r="G210" i="4"/>
  <c r="H210" i="4"/>
  <c r="I210" i="4"/>
  <c r="J210" i="4"/>
  <c r="G211" i="4"/>
  <c r="H211" i="4"/>
  <c r="I211" i="4"/>
  <c r="J211" i="4"/>
  <c r="G212" i="4"/>
  <c r="H212" i="4"/>
  <c r="I212" i="4"/>
  <c r="J212" i="4"/>
  <c r="G213" i="4"/>
  <c r="H213" i="4"/>
  <c r="I213" i="4"/>
  <c r="J213" i="4"/>
  <c r="G214" i="4"/>
  <c r="H214" i="4"/>
  <c r="I214" i="4"/>
  <c r="J214" i="4"/>
  <c r="G215" i="4"/>
  <c r="H215" i="4"/>
  <c r="I215" i="4"/>
  <c r="J215" i="4"/>
  <c r="G216" i="4"/>
  <c r="H216" i="4"/>
  <c r="I216" i="4"/>
  <c r="J216" i="4"/>
  <c r="G217" i="4"/>
  <c r="H217" i="4"/>
  <c r="I217" i="4"/>
  <c r="J217" i="4"/>
  <c r="G218" i="4"/>
  <c r="H218" i="4"/>
  <c r="I218" i="4"/>
  <c r="J218" i="4"/>
  <c r="G219" i="4"/>
  <c r="H219" i="4"/>
  <c r="I219" i="4"/>
  <c r="J219" i="4"/>
  <c r="G220" i="4"/>
  <c r="H220" i="4"/>
  <c r="I220" i="4"/>
  <c r="J220" i="4"/>
  <c r="G221" i="4"/>
  <c r="H221" i="4"/>
  <c r="I221" i="4"/>
  <c r="J221" i="4"/>
  <c r="G222" i="4"/>
  <c r="H222" i="4"/>
  <c r="I222" i="4"/>
  <c r="J222" i="4"/>
  <c r="G223" i="4"/>
  <c r="H223" i="4"/>
  <c r="I223" i="4"/>
  <c r="J223" i="4"/>
  <c r="G224" i="4"/>
  <c r="H224" i="4"/>
  <c r="I224" i="4"/>
  <c r="J224" i="4"/>
  <c r="G225" i="4"/>
  <c r="H225" i="4"/>
  <c r="I225" i="4"/>
  <c r="J225" i="4"/>
  <c r="G226" i="4"/>
  <c r="H226" i="4"/>
  <c r="I226" i="4"/>
  <c r="J226" i="4"/>
  <c r="G227" i="4"/>
  <c r="H227" i="4"/>
  <c r="I227" i="4"/>
  <c r="J227" i="4"/>
  <c r="G228" i="4"/>
  <c r="H228" i="4"/>
  <c r="I228" i="4"/>
  <c r="J228" i="4"/>
  <c r="G229" i="4"/>
  <c r="H229" i="4"/>
  <c r="I229" i="4"/>
  <c r="J229" i="4"/>
  <c r="G230" i="4"/>
  <c r="H230" i="4"/>
  <c r="I230" i="4"/>
  <c r="J230" i="4"/>
  <c r="G231" i="4"/>
  <c r="H231" i="4"/>
  <c r="I231" i="4"/>
  <c r="J231" i="4"/>
  <c r="G232" i="4"/>
  <c r="H232" i="4"/>
  <c r="I232" i="4"/>
  <c r="J232" i="4"/>
  <c r="G233" i="4"/>
  <c r="H233" i="4"/>
  <c r="I233" i="4"/>
  <c r="J233" i="4"/>
  <c r="G234" i="4"/>
  <c r="H234" i="4"/>
  <c r="I234" i="4"/>
  <c r="J234" i="4"/>
  <c r="G235" i="4"/>
  <c r="H235" i="4"/>
  <c r="I235" i="4"/>
  <c r="J235" i="4"/>
  <c r="G236" i="4"/>
  <c r="H236" i="4"/>
  <c r="I236" i="4"/>
  <c r="J236" i="4"/>
  <c r="G237" i="4"/>
  <c r="H237" i="4"/>
  <c r="I237" i="4"/>
  <c r="J237" i="4"/>
  <c r="G238" i="4"/>
  <c r="H238" i="4"/>
  <c r="I238" i="4"/>
  <c r="J238" i="4"/>
  <c r="G239" i="4"/>
  <c r="H239" i="4"/>
  <c r="I239" i="4"/>
  <c r="J239" i="4"/>
  <c r="G240" i="4"/>
  <c r="H240" i="4"/>
  <c r="I240" i="4"/>
  <c r="J240" i="4"/>
  <c r="G241" i="4"/>
  <c r="H241" i="4"/>
  <c r="I241" i="4"/>
  <c r="J241" i="4"/>
  <c r="G242" i="4"/>
  <c r="H242" i="4"/>
  <c r="I242" i="4"/>
  <c r="J242" i="4"/>
  <c r="G243" i="4"/>
  <c r="H243" i="4"/>
  <c r="I243" i="4"/>
  <c r="J243" i="4"/>
  <c r="G244" i="4"/>
  <c r="H244" i="4"/>
  <c r="I244" i="4"/>
  <c r="J244" i="4"/>
  <c r="G245" i="4"/>
  <c r="H245" i="4"/>
  <c r="I245" i="4"/>
  <c r="J245" i="4"/>
  <c r="G246" i="4"/>
  <c r="H246" i="4"/>
  <c r="I246" i="4"/>
  <c r="J246" i="4"/>
  <c r="G247" i="4"/>
  <c r="H247" i="4"/>
  <c r="I247" i="4"/>
  <c r="J247" i="4"/>
  <c r="G248" i="4"/>
  <c r="H248" i="4"/>
  <c r="I248" i="4"/>
  <c r="J248" i="4"/>
  <c r="G249" i="4"/>
  <c r="H249" i="4"/>
  <c r="I249" i="4"/>
  <c r="J249" i="4"/>
  <c r="G250" i="4"/>
  <c r="H250" i="4"/>
  <c r="I250" i="4"/>
  <c r="J250" i="4"/>
  <c r="G251" i="4"/>
  <c r="H251" i="4"/>
  <c r="I251" i="4"/>
  <c r="J251" i="4"/>
  <c r="G252" i="4"/>
  <c r="H252" i="4"/>
  <c r="I252" i="4"/>
  <c r="J252" i="4"/>
  <c r="G253" i="4"/>
  <c r="H253" i="4"/>
  <c r="I253" i="4"/>
  <c r="J253" i="4"/>
  <c r="G254" i="4"/>
  <c r="H254" i="4"/>
  <c r="I254" i="4"/>
  <c r="J254" i="4"/>
  <c r="G255" i="4"/>
  <c r="H255" i="4"/>
  <c r="I255" i="4"/>
  <c r="J255" i="4"/>
  <c r="G256" i="4"/>
  <c r="H256" i="4"/>
  <c r="I256" i="4"/>
  <c r="J256" i="4"/>
  <c r="G257" i="4"/>
  <c r="H257" i="4"/>
  <c r="I257" i="4"/>
  <c r="J257" i="4"/>
  <c r="G258" i="4"/>
  <c r="H258" i="4"/>
  <c r="I258" i="4"/>
  <c r="J258" i="4"/>
  <c r="G259" i="4"/>
  <c r="H259" i="4"/>
  <c r="I259" i="4"/>
  <c r="J259" i="4"/>
  <c r="G260" i="4"/>
  <c r="H260" i="4"/>
  <c r="I260" i="4"/>
  <c r="J260" i="4"/>
  <c r="G261" i="4"/>
  <c r="H261" i="4"/>
  <c r="I261" i="4"/>
  <c r="J261" i="4"/>
  <c r="G262" i="4"/>
  <c r="H262" i="4"/>
  <c r="I262" i="4"/>
  <c r="J262" i="4"/>
  <c r="G263" i="4"/>
  <c r="H263" i="4"/>
  <c r="I263" i="4"/>
  <c r="J263" i="4"/>
  <c r="G264" i="4"/>
  <c r="H264" i="4"/>
  <c r="I264" i="4"/>
  <c r="J264" i="4"/>
  <c r="G265" i="4"/>
  <c r="H265" i="4"/>
  <c r="I265" i="4"/>
  <c r="J265" i="4"/>
  <c r="G266" i="4"/>
  <c r="H266" i="4"/>
  <c r="I266" i="4"/>
  <c r="J266" i="4"/>
  <c r="G267" i="4"/>
  <c r="H267" i="4"/>
  <c r="I267" i="4"/>
  <c r="J267" i="4"/>
  <c r="G268" i="4"/>
  <c r="H268" i="4"/>
  <c r="I268" i="4"/>
  <c r="J268" i="4"/>
  <c r="G269" i="4"/>
  <c r="H269" i="4"/>
  <c r="I269" i="4"/>
  <c r="J269" i="4"/>
  <c r="G270" i="4"/>
  <c r="H270" i="4"/>
  <c r="I270" i="4"/>
  <c r="J270" i="4"/>
  <c r="G271" i="4"/>
  <c r="H271" i="4"/>
  <c r="I271" i="4"/>
  <c r="J271" i="4"/>
  <c r="G272" i="4"/>
  <c r="H272" i="4"/>
  <c r="I272" i="4"/>
  <c r="J272" i="4"/>
  <c r="G273" i="4"/>
  <c r="H273" i="4"/>
  <c r="I273" i="4"/>
  <c r="J273" i="4"/>
  <c r="G274" i="4"/>
  <c r="H274" i="4"/>
  <c r="I274" i="4"/>
  <c r="J274" i="4"/>
  <c r="G275" i="4"/>
  <c r="H275" i="4"/>
  <c r="I275" i="4"/>
  <c r="J275" i="4"/>
  <c r="G276" i="4"/>
  <c r="H276" i="4"/>
  <c r="I276" i="4"/>
  <c r="J276" i="4"/>
  <c r="G277" i="4"/>
  <c r="H277" i="4"/>
  <c r="I277" i="4"/>
  <c r="J277" i="4"/>
  <c r="G278" i="4"/>
  <c r="H278" i="4"/>
  <c r="I278" i="4"/>
  <c r="J278" i="4"/>
  <c r="G279" i="4"/>
  <c r="H279" i="4"/>
  <c r="I279" i="4"/>
  <c r="J279" i="4"/>
  <c r="G280" i="4"/>
  <c r="H280" i="4"/>
  <c r="I280" i="4"/>
  <c r="J280" i="4"/>
  <c r="G281" i="4"/>
  <c r="H281" i="4"/>
  <c r="I281" i="4"/>
  <c r="J281" i="4"/>
  <c r="G282" i="4"/>
  <c r="H282" i="4"/>
  <c r="I282" i="4"/>
  <c r="J282" i="4"/>
  <c r="G283" i="4"/>
  <c r="H283" i="4"/>
  <c r="I283" i="4"/>
  <c r="J283" i="4"/>
  <c r="G284" i="4"/>
  <c r="H284" i="4"/>
  <c r="I284" i="4"/>
  <c r="J284" i="4"/>
  <c r="G285" i="4"/>
  <c r="H285" i="4"/>
  <c r="I285" i="4"/>
  <c r="J285" i="4"/>
  <c r="G286" i="4"/>
  <c r="H286" i="4"/>
  <c r="I286" i="4"/>
  <c r="J286" i="4"/>
  <c r="G287" i="4"/>
  <c r="H287" i="4"/>
  <c r="I287" i="4"/>
  <c r="J287" i="4"/>
  <c r="G288" i="4"/>
  <c r="H288" i="4"/>
  <c r="I288" i="4"/>
  <c r="J288" i="4"/>
  <c r="G289" i="4"/>
  <c r="H289" i="4"/>
  <c r="I289" i="4"/>
  <c r="J289" i="4"/>
  <c r="G290" i="4"/>
  <c r="H290" i="4"/>
  <c r="I290" i="4"/>
  <c r="J290" i="4"/>
  <c r="G291" i="4"/>
  <c r="H291" i="4"/>
  <c r="I291" i="4"/>
  <c r="J291" i="4"/>
  <c r="G292" i="4"/>
  <c r="H292" i="4"/>
  <c r="I292" i="4"/>
  <c r="J292" i="4"/>
  <c r="G293" i="4"/>
  <c r="H293" i="4"/>
  <c r="I293" i="4"/>
  <c r="J293" i="4"/>
  <c r="G294" i="4"/>
  <c r="H294" i="4"/>
  <c r="I294" i="4"/>
  <c r="J294" i="4"/>
  <c r="G295" i="4"/>
  <c r="H295" i="4"/>
  <c r="I295" i="4"/>
  <c r="J295" i="4"/>
  <c r="G296" i="4"/>
  <c r="H296" i="4"/>
  <c r="I296" i="4"/>
  <c r="J296" i="4"/>
  <c r="G297" i="4"/>
  <c r="H297" i="4"/>
  <c r="I297" i="4"/>
  <c r="J297" i="4"/>
  <c r="G298" i="4"/>
  <c r="H298" i="4"/>
  <c r="I298" i="4"/>
  <c r="J298" i="4"/>
  <c r="G299" i="4"/>
  <c r="H299" i="4"/>
  <c r="I299" i="4"/>
  <c r="J299" i="4"/>
  <c r="G300" i="4"/>
  <c r="H300" i="4"/>
  <c r="I300" i="4"/>
  <c r="J300" i="4"/>
  <c r="G301" i="4"/>
  <c r="H301" i="4"/>
  <c r="I301" i="4"/>
  <c r="J301" i="4"/>
  <c r="G302" i="4"/>
  <c r="H302" i="4"/>
  <c r="I302" i="4"/>
  <c r="J302" i="4"/>
  <c r="G303" i="4"/>
  <c r="H303" i="4"/>
  <c r="I303" i="4"/>
  <c r="J303" i="4"/>
  <c r="G304" i="4"/>
  <c r="H304" i="4"/>
  <c r="I304" i="4"/>
  <c r="J304" i="4"/>
  <c r="G305" i="4"/>
  <c r="H305" i="4"/>
  <c r="I305" i="4"/>
  <c r="J305" i="4"/>
  <c r="G306" i="4"/>
  <c r="H306" i="4"/>
  <c r="I306" i="4"/>
  <c r="J306" i="4"/>
  <c r="G307" i="4"/>
  <c r="H307" i="4"/>
  <c r="I307" i="4"/>
  <c r="J307" i="4"/>
  <c r="G308" i="4"/>
  <c r="H308" i="4"/>
  <c r="I308" i="4"/>
  <c r="J308" i="4"/>
  <c r="G309" i="4"/>
  <c r="H309" i="4"/>
  <c r="I309" i="4"/>
  <c r="J309" i="4"/>
  <c r="G310" i="4"/>
  <c r="H310" i="4"/>
  <c r="I310" i="4"/>
  <c r="J310" i="4"/>
  <c r="G311" i="4"/>
  <c r="H311" i="4"/>
  <c r="I311" i="4"/>
  <c r="J311" i="4"/>
  <c r="G312" i="4"/>
  <c r="H312" i="4"/>
  <c r="I312" i="4"/>
  <c r="J312" i="4"/>
  <c r="G313" i="4"/>
  <c r="H313" i="4"/>
  <c r="I313" i="4"/>
  <c r="J313" i="4"/>
  <c r="G314" i="4"/>
  <c r="H314" i="4"/>
  <c r="I314" i="4"/>
  <c r="J314" i="4"/>
  <c r="G315" i="4"/>
  <c r="H315" i="4"/>
  <c r="I315" i="4"/>
  <c r="J315" i="4"/>
  <c r="G316" i="4"/>
  <c r="H316" i="4"/>
  <c r="I316" i="4"/>
  <c r="J316" i="4"/>
  <c r="G317" i="4"/>
  <c r="H317" i="4"/>
  <c r="I317" i="4"/>
  <c r="J317" i="4"/>
  <c r="G318" i="4"/>
  <c r="H318" i="4"/>
  <c r="I318" i="4"/>
  <c r="J318" i="4"/>
  <c r="G319" i="4"/>
  <c r="H319" i="4"/>
  <c r="I319" i="4"/>
  <c r="J319" i="4"/>
  <c r="G320" i="4"/>
  <c r="H320" i="4"/>
  <c r="I320" i="4"/>
  <c r="J320" i="4"/>
  <c r="G321" i="4"/>
  <c r="H321" i="4"/>
  <c r="I321" i="4"/>
  <c r="J321" i="4"/>
  <c r="G322" i="4"/>
  <c r="H322" i="4"/>
  <c r="I322" i="4"/>
  <c r="J322" i="4"/>
  <c r="G323" i="4"/>
  <c r="H323" i="4"/>
  <c r="I323" i="4"/>
  <c r="J323" i="4"/>
  <c r="G324" i="4"/>
  <c r="H324" i="4"/>
  <c r="I324" i="4"/>
  <c r="J324" i="4"/>
  <c r="G325" i="4"/>
  <c r="H325" i="4"/>
  <c r="I325" i="4"/>
  <c r="J325" i="4"/>
  <c r="G326" i="4"/>
  <c r="H326" i="4"/>
  <c r="I326" i="4"/>
  <c r="J326" i="4"/>
  <c r="G327" i="4"/>
  <c r="H327" i="4"/>
  <c r="I327" i="4"/>
  <c r="J327" i="4"/>
  <c r="G328" i="4"/>
  <c r="H328" i="4"/>
  <c r="I328" i="4"/>
  <c r="J328" i="4"/>
  <c r="G329" i="4"/>
  <c r="H329" i="4"/>
  <c r="I329" i="4"/>
  <c r="J329" i="4"/>
  <c r="G330" i="4"/>
  <c r="H330" i="4"/>
  <c r="I330" i="4"/>
  <c r="J330" i="4"/>
  <c r="G331" i="4"/>
  <c r="H331" i="4"/>
  <c r="I331" i="4"/>
  <c r="J331" i="4"/>
  <c r="G332" i="4"/>
  <c r="H332" i="4"/>
  <c r="I332" i="4"/>
  <c r="J332" i="4"/>
  <c r="G333" i="4"/>
  <c r="H333" i="4"/>
  <c r="I333" i="4"/>
  <c r="J333" i="4"/>
  <c r="G334" i="4"/>
  <c r="H334" i="4"/>
  <c r="I334" i="4"/>
  <c r="J334" i="4"/>
  <c r="G335" i="4"/>
  <c r="H335" i="4"/>
  <c r="I335" i="4"/>
  <c r="J335" i="4"/>
  <c r="G336" i="4"/>
  <c r="H336" i="4"/>
  <c r="I336" i="4"/>
  <c r="J336" i="4"/>
  <c r="G337" i="4"/>
  <c r="H337" i="4"/>
  <c r="I337" i="4"/>
  <c r="J337" i="4"/>
  <c r="G338" i="4"/>
  <c r="H338" i="4"/>
  <c r="I338" i="4"/>
  <c r="J338" i="4"/>
  <c r="G339" i="4"/>
  <c r="H339" i="4"/>
  <c r="I339" i="4"/>
  <c r="J339" i="4"/>
  <c r="G340" i="4"/>
  <c r="H340" i="4"/>
  <c r="I340" i="4"/>
  <c r="J340" i="4"/>
  <c r="G341" i="4"/>
  <c r="H341" i="4"/>
  <c r="I341" i="4"/>
  <c r="J341" i="4"/>
  <c r="G342" i="4"/>
  <c r="H342" i="4"/>
  <c r="I342" i="4"/>
  <c r="J342" i="4"/>
  <c r="G343" i="4"/>
  <c r="H343" i="4"/>
  <c r="I343" i="4"/>
  <c r="J343" i="4"/>
  <c r="G344" i="4"/>
  <c r="H344" i="4"/>
  <c r="I344" i="4"/>
  <c r="J344" i="4"/>
  <c r="G345" i="4"/>
  <c r="H345" i="4"/>
  <c r="I345" i="4"/>
  <c r="J345" i="4"/>
  <c r="G346" i="4"/>
  <c r="H346" i="4"/>
  <c r="I346" i="4"/>
  <c r="J346" i="4"/>
  <c r="G347" i="4"/>
  <c r="H347" i="4"/>
  <c r="I347" i="4"/>
  <c r="J347" i="4"/>
  <c r="G348" i="4"/>
  <c r="H348" i="4"/>
  <c r="I348" i="4"/>
  <c r="J348" i="4"/>
  <c r="G349" i="4"/>
  <c r="H349" i="4"/>
  <c r="I349" i="4"/>
  <c r="J349" i="4"/>
  <c r="G350" i="4"/>
  <c r="H350" i="4"/>
  <c r="I350" i="4"/>
  <c r="J350" i="4"/>
  <c r="G351" i="4"/>
  <c r="H351" i="4"/>
  <c r="I351" i="4"/>
  <c r="J351" i="4"/>
  <c r="G352" i="4"/>
  <c r="H352" i="4"/>
  <c r="I352" i="4"/>
  <c r="J352" i="4"/>
  <c r="G353" i="4"/>
  <c r="H353" i="4"/>
  <c r="I353" i="4"/>
  <c r="J353" i="4"/>
  <c r="G354" i="4"/>
  <c r="H354" i="4"/>
  <c r="I354" i="4"/>
  <c r="J354" i="4"/>
  <c r="G355" i="4"/>
  <c r="H355" i="4"/>
  <c r="I355" i="4"/>
  <c r="J355" i="4"/>
  <c r="G356" i="4"/>
  <c r="H356" i="4"/>
  <c r="I356" i="4"/>
  <c r="J356" i="4"/>
  <c r="G357" i="4"/>
  <c r="H357" i="4"/>
  <c r="I357" i="4"/>
  <c r="J357" i="4"/>
  <c r="G358" i="4"/>
  <c r="H358" i="4"/>
  <c r="I358" i="4"/>
  <c r="J358" i="4"/>
  <c r="G359" i="4"/>
  <c r="H359" i="4"/>
  <c r="I359" i="4"/>
  <c r="J359" i="4"/>
  <c r="G360" i="4"/>
  <c r="H360" i="4"/>
  <c r="I360" i="4"/>
  <c r="J360" i="4"/>
  <c r="G361" i="4"/>
  <c r="H361" i="4"/>
  <c r="I361" i="4"/>
  <c r="J361" i="4"/>
  <c r="G362" i="4"/>
  <c r="H362" i="4"/>
  <c r="I362" i="4"/>
  <c r="J362" i="4"/>
  <c r="G363" i="4"/>
  <c r="H363" i="4"/>
  <c r="I363" i="4"/>
  <c r="J363" i="4"/>
  <c r="G364" i="4"/>
  <c r="H364" i="4"/>
  <c r="I364" i="4"/>
  <c r="J364" i="4"/>
  <c r="G365" i="4"/>
  <c r="H365" i="4"/>
  <c r="I365" i="4"/>
  <c r="J365" i="4"/>
  <c r="G366" i="4"/>
  <c r="H366" i="4"/>
  <c r="I366" i="4"/>
  <c r="J366" i="4"/>
  <c r="G367" i="4"/>
  <c r="H367" i="4"/>
  <c r="I367" i="4"/>
  <c r="J367" i="4"/>
  <c r="G368" i="4"/>
  <c r="H368" i="4"/>
  <c r="I368" i="4"/>
  <c r="J368" i="4"/>
  <c r="G369" i="4"/>
  <c r="H369" i="4"/>
  <c r="I369" i="4"/>
  <c r="J369" i="4"/>
  <c r="G370" i="4"/>
  <c r="H370" i="4"/>
  <c r="I370" i="4"/>
  <c r="J370" i="4"/>
  <c r="G371" i="4"/>
  <c r="H371" i="4"/>
  <c r="I371" i="4"/>
  <c r="J371" i="4"/>
  <c r="G372" i="4"/>
  <c r="H372" i="4"/>
  <c r="I372" i="4"/>
  <c r="J372" i="4"/>
  <c r="G373" i="4"/>
  <c r="H373" i="4"/>
  <c r="I373" i="4"/>
  <c r="J373" i="4"/>
  <c r="G374" i="4"/>
  <c r="H374" i="4"/>
  <c r="I374" i="4"/>
  <c r="J374" i="4"/>
  <c r="G375" i="4"/>
  <c r="H375" i="4"/>
  <c r="I375" i="4"/>
  <c r="J375" i="4"/>
  <c r="G376" i="4"/>
  <c r="H376" i="4"/>
  <c r="I376" i="4"/>
  <c r="J376" i="4"/>
  <c r="G377" i="4"/>
  <c r="H377" i="4"/>
  <c r="I377" i="4"/>
  <c r="J377" i="4"/>
  <c r="G378" i="4"/>
  <c r="H378" i="4"/>
  <c r="I378" i="4"/>
  <c r="J378" i="4"/>
  <c r="G379" i="4"/>
  <c r="H379" i="4"/>
  <c r="I379" i="4"/>
  <c r="J379" i="4"/>
  <c r="G380" i="4"/>
  <c r="H380" i="4"/>
  <c r="I380" i="4"/>
  <c r="J380" i="4"/>
  <c r="G381" i="4"/>
  <c r="H381" i="4"/>
  <c r="I381" i="4"/>
  <c r="J381" i="4"/>
  <c r="G382" i="4"/>
  <c r="H382" i="4"/>
  <c r="I382" i="4"/>
  <c r="J382" i="4"/>
  <c r="G383" i="4"/>
  <c r="H383" i="4"/>
  <c r="I383" i="4"/>
  <c r="J383" i="4"/>
  <c r="G384" i="4"/>
  <c r="H384" i="4"/>
  <c r="I384" i="4"/>
  <c r="J384" i="4"/>
  <c r="G385" i="4"/>
  <c r="H385" i="4"/>
  <c r="I385" i="4"/>
  <c r="J385" i="4"/>
  <c r="G386" i="4"/>
  <c r="H386" i="4"/>
  <c r="I386" i="4"/>
  <c r="J386" i="4"/>
  <c r="G387" i="4"/>
  <c r="H387" i="4"/>
  <c r="I387" i="4"/>
  <c r="J387" i="4"/>
  <c r="G388" i="4"/>
  <c r="H388" i="4"/>
  <c r="I388" i="4"/>
  <c r="J388" i="4"/>
  <c r="G389" i="4"/>
  <c r="H389" i="4"/>
  <c r="I389" i="4"/>
  <c r="J389" i="4"/>
  <c r="G390" i="4"/>
  <c r="H390" i="4"/>
  <c r="I390" i="4"/>
  <c r="J390" i="4"/>
  <c r="G391" i="4"/>
  <c r="H391" i="4"/>
  <c r="I391" i="4"/>
  <c r="J391" i="4"/>
  <c r="G392" i="4"/>
  <c r="H392" i="4"/>
  <c r="I392" i="4"/>
  <c r="J392" i="4"/>
  <c r="G393" i="4"/>
  <c r="H393" i="4"/>
  <c r="I393" i="4"/>
  <c r="J393" i="4"/>
  <c r="G394" i="4"/>
  <c r="H394" i="4"/>
  <c r="I394" i="4"/>
  <c r="J394" i="4"/>
  <c r="G395" i="4"/>
  <c r="H395" i="4"/>
  <c r="I395" i="4"/>
  <c r="J395" i="4"/>
  <c r="G396" i="4"/>
  <c r="H396" i="4"/>
  <c r="I396" i="4"/>
  <c r="J396" i="4"/>
  <c r="G397" i="4"/>
  <c r="H397" i="4"/>
  <c r="I397" i="4"/>
  <c r="J397" i="4"/>
  <c r="G398" i="4"/>
  <c r="H398" i="4"/>
  <c r="I398" i="4"/>
  <c r="J398" i="4"/>
  <c r="G399" i="4"/>
  <c r="H399" i="4"/>
  <c r="I399" i="4"/>
  <c r="J399" i="4"/>
  <c r="G400" i="4"/>
  <c r="H400" i="4"/>
  <c r="I400" i="4"/>
  <c r="J400" i="4"/>
  <c r="G401" i="4"/>
  <c r="H401" i="4"/>
  <c r="I401" i="4"/>
  <c r="J401" i="4"/>
  <c r="G402" i="4"/>
  <c r="H402" i="4"/>
  <c r="I402" i="4"/>
  <c r="J402" i="4"/>
  <c r="G403" i="4"/>
  <c r="H403" i="4"/>
  <c r="I403" i="4"/>
  <c r="J403" i="4"/>
  <c r="G404" i="4"/>
  <c r="H404" i="4"/>
  <c r="I404" i="4"/>
  <c r="J404" i="4"/>
  <c r="G405" i="4"/>
  <c r="H405" i="4"/>
  <c r="I405" i="4"/>
  <c r="J405" i="4"/>
  <c r="G406" i="4"/>
  <c r="H406" i="4"/>
  <c r="I406" i="4"/>
  <c r="J406" i="4"/>
  <c r="G407" i="4"/>
  <c r="H407" i="4"/>
  <c r="I407" i="4"/>
  <c r="J407" i="4"/>
  <c r="G408" i="4"/>
  <c r="H408" i="4"/>
  <c r="I408" i="4"/>
  <c r="J408" i="4"/>
  <c r="G409" i="4"/>
  <c r="H409" i="4"/>
  <c r="I409" i="4"/>
  <c r="J409" i="4"/>
  <c r="G410" i="4"/>
  <c r="H410" i="4"/>
  <c r="I410" i="4"/>
  <c r="J410" i="4"/>
  <c r="G411" i="4"/>
  <c r="H411" i="4"/>
  <c r="I411" i="4"/>
  <c r="J411" i="4"/>
  <c r="G412" i="4"/>
  <c r="H412" i="4"/>
  <c r="I412" i="4"/>
  <c r="J412" i="4"/>
  <c r="G413" i="4"/>
  <c r="H413" i="4"/>
  <c r="I413" i="4"/>
  <c r="J413" i="4"/>
  <c r="G414" i="4"/>
  <c r="H414" i="4"/>
  <c r="I414" i="4"/>
  <c r="J414" i="4"/>
  <c r="G415" i="4"/>
  <c r="H415" i="4"/>
  <c r="I415" i="4"/>
  <c r="J415" i="4"/>
  <c r="G416" i="4"/>
  <c r="H416" i="4"/>
  <c r="I416" i="4"/>
  <c r="J416" i="4"/>
  <c r="G417" i="4"/>
  <c r="H417" i="4"/>
  <c r="I417" i="4"/>
  <c r="J417" i="4"/>
  <c r="G418" i="4"/>
  <c r="H418" i="4"/>
  <c r="I418" i="4"/>
  <c r="J418" i="4"/>
  <c r="G419" i="4"/>
  <c r="H419" i="4"/>
  <c r="I419" i="4"/>
  <c r="J419" i="4"/>
  <c r="G420" i="4"/>
  <c r="H420" i="4"/>
  <c r="I420" i="4"/>
  <c r="J420" i="4"/>
  <c r="G421" i="4"/>
  <c r="H421" i="4"/>
  <c r="I421" i="4"/>
  <c r="J421" i="4"/>
  <c r="G422" i="4"/>
  <c r="H422" i="4"/>
  <c r="I422" i="4"/>
  <c r="J422" i="4"/>
  <c r="G423" i="4"/>
  <c r="H423" i="4"/>
  <c r="I423" i="4"/>
  <c r="J423" i="4"/>
  <c r="G424" i="4"/>
  <c r="H424" i="4"/>
  <c r="I424" i="4"/>
  <c r="J424" i="4"/>
  <c r="G425" i="4"/>
  <c r="H425" i="4"/>
  <c r="I425" i="4"/>
  <c r="J425" i="4"/>
  <c r="G426" i="4"/>
  <c r="H426" i="4"/>
  <c r="I426" i="4"/>
  <c r="J426" i="4"/>
  <c r="G427" i="4"/>
  <c r="H427" i="4"/>
  <c r="I427" i="4"/>
  <c r="J427" i="4"/>
  <c r="G428" i="4"/>
  <c r="H428" i="4"/>
  <c r="I428" i="4"/>
  <c r="J428" i="4"/>
  <c r="G429" i="4"/>
  <c r="H429" i="4"/>
  <c r="I429" i="4"/>
  <c r="J429" i="4"/>
  <c r="G430" i="4"/>
  <c r="H430" i="4"/>
  <c r="I430" i="4"/>
  <c r="J430" i="4"/>
  <c r="G431" i="4"/>
  <c r="H431" i="4"/>
  <c r="I431" i="4"/>
  <c r="J431" i="4"/>
  <c r="G432" i="4"/>
  <c r="H432" i="4"/>
  <c r="I432" i="4"/>
  <c r="J432" i="4"/>
  <c r="G433" i="4"/>
  <c r="H433" i="4"/>
  <c r="I433" i="4"/>
  <c r="J433" i="4"/>
  <c r="G434" i="4"/>
  <c r="H434" i="4"/>
  <c r="I434" i="4"/>
  <c r="J434" i="4"/>
  <c r="G435" i="4"/>
  <c r="H435" i="4"/>
  <c r="I435" i="4"/>
  <c r="J435" i="4"/>
  <c r="G436" i="4"/>
  <c r="H436" i="4"/>
  <c r="I436" i="4"/>
  <c r="J436" i="4"/>
  <c r="G437" i="4"/>
  <c r="H437" i="4"/>
  <c r="I437" i="4"/>
  <c r="J437" i="4"/>
  <c r="G438" i="4"/>
  <c r="H438" i="4"/>
  <c r="I438" i="4"/>
  <c r="J438" i="4"/>
  <c r="G439" i="4"/>
  <c r="H439" i="4"/>
  <c r="I439" i="4"/>
  <c r="J439" i="4"/>
  <c r="G440" i="4"/>
  <c r="H440" i="4"/>
  <c r="I440" i="4"/>
  <c r="J440" i="4"/>
  <c r="G441" i="4"/>
  <c r="H441" i="4"/>
  <c r="I441" i="4"/>
  <c r="J441" i="4"/>
  <c r="G442" i="4"/>
  <c r="H442" i="4"/>
  <c r="I442" i="4"/>
  <c r="J442" i="4"/>
  <c r="G443" i="4"/>
  <c r="H443" i="4"/>
  <c r="I443" i="4"/>
  <c r="J443" i="4"/>
  <c r="G444" i="4"/>
  <c r="H444" i="4"/>
  <c r="I444" i="4"/>
  <c r="J444" i="4"/>
  <c r="G445" i="4"/>
  <c r="H445" i="4"/>
  <c r="I445" i="4"/>
  <c r="J445" i="4"/>
  <c r="G446" i="4"/>
  <c r="H446" i="4"/>
  <c r="I446" i="4"/>
  <c r="J446" i="4"/>
  <c r="G447" i="4"/>
  <c r="H447" i="4"/>
  <c r="I447" i="4"/>
  <c r="J447" i="4"/>
  <c r="G448" i="4"/>
  <c r="H448" i="4"/>
  <c r="I448" i="4"/>
  <c r="J448" i="4"/>
  <c r="G449" i="4"/>
  <c r="H449" i="4"/>
  <c r="I449" i="4"/>
  <c r="J449" i="4"/>
  <c r="G450" i="4"/>
  <c r="H450" i="4"/>
  <c r="I450" i="4"/>
  <c r="J450" i="4"/>
  <c r="G451" i="4"/>
  <c r="H451" i="4"/>
  <c r="I451" i="4"/>
  <c r="J451" i="4"/>
  <c r="G452" i="4"/>
  <c r="H452" i="4"/>
  <c r="I452" i="4"/>
  <c r="J452" i="4"/>
  <c r="G453" i="4"/>
  <c r="H453" i="4"/>
  <c r="I453" i="4"/>
  <c r="J453" i="4"/>
  <c r="G454" i="4"/>
  <c r="H454" i="4"/>
  <c r="I454" i="4"/>
  <c r="J454" i="4"/>
  <c r="G455" i="4"/>
  <c r="H455" i="4"/>
  <c r="I455" i="4"/>
  <c r="J455" i="4"/>
  <c r="G456" i="4"/>
  <c r="H456" i="4"/>
  <c r="I456" i="4"/>
  <c r="J456" i="4"/>
  <c r="G457" i="4"/>
  <c r="H457" i="4"/>
  <c r="I457" i="4"/>
  <c r="J457" i="4"/>
  <c r="G458" i="4"/>
  <c r="H458" i="4"/>
  <c r="I458" i="4"/>
  <c r="J458" i="4"/>
  <c r="G459" i="4"/>
  <c r="H459" i="4"/>
  <c r="I459" i="4"/>
  <c r="J459" i="4"/>
  <c r="G460" i="4"/>
  <c r="H460" i="4"/>
  <c r="I460" i="4"/>
  <c r="J460" i="4"/>
  <c r="G461" i="4"/>
  <c r="H461" i="4"/>
  <c r="I461" i="4"/>
  <c r="J461" i="4"/>
  <c r="G462" i="4"/>
  <c r="H462" i="4"/>
  <c r="I462" i="4"/>
  <c r="J462" i="4"/>
  <c r="G463" i="4"/>
  <c r="H463" i="4"/>
  <c r="I463" i="4"/>
  <c r="J463" i="4"/>
  <c r="G464" i="4"/>
  <c r="H464" i="4"/>
  <c r="I464" i="4"/>
  <c r="J464" i="4"/>
  <c r="G465" i="4"/>
  <c r="H465" i="4"/>
  <c r="I465" i="4"/>
  <c r="J465" i="4"/>
  <c r="G466" i="4"/>
  <c r="H466" i="4"/>
  <c r="I466" i="4"/>
  <c r="J466" i="4"/>
  <c r="G467" i="4"/>
  <c r="H467" i="4"/>
  <c r="I467" i="4"/>
  <c r="J467" i="4"/>
  <c r="G468" i="4"/>
  <c r="H468" i="4"/>
  <c r="I468" i="4"/>
  <c r="J468" i="4"/>
  <c r="G469" i="4"/>
  <c r="H469" i="4"/>
  <c r="I469" i="4"/>
  <c r="J469" i="4"/>
  <c r="G470" i="4"/>
  <c r="H470" i="4"/>
  <c r="I470" i="4"/>
  <c r="J470" i="4"/>
  <c r="G471" i="4"/>
  <c r="H471" i="4"/>
  <c r="I471" i="4"/>
  <c r="J471" i="4"/>
  <c r="G472" i="4"/>
  <c r="H472" i="4"/>
  <c r="I472" i="4"/>
  <c r="J472" i="4"/>
  <c r="G473" i="4"/>
  <c r="H473" i="4"/>
  <c r="I473" i="4"/>
  <c r="J473" i="4"/>
  <c r="G474" i="4"/>
  <c r="H474" i="4"/>
  <c r="I474" i="4"/>
  <c r="J474" i="4"/>
  <c r="G475" i="4"/>
  <c r="H475" i="4"/>
  <c r="I475" i="4"/>
  <c r="J475" i="4"/>
  <c r="G476" i="4"/>
  <c r="H476" i="4"/>
  <c r="I476" i="4"/>
  <c r="J476" i="4"/>
  <c r="G477" i="4"/>
  <c r="H477" i="4"/>
  <c r="I477" i="4"/>
  <c r="J477" i="4"/>
  <c r="G478" i="4"/>
  <c r="H478" i="4"/>
  <c r="I478" i="4"/>
  <c r="J478" i="4"/>
  <c r="G479" i="4"/>
  <c r="H479" i="4"/>
  <c r="I479" i="4"/>
  <c r="J479" i="4"/>
  <c r="G480" i="4"/>
  <c r="H480" i="4"/>
  <c r="I480" i="4"/>
  <c r="J480" i="4"/>
  <c r="G481" i="4"/>
  <c r="H481" i="4"/>
  <c r="I481" i="4"/>
  <c r="J481" i="4"/>
  <c r="G482" i="4"/>
  <c r="H482" i="4"/>
  <c r="I482" i="4"/>
  <c r="J482" i="4"/>
  <c r="G483" i="4"/>
  <c r="H483" i="4"/>
  <c r="I483" i="4"/>
  <c r="J483" i="4"/>
  <c r="G484" i="4"/>
  <c r="H484" i="4"/>
  <c r="I484" i="4"/>
  <c r="J484" i="4"/>
  <c r="G485" i="4"/>
  <c r="H485" i="4"/>
  <c r="I485" i="4"/>
  <c r="J485" i="4"/>
  <c r="G486" i="4"/>
  <c r="H486" i="4"/>
  <c r="I486" i="4"/>
  <c r="J486" i="4"/>
  <c r="G487" i="4"/>
  <c r="H487" i="4"/>
  <c r="I487" i="4"/>
  <c r="J487" i="4"/>
  <c r="G488" i="4"/>
  <c r="H488" i="4"/>
  <c r="I488" i="4"/>
  <c r="J488" i="4"/>
  <c r="G489" i="4"/>
  <c r="H489" i="4"/>
  <c r="I489" i="4"/>
  <c r="J489" i="4"/>
  <c r="G490" i="4"/>
  <c r="H490" i="4"/>
  <c r="I490" i="4"/>
  <c r="J490" i="4"/>
  <c r="G491" i="4"/>
  <c r="H491" i="4"/>
  <c r="I491" i="4"/>
  <c r="J491" i="4"/>
  <c r="G492" i="4"/>
  <c r="H492" i="4"/>
  <c r="I492" i="4"/>
  <c r="J492" i="4"/>
  <c r="G493" i="4"/>
  <c r="H493" i="4"/>
  <c r="I493" i="4"/>
  <c r="J493" i="4"/>
  <c r="G494" i="4"/>
  <c r="H494" i="4"/>
  <c r="I494" i="4"/>
  <c r="J494" i="4"/>
  <c r="G495" i="4"/>
  <c r="H495" i="4"/>
  <c r="I495" i="4"/>
  <c r="J495" i="4"/>
  <c r="G496" i="4"/>
  <c r="H496" i="4"/>
  <c r="I496" i="4"/>
  <c r="J496" i="4"/>
  <c r="G497" i="4"/>
  <c r="H497" i="4"/>
  <c r="I497" i="4"/>
  <c r="J497" i="4"/>
  <c r="G498" i="4"/>
  <c r="H498" i="4"/>
  <c r="I498" i="4"/>
  <c r="J498" i="4"/>
  <c r="G499" i="4"/>
  <c r="H499" i="4"/>
  <c r="I499" i="4"/>
  <c r="J499" i="4"/>
  <c r="G500" i="4"/>
  <c r="H500" i="4"/>
  <c r="I500" i="4"/>
  <c r="J500" i="4"/>
  <c r="G501" i="4"/>
  <c r="H501" i="4"/>
  <c r="I501" i="4"/>
  <c r="J501" i="4"/>
  <c r="G502" i="4"/>
  <c r="H502" i="4"/>
  <c r="I502" i="4"/>
  <c r="J502" i="4"/>
  <c r="G503" i="4"/>
  <c r="H503" i="4"/>
  <c r="I503" i="4"/>
  <c r="J503" i="4"/>
  <c r="G504" i="4"/>
  <c r="H504" i="4"/>
  <c r="I504" i="4"/>
  <c r="J504" i="4"/>
  <c r="G505" i="4"/>
  <c r="H505" i="4"/>
  <c r="I505" i="4"/>
  <c r="J505" i="4"/>
  <c r="G506" i="4"/>
  <c r="H506" i="4"/>
  <c r="I506" i="4"/>
  <c r="J506" i="4"/>
  <c r="G507" i="4"/>
  <c r="H507" i="4"/>
  <c r="I507" i="4"/>
  <c r="J507" i="4"/>
  <c r="G508" i="4"/>
  <c r="H508" i="4"/>
  <c r="I508" i="4"/>
  <c r="J508" i="4"/>
  <c r="G509" i="4"/>
  <c r="H509" i="4"/>
  <c r="I509" i="4"/>
  <c r="J509" i="4"/>
  <c r="G510" i="4"/>
  <c r="H510" i="4"/>
  <c r="I510" i="4"/>
  <c r="J510" i="4"/>
  <c r="G511" i="4"/>
  <c r="H511" i="4"/>
  <c r="I511" i="4"/>
  <c r="J511" i="4"/>
  <c r="G512" i="4"/>
  <c r="H512" i="4"/>
  <c r="I512" i="4"/>
  <c r="J512" i="4"/>
  <c r="G513" i="4"/>
  <c r="H513" i="4"/>
  <c r="I513" i="4"/>
  <c r="J513" i="4"/>
  <c r="G514" i="4"/>
  <c r="H514" i="4"/>
  <c r="I514" i="4"/>
  <c r="J514" i="4"/>
  <c r="G515" i="4"/>
  <c r="H515" i="4"/>
  <c r="I515" i="4"/>
  <c r="J515" i="4"/>
  <c r="G516" i="4"/>
  <c r="H516" i="4"/>
  <c r="I516" i="4"/>
  <c r="J516" i="4"/>
  <c r="G517" i="4"/>
  <c r="H517" i="4"/>
  <c r="I517" i="4"/>
  <c r="J517" i="4"/>
  <c r="G518" i="4"/>
  <c r="H518" i="4"/>
  <c r="I518" i="4"/>
  <c r="J518" i="4"/>
  <c r="G519" i="4"/>
  <c r="H519" i="4"/>
  <c r="I519" i="4"/>
  <c r="J519" i="4"/>
  <c r="G520" i="4"/>
  <c r="H520" i="4"/>
  <c r="I520" i="4"/>
  <c r="J520" i="4"/>
  <c r="G521" i="4"/>
  <c r="H521" i="4"/>
  <c r="I521" i="4"/>
  <c r="J521" i="4"/>
  <c r="G522" i="4"/>
  <c r="H522" i="4"/>
  <c r="I522" i="4"/>
  <c r="J522" i="4"/>
  <c r="G523" i="4"/>
  <c r="H523" i="4"/>
  <c r="I523" i="4"/>
  <c r="J523" i="4"/>
  <c r="G524" i="4"/>
  <c r="H524" i="4"/>
  <c r="I524" i="4"/>
  <c r="J524" i="4"/>
  <c r="G525" i="4"/>
  <c r="H525" i="4"/>
  <c r="I525" i="4"/>
  <c r="J525" i="4"/>
  <c r="G526" i="4"/>
  <c r="H526" i="4"/>
  <c r="I526" i="4"/>
  <c r="J526" i="4"/>
  <c r="G527" i="4"/>
  <c r="H527" i="4"/>
  <c r="I527" i="4"/>
  <c r="J527" i="4"/>
  <c r="G528" i="4"/>
  <c r="H528" i="4"/>
  <c r="I528" i="4"/>
  <c r="J528" i="4"/>
  <c r="G529" i="4"/>
  <c r="H529" i="4"/>
  <c r="I529" i="4"/>
  <c r="J529" i="4"/>
  <c r="G530" i="4"/>
  <c r="H530" i="4"/>
  <c r="I530" i="4"/>
  <c r="J530" i="4"/>
  <c r="G531" i="4"/>
  <c r="H531" i="4"/>
  <c r="I531" i="4"/>
  <c r="J531" i="4"/>
  <c r="G532" i="4"/>
  <c r="H532" i="4"/>
  <c r="I532" i="4"/>
  <c r="J532" i="4"/>
  <c r="G533" i="4"/>
  <c r="H533" i="4"/>
  <c r="I533" i="4"/>
  <c r="J533" i="4"/>
  <c r="G534" i="4"/>
  <c r="H534" i="4"/>
  <c r="I534" i="4"/>
  <c r="J534" i="4"/>
  <c r="G535" i="4"/>
  <c r="H535" i="4"/>
  <c r="I535" i="4"/>
  <c r="J535" i="4"/>
  <c r="G536" i="4"/>
  <c r="H536" i="4"/>
  <c r="I536" i="4"/>
  <c r="J536" i="4"/>
  <c r="G537" i="4"/>
  <c r="H537" i="4"/>
  <c r="I537" i="4"/>
  <c r="J537" i="4"/>
  <c r="G538" i="4"/>
  <c r="H538" i="4"/>
  <c r="I538" i="4"/>
  <c r="J538" i="4"/>
  <c r="G539" i="4"/>
  <c r="H539" i="4"/>
  <c r="I539" i="4"/>
  <c r="J539" i="4"/>
  <c r="G540" i="4"/>
  <c r="H540" i="4"/>
  <c r="I540" i="4"/>
  <c r="J540" i="4"/>
  <c r="G541" i="4"/>
  <c r="H541" i="4"/>
  <c r="I541" i="4"/>
  <c r="J541" i="4"/>
  <c r="G542" i="4"/>
  <c r="H542" i="4"/>
  <c r="I542" i="4"/>
  <c r="J542" i="4"/>
  <c r="G543" i="4"/>
  <c r="H543" i="4"/>
  <c r="I543" i="4"/>
  <c r="J543" i="4"/>
  <c r="G544" i="4"/>
  <c r="H544" i="4"/>
  <c r="I544" i="4"/>
  <c r="J544" i="4"/>
  <c r="G545" i="4"/>
  <c r="H545" i="4"/>
  <c r="I545" i="4"/>
  <c r="J545" i="4"/>
  <c r="G546" i="4"/>
  <c r="H546" i="4"/>
  <c r="I546" i="4"/>
  <c r="J546" i="4"/>
  <c r="G547" i="4"/>
  <c r="H547" i="4"/>
  <c r="I547" i="4"/>
  <c r="J547" i="4"/>
  <c r="G548" i="4"/>
  <c r="H548" i="4"/>
  <c r="I548" i="4"/>
  <c r="J548" i="4"/>
  <c r="G549" i="4"/>
  <c r="H549" i="4"/>
  <c r="I549" i="4"/>
  <c r="J549" i="4"/>
  <c r="G550" i="4"/>
  <c r="H550" i="4"/>
  <c r="I550" i="4"/>
  <c r="J550" i="4"/>
  <c r="G551" i="4"/>
  <c r="H551" i="4"/>
  <c r="I551" i="4"/>
  <c r="J551" i="4"/>
  <c r="G552" i="4"/>
  <c r="H552" i="4"/>
  <c r="I552" i="4"/>
  <c r="J552" i="4"/>
  <c r="G553" i="4"/>
  <c r="H553" i="4"/>
  <c r="I553" i="4"/>
  <c r="J553" i="4"/>
  <c r="G554" i="4"/>
  <c r="H554" i="4"/>
  <c r="I554" i="4"/>
  <c r="J554" i="4"/>
  <c r="G555" i="4"/>
  <c r="H555" i="4"/>
  <c r="I555" i="4"/>
  <c r="J555" i="4"/>
  <c r="G556" i="4"/>
  <c r="H556" i="4"/>
  <c r="I556" i="4"/>
  <c r="J556" i="4"/>
  <c r="G557" i="4"/>
  <c r="H557" i="4"/>
  <c r="I557" i="4"/>
  <c r="J557" i="4"/>
  <c r="G558" i="4"/>
  <c r="H558" i="4"/>
  <c r="I558" i="4"/>
  <c r="J558" i="4"/>
  <c r="G559" i="4"/>
  <c r="H559" i="4"/>
  <c r="I559" i="4"/>
  <c r="J559" i="4"/>
  <c r="G560" i="4"/>
  <c r="H560" i="4"/>
  <c r="I560" i="4"/>
  <c r="J560" i="4"/>
  <c r="G561" i="4"/>
  <c r="H561" i="4"/>
  <c r="I561" i="4"/>
  <c r="J561" i="4"/>
  <c r="G562" i="4"/>
  <c r="H562" i="4"/>
  <c r="I562" i="4"/>
  <c r="J562" i="4"/>
  <c r="G563" i="4"/>
  <c r="H563" i="4"/>
  <c r="I563" i="4"/>
  <c r="J563" i="4"/>
  <c r="G564" i="4"/>
  <c r="H564" i="4"/>
  <c r="I564" i="4"/>
  <c r="J564" i="4"/>
  <c r="G565" i="4"/>
  <c r="H565" i="4"/>
  <c r="I565" i="4"/>
  <c r="J565" i="4"/>
  <c r="G566" i="4"/>
  <c r="H566" i="4"/>
  <c r="I566" i="4"/>
  <c r="J566" i="4"/>
  <c r="G567" i="4"/>
  <c r="H567" i="4"/>
  <c r="I567" i="4"/>
  <c r="J567" i="4"/>
  <c r="G568" i="4"/>
  <c r="H568" i="4"/>
  <c r="I568" i="4"/>
  <c r="J568" i="4"/>
  <c r="G569" i="4"/>
  <c r="H569" i="4"/>
  <c r="I569" i="4"/>
  <c r="J569" i="4"/>
  <c r="G570" i="4"/>
  <c r="H570" i="4"/>
  <c r="I570" i="4"/>
  <c r="J570" i="4"/>
  <c r="G571" i="4"/>
  <c r="H571" i="4"/>
  <c r="I571" i="4"/>
  <c r="J571" i="4"/>
  <c r="G572" i="4"/>
  <c r="H572" i="4"/>
  <c r="I572" i="4"/>
  <c r="J572" i="4"/>
  <c r="G573" i="4"/>
  <c r="H573" i="4"/>
  <c r="I573" i="4"/>
  <c r="J573" i="4"/>
  <c r="G574" i="4"/>
  <c r="H574" i="4"/>
  <c r="I574" i="4"/>
  <c r="J574" i="4"/>
  <c r="G575" i="4"/>
  <c r="H575" i="4"/>
  <c r="I575" i="4"/>
  <c r="J575" i="4"/>
  <c r="G576" i="4"/>
  <c r="H576" i="4"/>
  <c r="I576" i="4"/>
  <c r="J576" i="4"/>
  <c r="G577" i="4"/>
  <c r="H577" i="4"/>
  <c r="I577" i="4"/>
  <c r="J577" i="4"/>
  <c r="G578" i="4"/>
  <c r="H578" i="4"/>
  <c r="I578" i="4"/>
  <c r="J578" i="4"/>
  <c r="G579" i="4"/>
  <c r="H579" i="4"/>
  <c r="I579" i="4"/>
  <c r="J579" i="4"/>
  <c r="G580" i="4"/>
  <c r="H580" i="4"/>
  <c r="I580" i="4"/>
  <c r="J580" i="4"/>
  <c r="G581" i="4"/>
  <c r="H581" i="4"/>
  <c r="I581" i="4"/>
  <c r="J581" i="4"/>
  <c r="G582" i="4"/>
  <c r="H582" i="4"/>
  <c r="I582" i="4"/>
  <c r="J582" i="4"/>
  <c r="G583" i="4"/>
  <c r="H583" i="4"/>
  <c r="I583" i="4"/>
  <c r="J583" i="4"/>
  <c r="G584" i="4"/>
  <c r="H584" i="4"/>
  <c r="I584" i="4"/>
  <c r="J584" i="4"/>
  <c r="G585" i="4"/>
  <c r="H585" i="4"/>
  <c r="I585" i="4"/>
  <c r="J585" i="4"/>
  <c r="G586" i="4"/>
  <c r="H586" i="4"/>
  <c r="I586" i="4"/>
  <c r="J586" i="4"/>
  <c r="G587" i="4"/>
  <c r="H587" i="4"/>
  <c r="I587" i="4"/>
  <c r="J587" i="4"/>
  <c r="G588" i="4"/>
  <c r="H588" i="4"/>
  <c r="I588" i="4"/>
  <c r="J588" i="4"/>
  <c r="G589" i="4"/>
  <c r="H589" i="4"/>
  <c r="I589" i="4"/>
  <c r="J589" i="4"/>
  <c r="G590" i="4"/>
  <c r="H590" i="4"/>
  <c r="I590" i="4"/>
  <c r="J590" i="4"/>
  <c r="G591" i="4"/>
  <c r="H591" i="4"/>
  <c r="I591" i="4"/>
  <c r="J591" i="4"/>
  <c r="G592" i="4"/>
  <c r="H592" i="4"/>
  <c r="I592" i="4"/>
  <c r="J592" i="4"/>
  <c r="G593" i="4"/>
  <c r="H593" i="4"/>
  <c r="I593" i="4"/>
  <c r="J593" i="4"/>
  <c r="G594" i="4"/>
  <c r="H594" i="4"/>
  <c r="I594" i="4"/>
  <c r="J594" i="4"/>
  <c r="G595" i="4"/>
  <c r="H595" i="4"/>
  <c r="I595" i="4"/>
  <c r="J595" i="4"/>
  <c r="G596" i="4"/>
  <c r="H596" i="4"/>
  <c r="I596" i="4"/>
  <c r="J596" i="4"/>
  <c r="G597" i="4"/>
  <c r="H597" i="4"/>
  <c r="I597" i="4"/>
  <c r="J597" i="4"/>
  <c r="G598" i="4"/>
  <c r="H598" i="4"/>
  <c r="I598" i="4"/>
  <c r="J598" i="4"/>
  <c r="G599" i="4"/>
  <c r="H599" i="4"/>
  <c r="I599" i="4"/>
  <c r="J599" i="4"/>
  <c r="G600" i="4"/>
  <c r="H600" i="4"/>
  <c r="I600" i="4"/>
  <c r="J600" i="4"/>
  <c r="G601" i="4"/>
  <c r="H601" i="4"/>
  <c r="I601" i="4"/>
  <c r="J601" i="4"/>
  <c r="G602" i="4"/>
  <c r="H602" i="4"/>
  <c r="I602" i="4"/>
  <c r="J602" i="4"/>
  <c r="G603" i="4"/>
  <c r="H603" i="4"/>
  <c r="I603" i="4"/>
  <c r="J603" i="4"/>
  <c r="G604" i="4"/>
  <c r="H604" i="4"/>
  <c r="I604" i="4"/>
  <c r="J604" i="4"/>
  <c r="G605" i="4"/>
  <c r="H605" i="4"/>
  <c r="I605" i="4"/>
  <c r="J605" i="4"/>
  <c r="G606" i="4"/>
  <c r="H606" i="4"/>
  <c r="I606" i="4"/>
  <c r="J606" i="4"/>
  <c r="G607" i="4"/>
  <c r="H607" i="4"/>
  <c r="I607" i="4"/>
  <c r="J607" i="4"/>
  <c r="G608" i="4"/>
  <c r="H608" i="4"/>
  <c r="I608" i="4"/>
  <c r="J608" i="4"/>
  <c r="G609" i="4"/>
  <c r="H609" i="4"/>
  <c r="I609" i="4"/>
  <c r="J609" i="4"/>
  <c r="G610" i="4"/>
  <c r="H610" i="4"/>
  <c r="I610" i="4"/>
  <c r="J610" i="4"/>
  <c r="G611" i="4"/>
  <c r="H611" i="4"/>
  <c r="I611" i="4"/>
  <c r="J611" i="4"/>
  <c r="G612" i="4"/>
  <c r="H612" i="4"/>
  <c r="I612" i="4"/>
  <c r="J612" i="4"/>
  <c r="G613" i="4"/>
  <c r="H613" i="4"/>
  <c r="I613" i="4"/>
  <c r="J613" i="4"/>
  <c r="G614" i="4"/>
  <c r="H614" i="4"/>
  <c r="I614" i="4"/>
  <c r="J614" i="4"/>
  <c r="G615" i="4"/>
  <c r="H615" i="4"/>
  <c r="I615" i="4"/>
  <c r="J615" i="4"/>
  <c r="G616" i="4"/>
  <c r="H616" i="4"/>
  <c r="I616" i="4"/>
  <c r="J616" i="4"/>
  <c r="G617" i="4"/>
  <c r="H617" i="4"/>
  <c r="I617" i="4"/>
  <c r="J617" i="4"/>
  <c r="G618" i="4"/>
  <c r="H618" i="4"/>
  <c r="I618" i="4"/>
  <c r="J618" i="4"/>
  <c r="G619" i="4"/>
  <c r="H619" i="4"/>
  <c r="I619" i="4"/>
  <c r="J619" i="4"/>
  <c r="G620" i="4"/>
  <c r="H620" i="4"/>
  <c r="I620" i="4"/>
  <c r="J620" i="4"/>
  <c r="G621" i="4"/>
  <c r="H621" i="4"/>
  <c r="I621" i="4"/>
  <c r="J621" i="4"/>
  <c r="G622" i="4"/>
  <c r="H622" i="4"/>
  <c r="I622" i="4"/>
  <c r="J622" i="4"/>
  <c r="G623" i="4"/>
  <c r="H623" i="4"/>
  <c r="I623" i="4"/>
  <c r="J623" i="4"/>
  <c r="G624" i="4"/>
  <c r="H624" i="4"/>
  <c r="I624" i="4"/>
  <c r="J624" i="4"/>
  <c r="G625" i="4"/>
  <c r="H625" i="4"/>
  <c r="I625" i="4"/>
  <c r="J625" i="4"/>
  <c r="G626" i="4"/>
  <c r="H626" i="4"/>
  <c r="I626" i="4"/>
  <c r="J626" i="4"/>
  <c r="G627" i="4"/>
  <c r="H627" i="4"/>
  <c r="I627" i="4"/>
  <c r="J627" i="4"/>
  <c r="G628" i="4"/>
  <c r="H628" i="4"/>
  <c r="I628" i="4"/>
  <c r="J628" i="4"/>
  <c r="G629" i="4"/>
  <c r="H629" i="4"/>
  <c r="I629" i="4"/>
  <c r="J629" i="4"/>
  <c r="G630" i="4"/>
  <c r="H630" i="4"/>
  <c r="I630" i="4"/>
  <c r="J630" i="4"/>
  <c r="G631" i="4"/>
  <c r="H631" i="4"/>
  <c r="I631" i="4"/>
  <c r="J631" i="4"/>
  <c r="G632" i="4"/>
  <c r="H632" i="4"/>
  <c r="I632" i="4"/>
  <c r="J632" i="4"/>
  <c r="G633" i="4"/>
  <c r="H633" i="4"/>
  <c r="I633" i="4"/>
  <c r="J633" i="4"/>
  <c r="G634" i="4"/>
  <c r="H634" i="4"/>
  <c r="I634" i="4"/>
  <c r="J634" i="4"/>
  <c r="G635" i="4"/>
  <c r="H635" i="4"/>
  <c r="I635" i="4"/>
  <c r="J635" i="4"/>
  <c r="G636" i="4"/>
  <c r="H636" i="4"/>
  <c r="I636" i="4"/>
  <c r="J636" i="4"/>
  <c r="G637" i="4"/>
  <c r="H637" i="4"/>
  <c r="I637" i="4"/>
  <c r="J637" i="4"/>
  <c r="G638" i="4"/>
  <c r="H638" i="4"/>
  <c r="I638" i="4"/>
  <c r="J638" i="4"/>
  <c r="G639" i="4"/>
  <c r="H639" i="4"/>
  <c r="I639" i="4"/>
  <c r="J639" i="4"/>
  <c r="G640" i="4"/>
  <c r="H640" i="4"/>
  <c r="I640" i="4"/>
  <c r="J640" i="4"/>
  <c r="G641" i="4"/>
  <c r="H641" i="4"/>
  <c r="I641" i="4"/>
  <c r="J641" i="4"/>
  <c r="G642" i="4"/>
  <c r="H642" i="4"/>
  <c r="I642" i="4"/>
  <c r="J642" i="4"/>
  <c r="G643" i="4"/>
  <c r="H643" i="4"/>
  <c r="I643" i="4"/>
  <c r="J643" i="4"/>
  <c r="G644" i="4"/>
  <c r="H644" i="4"/>
  <c r="I644" i="4"/>
  <c r="J644" i="4"/>
  <c r="G645" i="4"/>
  <c r="H645" i="4"/>
  <c r="I645" i="4"/>
  <c r="J645" i="4"/>
  <c r="G646" i="4"/>
  <c r="H646" i="4"/>
  <c r="I646" i="4"/>
  <c r="J646" i="4"/>
  <c r="G647" i="4"/>
  <c r="H647" i="4"/>
  <c r="I647" i="4"/>
  <c r="J647" i="4"/>
  <c r="G648" i="4"/>
  <c r="H648" i="4"/>
  <c r="I648" i="4"/>
  <c r="J648" i="4"/>
  <c r="G649" i="4"/>
  <c r="H649" i="4"/>
  <c r="I649" i="4"/>
  <c r="J649" i="4"/>
  <c r="G650" i="4"/>
  <c r="H650" i="4"/>
  <c r="I650" i="4"/>
  <c r="J650" i="4"/>
  <c r="G651" i="4"/>
  <c r="H651" i="4"/>
  <c r="I651" i="4"/>
  <c r="J651" i="4"/>
  <c r="G652" i="4"/>
  <c r="H652" i="4"/>
  <c r="I652" i="4"/>
  <c r="J652" i="4"/>
  <c r="G653" i="4"/>
  <c r="H653" i="4"/>
  <c r="I653" i="4"/>
  <c r="J653" i="4"/>
  <c r="G654" i="4"/>
  <c r="H654" i="4"/>
  <c r="I654" i="4"/>
  <c r="J654" i="4"/>
  <c r="G655" i="4"/>
  <c r="H655" i="4"/>
  <c r="I655" i="4"/>
  <c r="J655" i="4"/>
  <c r="G656" i="4"/>
  <c r="H656" i="4"/>
  <c r="I656" i="4"/>
  <c r="J656" i="4"/>
  <c r="G657" i="4"/>
  <c r="H657" i="4"/>
  <c r="I657" i="4"/>
  <c r="J657" i="4"/>
  <c r="G658" i="4"/>
  <c r="H658" i="4"/>
  <c r="I658" i="4"/>
  <c r="J658" i="4"/>
  <c r="G659" i="4"/>
  <c r="H659" i="4"/>
  <c r="I659" i="4"/>
  <c r="J659" i="4"/>
  <c r="G660" i="4"/>
  <c r="H660" i="4"/>
  <c r="I660" i="4"/>
  <c r="J660" i="4"/>
  <c r="G661" i="4"/>
  <c r="H661" i="4"/>
  <c r="I661" i="4"/>
  <c r="J661" i="4"/>
  <c r="G662" i="4"/>
  <c r="H662" i="4"/>
  <c r="I662" i="4"/>
  <c r="J662" i="4"/>
  <c r="G663" i="4"/>
  <c r="H663" i="4"/>
  <c r="I663" i="4"/>
  <c r="J663" i="4"/>
  <c r="G664" i="4"/>
  <c r="H664" i="4"/>
  <c r="I664" i="4"/>
  <c r="J664" i="4"/>
  <c r="G665" i="4"/>
  <c r="H665" i="4"/>
  <c r="I665" i="4"/>
  <c r="J665" i="4"/>
  <c r="G666" i="4"/>
  <c r="H666" i="4"/>
  <c r="I666" i="4"/>
  <c r="J666" i="4"/>
  <c r="G667" i="4"/>
  <c r="H667" i="4"/>
  <c r="I667" i="4"/>
  <c r="J667" i="4"/>
  <c r="G668" i="4"/>
  <c r="H668" i="4"/>
  <c r="I668" i="4"/>
  <c r="J668" i="4"/>
  <c r="G669" i="4"/>
  <c r="H669" i="4"/>
  <c r="I669" i="4"/>
  <c r="J669" i="4"/>
  <c r="G670" i="4"/>
  <c r="H670" i="4"/>
  <c r="I670" i="4"/>
  <c r="J670" i="4"/>
  <c r="G671" i="4"/>
  <c r="H671" i="4"/>
  <c r="I671" i="4"/>
  <c r="J671" i="4"/>
  <c r="G672" i="4"/>
  <c r="H672" i="4"/>
  <c r="I672" i="4"/>
  <c r="J672" i="4"/>
  <c r="G673" i="4"/>
  <c r="H673" i="4"/>
  <c r="I673" i="4"/>
  <c r="J673" i="4"/>
  <c r="G674" i="4"/>
  <c r="H674" i="4"/>
  <c r="I674" i="4"/>
  <c r="J674" i="4"/>
  <c r="G675" i="4"/>
  <c r="H675" i="4"/>
  <c r="I675" i="4"/>
  <c r="J675" i="4"/>
  <c r="G676" i="4"/>
  <c r="H676" i="4"/>
  <c r="I676" i="4"/>
  <c r="J676" i="4"/>
  <c r="G677" i="4"/>
  <c r="H677" i="4"/>
  <c r="I677" i="4"/>
  <c r="J677" i="4"/>
  <c r="G678" i="4"/>
  <c r="H678" i="4"/>
  <c r="I678" i="4"/>
  <c r="J678" i="4"/>
  <c r="G679" i="4"/>
  <c r="H679" i="4"/>
  <c r="I679" i="4"/>
  <c r="J679" i="4"/>
  <c r="G680" i="4"/>
  <c r="H680" i="4"/>
  <c r="I680" i="4"/>
  <c r="J680" i="4"/>
  <c r="G681" i="4"/>
  <c r="H681" i="4"/>
  <c r="I681" i="4"/>
  <c r="J681" i="4"/>
  <c r="G682" i="4"/>
  <c r="H682" i="4"/>
  <c r="I682" i="4"/>
  <c r="J682" i="4"/>
  <c r="G683" i="4"/>
  <c r="H683" i="4"/>
  <c r="I683" i="4"/>
  <c r="J683" i="4"/>
  <c r="G684" i="4"/>
  <c r="H684" i="4"/>
  <c r="I684" i="4"/>
  <c r="J684" i="4"/>
  <c r="G685" i="4"/>
  <c r="H685" i="4"/>
  <c r="I685" i="4"/>
  <c r="J685" i="4"/>
  <c r="G686" i="4"/>
  <c r="H686" i="4"/>
  <c r="I686" i="4"/>
  <c r="J686" i="4"/>
  <c r="G687" i="4"/>
  <c r="H687" i="4"/>
  <c r="I687" i="4"/>
  <c r="J687" i="4"/>
  <c r="G688" i="4"/>
  <c r="H688" i="4"/>
  <c r="I688" i="4"/>
  <c r="J688" i="4"/>
  <c r="G689" i="4"/>
  <c r="H689" i="4"/>
  <c r="I689" i="4"/>
  <c r="J689" i="4"/>
  <c r="G690" i="4"/>
  <c r="H690" i="4"/>
  <c r="I690" i="4"/>
  <c r="J690" i="4"/>
  <c r="G691" i="4"/>
  <c r="H691" i="4"/>
  <c r="I691" i="4"/>
  <c r="J691" i="4"/>
  <c r="G692" i="4"/>
  <c r="H692" i="4"/>
  <c r="I692" i="4"/>
  <c r="J692" i="4"/>
  <c r="G693" i="4"/>
  <c r="H693" i="4"/>
  <c r="I693" i="4"/>
  <c r="J693" i="4"/>
  <c r="G694" i="4"/>
  <c r="H694" i="4"/>
  <c r="I694" i="4"/>
  <c r="J694" i="4"/>
  <c r="G695" i="4"/>
  <c r="H695" i="4"/>
  <c r="I695" i="4"/>
  <c r="J695" i="4"/>
  <c r="G696" i="4"/>
  <c r="H696" i="4"/>
  <c r="I696" i="4"/>
  <c r="J696" i="4"/>
  <c r="G697" i="4"/>
  <c r="H697" i="4"/>
  <c r="I697" i="4"/>
  <c r="J697" i="4"/>
  <c r="G698" i="4"/>
  <c r="H698" i="4"/>
  <c r="I698" i="4"/>
  <c r="J698" i="4"/>
  <c r="G699" i="4"/>
  <c r="H699" i="4"/>
  <c r="I699" i="4"/>
  <c r="J699" i="4"/>
  <c r="G700" i="4"/>
  <c r="H700" i="4"/>
  <c r="I700" i="4"/>
  <c r="J700" i="4"/>
  <c r="G701" i="4"/>
  <c r="H701" i="4"/>
  <c r="I701" i="4"/>
  <c r="J701" i="4"/>
  <c r="G702" i="4"/>
  <c r="H702" i="4"/>
  <c r="I702" i="4"/>
  <c r="J702" i="4"/>
  <c r="G703" i="4"/>
  <c r="H703" i="4"/>
  <c r="I703" i="4"/>
  <c r="J703" i="4"/>
  <c r="G704" i="4"/>
  <c r="H704" i="4"/>
  <c r="I704" i="4"/>
  <c r="J704" i="4"/>
  <c r="G705" i="4"/>
  <c r="H705" i="4"/>
  <c r="I705" i="4"/>
  <c r="J705" i="4"/>
  <c r="G706" i="4"/>
  <c r="H706" i="4"/>
  <c r="I706" i="4"/>
  <c r="J706" i="4"/>
  <c r="G707" i="4"/>
  <c r="H707" i="4"/>
  <c r="I707" i="4"/>
  <c r="J707" i="4"/>
  <c r="G708" i="4"/>
  <c r="H708" i="4"/>
  <c r="I708" i="4"/>
  <c r="J708" i="4"/>
  <c r="G709" i="4"/>
  <c r="H709" i="4"/>
  <c r="I709" i="4"/>
  <c r="J709" i="4"/>
  <c r="G710" i="4"/>
  <c r="H710" i="4"/>
  <c r="I710" i="4"/>
  <c r="J710" i="4"/>
  <c r="G711" i="4"/>
  <c r="H711" i="4"/>
  <c r="I711" i="4"/>
  <c r="J711" i="4"/>
  <c r="G712" i="4"/>
  <c r="H712" i="4"/>
  <c r="I712" i="4"/>
  <c r="J712" i="4"/>
  <c r="G713" i="4"/>
  <c r="H713" i="4"/>
  <c r="I713" i="4"/>
  <c r="J713" i="4"/>
  <c r="G714" i="4"/>
  <c r="H714" i="4"/>
  <c r="I714" i="4"/>
  <c r="J714" i="4"/>
  <c r="G715" i="4"/>
  <c r="H715" i="4"/>
  <c r="I715" i="4"/>
  <c r="J715" i="4"/>
  <c r="G716" i="4"/>
  <c r="H716" i="4"/>
  <c r="I716" i="4"/>
  <c r="J716" i="4"/>
  <c r="G717" i="4"/>
  <c r="H717" i="4"/>
  <c r="I717" i="4"/>
  <c r="J717" i="4"/>
  <c r="G718" i="4"/>
  <c r="H718" i="4"/>
  <c r="I718" i="4"/>
  <c r="J718" i="4"/>
  <c r="G719" i="4"/>
  <c r="H719" i="4"/>
  <c r="I719" i="4"/>
  <c r="J719" i="4"/>
  <c r="G720" i="4"/>
  <c r="H720" i="4"/>
  <c r="I720" i="4"/>
  <c r="J720" i="4"/>
  <c r="G721" i="4"/>
  <c r="H721" i="4"/>
  <c r="I721" i="4"/>
  <c r="J721" i="4"/>
  <c r="G722" i="4"/>
  <c r="H722" i="4"/>
  <c r="I722" i="4"/>
  <c r="J722" i="4"/>
  <c r="G723" i="4"/>
  <c r="H723" i="4"/>
  <c r="I723" i="4"/>
  <c r="J723" i="4"/>
  <c r="G724" i="4"/>
  <c r="H724" i="4"/>
  <c r="I724" i="4"/>
  <c r="J724" i="4"/>
  <c r="G725" i="4"/>
  <c r="H725" i="4"/>
  <c r="I725" i="4"/>
  <c r="J725" i="4"/>
  <c r="G726" i="4"/>
  <c r="H726" i="4"/>
  <c r="I726" i="4"/>
  <c r="J726" i="4"/>
  <c r="G727" i="4"/>
  <c r="H727" i="4"/>
  <c r="I727" i="4"/>
  <c r="J727" i="4"/>
  <c r="G728" i="4"/>
  <c r="H728" i="4"/>
  <c r="I728" i="4"/>
  <c r="J728" i="4"/>
  <c r="G729" i="4"/>
  <c r="H729" i="4"/>
  <c r="I729" i="4"/>
  <c r="J729" i="4"/>
  <c r="G730" i="4"/>
  <c r="H730" i="4"/>
  <c r="I730" i="4"/>
  <c r="J730" i="4"/>
  <c r="G731" i="4"/>
  <c r="H731" i="4"/>
  <c r="I731" i="4"/>
  <c r="J731" i="4"/>
  <c r="G732" i="4"/>
  <c r="H732" i="4"/>
  <c r="I732" i="4"/>
  <c r="J732" i="4"/>
  <c r="G733" i="4"/>
  <c r="H733" i="4"/>
  <c r="I733" i="4"/>
  <c r="J733" i="4"/>
  <c r="G734" i="4"/>
  <c r="H734" i="4"/>
  <c r="I734" i="4"/>
  <c r="J734" i="4"/>
  <c r="G735" i="4"/>
  <c r="H735" i="4"/>
  <c r="I735" i="4"/>
  <c r="J735" i="4"/>
  <c r="G736" i="4"/>
  <c r="H736" i="4"/>
  <c r="I736" i="4"/>
  <c r="J736" i="4"/>
  <c r="G737" i="4"/>
  <c r="H737" i="4"/>
  <c r="I737" i="4"/>
  <c r="J737" i="4"/>
  <c r="G738" i="4"/>
  <c r="H738" i="4"/>
  <c r="I738" i="4"/>
  <c r="J738" i="4"/>
  <c r="G739" i="4"/>
  <c r="H739" i="4"/>
  <c r="I739" i="4"/>
  <c r="J739" i="4"/>
  <c r="G740" i="4"/>
  <c r="H740" i="4"/>
  <c r="I740" i="4"/>
  <c r="J740" i="4"/>
  <c r="G741" i="4"/>
  <c r="H741" i="4"/>
  <c r="I741" i="4"/>
  <c r="J741" i="4"/>
  <c r="G742" i="4"/>
  <c r="H742" i="4"/>
  <c r="I742" i="4"/>
  <c r="J742" i="4"/>
  <c r="G743" i="4"/>
  <c r="H743" i="4"/>
  <c r="I743" i="4"/>
  <c r="J743" i="4"/>
  <c r="G744" i="4"/>
  <c r="H744" i="4"/>
  <c r="I744" i="4"/>
  <c r="J744" i="4"/>
  <c r="G745" i="4"/>
  <c r="H745" i="4"/>
  <c r="I745" i="4"/>
  <c r="J745" i="4"/>
  <c r="G746" i="4"/>
  <c r="H746" i="4"/>
  <c r="I746" i="4"/>
  <c r="J746" i="4"/>
  <c r="G747" i="4"/>
  <c r="H747" i="4"/>
  <c r="I747" i="4"/>
  <c r="J747" i="4"/>
  <c r="G748" i="4"/>
  <c r="H748" i="4"/>
  <c r="I748" i="4"/>
  <c r="J748" i="4"/>
  <c r="G749" i="4"/>
  <c r="H749" i="4"/>
  <c r="I749" i="4"/>
  <c r="J749" i="4"/>
  <c r="G750" i="4"/>
  <c r="H750" i="4"/>
  <c r="I750" i="4"/>
  <c r="J750" i="4"/>
  <c r="G751" i="4"/>
  <c r="H751" i="4"/>
  <c r="I751" i="4"/>
  <c r="J751" i="4"/>
  <c r="G752" i="4"/>
  <c r="H752" i="4"/>
  <c r="I752" i="4"/>
  <c r="J752" i="4"/>
  <c r="G753" i="4"/>
  <c r="H753" i="4"/>
  <c r="I753" i="4"/>
  <c r="J753" i="4"/>
  <c r="G754" i="4"/>
  <c r="H754" i="4"/>
  <c r="I754" i="4"/>
  <c r="J754" i="4"/>
  <c r="G755" i="4"/>
  <c r="H755" i="4"/>
  <c r="I755" i="4"/>
  <c r="J755" i="4"/>
  <c r="G756" i="4"/>
  <c r="H756" i="4"/>
  <c r="I756" i="4"/>
  <c r="J756" i="4"/>
  <c r="G757" i="4"/>
  <c r="H757" i="4"/>
  <c r="I757" i="4"/>
  <c r="J757" i="4"/>
  <c r="G758" i="4"/>
  <c r="H758" i="4"/>
  <c r="I758" i="4"/>
  <c r="J758" i="4"/>
  <c r="G759" i="4"/>
  <c r="H759" i="4"/>
  <c r="I759" i="4"/>
  <c r="J759" i="4"/>
  <c r="G760" i="4"/>
  <c r="H760" i="4"/>
  <c r="I760" i="4"/>
  <c r="J760" i="4"/>
  <c r="G761" i="4"/>
  <c r="H761" i="4"/>
  <c r="I761" i="4"/>
  <c r="J761" i="4"/>
  <c r="G762" i="4"/>
  <c r="H762" i="4"/>
  <c r="I762" i="4"/>
  <c r="J762" i="4"/>
  <c r="G763" i="4"/>
  <c r="H763" i="4"/>
  <c r="I763" i="4"/>
  <c r="J763" i="4"/>
  <c r="G764" i="4"/>
  <c r="H764" i="4"/>
  <c r="I764" i="4"/>
  <c r="J764" i="4"/>
  <c r="G765" i="4"/>
  <c r="H765" i="4"/>
  <c r="I765" i="4"/>
  <c r="J765" i="4"/>
  <c r="G766" i="4"/>
  <c r="H766" i="4"/>
  <c r="I766" i="4"/>
  <c r="J766" i="4"/>
  <c r="G767" i="4"/>
  <c r="H767" i="4"/>
  <c r="I767" i="4"/>
  <c r="J767" i="4"/>
  <c r="G768" i="4"/>
  <c r="H768" i="4"/>
  <c r="I768" i="4"/>
  <c r="J768" i="4"/>
  <c r="G769" i="4"/>
  <c r="H769" i="4"/>
  <c r="I769" i="4"/>
  <c r="J769" i="4"/>
  <c r="G770" i="4"/>
  <c r="H770" i="4"/>
  <c r="I770" i="4"/>
  <c r="J770" i="4"/>
  <c r="G771" i="4"/>
  <c r="H771" i="4"/>
  <c r="I771" i="4"/>
  <c r="J771" i="4"/>
  <c r="G772" i="4"/>
  <c r="H772" i="4"/>
  <c r="I772" i="4"/>
  <c r="J772" i="4"/>
  <c r="G773" i="4"/>
  <c r="H773" i="4"/>
  <c r="I773" i="4"/>
  <c r="J773" i="4"/>
  <c r="G774" i="4"/>
  <c r="H774" i="4"/>
  <c r="I774" i="4"/>
  <c r="J774" i="4"/>
  <c r="G775" i="4"/>
  <c r="H775" i="4"/>
  <c r="I775" i="4"/>
  <c r="J775" i="4"/>
  <c r="G776" i="4"/>
  <c r="H776" i="4"/>
  <c r="I776" i="4"/>
  <c r="J776" i="4"/>
  <c r="G777" i="4"/>
  <c r="H777" i="4"/>
  <c r="I777" i="4"/>
  <c r="J777" i="4"/>
  <c r="G778" i="4"/>
  <c r="H778" i="4"/>
  <c r="I778" i="4"/>
  <c r="J778" i="4"/>
  <c r="G779" i="4"/>
  <c r="H779" i="4"/>
  <c r="I779" i="4"/>
  <c r="J779" i="4"/>
  <c r="G780" i="4"/>
  <c r="H780" i="4"/>
  <c r="I780" i="4"/>
  <c r="J780" i="4"/>
  <c r="G781" i="4"/>
  <c r="H781" i="4"/>
  <c r="I781" i="4"/>
  <c r="J781" i="4"/>
  <c r="G782" i="4"/>
  <c r="H782" i="4"/>
  <c r="I782" i="4"/>
  <c r="J782" i="4"/>
  <c r="G783" i="4"/>
  <c r="H783" i="4"/>
  <c r="I783" i="4"/>
  <c r="J783" i="4"/>
  <c r="G784" i="4"/>
  <c r="H784" i="4"/>
  <c r="I784" i="4"/>
  <c r="J784" i="4"/>
  <c r="G785" i="4"/>
  <c r="H785" i="4"/>
  <c r="I785" i="4"/>
  <c r="J785" i="4"/>
  <c r="G786" i="4"/>
  <c r="H786" i="4"/>
  <c r="I786" i="4"/>
  <c r="J786" i="4"/>
  <c r="G787" i="4"/>
  <c r="H787" i="4"/>
  <c r="I787" i="4"/>
  <c r="J787" i="4"/>
  <c r="G788" i="4"/>
  <c r="H788" i="4"/>
  <c r="I788" i="4"/>
  <c r="J788" i="4"/>
  <c r="G789" i="4"/>
  <c r="H789" i="4"/>
  <c r="I789" i="4"/>
  <c r="J789" i="4"/>
  <c r="G790" i="4"/>
  <c r="H790" i="4"/>
  <c r="I790" i="4"/>
  <c r="J790" i="4"/>
  <c r="G791" i="4"/>
  <c r="H791" i="4"/>
  <c r="I791" i="4"/>
  <c r="J791" i="4"/>
  <c r="G792" i="4"/>
  <c r="H792" i="4"/>
  <c r="I792" i="4"/>
  <c r="J792" i="4"/>
  <c r="G793" i="4"/>
  <c r="H793" i="4"/>
  <c r="I793" i="4"/>
  <c r="J793" i="4"/>
  <c r="G794" i="4"/>
  <c r="H794" i="4"/>
  <c r="I794" i="4"/>
  <c r="J794" i="4"/>
  <c r="G795" i="4"/>
  <c r="H795" i="4"/>
  <c r="I795" i="4"/>
  <c r="J795" i="4"/>
  <c r="G796" i="4"/>
  <c r="H796" i="4"/>
  <c r="I796" i="4"/>
  <c r="J796" i="4"/>
  <c r="G797" i="4"/>
  <c r="H797" i="4"/>
  <c r="I797" i="4"/>
  <c r="J797" i="4"/>
  <c r="G798" i="4"/>
  <c r="H798" i="4"/>
  <c r="I798" i="4"/>
  <c r="J798" i="4"/>
  <c r="G799" i="4"/>
  <c r="H799" i="4"/>
  <c r="I799" i="4"/>
  <c r="J799" i="4"/>
  <c r="G800" i="4"/>
  <c r="H800" i="4"/>
  <c r="I800" i="4"/>
  <c r="J800" i="4"/>
  <c r="G801" i="4"/>
  <c r="H801" i="4"/>
  <c r="I801" i="4"/>
  <c r="J801" i="4"/>
  <c r="G802" i="4"/>
  <c r="H802" i="4"/>
  <c r="I802" i="4"/>
  <c r="J802" i="4"/>
  <c r="G803" i="4"/>
  <c r="H803" i="4"/>
  <c r="I803" i="4"/>
  <c r="J803" i="4"/>
  <c r="G804" i="4"/>
  <c r="H804" i="4"/>
  <c r="I804" i="4"/>
  <c r="J804" i="4"/>
  <c r="G805" i="4"/>
  <c r="H805" i="4"/>
  <c r="I805" i="4"/>
  <c r="J805" i="4"/>
  <c r="G806" i="4"/>
  <c r="H806" i="4"/>
  <c r="I806" i="4"/>
  <c r="J806" i="4"/>
  <c r="G807" i="4"/>
  <c r="H807" i="4"/>
  <c r="I807" i="4"/>
  <c r="J807" i="4"/>
  <c r="G808" i="4"/>
  <c r="H808" i="4"/>
  <c r="I808" i="4"/>
  <c r="J808" i="4"/>
  <c r="G809" i="4"/>
  <c r="H809" i="4"/>
  <c r="I809" i="4"/>
  <c r="J809" i="4"/>
  <c r="G810" i="4"/>
  <c r="H810" i="4"/>
  <c r="I810" i="4"/>
  <c r="J810" i="4"/>
  <c r="G811" i="4"/>
  <c r="H811" i="4"/>
  <c r="I811" i="4"/>
  <c r="J811" i="4"/>
  <c r="G812" i="4"/>
  <c r="H812" i="4"/>
  <c r="I812" i="4"/>
  <c r="J812" i="4"/>
  <c r="G813" i="4"/>
  <c r="H813" i="4"/>
  <c r="I813" i="4"/>
  <c r="J813" i="4"/>
  <c r="G814" i="4"/>
  <c r="H814" i="4"/>
  <c r="I814" i="4"/>
  <c r="J814" i="4"/>
  <c r="G815" i="4"/>
  <c r="H815" i="4"/>
  <c r="I815" i="4"/>
  <c r="J815" i="4"/>
  <c r="G816" i="4"/>
  <c r="H816" i="4"/>
  <c r="I816" i="4"/>
  <c r="J816" i="4"/>
  <c r="G817" i="4"/>
  <c r="H817" i="4"/>
  <c r="I817" i="4"/>
  <c r="J817" i="4"/>
  <c r="G818" i="4"/>
  <c r="H818" i="4"/>
  <c r="I818" i="4"/>
  <c r="J818" i="4"/>
  <c r="G819" i="4"/>
  <c r="H819" i="4"/>
  <c r="I819" i="4"/>
  <c r="J819" i="4"/>
  <c r="G820" i="4"/>
  <c r="H820" i="4"/>
  <c r="I820" i="4"/>
  <c r="J820" i="4"/>
  <c r="G821" i="4"/>
  <c r="H821" i="4"/>
  <c r="I821" i="4"/>
  <c r="J821" i="4"/>
  <c r="G822" i="4"/>
  <c r="H822" i="4"/>
  <c r="I822" i="4"/>
  <c r="J822" i="4"/>
  <c r="G823" i="4"/>
  <c r="H823" i="4"/>
  <c r="I823" i="4"/>
  <c r="J823" i="4"/>
  <c r="G824" i="4"/>
  <c r="H824" i="4"/>
  <c r="I824" i="4"/>
  <c r="J824" i="4"/>
  <c r="G825" i="4"/>
  <c r="H825" i="4"/>
  <c r="I825" i="4"/>
  <c r="J825" i="4"/>
  <c r="G826" i="4"/>
  <c r="H826" i="4"/>
  <c r="I826" i="4"/>
  <c r="J826" i="4"/>
  <c r="G827" i="4"/>
  <c r="H827" i="4"/>
  <c r="I827" i="4"/>
  <c r="J827" i="4"/>
  <c r="G828" i="4"/>
  <c r="H828" i="4"/>
  <c r="I828" i="4"/>
  <c r="J828" i="4"/>
  <c r="G829" i="4"/>
  <c r="H829" i="4"/>
  <c r="I829" i="4"/>
  <c r="J829" i="4"/>
  <c r="G830" i="4"/>
  <c r="H830" i="4"/>
  <c r="I830" i="4"/>
  <c r="J830" i="4"/>
  <c r="G831" i="4"/>
  <c r="H831" i="4"/>
  <c r="I831" i="4"/>
  <c r="J831" i="4"/>
  <c r="G832" i="4"/>
  <c r="H832" i="4"/>
  <c r="I832" i="4"/>
  <c r="J832" i="4"/>
  <c r="G833" i="4"/>
  <c r="H833" i="4"/>
  <c r="I833" i="4"/>
  <c r="J833" i="4"/>
  <c r="G834" i="4"/>
  <c r="H834" i="4"/>
  <c r="I834" i="4"/>
  <c r="J834" i="4"/>
  <c r="G835" i="4"/>
  <c r="H835" i="4"/>
  <c r="I835" i="4"/>
  <c r="J835" i="4"/>
  <c r="G836" i="4"/>
  <c r="H836" i="4"/>
  <c r="I836" i="4"/>
  <c r="J836" i="4"/>
  <c r="G837" i="4"/>
  <c r="H837" i="4"/>
  <c r="I837" i="4"/>
  <c r="J837" i="4"/>
  <c r="G838" i="4"/>
  <c r="H838" i="4"/>
  <c r="I838" i="4"/>
  <c r="J838" i="4"/>
  <c r="G839" i="4"/>
  <c r="H839" i="4"/>
  <c r="I839" i="4"/>
  <c r="J839" i="4"/>
  <c r="G840" i="4"/>
  <c r="H840" i="4"/>
  <c r="I840" i="4"/>
  <c r="J840" i="4"/>
  <c r="G841" i="4"/>
  <c r="H841" i="4"/>
  <c r="I841" i="4"/>
  <c r="J841" i="4"/>
  <c r="G842" i="4"/>
  <c r="H842" i="4"/>
  <c r="I842" i="4"/>
  <c r="J842" i="4"/>
  <c r="G843" i="4"/>
  <c r="H843" i="4"/>
  <c r="I843" i="4"/>
  <c r="J843" i="4"/>
  <c r="G844" i="4"/>
  <c r="H844" i="4"/>
  <c r="I844" i="4"/>
  <c r="J844" i="4"/>
  <c r="G845" i="4"/>
  <c r="H845" i="4"/>
  <c r="I845" i="4"/>
  <c r="J845" i="4"/>
  <c r="G846" i="4"/>
  <c r="H846" i="4"/>
  <c r="I846" i="4"/>
  <c r="J846" i="4"/>
  <c r="G847" i="4"/>
  <c r="H847" i="4"/>
  <c r="I847" i="4"/>
  <c r="J847" i="4"/>
  <c r="G848" i="4"/>
  <c r="H848" i="4"/>
  <c r="I848" i="4"/>
  <c r="J848" i="4"/>
  <c r="G849" i="4"/>
  <c r="H849" i="4"/>
  <c r="I849" i="4"/>
  <c r="J849" i="4"/>
  <c r="G850" i="4"/>
  <c r="H850" i="4"/>
  <c r="I850" i="4"/>
  <c r="J850" i="4"/>
  <c r="G851" i="4"/>
  <c r="H851" i="4"/>
  <c r="I851" i="4"/>
  <c r="J851" i="4"/>
  <c r="G852" i="4"/>
  <c r="H852" i="4"/>
  <c r="I852" i="4"/>
  <c r="J852" i="4"/>
  <c r="G853" i="4"/>
  <c r="H853" i="4"/>
  <c r="I853" i="4"/>
  <c r="J853" i="4"/>
  <c r="G854" i="4"/>
  <c r="H854" i="4"/>
  <c r="I854" i="4"/>
  <c r="J854" i="4"/>
  <c r="G855" i="4"/>
  <c r="H855" i="4"/>
  <c r="I855" i="4"/>
  <c r="J855" i="4"/>
  <c r="G856" i="4"/>
  <c r="H856" i="4"/>
  <c r="I856" i="4"/>
  <c r="J856" i="4"/>
  <c r="G857" i="4"/>
  <c r="H857" i="4"/>
  <c r="I857" i="4"/>
  <c r="J857" i="4"/>
  <c r="G858" i="4"/>
  <c r="H858" i="4"/>
  <c r="I858" i="4"/>
  <c r="J858" i="4"/>
  <c r="G859" i="4"/>
  <c r="H859" i="4"/>
  <c r="I859" i="4"/>
  <c r="J859" i="4"/>
  <c r="G860" i="4"/>
  <c r="H860" i="4"/>
  <c r="I860" i="4"/>
  <c r="J860" i="4"/>
  <c r="G861" i="4"/>
  <c r="H861" i="4"/>
  <c r="I861" i="4"/>
  <c r="J861" i="4"/>
  <c r="G862" i="4"/>
  <c r="H862" i="4"/>
  <c r="I862" i="4"/>
  <c r="J862" i="4"/>
  <c r="G863" i="4"/>
  <c r="H863" i="4"/>
  <c r="I863" i="4"/>
  <c r="J863" i="4"/>
  <c r="G864" i="4"/>
  <c r="H864" i="4"/>
  <c r="I864" i="4"/>
  <c r="J864" i="4"/>
  <c r="G865" i="4"/>
  <c r="H865" i="4"/>
  <c r="I865" i="4"/>
  <c r="J865" i="4"/>
  <c r="G866" i="4"/>
  <c r="H866" i="4"/>
  <c r="I866" i="4"/>
  <c r="J866" i="4"/>
  <c r="G867" i="4"/>
  <c r="H867" i="4"/>
  <c r="I867" i="4"/>
  <c r="J867" i="4"/>
  <c r="G868" i="4"/>
  <c r="H868" i="4"/>
  <c r="I868" i="4"/>
  <c r="J868" i="4"/>
  <c r="G869" i="4"/>
  <c r="H869" i="4"/>
  <c r="I869" i="4"/>
  <c r="J869" i="4"/>
  <c r="G870" i="4"/>
  <c r="H870" i="4"/>
  <c r="I870" i="4"/>
  <c r="J870" i="4"/>
  <c r="G871" i="4"/>
  <c r="H871" i="4"/>
  <c r="I871" i="4"/>
  <c r="J871" i="4"/>
  <c r="G872" i="4"/>
  <c r="H872" i="4"/>
  <c r="I872" i="4"/>
  <c r="J872" i="4"/>
  <c r="G873" i="4"/>
  <c r="H873" i="4"/>
  <c r="I873" i="4"/>
  <c r="J873" i="4"/>
  <c r="G874" i="4"/>
  <c r="H874" i="4"/>
  <c r="I874" i="4"/>
  <c r="J874" i="4"/>
  <c r="G875" i="4"/>
  <c r="H875" i="4"/>
  <c r="I875" i="4"/>
  <c r="J875" i="4"/>
  <c r="G876" i="4"/>
  <c r="H876" i="4"/>
  <c r="I876" i="4"/>
  <c r="J876" i="4"/>
  <c r="G877" i="4"/>
  <c r="H877" i="4"/>
  <c r="I877" i="4"/>
  <c r="J877" i="4"/>
  <c r="G878" i="4"/>
  <c r="H878" i="4"/>
  <c r="I878" i="4"/>
  <c r="J878" i="4"/>
  <c r="G879" i="4"/>
  <c r="H879" i="4"/>
  <c r="I879" i="4"/>
  <c r="J879" i="4"/>
  <c r="G880" i="4"/>
  <c r="H880" i="4"/>
  <c r="I880" i="4"/>
  <c r="J880" i="4"/>
  <c r="G881" i="4"/>
  <c r="H881" i="4"/>
  <c r="I881" i="4"/>
  <c r="J881" i="4"/>
  <c r="G882" i="4"/>
  <c r="H882" i="4"/>
  <c r="I882" i="4"/>
  <c r="J882" i="4"/>
  <c r="G883" i="4"/>
  <c r="H883" i="4"/>
  <c r="I883" i="4"/>
  <c r="J883" i="4"/>
  <c r="G884" i="4"/>
  <c r="H884" i="4"/>
  <c r="I884" i="4"/>
  <c r="J884" i="4"/>
  <c r="G885" i="4"/>
  <c r="H885" i="4"/>
  <c r="I885" i="4"/>
  <c r="J885" i="4"/>
  <c r="G886" i="4"/>
  <c r="H886" i="4"/>
  <c r="I886" i="4"/>
  <c r="J886" i="4"/>
  <c r="G887" i="4"/>
  <c r="H887" i="4"/>
  <c r="I887" i="4"/>
  <c r="J887" i="4"/>
  <c r="G888" i="4"/>
  <c r="H888" i="4"/>
  <c r="I888" i="4"/>
  <c r="J888" i="4"/>
  <c r="G889" i="4"/>
  <c r="H889" i="4"/>
  <c r="I889" i="4"/>
  <c r="J889" i="4"/>
  <c r="G890" i="4"/>
  <c r="H890" i="4"/>
  <c r="I890" i="4"/>
  <c r="J890" i="4"/>
  <c r="G891" i="4"/>
  <c r="H891" i="4"/>
  <c r="I891" i="4"/>
  <c r="J891" i="4"/>
  <c r="G892" i="4"/>
  <c r="H892" i="4"/>
  <c r="I892" i="4"/>
  <c r="J892" i="4"/>
  <c r="G893" i="4"/>
  <c r="H893" i="4"/>
  <c r="I893" i="4"/>
  <c r="J893" i="4"/>
  <c r="G894" i="4"/>
  <c r="H894" i="4"/>
  <c r="I894" i="4"/>
  <c r="J894" i="4"/>
  <c r="G895" i="4"/>
  <c r="H895" i="4"/>
  <c r="I895" i="4"/>
  <c r="J895" i="4"/>
  <c r="G896" i="4"/>
  <c r="H896" i="4"/>
  <c r="I896" i="4"/>
  <c r="J896" i="4"/>
  <c r="G897" i="4"/>
  <c r="H897" i="4"/>
  <c r="I897" i="4"/>
  <c r="J897" i="4"/>
  <c r="G898" i="4"/>
  <c r="H898" i="4"/>
  <c r="I898" i="4"/>
  <c r="J898" i="4"/>
  <c r="G899" i="4"/>
  <c r="H899" i="4"/>
  <c r="I899" i="4"/>
  <c r="J899" i="4"/>
  <c r="G900" i="4"/>
  <c r="H900" i="4"/>
  <c r="I900" i="4"/>
  <c r="J900" i="4"/>
  <c r="G901" i="4"/>
  <c r="H901" i="4"/>
  <c r="I901" i="4"/>
  <c r="J901" i="4"/>
  <c r="G902" i="4"/>
  <c r="H902" i="4"/>
  <c r="I902" i="4"/>
  <c r="J902" i="4"/>
  <c r="G903" i="4"/>
  <c r="H903" i="4"/>
  <c r="I903" i="4"/>
  <c r="J903" i="4"/>
  <c r="G904" i="4"/>
  <c r="H904" i="4"/>
  <c r="I904" i="4"/>
  <c r="J904" i="4"/>
  <c r="G905" i="4"/>
  <c r="H905" i="4"/>
  <c r="I905" i="4"/>
  <c r="J905" i="4"/>
  <c r="G906" i="4"/>
  <c r="H906" i="4"/>
  <c r="I906" i="4"/>
  <c r="J906" i="4"/>
  <c r="G907" i="4"/>
  <c r="H907" i="4"/>
  <c r="I907" i="4"/>
  <c r="J907" i="4"/>
  <c r="G908" i="4"/>
  <c r="H908" i="4"/>
  <c r="I908" i="4"/>
  <c r="J908" i="4"/>
  <c r="G909" i="4"/>
  <c r="H909" i="4"/>
  <c r="I909" i="4"/>
  <c r="J909" i="4"/>
  <c r="G910" i="4"/>
  <c r="H910" i="4"/>
  <c r="I910" i="4"/>
  <c r="J910" i="4"/>
  <c r="G911" i="4"/>
  <c r="H911" i="4"/>
  <c r="I911" i="4"/>
  <c r="J911" i="4"/>
  <c r="G912" i="4"/>
  <c r="H912" i="4"/>
  <c r="I912" i="4"/>
  <c r="J912" i="4"/>
  <c r="G913" i="4"/>
  <c r="H913" i="4"/>
  <c r="I913" i="4"/>
  <c r="J913" i="4"/>
  <c r="G914" i="4"/>
  <c r="H914" i="4"/>
  <c r="I914" i="4"/>
  <c r="J914" i="4"/>
  <c r="G915" i="4"/>
  <c r="H915" i="4"/>
  <c r="I915" i="4"/>
  <c r="J915" i="4"/>
  <c r="G916" i="4"/>
  <c r="H916" i="4"/>
  <c r="I916" i="4"/>
  <c r="J916" i="4"/>
  <c r="G917" i="4"/>
  <c r="H917" i="4"/>
  <c r="I917" i="4"/>
  <c r="J917" i="4"/>
  <c r="G918" i="4"/>
  <c r="H918" i="4"/>
  <c r="I918" i="4"/>
  <c r="J918" i="4"/>
  <c r="G919" i="4"/>
  <c r="H919" i="4"/>
  <c r="I919" i="4"/>
  <c r="J919" i="4"/>
  <c r="G920" i="4"/>
  <c r="H920" i="4"/>
  <c r="I920" i="4"/>
  <c r="J920" i="4"/>
  <c r="G921" i="4"/>
  <c r="H921" i="4"/>
  <c r="I921" i="4"/>
  <c r="J921" i="4"/>
  <c r="G922" i="4"/>
  <c r="H922" i="4"/>
  <c r="I922" i="4"/>
  <c r="J922" i="4"/>
  <c r="G923" i="4"/>
  <c r="H923" i="4"/>
  <c r="I923" i="4"/>
  <c r="J923" i="4"/>
  <c r="G924" i="4"/>
  <c r="H924" i="4"/>
  <c r="I924" i="4"/>
  <c r="J924" i="4"/>
  <c r="G925" i="4"/>
  <c r="H925" i="4"/>
  <c r="I925" i="4"/>
  <c r="J925" i="4"/>
  <c r="G926" i="4"/>
  <c r="H926" i="4"/>
  <c r="I926" i="4"/>
  <c r="J926" i="4"/>
  <c r="G927" i="4"/>
  <c r="H927" i="4"/>
  <c r="I927" i="4"/>
  <c r="J927" i="4"/>
  <c r="G928" i="4"/>
  <c r="H928" i="4"/>
  <c r="I928" i="4"/>
  <c r="J928" i="4"/>
  <c r="G929" i="4"/>
  <c r="H929" i="4"/>
  <c r="I929" i="4"/>
  <c r="J929" i="4"/>
  <c r="G930" i="4"/>
  <c r="H930" i="4"/>
  <c r="I930" i="4"/>
  <c r="J930" i="4"/>
  <c r="G931" i="4"/>
  <c r="H931" i="4"/>
  <c r="I931" i="4"/>
  <c r="J931" i="4"/>
  <c r="G932" i="4"/>
  <c r="H932" i="4"/>
  <c r="I932" i="4"/>
  <c r="J932" i="4"/>
  <c r="G933" i="4"/>
  <c r="H933" i="4"/>
  <c r="I933" i="4"/>
  <c r="J933" i="4"/>
  <c r="G934" i="4"/>
  <c r="H934" i="4"/>
  <c r="I934" i="4"/>
  <c r="J934" i="4"/>
  <c r="G935" i="4"/>
  <c r="H935" i="4"/>
  <c r="I935" i="4"/>
  <c r="J935" i="4"/>
  <c r="G936" i="4"/>
  <c r="H936" i="4"/>
  <c r="I936" i="4"/>
  <c r="J936" i="4"/>
  <c r="G937" i="4"/>
  <c r="H937" i="4"/>
  <c r="I937" i="4"/>
  <c r="J937" i="4"/>
  <c r="G938" i="4"/>
  <c r="H938" i="4"/>
  <c r="I938" i="4"/>
  <c r="J938" i="4"/>
  <c r="G939" i="4"/>
  <c r="H939" i="4"/>
  <c r="I939" i="4"/>
  <c r="J939" i="4"/>
  <c r="G940" i="4"/>
  <c r="H940" i="4"/>
  <c r="I940" i="4"/>
  <c r="J940" i="4"/>
  <c r="G941" i="4"/>
  <c r="H941" i="4"/>
  <c r="I941" i="4"/>
  <c r="J941" i="4"/>
  <c r="G942" i="4"/>
  <c r="H942" i="4"/>
  <c r="I942" i="4"/>
  <c r="J942" i="4"/>
  <c r="G943" i="4"/>
  <c r="H943" i="4"/>
  <c r="I943" i="4"/>
  <c r="J943" i="4"/>
  <c r="G944" i="4"/>
  <c r="H944" i="4"/>
  <c r="I944" i="4"/>
  <c r="J944" i="4"/>
  <c r="G945" i="4"/>
  <c r="H945" i="4"/>
  <c r="I945" i="4"/>
  <c r="J945" i="4"/>
  <c r="G946" i="4"/>
  <c r="H946" i="4"/>
  <c r="I946" i="4"/>
  <c r="J946" i="4"/>
  <c r="G947" i="4"/>
  <c r="H947" i="4"/>
  <c r="I947" i="4"/>
  <c r="J947" i="4"/>
  <c r="G948" i="4"/>
  <c r="H948" i="4"/>
  <c r="I948" i="4"/>
  <c r="J948" i="4"/>
  <c r="G949" i="4"/>
  <c r="H949" i="4"/>
  <c r="I949" i="4"/>
  <c r="J949" i="4"/>
  <c r="G950" i="4"/>
  <c r="H950" i="4"/>
  <c r="I950" i="4"/>
  <c r="J950" i="4"/>
  <c r="G951" i="4"/>
  <c r="H951" i="4"/>
  <c r="I951" i="4"/>
  <c r="J951" i="4"/>
  <c r="G952" i="4"/>
  <c r="H952" i="4"/>
  <c r="I952" i="4"/>
  <c r="J952" i="4"/>
  <c r="G953" i="4"/>
  <c r="H953" i="4"/>
  <c r="I953" i="4"/>
  <c r="J953" i="4"/>
  <c r="G954" i="4"/>
  <c r="H954" i="4"/>
  <c r="I954" i="4"/>
  <c r="J954" i="4"/>
  <c r="G955" i="4"/>
  <c r="H955" i="4"/>
  <c r="I955" i="4"/>
  <c r="J955" i="4"/>
  <c r="G956" i="4"/>
  <c r="H956" i="4"/>
  <c r="I956" i="4"/>
  <c r="J956" i="4"/>
  <c r="G957" i="4"/>
  <c r="H957" i="4"/>
  <c r="I957" i="4"/>
  <c r="J957" i="4"/>
  <c r="G958" i="4"/>
  <c r="H958" i="4"/>
  <c r="I958" i="4"/>
  <c r="J958" i="4"/>
  <c r="G959" i="4"/>
  <c r="H959" i="4"/>
  <c r="I959" i="4"/>
  <c r="J959" i="4"/>
  <c r="G960" i="4"/>
  <c r="H960" i="4"/>
  <c r="I960" i="4"/>
  <c r="J960" i="4"/>
  <c r="G961" i="4"/>
  <c r="H961" i="4"/>
  <c r="I961" i="4"/>
  <c r="J961" i="4"/>
  <c r="G962" i="4"/>
  <c r="H962" i="4"/>
  <c r="I962" i="4"/>
  <c r="J962" i="4"/>
  <c r="G963" i="4"/>
  <c r="H963" i="4"/>
  <c r="I963" i="4"/>
  <c r="J963" i="4"/>
  <c r="G964" i="4"/>
  <c r="H964" i="4"/>
  <c r="I964" i="4"/>
  <c r="J964" i="4"/>
  <c r="G965" i="4"/>
  <c r="H965" i="4"/>
  <c r="I965" i="4"/>
  <c r="J965" i="4"/>
  <c r="G966" i="4"/>
  <c r="H966" i="4"/>
  <c r="I966" i="4"/>
  <c r="J966" i="4"/>
  <c r="G967" i="4"/>
  <c r="H967" i="4"/>
  <c r="I967" i="4"/>
  <c r="J967" i="4"/>
  <c r="G968" i="4"/>
  <c r="H968" i="4"/>
  <c r="I968" i="4"/>
  <c r="J968" i="4"/>
  <c r="G969" i="4"/>
  <c r="H969" i="4"/>
  <c r="I969" i="4"/>
  <c r="J969" i="4"/>
  <c r="G970" i="4"/>
  <c r="H970" i="4"/>
  <c r="I970" i="4"/>
  <c r="J970" i="4"/>
  <c r="G971" i="4"/>
  <c r="H971" i="4"/>
  <c r="I971" i="4"/>
  <c r="J971" i="4"/>
  <c r="G972" i="4"/>
  <c r="H972" i="4"/>
  <c r="I972" i="4"/>
  <c r="J972" i="4"/>
  <c r="G973" i="4"/>
  <c r="H973" i="4"/>
  <c r="I973" i="4"/>
  <c r="J973" i="4"/>
  <c r="G974" i="4"/>
  <c r="H974" i="4"/>
  <c r="I974" i="4"/>
  <c r="J974" i="4"/>
  <c r="G975" i="4"/>
  <c r="H975" i="4"/>
  <c r="I975" i="4"/>
  <c r="J975" i="4"/>
  <c r="G976" i="4"/>
  <c r="H976" i="4"/>
  <c r="I976" i="4"/>
  <c r="J976" i="4"/>
  <c r="G977" i="4"/>
  <c r="H977" i="4"/>
  <c r="I977" i="4"/>
  <c r="J977" i="4"/>
  <c r="G978" i="4"/>
  <c r="H978" i="4"/>
  <c r="I978" i="4"/>
  <c r="J978" i="4"/>
  <c r="G979" i="4"/>
  <c r="H979" i="4"/>
  <c r="I979" i="4"/>
  <c r="J979" i="4"/>
  <c r="G980" i="4"/>
  <c r="H980" i="4"/>
  <c r="I980" i="4"/>
  <c r="J980" i="4"/>
  <c r="G981" i="4"/>
  <c r="H981" i="4"/>
  <c r="I981" i="4"/>
  <c r="J981" i="4"/>
  <c r="G982" i="4"/>
  <c r="H982" i="4"/>
  <c r="I982" i="4"/>
  <c r="J982" i="4"/>
  <c r="G983" i="4"/>
  <c r="H983" i="4"/>
  <c r="I983" i="4"/>
  <c r="J983" i="4"/>
  <c r="G984" i="4"/>
  <c r="H984" i="4"/>
  <c r="I984" i="4"/>
  <c r="J984" i="4"/>
  <c r="G985" i="4"/>
  <c r="H985" i="4"/>
  <c r="I985" i="4"/>
  <c r="J985" i="4"/>
  <c r="G986" i="4"/>
  <c r="H986" i="4"/>
  <c r="I986" i="4"/>
  <c r="J986" i="4"/>
  <c r="G987" i="4"/>
  <c r="H987" i="4"/>
  <c r="I987" i="4"/>
  <c r="J987" i="4"/>
  <c r="G988" i="4"/>
  <c r="H988" i="4"/>
  <c r="I988" i="4"/>
  <c r="J988" i="4"/>
  <c r="G989" i="4"/>
  <c r="H989" i="4"/>
  <c r="I989" i="4"/>
  <c r="J989" i="4"/>
  <c r="G990" i="4"/>
  <c r="H990" i="4"/>
  <c r="I990" i="4"/>
  <c r="J990" i="4"/>
  <c r="G991" i="4"/>
  <c r="H991" i="4"/>
  <c r="I991" i="4"/>
  <c r="J991" i="4"/>
  <c r="G992" i="4"/>
  <c r="H992" i="4"/>
  <c r="I992" i="4"/>
  <c r="J992" i="4"/>
  <c r="G993" i="4"/>
  <c r="H993" i="4"/>
  <c r="I993" i="4"/>
  <c r="J993" i="4"/>
  <c r="G994" i="4"/>
  <c r="H994" i="4"/>
  <c r="I994" i="4"/>
  <c r="J994" i="4"/>
  <c r="G995" i="4"/>
  <c r="H995" i="4"/>
  <c r="I995" i="4"/>
  <c r="J995" i="4"/>
  <c r="G996" i="4"/>
  <c r="H996" i="4"/>
  <c r="I996" i="4"/>
  <c r="J996" i="4"/>
  <c r="G997" i="4"/>
  <c r="H997" i="4"/>
  <c r="I997" i="4"/>
  <c r="J997" i="4"/>
  <c r="G998" i="4"/>
  <c r="H998" i="4"/>
  <c r="I998" i="4"/>
  <c r="J998" i="4"/>
  <c r="G999" i="4"/>
  <c r="H999" i="4"/>
  <c r="I999" i="4"/>
  <c r="J999" i="4"/>
  <c r="G1000" i="4"/>
  <c r="H1000" i="4"/>
  <c r="I1000" i="4"/>
  <c r="J1000" i="4"/>
  <c r="H5" i="4"/>
  <c r="I5" i="4"/>
  <c r="J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5" i="4"/>
  <c r="D6" i="4"/>
  <c r="E6" i="4" s="1"/>
  <c r="D7" i="4"/>
  <c r="E7" i="4" s="1"/>
  <c r="D8" i="4"/>
  <c r="E8" i="4" s="1"/>
  <c r="D9" i="4"/>
  <c r="E9" i="4" s="1"/>
  <c r="D10" i="4"/>
  <c r="E10" i="4" s="1"/>
  <c r="D11" i="4"/>
  <c r="E11" i="4" s="1"/>
  <c r="D12" i="4"/>
  <c r="E12" i="4" s="1"/>
  <c r="D13" i="4"/>
  <c r="E13" i="4" s="1"/>
  <c r="D14" i="4"/>
  <c r="E14" i="4" s="1"/>
  <c r="D15" i="4"/>
  <c r="E15" i="4" s="1"/>
  <c r="D16" i="4"/>
  <c r="E16" i="4" s="1"/>
  <c r="D17" i="4"/>
  <c r="E17" i="4" s="1"/>
  <c r="D18" i="4"/>
  <c r="E18" i="4" s="1"/>
  <c r="D19" i="4"/>
  <c r="E19" i="4" s="1"/>
  <c r="D20" i="4"/>
  <c r="E20" i="4" s="1"/>
  <c r="D21" i="4"/>
  <c r="E21" i="4" s="1"/>
  <c r="D22" i="4"/>
  <c r="E22" i="4" s="1"/>
  <c r="D23" i="4"/>
  <c r="E23" i="4" s="1"/>
  <c r="D24" i="4"/>
  <c r="E24" i="4" s="1"/>
  <c r="D25" i="4"/>
  <c r="E25" i="4" s="1"/>
  <c r="D26" i="4"/>
  <c r="E26" i="4" s="1"/>
  <c r="D27" i="4"/>
  <c r="E27" i="4" s="1"/>
  <c r="D28" i="4"/>
  <c r="E28" i="4" s="1"/>
  <c r="D29" i="4"/>
  <c r="E29" i="4" s="1"/>
  <c r="D30" i="4"/>
  <c r="E30" i="4" s="1"/>
  <c r="D31" i="4"/>
  <c r="E31" i="4" s="1"/>
  <c r="D32" i="4"/>
  <c r="E32" i="4" s="1"/>
  <c r="D33" i="4"/>
  <c r="E33" i="4" s="1"/>
  <c r="D34" i="4"/>
  <c r="E34" i="4" s="1"/>
  <c r="D35" i="4"/>
  <c r="E35" i="4" s="1"/>
  <c r="D36" i="4"/>
  <c r="E36" i="4" s="1"/>
  <c r="D37" i="4"/>
  <c r="E37" i="4" s="1"/>
  <c r="D38" i="4"/>
  <c r="E38" i="4" s="1"/>
  <c r="D39" i="4"/>
  <c r="E39" i="4" s="1"/>
  <c r="D40" i="4"/>
  <c r="E40" i="4" s="1"/>
  <c r="D41" i="4"/>
  <c r="E41" i="4" s="1"/>
  <c r="D42" i="4"/>
  <c r="E42" i="4" s="1"/>
  <c r="D43" i="4"/>
  <c r="E43" i="4" s="1"/>
  <c r="D44" i="4"/>
  <c r="E44" i="4" s="1"/>
  <c r="D45" i="4"/>
  <c r="E45" i="4" s="1"/>
  <c r="D46" i="4"/>
  <c r="E46" i="4" s="1"/>
  <c r="D47" i="4"/>
  <c r="E47" i="4" s="1"/>
  <c r="D48" i="4"/>
  <c r="E48" i="4" s="1"/>
  <c r="D49" i="4"/>
  <c r="E49" i="4" s="1"/>
  <c r="D50" i="4"/>
  <c r="E50" i="4" s="1"/>
  <c r="D51" i="4"/>
  <c r="E51" i="4" s="1"/>
  <c r="D52" i="4"/>
  <c r="E52" i="4" s="1"/>
  <c r="D53" i="4"/>
  <c r="E53" i="4" s="1"/>
  <c r="D54" i="4"/>
  <c r="E54" i="4" s="1"/>
  <c r="D55" i="4"/>
  <c r="E55" i="4" s="1"/>
  <c r="D56" i="4"/>
  <c r="E56" i="4" s="1"/>
  <c r="D57" i="4"/>
  <c r="E57" i="4" s="1"/>
  <c r="D58" i="4"/>
  <c r="E58" i="4" s="1"/>
  <c r="D59" i="4"/>
  <c r="E59" i="4" s="1"/>
  <c r="D60" i="4"/>
  <c r="E60" i="4" s="1"/>
  <c r="D61" i="4"/>
  <c r="E61" i="4" s="1"/>
  <c r="D62" i="4"/>
  <c r="E62" i="4" s="1"/>
  <c r="D63" i="4"/>
  <c r="E63" i="4" s="1"/>
  <c r="D64" i="4"/>
  <c r="E64" i="4" s="1"/>
  <c r="D65" i="4"/>
  <c r="E65" i="4" s="1"/>
  <c r="D66" i="4"/>
  <c r="E66" i="4" s="1"/>
  <c r="D67" i="4"/>
  <c r="E67" i="4" s="1"/>
  <c r="D68" i="4"/>
  <c r="E68" i="4" s="1"/>
  <c r="D69" i="4"/>
  <c r="E69" i="4" s="1"/>
  <c r="D70" i="4"/>
  <c r="E70" i="4" s="1"/>
  <c r="D71" i="4"/>
  <c r="E71" i="4" s="1"/>
  <c r="D72" i="4"/>
  <c r="E72" i="4" s="1"/>
  <c r="D73" i="4"/>
  <c r="E73" i="4" s="1"/>
  <c r="D74" i="4"/>
  <c r="E74" i="4" s="1"/>
  <c r="D75" i="4"/>
  <c r="E75" i="4" s="1"/>
  <c r="D76" i="4"/>
  <c r="E76" i="4" s="1"/>
  <c r="D77" i="4"/>
  <c r="E77" i="4" s="1"/>
  <c r="D78" i="4"/>
  <c r="E78" i="4" s="1"/>
  <c r="D79" i="4"/>
  <c r="E79" i="4" s="1"/>
  <c r="D80" i="4"/>
  <c r="E80" i="4" s="1"/>
  <c r="D81" i="4"/>
  <c r="E81" i="4" s="1"/>
  <c r="D82" i="4"/>
  <c r="E82" i="4" s="1"/>
  <c r="D83" i="4"/>
  <c r="E83" i="4" s="1"/>
  <c r="D84" i="4"/>
  <c r="E84" i="4" s="1"/>
  <c r="D85" i="4"/>
  <c r="E85" i="4" s="1"/>
  <c r="D86" i="4"/>
  <c r="E86" i="4" s="1"/>
  <c r="D87" i="4"/>
  <c r="E87" i="4" s="1"/>
  <c r="D88" i="4"/>
  <c r="E88" i="4" s="1"/>
  <c r="D89" i="4"/>
  <c r="E89" i="4" s="1"/>
  <c r="D91" i="4"/>
  <c r="E91" i="4" s="1"/>
  <c r="D92" i="4"/>
  <c r="E92" i="4" s="1"/>
  <c r="D93" i="4"/>
  <c r="E93" i="4" s="1"/>
  <c r="D94" i="4"/>
  <c r="E94" i="4" s="1"/>
  <c r="D95" i="4"/>
  <c r="E95" i="4" s="1"/>
  <c r="D96" i="4"/>
  <c r="E96" i="4" s="1"/>
  <c r="D97" i="4"/>
  <c r="E97" i="4" s="1"/>
  <c r="D98" i="4"/>
  <c r="E98" i="4" s="1"/>
  <c r="D99" i="4"/>
  <c r="E99" i="4" s="1"/>
  <c r="D100" i="4"/>
  <c r="E100" i="4" s="1"/>
  <c r="D101" i="4"/>
  <c r="E101" i="4" s="1"/>
  <c r="D102" i="4"/>
  <c r="E102" i="4" s="1"/>
  <c r="D103" i="4"/>
  <c r="E103" i="4" s="1"/>
  <c r="D104" i="4"/>
  <c r="E104" i="4" s="1"/>
  <c r="D105" i="4"/>
  <c r="E105" i="4" s="1"/>
  <c r="D106" i="4"/>
  <c r="E106" i="4" s="1"/>
  <c r="D107" i="4"/>
  <c r="E107" i="4" s="1"/>
  <c r="D108" i="4"/>
  <c r="E108" i="4" s="1"/>
  <c r="D109" i="4"/>
  <c r="E109" i="4" s="1"/>
  <c r="D110" i="4"/>
  <c r="E110" i="4" s="1"/>
  <c r="D111" i="4"/>
  <c r="E111" i="4" s="1"/>
  <c r="D112" i="4"/>
  <c r="E112" i="4" s="1"/>
  <c r="D113" i="4"/>
  <c r="E113" i="4" s="1"/>
  <c r="D114" i="4"/>
  <c r="E114" i="4" s="1"/>
  <c r="D115" i="4"/>
  <c r="E115" i="4" s="1"/>
  <c r="D116" i="4"/>
  <c r="E116" i="4" s="1"/>
  <c r="D117" i="4"/>
  <c r="E117" i="4" s="1"/>
  <c r="D118" i="4"/>
  <c r="E118" i="4" s="1"/>
  <c r="D119" i="4"/>
  <c r="E119" i="4" s="1"/>
  <c r="D120" i="4"/>
  <c r="E120" i="4" s="1"/>
  <c r="D121" i="4"/>
  <c r="E121" i="4" s="1"/>
  <c r="D122" i="4"/>
  <c r="E122" i="4" s="1"/>
  <c r="D123" i="4"/>
  <c r="E123" i="4" s="1"/>
  <c r="D124" i="4"/>
  <c r="E124" i="4" s="1"/>
  <c r="D125" i="4"/>
  <c r="E125" i="4" s="1"/>
  <c r="D126" i="4"/>
  <c r="E126" i="4" s="1"/>
  <c r="D127" i="4"/>
  <c r="E127" i="4" s="1"/>
  <c r="D128" i="4"/>
  <c r="E128" i="4" s="1"/>
  <c r="D129" i="4"/>
  <c r="E129" i="4" s="1"/>
  <c r="D130" i="4"/>
  <c r="E130" i="4" s="1"/>
  <c r="D131" i="4"/>
  <c r="E131" i="4" s="1"/>
  <c r="D132" i="4"/>
  <c r="E132" i="4" s="1"/>
  <c r="D133" i="4"/>
  <c r="E133" i="4" s="1"/>
  <c r="D134" i="4"/>
  <c r="E134" i="4" s="1"/>
  <c r="D135" i="4"/>
  <c r="E135" i="4" s="1"/>
  <c r="D136" i="4"/>
  <c r="E136" i="4" s="1"/>
  <c r="D137" i="4"/>
  <c r="E137" i="4" s="1"/>
  <c r="D138" i="4"/>
  <c r="E138" i="4" s="1"/>
  <c r="D139" i="4"/>
  <c r="E139" i="4" s="1"/>
  <c r="D140" i="4"/>
  <c r="E140" i="4" s="1"/>
  <c r="D141" i="4"/>
  <c r="E141" i="4" s="1"/>
  <c r="D142" i="4"/>
  <c r="E142" i="4" s="1"/>
  <c r="D143" i="4"/>
  <c r="E143" i="4" s="1"/>
  <c r="D144" i="4"/>
  <c r="E144" i="4" s="1"/>
  <c r="D145" i="4"/>
  <c r="E145" i="4" s="1"/>
  <c r="D146" i="4"/>
  <c r="E146" i="4" s="1"/>
  <c r="D147" i="4"/>
  <c r="E147" i="4" s="1"/>
  <c r="D148" i="4"/>
  <c r="E148" i="4" s="1"/>
  <c r="D149" i="4"/>
  <c r="E149" i="4" s="1"/>
  <c r="D150" i="4"/>
  <c r="E150" i="4" s="1"/>
  <c r="D151" i="4"/>
  <c r="E151" i="4" s="1"/>
  <c r="D152" i="4"/>
  <c r="E152" i="4" s="1"/>
  <c r="D153" i="4"/>
  <c r="E153" i="4" s="1"/>
  <c r="D154" i="4"/>
  <c r="E154" i="4" s="1"/>
  <c r="D155" i="4"/>
  <c r="E155" i="4" s="1"/>
  <c r="D156" i="4"/>
  <c r="E156" i="4" s="1"/>
  <c r="D157" i="4"/>
  <c r="E157" i="4" s="1"/>
  <c r="D158" i="4"/>
  <c r="E158" i="4" s="1"/>
  <c r="D159" i="4"/>
  <c r="E159" i="4" s="1"/>
  <c r="D160" i="4"/>
  <c r="E160" i="4" s="1"/>
  <c r="D161" i="4"/>
  <c r="E161" i="4" s="1"/>
  <c r="D162" i="4"/>
  <c r="E162" i="4" s="1"/>
  <c r="D163" i="4"/>
  <c r="E163" i="4" s="1"/>
  <c r="D164" i="4"/>
  <c r="E164" i="4" s="1"/>
  <c r="D165" i="4"/>
  <c r="E165" i="4" s="1"/>
  <c r="D166" i="4"/>
  <c r="E166" i="4" s="1"/>
  <c r="D167" i="4"/>
  <c r="E167" i="4" s="1"/>
  <c r="D168" i="4"/>
  <c r="E168" i="4" s="1"/>
  <c r="D169" i="4"/>
  <c r="E169" i="4" s="1"/>
  <c r="D170" i="4"/>
  <c r="E170" i="4" s="1"/>
  <c r="D171" i="4"/>
  <c r="E171" i="4" s="1"/>
  <c r="D172" i="4"/>
  <c r="E172" i="4" s="1"/>
  <c r="D173" i="4"/>
  <c r="E173" i="4" s="1"/>
  <c r="D174" i="4"/>
  <c r="E174" i="4" s="1"/>
  <c r="D175" i="4"/>
  <c r="E175" i="4" s="1"/>
  <c r="D176" i="4"/>
  <c r="E176" i="4" s="1"/>
  <c r="D177" i="4"/>
  <c r="E177" i="4" s="1"/>
  <c r="D178" i="4"/>
  <c r="E178" i="4" s="1"/>
  <c r="D179" i="4"/>
  <c r="E179" i="4" s="1"/>
  <c r="D180" i="4"/>
  <c r="E180" i="4" s="1"/>
  <c r="D181" i="4"/>
  <c r="E181" i="4" s="1"/>
  <c r="D182" i="4"/>
  <c r="E182" i="4" s="1"/>
  <c r="D183" i="4"/>
  <c r="E183" i="4" s="1"/>
  <c r="D184" i="4"/>
  <c r="E184" i="4" s="1"/>
  <c r="D185" i="4"/>
  <c r="E185" i="4" s="1"/>
  <c r="D186" i="4"/>
  <c r="E186" i="4" s="1"/>
  <c r="D187" i="4"/>
  <c r="E187" i="4" s="1"/>
  <c r="D188" i="4"/>
  <c r="E188" i="4" s="1"/>
  <c r="D189" i="4"/>
  <c r="E189" i="4" s="1"/>
  <c r="D190" i="4"/>
  <c r="E190" i="4" s="1"/>
  <c r="D191" i="4"/>
  <c r="E191" i="4" s="1"/>
  <c r="D192" i="4"/>
  <c r="E192" i="4" s="1"/>
  <c r="D193" i="4"/>
  <c r="E193" i="4" s="1"/>
  <c r="D194" i="4"/>
  <c r="E194" i="4" s="1"/>
  <c r="D195" i="4"/>
  <c r="E195" i="4" s="1"/>
  <c r="D196" i="4"/>
  <c r="E196" i="4" s="1"/>
  <c r="D197" i="4"/>
  <c r="E197" i="4" s="1"/>
  <c r="D198" i="4"/>
  <c r="E198" i="4" s="1"/>
  <c r="D199" i="4"/>
  <c r="E199" i="4" s="1"/>
  <c r="D200" i="4"/>
  <c r="E200" i="4" s="1"/>
  <c r="D201" i="4"/>
  <c r="E201" i="4" s="1"/>
  <c r="D202" i="4"/>
  <c r="E202" i="4" s="1"/>
  <c r="D203" i="4"/>
  <c r="E203" i="4" s="1"/>
  <c r="D204" i="4"/>
  <c r="E204" i="4" s="1"/>
  <c r="D205" i="4"/>
  <c r="E205" i="4" s="1"/>
  <c r="D206" i="4"/>
  <c r="E206" i="4" s="1"/>
  <c r="D207" i="4"/>
  <c r="E207" i="4" s="1"/>
  <c r="D208" i="4"/>
  <c r="E208" i="4" s="1"/>
  <c r="D209" i="4"/>
  <c r="E209" i="4" s="1"/>
  <c r="D210" i="4"/>
  <c r="E210" i="4" s="1"/>
  <c r="D211" i="4"/>
  <c r="E211" i="4" s="1"/>
  <c r="D212" i="4"/>
  <c r="E212" i="4" s="1"/>
  <c r="D213" i="4"/>
  <c r="E213" i="4" s="1"/>
  <c r="D214" i="4"/>
  <c r="E214" i="4" s="1"/>
  <c r="D215" i="4"/>
  <c r="E215" i="4" s="1"/>
  <c r="D216" i="4"/>
  <c r="E216" i="4" s="1"/>
  <c r="D217" i="4"/>
  <c r="E217" i="4" s="1"/>
  <c r="D218" i="4"/>
  <c r="E218" i="4" s="1"/>
  <c r="D219" i="4"/>
  <c r="E219" i="4" s="1"/>
  <c r="D220" i="4"/>
  <c r="E220" i="4" s="1"/>
  <c r="D221" i="4"/>
  <c r="E221" i="4" s="1"/>
  <c r="D222" i="4"/>
  <c r="E222" i="4" s="1"/>
  <c r="D223" i="4"/>
  <c r="E223" i="4" s="1"/>
  <c r="D224" i="4"/>
  <c r="E224" i="4" s="1"/>
  <c r="D225" i="4"/>
  <c r="E225" i="4" s="1"/>
  <c r="D226" i="4"/>
  <c r="E226" i="4" s="1"/>
  <c r="D227" i="4"/>
  <c r="E227" i="4" s="1"/>
  <c r="D228" i="4"/>
  <c r="E228" i="4" s="1"/>
  <c r="D229" i="4"/>
  <c r="E229" i="4" s="1"/>
  <c r="D230" i="4"/>
  <c r="E230" i="4" s="1"/>
  <c r="D231" i="4"/>
  <c r="E231" i="4" s="1"/>
  <c r="D232" i="4"/>
  <c r="E232" i="4" s="1"/>
  <c r="D233" i="4"/>
  <c r="E233" i="4" s="1"/>
  <c r="D234" i="4"/>
  <c r="E234" i="4" s="1"/>
  <c r="D235" i="4"/>
  <c r="E235" i="4" s="1"/>
  <c r="D236" i="4"/>
  <c r="E236" i="4" s="1"/>
  <c r="D237" i="4"/>
  <c r="E237" i="4" s="1"/>
  <c r="D238" i="4"/>
  <c r="E238" i="4" s="1"/>
  <c r="D239" i="4"/>
  <c r="E239" i="4" s="1"/>
  <c r="D240" i="4"/>
  <c r="E240" i="4" s="1"/>
  <c r="D241" i="4"/>
  <c r="E241" i="4" s="1"/>
  <c r="D242" i="4"/>
  <c r="E242" i="4" s="1"/>
  <c r="D243" i="4"/>
  <c r="E243" i="4" s="1"/>
  <c r="D244" i="4"/>
  <c r="E244" i="4" s="1"/>
  <c r="D245" i="4"/>
  <c r="E245" i="4" s="1"/>
  <c r="D246" i="4"/>
  <c r="E246" i="4" s="1"/>
  <c r="D247" i="4"/>
  <c r="E247" i="4" s="1"/>
  <c r="D248" i="4"/>
  <c r="E248" i="4" s="1"/>
  <c r="D249" i="4"/>
  <c r="E249" i="4" s="1"/>
  <c r="D250" i="4"/>
  <c r="E250" i="4" s="1"/>
  <c r="D251" i="4"/>
  <c r="E251" i="4" s="1"/>
  <c r="D252" i="4"/>
  <c r="E252" i="4" s="1"/>
  <c r="D253" i="4"/>
  <c r="E253" i="4" s="1"/>
  <c r="D254" i="4"/>
  <c r="E254" i="4" s="1"/>
  <c r="D255" i="4"/>
  <c r="E255" i="4" s="1"/>
  <c r="D256" i="4"/>
  <c r="E256" i="4" s="1"/>
  <c r="D257" i="4"/>
  <c r="E257" i="4" s="1"/>
  <c r="D258" i="4"/>
  <c r="E258" i="4" s="1"/>
  <c r="D259" i="4"/>
  <c r="E259" i="4" s="1"/>
  <c r="D260" i="4"/>
  <c r="E260" i="4" s="1"/>
  <c r="D261" i="4"/>
  <c r="E261" i="4" s="1"/>
  <c r="D262" i="4"/>
  <c r="E262" i="4" s="1"/>
  <c r="D263" i="4"/>
  <c r="E263" i="4" s="1"/>
  <c r="D264" i="4"/>
  <c r="E264" i="4" s="1"/>
  <c r="D265" i="4"/>
  <c r="E265" i="4" s="1"/>
  <c r="D266" i="4"/>
  <c r="E266" i="4" s="1"/>
  <c r="D267" i="4"/>
  <c r="E267" i="4" s="1"/>
  <c r="D268" i="4"/>
  <c r="E268" i="4" s="1"/>
  <c r="D269" i="4"/>
  <c r="E269" i="4" s="1"/>
  <c r="D270" i="4"/>
  <c r="E270" i="4" s="1"/>
  <c r="D271" i="4"/>
  <c r="E271" i="4" s="1"/>
  <c r="D272" i="4"/>
  <c r="E272" i="4" s="1"/>
  <c r="D273" i="4"/>
  <c r="E273" i="4" s="1"/>
  <c r="D274" i="4"/>
  <c r="E274" i="4" s="1"/>
  <c r="D275" i="4"/>
  <c r="E275" i="4" s="1"/>
  <c r="D276" i="4"/>
  <c r="E276" i="4" s="1"/>
  <c r="D277" i="4"/>
  <c r="E277" i="4" s="1"/>
  <c r="D278" i="4"/>
  <c r="E278" i="4" s="1"/>
  <c r="D279" i="4"/>
  <c r="E279" i="4" s="1"/>
  <c r="D280" i="4"/>
  <c r="E280" i="4" s="1"/>
  <c r="D281" i="4"/>
  <c r="E281" i="4" s="1"/>
  <c r="D282" i="4"/>
  <c r="E282" i="4" s="1"/>
  <c r="D283" i="4"/>
  <c r="E283" i="4" s="1"/>
  <c r="D284" i="4"/>
  <c r="E284" i="4" s="1"/>
  <c r="D285" i="4"/>
  <c r="E285" i="4" s="1"/>
  <c r="D286" i="4"/>
  <c r="E286" i="4" s="1"/>
  <c r="D287" i="4"/>
  <c r="E287" i="4" s="1"/>
  <c r="D288" i="4"/>
  <c r="E288" i="4" s="1"/>
  <c r="D289" i="4"/>
  <c r="E289" i="4" s="1"/>
  <c r="D290" i="4"/>
  <c r="E290" i="4" s="1"/>
  <c r="D291" i="4"/>
  <c r="E291" i="4" s="1"/>
  <c r="D292" i="4"/>
  <c r="E292" i="4" s="1"/>
  <c r="D293" i="4"/>
  <c r="E293" i="4" s="1"/>
  <c r="D294" i="4"/>
  <c r="E294" i="4" s="1"/>
  <c r="D295" i="4"/>
  <c r="E295" i="4" s="1"/>
  <c r="D296" i="4"/>
  <c r="E296" i="4" s="1"/>
  <c r="D297" i="4"/>
  <c r="E297" i="4" s="1"/>
  <c r="D298" i="4"/>
  <c r="E298" i="4" s="1"/>
  <c r="D299" i="4"/>
  <c r="E299" i="4" s="1"/>
  <c r="D300" i="4"/>
  <c r="E300" i="4" s="1"/>
  <c r="D301" i="4"/>
  <c r="E301" i="4" s="1"/>
  <c r="D302" i="4"/>
  <c r="E302" i="4" s="1"/>
  <c r="D303" i="4"/>
  <c r="E303" i="4" s="1"/>
  <c r="D304" i="4"/>
  <c r="E304" i="4" s="1"/>
  <c r="D305" i="4"/>
  <c r="E305" i="4" s="1"/>
  <c r="D306" i="4"/>
  <c r="E306" i="4" s="1"/>
  <c r="D307" i="4"/>
  <c r="E307" i="4" s="1"/>
  <c r="D308" i="4"/>
  <c r="E308" i="4" s="1"/>
  <c r="D309" i="4"/>
  <c r="E309" i="4" s="1"/>
  <c r="D310" i="4"/>
  <c r="E310" i="4" s="1"/>
  <c r="D311" i="4"/>
  <c r="E311" i="4" s="1"/>
  <c r="D312" i="4"/>
  <c r="E312" i="4" s="1"/>
  <c r="D313" i="4"/>
  <c r="E313" i="4" s="1"/>
  <c r="D314" i="4"/>
  <c r="E314" i="4" s="1"/>
  <c r="D315" i="4"/>
  <c r="E315" i="4" s="1"/>
  <c r="D316" i="4"/>
  <c r="E316" i="4" s="1"/>
  <c r="D317" i="4"/>
  <c r="E317" i="4" s="1"/>
  <c r="D318" i="4"/>
  <c r="E318" i="4" s="1"/>
  <c r="D319" i="4"/>
  <c r="E319" i="4" s="1"/>
  <c r="D320" i="4"/>
  <c r="E320" i="4" s="1"/>
  <c r="D321" i="4"/>
  <c r="E321" i="4" s="1"/>
  <c r="D322" i="4"/>
  <c r="E322" i="4" s="1"/>
  <c r="D323" i="4"/>
  <c r="E323" i="4" s="1"/>
  <c r="D324" i="4"/>
  <c r="E324" i="4" s="1"/>
  <c r="D325" i="4"/>
  <c r="E325" i="4" s="1"/>
  <c r="D326" i="4"/>
  <c r="E326" i="4" s="1"/>
  <c r="D327" i="4"/>
  <c r="E327" i="4" s="1"/>
  <c r="D328" i="4"/>
  <c r="E328" i="4" s="1"/>
  <c r="D329" i="4"/>
  <c r="E329" i="4" s="1"/>
  <c r="D330" i="4"/>
  <c r="E330" i="4" s="1"/>
  <c r="D331" i="4"/>
  <c r="E331" i="4" s="1"/>
  <c r="D332" i="4"/>
  <c r="E332" i="4" s="1"/>
  <c r="D333" i="4"/>
  <c r="E333" i="4" s="1"/>
  <c r="D334" i="4"/>
  <c r="E334" i="4" s="1"/>
  <c r="D335" i="4"/>
  <c r="E335" i="4" s="1"/>
  <c r="D336" i="4"/>
  <c r="E336" i="4" s="1"/>
  <c r="D337" i="4"/>
  <c r="E337" i="4" s="1"/>
  <c r="D338" i="4"/>
  <c r="E338" i="4" s="1"/>
  <c r="D339" i="4"/>
  <c r="E339" i="4" s="1"/>
  <c r="D340" i="4"/>
  <c r="E340" i="4" s="1"/>
  <c r="D341" i="4"/>
  <c r="E341" i="4" s="1"/>
  <c r="D342" i="4"/>
  <c r="E342" i="4" s="1"/>
  <c r="D343" i="4"/>
  <c r="E343" i="4" s="1"/>
  <c r="D344" i="4"/>
  <c r="E344" i="4" s="1"/>
  <c r="D345" i="4"/>
  <c r="E345" i="4" s="1"/>
  <c r="D346" i="4"/>
  <c r="E346" i="4" s="1"/>
  <c r="D347" i="4"/>
  <c r="E347" i="4" s="1"/>
  <c r="D348" i="4"/>
  <c r="E348" i="4" s="1"/>
  <c r="D349" i="4"/>
  <c r="E349" i="4" s="1"/>
  <c r="D350" i="4"/>
  <c r="E350" i="4" s="1"/>
  <c r="D351" i="4"/>
  <c r="E351" i="4" s="1"/>
  <c r="D352" i="4"/>
  <c r="E352" i="4" s="1"/>
  <c r="D353" i="4"/>
  <c r="E353" i="4" s="1"/>
  <c r="D354" i="4"/>
  <c r="E354" i="4" s="1"/>
  <c r="D355" i="4"/>
  <c r="E355" i="4" s="1"/>
  <c r="D356" i="4"/>
  <c r="E356" i="4" s="1"/>
  <c r="D357" i="4"/>
  <c r="E357" i="4" s="1"/>
  <c r="D358" i="4"/>
  <c r="E358" i="4" s="1"/>
  <c r="D359" i="4"/>
  <c r="E359" i="4" s="1"/>
  <c r="D360" i="4"/>
  <c r="E360" i="4" s="1"/>
  <c r="D361" i="4"/>
  <c r="E361" i="4" s="1"/>
  <c r="D362" i="4"/>
  <c r="E362" i="4" s="1"/>
  <c r="D363" i="4"/>
  <c r="E363" i="4" s="1"/>
  <c r="D364" i="4"/>
  <c r="E364" i="4" s="1"/>
  <c r="D365" i="4"/>
  <c r="E365" i="4" s="1"/>
  <c r="D366" i="4"/>
  <c r="E366" i="4" s="1"/>
  <c r="D367" i="4"/>
  <c r="E367" i="4" s="1"/>
  <c r="D368" i="4"/>
  <c r="E368" i="4" s="1"/>
  <c r="D369" i="4"/>
  <c r="E369" i="4" s="1"/>
  <c r="D370" i="4"/>
  <c r="E370" i="4" s="1"/>
  <c r="D371" i="4"/>
  <c r="E371" i="4" s="1"/>
  <c r="D372" i="4"/>
  <c r="E372" i="4" s="1"/>
  <c r="D373" i="4"/>
  <c r="E373" i="4" s="1"/>
  <c r="D374" i="4"/>
  <c r="E374" i="4" s="1"/>
  <c r="D375" i="4"/>
  <c r="E375" i="4" s="1"/>
  <c r="D376" i="4"/>
  <c r="E376" i="4" s="1"/>
  <c r="D377" i="4"/>
  <c r="E377" i="4" s="1"/>
  <c r="D378" i="4"/>
  <c r="E378" i="4" s="1"/>
  <c r="D379" i="4"/>
  <c r="E379" i="4" s="1"/>
  <c r="D380" i="4"/>
  <c r="E380" i="4" s="1"/>
  <c r="D381" i="4"/>
  <c r="E381" i="4" s="1"/>
  <c r="D382" i="4"/>
  <c r="E382" i="4" s="1"/>
  <c r="D383" i="4"/>
  <c r="E383" i="4" s="1"/>
  <c r="D384" i="4"/>
  <c r="E384" i="4" s="1"/>
  <c r="D385" i="4"/>
  <c r="E385" i="4" s="1"/>
  <c r="D386" i="4"/>
  <c r="E386" i="4" s="1"/>
  <c r="D387" i="4"/>
  <c r="E387" i="4" s="1"/>
  <c r="D388" i="4"/>
  <c r="E388" i="4" s="1"/>
  <c r="D389" i="4"/>
  <c r="E389" i="4" s="1"/>
  <c r="D390" i="4"/>
  <c r="E390" i="4" s="1"/>
  <c r="D391" i="4"/>
  <c r="E391" i="4" s="1"/>
  <c r="D392" i="4"/>
  <c r="E392" i="4" s="1"/>
  <c r="D393" i="4"/>
  <c r="E393" i="4" s="1"/>
  <c r="D394" i="4"/>
  <c r="E394" i="4" s="1"/>
  <c r="D395" i="4"/>
  <c r="E395" i="4" s="1"/>
  <c r="D396" i="4"/>
  <c r="E396" i="4" s="1"/>
  <c r="D397" i="4"/>
  <c r="E397" i="4" s="1"/>
  <c r="D398" i="4"/>
  <c r="E398" i="4" s="1"/>
  <c r="D399" i="4"/>
  <c r="E399" i="4" s="1"/>
  <c r="D400" i="4"/>
  <c r="E400" i="4" s="1"/>
  <c r="D401" i="4"/>
  <c r="E401" i="4" s="1"/>
  <c r="D402" i="4"/>
  <c r="E402" i="4" s="1"/>
  <c r="D403" i="4"/>
  <c r="E403" i="4" s="1"/>
  <c r="D404" i="4"/>
  <c r="E404" i="4" s="1"/>
  <c r="D405" i="4"/>
  <c r="E405" i="4" s="1"/>
  <c r="D406" i="4"/>
  <c r="E406" i="4" s="1"/>
  <c r="D407" i="4"/>
  <c r="E407" i="4" s="1"/>
  <c r="D408" i="4"/>
  <c r="E408" i="4" s="1"/>
  <c r="D409" i="4"/>
  <c r="E409" i="4" s="1"/>
  <c r="D410" i="4"/>
  <c r="E410" i="4" s="1"/>
  <c r="D411" i="4"/>
  <c r="E411" i="4" s="1"/>
  <c r="D412" i="4"/>
  <c r="E412" i="4" s="1"/>
  <c r="D413" i="4"/>
  <c r="E413" i="4" s="1"/>
  <c r="D414" i="4"/>
  <c r="E414" i="4" s="1"/>
  <c r="D415" i="4"/>
  <c r="E415" i="4" s="1"/>
  <c r="D416" i="4"/>
  <c r="E416" i="4" s="1"/>
  <c r="D417" i="4"/>
  <c r="E417" i="4" s="1"/>
  <c r="D418" i="4"/>
  <c r="E418" i="4" s="1"/>
  <c r="D419" i="4"/>
  <c r="E419" i="4" s="1"/>
  <c r="D420" i="4"/>
  <c r="E420" i="4" s="1"/>
  <c r="D421" i="4"/>
  <c r="E421" i="4" s="1"/>
  <c r="D422" i="4"/>
  <c r="E422" i="4" s="1"/>
  <c r="D423" i="4"/>
  <c r="E423" i="4" s="1"/>
  <c r="D424" i="4"/>
  <c r="E424" i="4" s="1"/>
  <c r="D425" i="4"/>
  <c r="E425" i="4" s="1"/>
  <c r="D426" i="4"/>
  <c r="E426" i="4" s="1"/>
  <c r="D427" i="4"/>
  <c r="E427" i="4" s="1"/>
  <c r="D428" i="4"/>
  <c r="E428" i="4" s="1"/>
  <c r="D429" i="4"/>
  <c r="E429" i="4" s="1"/>
  <c r="D430" i="4"/>
  <c r="E430" i="4" s="1"/>
  <c r="D431" i="4"/>
  <c r="E431" i="4" s="1"/>
  <c r="D432" i="4"/>
  <c r="E432" i="4" s="1"/>
  <c r="D433" i="4"/>
  <c r="E433" i="4" s="1"/>
  <c r="D434" i="4"/>
  <c r="E434" i="4" s="1"/>
  <c r="D435" i="4"/>
  <c r="E435" i="4" s="1"/>
  <c r="D436" i="4"/>
  <c r="E436" i="4" s="1"/>
  <c r="D437" i="4"/>
  <c r="E437" i="4" s="1"/>
  <c r="D438" i="4"/>
  <c r="E438" i="4" s="1"/>
  <c r="D439" i="4"/>
  <c r="E439" i="4" s="1"/>
  <c r="D440" i="4"/>
  <c r="E440" i="4" s="1"/>
  <c r="D441" i="4"/>
  <c r="E441" i="4" s="1"/>
  <c r="D442" i="4"/>
  <c r="E442" i="4" s="1"/>
  <c r="D443" i="4"/>
  <c r="E443" i="4" s="1"/>
  <c r="D444" i="4"/>
  <c r="E444" i="4" s="1"/>
  <c r="D445" i="4"/>
  <c r="E445" i="4" s="1"/>
  <c r="D446" i="4"/>
  <c r="E446" i="4" s="1"/>
  <c r="D447" i="4"/>
  <c r="E447" i="4" s="1"/>
  <c r="D448" i="4"/>
  <c r="E448" i="4" s="1"/>
  <c r="D449" i="4"/>
  <c r="E449" i="4" s="1"/>
  <c r="D450" i="4"/>
  <c r="E450" i="4" s="1"/>
  <c r="D451" i="4"/>
  <c r="E451" i="4" s="1"/>
  <c r="D452" i="4"/>
  <c r="E452" i="4" s="1"/>
  <c r="D453" i="4"/>
  <c r="E453" i="4" s="1"/>
  <c r="D454" i="4"/>
  <c r="E454" i="4" s="1"/>
  <c r="D455" i="4"/>
  <c r="E455" i="4" s="1"/>
  <c r="D456" i="4"/>
  <c r="E456" i="4" s="1"/>
  <c r="D457" i="4"/>
  <c r="E457" i="4" s="1"/>
  <c r="D458" i="4"/>
  <c r="E458" i="4" s="1"/>
  <c r="D459" i="4"/>
  <c r="E459" i="4" s="1"/>
  <c r="D460" i="4"/>
  <c r="E460" i="4" s="1"/>
  <c r="D461" i="4"/>
  <c r="E461" i="4" s="1"/>
  <c r="D462" i="4"/>
  <c r="E462" i="4" s="1"/>
  <c r="D463" i="4"/>
  <c r="E463" i="4" s="1"/>
  <c r="D464" i="4"/>
  <c r="E464" i="4" s="1"/>
  <c r="D465" i="4"/>
  <c r="E465" i="4" s="1"/>
  <c r="D466" i="4"/>
  <c r="E466" i="4" s="1"/>
  <c r="D467" i="4"/>
  <c r="E467" i="4" s="1"/>
  <c r="D468" i="4"/>
  <c r="E468" i="4" s="1"/>
  <c r="D469" i="4"/>
  <c r="E469" i="4" s="1"/>
  <c r="D470" i="4"/>
  <c r="E470" i="4" s="1"/>
  <c r="D471" i="4"/>
  <c r="E471" i="4" s="1"/>
  <c r="D472" i="4"/>
  <c r="E472" i="4" s="1"/>
  <c r="D473" i="4"/>
  <c r="E473" i="4" s="1"/>
  <c r="D474" i="4"/>
  <c r="E474" i="4" s="1"/>
  <c r="D475" i="4"/>
  <c r="E475" i="4" s="1"/>
  <c r="D476" i="4"/>
  <c r="E476" i="4" s="1"/>
  <c r="D477" i="4"/>
  <c r="E477" i="4" s="1"/>
  <c r="D478" i="4"/>
  <c r="E478" i="4" s="1"/>
  <c r="D479" i="4"/>
  <c r="E479" i="4" s="1"/>
  <c r="D480" i="4"/>
  <c r="E480" i="4" s="1"/>
  <c r="D481" i="4"/>
  <c r="E481" i="4" s="1"/>
  <c r="D482" i="4"/>
  <c r="E482" i="4" s="1"/>
  <c r="D483" i="4"/>
  <c r="E483" i="4" s="1"/>
  <c r="D484" i="4"/>
  <c r="E484" i="4" s="1"/>
  <c r="D485" i="4"/>
  <c r="E485" i="4" s="1"/>
  <c r="D486" i="4"/>
  <c r="E486" i="4" s="1"/>
  <c r="D487" i="4"/>
  <c r="E487" i="4" s="1"/>
  <c r="D488" i="4"/>
  <c r="E488" i="4" s="1"/>
  <c r="D489" i="4"/>
  <c r="E489" i="4" s="1"/>
  <c r="D490" i="4"/>
  <c r="E490" i="4" s="1"/>
  <c r="D491" i="4"/>
  <c r="E491" i="4" s="1"/>
  <c r="D492" i="4"/>
  <c r="E492" i="4" s="1"/>
  <c r="D493" i="4"/>
  <c r="E493" i="4" s="1"/>
  <c r="D494" i="4"/>
  <c r="E494" i="4" s="1"/>
  <c r="D495" i="4"/>
  <c r="E495" i="4" s="1"/>
  <c r="D496" i="4"/>
  <c r="E496" i="4" s="1"/>
  <c r="D497" i="4"/>
  <c r="E497" i="4" s="1"/>
  <c r="D498" i="4"/>
  <c r="E498" i="4" s="1"/>
  <c r="D499" i="4"/>
  <c r="E499" i="4" s="1"/>
  <c r="D500" i="4"/>
  <c r="E500" i="4" s="1"/>
  <c r="D501" i="4"/>
  <c r="E501" i="4" s="1"/>
  <c r="D502" i="4"/>
  <c r="E502" i="4" s="1"/>
  <c r="D503" i="4"/>
  <c r="E503" i="4" s="1"/>
  <c r="D504" i="4"/>
  <c r="E504" i="4" s="1"/>
  <c r="D505" i="4"/>
  <c r="E505" i="4" s="1"/>
  <c r="D506" i="4"/>
  <c r="E506" i="4" s="1"/>
  <c r="D507" i="4"/>
  <c r="E507" i="4" s="1"/>
  <c r="D508" i="4"/>
  <c r="E508" i="4" s="1"/>
  <c r="D509" i="4"/>
  <c r="E509" i="4" s="1"/>
  <c r="D510" i="4"/>
  <c r="E510" i="4" s="1"/>
  <c r="D511" i="4"/>
  <c r="E511" i="4" s="1"/>
  <c r="D512" i="4"/>
  <c r="E512" i="4" s="1"/>
  <c r="D513" i="4"/>
  <c r="E513" i="4" s="1"/>
  <c r="D514" i="4"/>
  <c r="E514" i="4" s="1"/>
  <c r="D515" i="4"/>
  <c r="E515" i="4" s="1"/>
  <c r="D516" i="4"/>
  <c r="E516" i="4" s="1"/>
  <c r="D517" i="4"/>
  <c r="E517" i="4" s="1"/>
  <c r="D518" i="4"/>
  <c r="E518" i="4" s="1"/>
  <c r="D519" i="4"/>
  <c r="E519" i="4" s="1"/>
  <c r="D520" i="4"/>
  <c r="E520" i="4" s="1"/>
  <c r="D521" i="4"/>
  <c r="E521" i="4" s="1"/>
  <c r="D522" i="4"/>
  <c r="E522" i="4" s="1"/>
  <c r="D523" i="4"/>
  <c r="E523" i="4" s="1"/>
  <c r="D524" i="4"/>
  <c r="E524" i="4" s="1"/>
  <c r="D525" i="4"/>
  <c r="E525" i="4" s="1"/>
  <c r="D526" i="4"/>
  <c r="E526" i="4" s="1"/>
  <c r="D527" i="4"/>
  <c r="E527" i="4" s="1"/>
  <c r="D528" i="4"/>
  <c r="E528" i="4" s="1"/>
  <c r="D529" i="4"/>
  <c r="E529" i="4" s="1"/>
  <c r="D530" i="4"/>
  <c r="E530" i="4" s="1"/>
  <c r="D531" i="4"/>
  <c r="E531" i="4" s="1"/>
  <c r="D532" i="4"/>
  <c r="E532" i="4" s="1"/>
  <c r="D533" i="4"/>
  <c r="E533" i="4" s="1"/>
  <c r="D534" i="4"/>
  <c r="E534" i="4" s="1"/>
  <c r="D535" i="4"/>
  <c r="E535" i="4" s="1"/>
  <c r="D536" i="4"/>
  <c r="E536" i="4" s="1"/>
  <c r="D537" i="4"/>
  <c r="E537" i="4" s="1"/>
  <c r="D538" i="4"/>
  <c r="E538" i="4" s="1"/>
  <c r="D539" i="4"/>
  <c r="E539" i="4" s="1"/>
  <c r="D540" i="4"/>
  <c r="E540" i="4" s="1"/>
  <c r="D541" i="4"/>
  <c r="E541" i="4" s="1"/>
  <c r="D542" i="4"/>
  <c r="E542" i="4" s="1"/>
  <c r="D543" i="4"/>
  <c r="E543" i="4" s="1"/>
  <c r="D544" i="4"/>
  <c r="E544" i="4" s="1"/>
  <c r="D545" i="4"/>
  <c r="E545" i="4" s="1"/>
  <c r="D546" i="4"/>
  <c r="E546" i="4" s="1"/>
  <c r="D547" i="4"/>
  <c r="E547" i="4" s="1"/>
  <c r="D548" i="4"/>
  <c r="E548" i="4" s="1"/>
  <c r="D549" i="4"/>
  <c r="E549" i="4" s="1"/>
  <c r="D550" i="4"/>
  <c r="E550" i="4" s="1"/>
  <c r="D551" i="4"/>
  <c r="E551" i="4" s="1"/>
  <c r="D552" i="4"/>
  <c r="E552" i="4" s="1"/>
  <c r="D553" i="4"/>
  <c r="E553" i="4" s="1"/>
  <c r="D554" i="4"/>
  <c r="E554" i="4" s="1"/>
  <c r="D555" i="4"/>
  <c r="E555" i="4" s="1"/>
  <c r="D556" i="4"/>
  <c r="E556" i="4" s="1"/>
  <c r="D557" i="4"/>
  <c r="E557" i="4" s="1"/>
  <c r="D558" i="4"/>
  <c r="E558" i="4" s="1"/>
  <c r="D559" i="4"/>
  <c r="E559" i="4" s="1"/>
  <c r="D560" i="4"/>
  <c r="E560" i="4" s="1"/>
  <c r="D561" i="4"/>
  <c r="E561" i="4" s="1"/>
  <c r="D562" i="4"/>
  <c r="E562" i="4" s="1"/>
  <c r="D563" i="4"/>
  <c r="E563" i="4" s="1"/>
  <c r="D564" i="4"/>
  <c r="E564" i="4" s="1"/>
  <c r="D565" i="4"/>
  <c r="E565" i="4" s="1"/>
  <c r="D566" i="4"/>
  <c r="E566" i="4" s="1"/>
  <c r="D567" i="4"/>
  <c r="E567" i="4" s="1"/>
  <c r="D568" i="4"/>
  <c r="E568" i="4" s="1"/>
  <c r="D569" i="4"/>
  <c r="E569" i="4" s="1"/>
  <c r="D570" i="4"/>
  <c r="E570" i="4" s="1"/>
  <c r="D571" i="4"/>
  <c r="E571" i="4" s="1"/>
  <c r="D572" i="4"/>
  <c r="E572" i="4" s="1"/>
  <c r="D573" i="4"/>
  <c r="E573" i="4" s="1"/>
  <c r="D574" i="4"/>
  <c r="E574" i="4" s="1"/>
  <c r="D575" i="4"/>
  <c r="E575" i="4" s="1"/>
  <c r="D576" i="4"/>
  <c r="E576" i="4" s="1"/>
  <c r="D577" i="4"/>
  <c r="E577" i="4" s="1"/>
  <c r="D578" i="4"/>
  <c r="E578" i="4" s="1"/>
  <c r="D579" i="4"/>
  <c r="E579" i="4" s="1"/>
  <c r="D580" i="4"/>
  <c r="E580" i="4" s="1"/>
  <c r="D581" i="4"/>
  <c r="E581" i="4" s="1"/>
  <c r="D582" i="4"/>
  <c r="E582" i="4" s="1"/>
  <c r="D583" i="4"/>
  <c r="E583" i="4" s="1"/>
  <c r="D584" i="4"/>
  <c r="E584" i="4" s="1"/>
  <c r="D585" i="4"/>
  <c r="E585" i="4" s="1"/>
  <c r="D586" i="4"/>
  <c r="E586" i="4" s="1"/>
  <c r="D587" i="4"/>
  <c r="E587" i="4" s="1"/>
  <c r="D588" i="4"/>
  <c r="E588" i="4" s="1"/>
  <c r="D589" i="4"/>
  <c r="E589" i="4" s="1"/>
  <c r="D590" i="4"/>
  <c r="E590" i="4" s="1"/>
  <c r="D591" i="4"/>
  <c r="E591" i="4" s="1"/>
  <c r="D592" i="4"/>
  <c r="E592" i="4" s="1"/>
  <c r="D593" i="4"/>
  <c r="E593" i="4" s="1"/>
  <c r="D594" i="4"/>
  <c r="E594" i="4" s="1"/>
  <c r="D595" i="4"/>
  <c r="E595" i="4" s="1"/>
  <c r="D596" i="4"/>
  <c r="E596" i="4" s="1"/>
  <c r="D597" i="4"/>
  <c r="E597" i="4" s="1"/>
  <c r="D598" i="4"/>
  <c r="E598" i="4" s="1"/>
  <c r="D599" i="4"/>
  <c r="E599" i="4" s="1"/>
  <c r="D600" i="4"/>
  <c r="E600" i="4" s="1"/>
  <c r="D601" i="4"/>
  <c r="E601" i="4" s="1"/>
  <c r="D602" i="4"/>
  <c r="E602" i="4" s="1"/>
  <c r="D603" i="4"/>
  <c r="E603" i="4" s="1"/>
  <c r="D604" i="4"/>
  <c r="E604" i="4" s="1"/>
  <c r="D605" i="4"/>
  <c r="E605" i="4" s="1"/>
  <c r="D606" i="4"/>
  <c r="E606" i="4" s="1"/>
  <c r="D607" i="4"/>
  <c r="E607" i="4" s="1"/>
  <c r="D608" i="4"/>
  <c r="E608" i="4" s="1"/>
  <c r="D609" i="4"/>
  <c r="E609" i="4" s="1"/>
  <c r="D610" i="4"/>
  <c r="E610" i="4" s="1"/>
  <c r="D611" i="4"/>
  <c r="E611" i="4" s="1"/>
  <c r="D612" i="4"/>
  <c r="E612" i="4" s="1"/>
  <c r="D613" i="4"/>
  <c r="E613" i="4" s="1"/>
  <c r="D614" i="4"/>
  <c r="E614" i="4" s="1"/>
  <c r="D615" i="4"/>
  <c r="E615" i="4" s="1"/>
  <c r="D616" i="4"/>
  <c r="E616" i="4" s="1"/>
  <c r="D617" i="4"/>
  <c r="E617" i="4" s="1"/>
  <c r="D618" i="4"/>
  <c r="E618" i="4" s="1"/>
  <c r="D619" i="4"/>
  <c r="E619" i="4" s="1"/>
  <c r="D620" i="4"/>
  <c r="E620" i="4" s="1"/>
  <c r="D621" i="4"/>
  <c r="E621" i="4" s="1"/>
  <c r="D622" i="4"/>
  <c r="E622" i="4" s="1"/>
  <c r="D623" i="4"/>
  <c r="E623" i="4" s="1"/>
  <c r="D624" i="4"/>
  <c r="E624" i="4" s="1"/>
  <c r="D625" i="4"/>
  <c r="E625" i="4" s="1"/>
  <c r="D626" i="4"/>
  <c r="E626" i="4" s="1"/>
  <c r="D627" i="4"/>
  <c r="E627" i="4" s="1"/>
  <c r="D628" i="4"/>
  <c r="E628" i="4" s="1"/>
  <c r="D629" i="4"/>
  <c r="E629" i="4" s="1"/>
  <c r="D630" i="4"/>
  <c r="E630" i="4" s="1"/>
  <c r="D631" i="4"/>
  <c r="E631" i="4" s="1"/>
  <c r="D632" i="4"/>
  <c r="E632" i="4" s="1"/>
  <c r="D633" i="4"/>
  <c r="E633" i="4" s="1"/>
  <c r="D634" i="4"/>
  <c r="E634" i="4" s="1"/>
  <c r="D635" i="4"/>
  <c r="E635" i="4" s="1"/>
  <c r="D636" i="4"/>
  <c r="E636" i="4" s="1"/>
  <c r="D637" i="4"/>
  <c r="E637" i="4" s="1"/>
  <c r="D638" i="4"/>
  <c r="E638" i="4" s="1"/>
  <c r="D639" i="4"/>
  <c r="E639" i="4" s="1"/>
  <c r="D640" i="4"/>
  <c r="E640" i="4" s="1"/>
  <c r="D641" i="4"/>
  <c r="E641" i="4" s="1"/>
  <c r="D642" i="4"/>
  <c r="E642" i="4" s="1"/>
  <c r="D643" i="4"/>
  <c r="E643" i="4" s="1"/>
  <c r="D644" i="4"/>
  <c r="E644" i="4" s="1"/>
  <c r="D645" i="4"/>
  <c r="E645" i="4" s="1"/>
  <c r="D646" i="4"/>
  <c r="E646" i="4" s="1"/>
  <c r="D647" i="4"/>
  <c r="E647" i="4" s="1"/>
  <c r="D648" i="4"/>
  <c r="E648" i="4" s="1"/>
  <c r="D649" i="4"/>
  <c r="E649" i="4" s="1"/>
  <c r="D650" i="4"/>
  <c r="E650" i="4" s="1"/>
  <c r="D651" i="4"/>
  <c r="E651" i="4" s="1"/>
  <c r="D652" i="4"/>
  <c r="E652" i="4" s="1"/>
  <c r="D653" i="4"/>
  <c r="E653" i="4" s="1"/>
  <c r="D654" i="4"/>
  <c r="E654" i="4" s="1"/>
  <c r="D655" i="4"/>
  <c r="E655" i="4" s="1"/>
  <c r="D656" i="4"/>
  <c r="E656" i="4" s="1"/>
  <c r="D657" i="4"/>
  <c r="E657" i="4" s="1"/>
  <c r="D658" i="4"/>
  <c r="E658" i="4" s="1"/>
  <c r="D659" i="4"/>
  <c r="E659" i="4" s="1"/>
  <c r="D660" i="4"/>
  <c r="E660" i="4" s="1"/>
  <c r="D661" i="4"/>
  <c r="E661" i="4" s="1"/>
  <c r="D662" i="4"/>
  <c r="E662" i="4" s="1"/>
  <c r="D663" i="4"/>
  <c r="E663" i="4" s="1"/>
  <c r="D664" i="4"/>
  <c r="E664" i="4" s="1"/>
  <c r="D665" i="4"/>
  <c r="E665" i="4" s="1"/>
  <c r="D666" i="4"/>
  <c r="E666" i="4" s="1"/>
  <c r="D667" i="4"/>
  <c r="E667" i="4" s="1"/>
  <c r="D668" i="4"/>
  <c r="E668" i="4" s="1"/>
  <c r="D669" i="4"/>
  <c r="E669" i="4" s="1"/>
  <c r="D670" i="4"/>
  <c r="E670" i="4" s="1"/>
  <c r="D671" i="4"/>
  <c r="E671" i="4" s="1"/>
  <c r="D672" i="4"/>
  <c r="E672" i="4" s="1"/>
  <c r="D673" i="4"/>
  <c r="E673" i="4" s="1"/>
  <c r="D674" i="4"/>
  <c r="E674" i="4" s="1"/>
  <c r="D675" i="4"/>
  <c r="E675" i="4" s="1"/>
  <c r="D676" i="4"/>
  <c r="E676" i="4" s="1"/>
  <c r="D677" i="4"/>
  <c r="E677" i="4" s="1"/>
  <c r="D678" i="4"/>
  <c r="E678" i="4" s="1"/>
  <c r="D679" i="4"/>
  <c r="E679" i="4" s="1"/>
  <c r="D680" i="4"/>
  <c r="E680" i="4" s="1"/>
  <c r="D681" i="4"/>
  <c r="E681" i="4" s="1"/>
  <c r="D682" i="4"/>
  <c r="E682" i="4" s="1"/>
  <c r="D683" i="4"/>
  <c r="E683" i="4" s="1"/>
  <c r="D684" i="4"/>
  <c r="E684" i="4" s="1"/>
  <c r="D685" i="4"/>
  <c r="E685" i="4" s="1"/>
  <c r="D686" i="4"/>
  <c r="E686" i="4" s="1"/>
  <c r="D687" i="4"/>
  <c r="E687" i="4" s="1"/>
  <c r="D688" i="4"/>
  <c r="E688" i="4" s="1"/>
  <c r="D689" i="4"/>
  <c r="E689" i="4" s="1"/>
  <c r="D690" i="4"/>
  <c r="E690" i="4" s="1"/>
  <c r="D691" i="4"/>
  <c r="E691" i="4" s="1"/>
  <c r="D692" i="4"/>
  <c r="E692" i="4" s="1"/>
  <c r="D693" i="4"/>
  <c r="E693" i="4" s="1"/>
  <c r="D694" i="4"/>
  <c r="E694" i="4" s="1"/>
  <c r="D695" i="4"/>
  <c r="E695" i="4" s="1"/>
  <c r="D696" i="4"/>
  <c r="E696" i="4" s="1"/>
  <c r="D697" i="4"/>
  <c r="E697" i="4" s="1"/>
  <c r="D698" i="4"/>
  <c r="E698" i="4" s="1"/>
  <c r="D699" i="4"/>
  <c r="E699" i="4" s="1"/>
  <c r="D700" i="4"/>
  <c r="E700" i="4" s="1"/>
  <c r="D701" i="4"/>
  <c r="E701" i="4" s="1"/>
  <c r="D702" i="4"/>
  <c r="E702" i="4" s="1"/>
  <c r="D703" i="4"/>
  <c r="E703" i="4" s="1"/>
  <c r="D704" i="4"/>
  <c r="E704" i="4" s="1"/>
  <c r="D705" i="4"/>
  <c r="E705" i="4" s="1"/>
  <c r="D706" i="4"/>
  <c r="E706" i="4" s="1"/>
  <c r="D707" i="4"/>
  <c r="E707" i="4" s="1"/>
  <c r="D708" i="4"/>
  <c r="E708" i="4" s="1"/>
  <c r="D709" i="4"/>
  <c r="E709" i="4" s="1"/>
  <c r="D710" i="4"/>
  <c r="E710" i="4" s="1"/>
  <c r="D711" i="4"/>
  <c r="E711" i="4" s="1"/>
  <c r="D712" i="4"/>
  <c r="E712" i="4" s="1"/>
  <c r="D713" i="4"/>
  <c r="E713" i="4" s="1"/>
  <c r="D714" i="4"/>
  <c r="E714" i="4" s="1"/>
  <c r="D715" i="4"/>
  <c r="E715" i="4" s="1"/>
  <c r="D716" i="4"/>
  <c r="E716" i="4" s="1"/>
  <c r="D717" i="4"/>
  <c r="E717" i="4" s="1"/>
  <c r="D718" i="4"/>
  <c r="E718" i="4" s="1"/>
  <c r="D719" i="4"/>
  <c r="E719" i="4" s="1"/>
  <c r="D720" i="4"/>
  <c r="E720" i="4" s="1"/>
  <c r="D721" i="4"/>
  <c r="E721" i="4" s="1"/>
  <c r="D722" i="4"/>
  <c r="E722" i="4" s="1"/>
  <c r="D723" i="4"/>
  <c r="E723" i="4" s="1"/>
  <c r="D724" i="4"/>
  <c r="E724" i="4" s="1"/>
  <c r="D725" i="4"/>
  <c r="E725" i="4" s="1"/>
  <c r="D726" i="4"/>
  <c r="E726" i="4" s="1"/>
  <c r="D727" i="4"/>
  <c r="E727" i="4" s="1"/>
  <c r="D728" i="4"/>
  <c r="E728" i="4" s="1"/>
  <c r="D729" i="4"/>
  <c r="E729" i="4" s="1"/>
  <c r="D730" i="4"/>
  <c r="E730" i="4" s="1"/>
  <c r="D731" i="4"/>
  <c r="E731" i="4" s="1"/>
  <c r="D732" i="4"/>
  <c r="E732" i="4" s="1"/>
  <c r="D733" i="4"/>
  <c r="E733" i="4" s="1"/>
  <c r="D734" i="4"/>
  <c r="E734" i="4" s="1"/>
  <c r="D735" i="4"/>
  <c r="E735" i="4" s="1"/>
  <c r="D736" i="4"/>
  <c r="E736" i="4" s="1"/>
  <c r="D737" i="4"/>
  <c r="E737" i="4" s="1"/>
  <c r="D738" i="4"/>
  <c r="E738" i="4" s="1"/>
  <c r="D739" i="4"/>
  <c r="E739" i="4" s="1"/>
  <c r="D740" i="4"/>
  <c r="E740" i="4" s="1"/>
  <c r="D741" i="4"/>
  <c r="E741" i="4" s="1"/>
  <c r="D742" i="4"/>
  <c r="E742" i="4" s="1"/>
  <c r="D743" i="4"/>
  <c r="E743" i="4" s="1"/>
  <c r="D744" i="4"/>
  <c r="E744" i="4" s="1"/>
  <c r="D745" i="4"/>
  <c r="E745" i="4" s="1"/>
  <c r="D746" i="4"/>
  <c r="E746" i="4" s="1"/>
  <c r="D747" i="4"/>
  <c r="E747" i="4" s="1"/>
  <c r="D748" i="4"/>
  <c r="E748" i="4" s="1"/>
  <c r="D749" i="4"/>
  <c r="E749" i="4" s="1"/>
  <c r="D750" i="4"/>
  <c r="E750" i="4" s="1"/>
  <c r="D751" i="4"/>
  <c r="E751" i="4" s="1"/>
  <c r="D752" i="4"/>
  <c r="E752" i="4" s="1"/>
  <c r="D753" i="4"/>
  <c r="E753" i="4" s="1"/>
  <c r="D754" i="4"/>
  <c r="E754" i="4" s="1"/>
  <c r="D755" i="4"/>
  <c r="E755" i="4" s="1"/>
  <c r="D756" i="4"/>
  <c r="E756" i="4" s="1"/>
  <c r="D757" i="4"/>
  <c r="E757" i="4" s="1"/>
  <c r="D758" i="4"/>
  <c r="E758" i="4" s="1"/>
  <c r="D759" i="4"/>
  <c r="E759" i="4" s="1"/>
  <c r="D760" i="4"/>
  <c r="E760" i="4" s="1"/>
  <c r="D761" i="4"/>
  <c r="E761" i="4" s="1"/>
  <c r="D762" i="4"/>
  <c r="E762" i="4" s="1"/>
  <c r="D763" i="4"/>
  <c r="E763" i="4" s="1"/>
  <c r="D764" i="4"/>
  <c r="E764" i="4" s="1"/>
  <c r="D765" i="4"/>
  <c r="E765" i="4" s="1"/>
  <c r="D766" i="4"/>
  <c r="E766" i="4" s="1"/>
  <c r="D767" i="4"/>
  <c r="E767" i="4" s="1"/>
  <c r="D768" i="4"/>
  <c r="E768" i="4" s="1"/>
  <c r="D769" i="4"/>
  <c r="E769" i="4" s="1"/>
  <c r="D770" i="4"/>
  <c r="E770" i="4" s="1"/>
  <c r="D771" i="4"/>
  <c r="E771" i="4" s="1"/>
  <c r="D772" i="4"/>
  <c r="E772" i="4" s="1"/>
  <c r="D773" i="4"/>
  <c r="E773" i="4" s="1"/>
  <c r="D774" i="4"/>
  <c r="E774" i="4" s="1"/>
  <c r="D775" i="4"/>
  <c r="E775" i="4" s="1"/>
  <c r="D776" i="4"/>
  <c r="E776" i="4" s="1"/>
  <c r="D777" i="4"/>
  <c r="E777" i="4" s="1"/>
  <c r="D778" i="4"/>
  <c r="E778" i="4" s="1"/>
  <c r="D779" i="4"/>
  <c r="E779" i="4" s="1"/>
  <c r="D780" i="4"/>
  <c r="E780" i="4" s="1"/>
  <c r="D781" i="4"/>
  <c r="E781" i="4" s="1"/>
  <c r="D782" i="4"/>
  <c r="E782" i="4" s="1"/>
  <c r="D783" i="4"/>
  <c r="E783" i="4" s="1"/>
  <c r="D784" i="4"/>
  <c r="E784" i="4" s="1"/>
  <c r="D785" i="4"/>
  <c r="E785" i="4" s="1"/>
  <c r="D786" i="4"/>
  <c r="E786" i="4" s="1"/>
  <c r="D787" i="4"/>
  <c r="E787" i="4" s="1"/>
  <c r="D788" i="4"/>
  <c r="E788" i="4" s="1"/>
  <c r="D789" i="4"/>
  <c r="E789" i="4" s="1"/>
  <c r="D790" i="4"/>
  <c r="E790" i="4" s="1"/>
  <c r="D791" i="4"/>
  <c r="E791" i="4" s="1"/>
  <c r="D792" i="4"/>
  <c r="E792" i="4" s="1"/>
  <c r="D793" i="4"/>
  <c r="E793" i="4" s="1"/>
  <c r="D794" i="4"/>
  <c r="E794" i="4" s="1"/>
  <c r="D795" i="4"/>
  <c r="E795" i="4" s="1"/>
  <c r="D796" i="4"/>
  <c r="E796" i="4" s="1"/>
  <c r="D797" i="4"/>
  <c r="E797" i="4" s="1"/>
  <c r="D798" i="4"/>
  <c r="E798" i="4" s="1"/>
  <c r="D799" i="4"/>
  <c r="E799" i="4" s="1"/>
  <c r="D800" i="4"/>
  <c r="E800" i="4" s="1"/>
  <c r="D801" i="4"/>
  <c r="E801" i="4" s="1"/>
  <c r="D802" i="4"/>
  <c r="E802" i="4" s="1"/>
  <c r="D803" i="4"/>
  <c r="E803" i="4" s="1"/>
  <c r="D804" i="4"/>
  <c r="E804" i="4" s="1"/>
  <c r="D805" i="4"/>
  <c r="E805" i="4" s="1"/>
  <c r="D806" i="4"/>
  <c r="E806" i="4" s="1"/>
  <c r="D807" i="4"/>
  <c r="E807" i="4" s="1"/>
  <c r="D808" i="4"/>
  <c r="E808" i="4" s="1"/>
  <c r="D809" i="4"/>
  <c r="E809" i="4" s="1"/>
  <c r="D810" i="4"/>
  <c r="E810" i="4" s="1"/>
  <c r="D811" i="4"/>
  <c r="E811" i="4" s="1"/>
  <c r="D812" i="4"/>
  <c r="E812" i="4" s="1"/>
  <c r="D813" i="4"/>
  <c r="E813" i="4" s="1"/>
  <c r="D814" i="4"/>
  <c r="E814" i="4" s="1"/>
  <c r="D815" i="4"/>
  <c r="E815" i="4" s="1"/>
  <c r="D816" i="4"/>
  <c r="E816" i="4" s="1"/>
  <c r="D817" i="4"/>
  <c r="E817" i="4" s="1"/>
  <c r="D818" i="4"/>
  <c r="E818" i="4" s="1"/>
  <c r="D819" i="4"/>
  <c r="E819" i="4" s="1"/>
  <c r="D820" i="4"/>
  <c r="E820" i="4" s="1"/>
  <c r="D821" i="4"/>
  <c r="E821" i="4" s="1"/>
  <c r="D822" i="4"/>
  <c r="E822" i="4" s="1"/>
  <c r="D823" i="4"/>
  <c r="E823" i="4" s="1"/>
  <c r="D824" i="4"/>
  <c r="E824" i="4" s="1"/>
  <c r="D825" i="4"/>
  <c r="E825" i="4" s="1"/>
  <c r="D826" i="4"/>
  <c r="E826" i="4" s="1"/>
  <c r="D827" i="4"/>
  <c r="E827" i="4" s="1"/>
  <c r="D828" i="4"/>
  <c r="E828" i="4" s="1"/>
  <c r="D829" i="4"/>
  <c r="E829" i="4" s="1"/>
  <c r="D830" i="4"/>
  <c r="E830" i="4" s="1"/>
  <c r="D831" i="4"/>
  <c r="E831" i="4" s="1"/>
  <c r="D832" i="4"/>
  <c r="E832" i="4" s="1"/>
  <c r="D833" i="4"/>
  <c r="E833" i="4" s="1"/>
  <c r="D834" i="4"/>
  <c r="E834" i="4" s="1"/>
  <c r="D835" i="4"/>
  <c r="E835" i="4" s="1"/>
  <c r="D836" i="4"/>
  <c r="E836" i="4" s="1"/>
  <c r="D837" i="4"/>
  <c r="E837" i="4" s="1"/>
  <c r="D838" i="4"/>
  <c r="E838" i="4" s="1"/>
  <c r="D839" i="4"/>
  <c r="E839" i="4" s="1"/>
  <c r="D840" i="4"/>
  <c r="E840" i="4" s="1"/>
  <c r="D841" i="4"/>
  <c r="E841" i="4" s="1"/>
  <c r="D842" i="4"/>
  <c r="E842" i="4" s="1"/>
  <c r="D843" i="4"/>
  <c r="E843" i="4" s="1"/>
  <c r="D844" i="4"/>
  <c r="E844" i="4" s="1"/>
  <c r="D845" i="4"/>
  <c r="E845" i="4" s="1"/>
  <c r="D846" i="4"/>
  <c r="E846" i="4" s="1"/>
  <c r="D847" i="4"/>
  <c r="E847" i="4" s="1"/>
  <c r="D848" i="4"/>
  <c r="E848" i="4" s="1"/>
  <c r="D849" i="4"/>
  <c r="E849" i="4" s="1"/>
  <c r="D850" i="4"/>
  <c r="E850" i="4" s="1"/>
  <c r="D851" i="4"/>
  <c r="E851" i="4" s="1"/>
  <c r="D852" i="4"/>
  <c r="E852" i="4" s="1"/>
  <c r="D853" i="4"/>
  <c r="E853" i="4" s="1"/>
  <c r="D854" i="4"/>
  <c r="E854" i="4" s="1"/>
  <c r="D855" i="4"/>
  <c r="E855" i="4" s="1"/>
  <c r="D856" i="4"/>
  <c r="E856" i="4" s="1"/>
  <c r="D857" i="4"/>
  <c r="E857" i="4" s="1"/>
  <c r="D858" i="4"/>
  <c r="E858" i="4" s="1"/>
  <c r="D859" i="4"/>
  <c r="E859" i="4" s="1"/>
  <c r="D860" i="4"/>
  <c r="E860" i="4" s="1"/>
  <c r="D861" i="4"/>
  <c r="E861" i="4" s="1"/>
  <c r="D862" i="4"/>
  <c r="E862" i="4" s="1"/>
  <c r="D863" i="4"/>
  <c r="E863" i="4" s="1"/>
  <c r="D864" i="4"/>
  <c r="E864" i="4" s="1"/>
  <c r="D865" i="4"/>
  <c r="E865" i="4" s="1"/>
  <c r="D866" i="4"/>
  <c r="E866" i="4" s="1"/>
  <c r="D867" i="4"/>
  <c r="E867" i="4" s="1"/>
  <c r="D868" i="4"/>
  <c r="E868" i="4" s="1"/>
  <c r="D869" i="4"/>
  <c r="E869" i="4" s="1"/>
  <c r="D870" i="4"/>
  <c r="E870" i="4" s="1"/>
  <c r="D871" i="4"/>
  <c r="E871" i="4" s="1"/>
  <c r="D872" i="4"/>
  <c r="E872" i="4" s="1"/>
  <c r="D873" i="4"/>
  <c r="E873" i="4" s="1"/>
  <c r="D874" i="4"/>
  <c r="E874" i="4" s="1"/>
  <c r="D875" i="4"/>
  <c r="E875" i="4" s="1"/>
  <c r="D876" i="4"/>
  <c r="E876" i="4" s="1"/>
  <c r="D877" i="4"/>
  <c r="E877" i="4" s="1"/>
  <c r="D878" i="4"/>
  <c r="E878" i="4" s="1"/>
  <c r="D879" i="4"/>
  <c r="E879" i="4" s="1"/>
  <c r="D880" i="4"/>
  <c r="E880" i="4" s="1"/>
  <c r="D881" i="4"/>
  <c r="E881" i="4" s="1"/>
  <c r="D882" i="4"/>
  <c r="E882" i="4" s="1"/>
  <c r="D883" i="4"/>
  <c r="E883" i="4" s="1"/>
  <c r="D884" i="4"/>
  <c r="E884" i="4" s="1"/>
  <c r="D885" i="4"/>
  <c r="E885" i="4" s="1"/>
  <c r="D886" i="4"/>
  <c r="E886" i="4" s="1"/>
  <c r="D887" i="4"/>
  <c r="E887" i="4" s="1"/>
  <c r="D888" i="4"/>
  <c r="E888" i="4" s="1"/>
  <c r="D889" i="4"/>
  <c r="E889" i="4" s="1"/>
  <c r="D890" i="4"/>
  <c r="E890" i="4" s="1"/>
  <c r="D891" i="4"/>
  <c r="E891" i="4" s="1"/>
  <c r="D892" i="4"/>
  <c r="E892" i="4" s="1"/>
  <c r="D893" i="4"/>
  <c r="E893" i="4" s="1"/>
  <c r="D894" i="4"/>
  <c r="E894" i="4" s="1"/>
  <c r="D895" i="4"/>
  <c r="E895" i="4" s="1"/>
  <c r="D896" i="4"/>
  <c r="E896" i="4" s="1"/>
  <c r="D897" i="4"/>
  <c r="E897" i="4" s="1"/>
  <c r="D898" i="4"/>
  <c r="E898" i="4" s="1"/>
  <c r="D899" i="4"/>
  <c r="E899" i="4" s="1"/>
  <c r="D900" i="4"/>
  <c r="E900" i="4" s="1"/>
  <c r="D901" i="4"/>
  <c r="E901" i="4" s="1"/>
  <c r="D902" i="4"/>
  <c r="E902" i="4" s="1"/>
  <c r="D903" i="4"/>
  <c r="E903" i="4" s="1"/>
  <c r="D904" i="4"/>
  <c r="E904" i="4" s="1"/>
  <c r="D905" i="4"/>
  <c r="E905" i="4" s="1"/>
  <c r="D906" i="4"/>
  <c r="E906" i="4" s="1"/>
  <c r="D907" i="4"/>
  <c r="E907" i="4" s="1"/>
  <c r="D908" i="4"/>
  <c r="E908" i="4" s="1"/>
  <c r="D909" i="4"/>
  <c r="E909" i="4" s="1"/>
  <c r="D910" i="4"/>
  <c r="E910" i="4" s="1"/>
  <c r="D911" i="4"/>
  <c r="E911" i="4" s="1"/>
  <c r="D912" i="4"/>
  <c r="E912" i="4" s="1"/>
  <c r="D913" i="4"/>
  <c r="E913" i="4" s="1"/>
  <c r="D914" i="4"/>
  <c r="E914" i="4" s="1"/>
  <c r="D915" i="4"/>
  <c r="E915" i="4" s="1"/>
  <c r="D916" i="4"/>
  <c r="E916" i="4" s="1"/>
  <c r="D917" i="4"/>
  <c r="E917" i="4" s="1"/>
  <c r="D918" i="4"/>
  <c r="E918" i="4" s="1"/>
  <c r="D919" i="4"/>
  <c r="E919" i="4" s="1"/>
  <c r="D920" i="4"/>
  <c r="E920" i="4" s="1"/>
  <c r="D921" i="4"/>
  <c r="E921" i="4" s="1"/>
  <c r="D922" i="4"/>
  <c r="E922" i="4" s="1"/>
  <c r="D923" i="4"/>
  <c r="E923" i="4" s="1"/>
  <c r="D924" i="4"/>
  <c r="E924" i="4" s="1"/>
  <c r="D925" i="4"/>
  <c r="E925" i="4" s="1"/>
  <c r="D926" i="4"/>
  <c r="E926" i="4" s="1"/>
  <c r="D927" i="4"/>
  <c r="E927" i="4" s="1"/>
  <c r="D928" i="4"/>
  <c r="E928" i="4" s="1"/>
  <c r="D929" i="4"/>
  <c r="E929" i="4" s="1"/>
  <c r="D930" i="4"/>
  <c r="E930" i="4" s="1"/>
  <c r="D931" i="4"/>
  <c r="E931" i="4" s="1"/>
  <c r="D932" i="4"/>
  <c r="E932" i="4" s="1"/>
  <c r="D933" i="4"/>
  <c r="E933" i="4" s="1"/>
  <c r="D934" i="4"/>
  <c r="E934" i="4" s="1"/>
  <c r="D935" i="4"/>
  <c r="E935" i="4" s="1"/>
  <c r="D936" i="4"/>
  <c r="E936" i="4" s="1"/>
  <c r="D937" i="4"/>
  <c r="E937" i="4" s="1"/>
  <c r="D938" i="4"/>
  <c r="E938" i="4" s="1"/>
  <c r="D939" i="4"/>
  <c r="E939" i="4" s="1"/>
  <c r="D940" i="4"/>
  <c r="E940" i="4" s="1"/>
  <c r="D941" i="4"/>
  <c r="E941" i="4" s="1"/>
  <c r="D942" i="4"/>
  <c r="E942" i="4" s="1"/>
  <c r="D943" i="4"/>
  <c r="E943" i="4" s="1"/>
  <c r="D944" i="4"/>
  <c r="E944" i="4" s="1"/>
  <c r="D945" i="4"/>
  <c r="E945" i="4" s="1"/>
  <c r="D946" i="4"/>
  <c r="E946" i="4" s="1"/>
  <c r="D947" i="4"/>
  <c r="E947" i="4" s="1"/>
  <c r="D948" i="4"/>
  <c r="E948" i="4" s="1"/>
  <c r="D949" i="4"/>
  <c r="E949" i="4" s="1"/>
  <c r="D950" i="4"/>
  <c r="E950" i="4" s="1"/>
  <c r="D951" i="4"/>
  <c r="E951" i="4" s="1"/>
  <c r="D952" i="4"/>
  <c r="E952" i="4" s="1"/>
  <c r="D953" i="4"/>
  <c r="E953" i="4" s="1"/>
  <c r="D954" i="4"/>
  <c r="E954" i="4" s="1"/>
  <c r="D955" i="4"/>
  <c r="E955" i="4" s="1"/>
  <c r="D956" i="4"/>
  <c r="E956" i="4" s="1"/>
  <c r="D957" i="4"/>
  <c r="E957" i="4" s="1"/>
  <c r="D958" i="4"/>
  <c r="E958" i="4" s="1"/>
  <c r="D959" i="4"/>
  <c r="E959" i="4" s="1"/>
  <c r="D960" i="4"/>
  <c r="E960" i="4" s="1"/>
  <c r="D961" i="4"/>
  <c r="E961" i="4" s="1"/>
  <c r="D962" i="4"/>
  <c r="E962" i="4" s="1"/>
  <c r="D963" i="4"/>
  <c r="E963" i="4" s="1"/>
  <c r="D964" i="4"/>
  <c r="E964" i="4" s="1"/>
  <c r="D965" i="4"/>
  <c r="E965" i="4" s="1"/>
  <c r="D966" i="4"/>
  <c r="E966" i="4" s="1"/>
  <c r="D967" i="4"/>
  <c r="E967" i="4" s="1"/>
  <c r="D968" i="4"/>
  <c r="E968" i="4" s="1"/>
  <c r="D969" i="4"/>
  <c r="E969" i="4" s="1"/>
  <c r="D970" i="4"/>
  <c r="E970" i="4" s="1"/>
  <c r="D971" i="4"/>
  <c r="E971" i="4" s="1"/>
  <c r="D972" i="4"/>
  <c r="E972" i="4" s="1"/>
  <c r="D973" i="4"/>
  <c r="E973" i="4" s="1"/>
  <c r="D974" i="4"/>
  <c r="E974" i="4" s="1"/>
  <c r="D975" i="4"/>
  <c r="E975" i="4" s="1"/>
  <c r="D976" i="4"/>
  <c r="E976" i="4" s="1"/>
  <c r="D977" i="4"/>
  <c r="E977" i="4" s="1"/>
  <c r="D978" i="4"/>
  <c r="E978" i="4" s="1"/>
  <c r="D979" i="4"/>
  <c r="E979" i="4" s="1"/>
  <c r="D980" i="4"/>
  <c r="E980" i="4" s="1"/>
  <c r="D981" i="4"/>
  <c r="E981" i="4" s="1"/>
  <c r="D982" i="4"/>
  <c r="E982" i="4" s="1"/>
  <c r="D983" i="4"/>
  <c r="E983" i="4" s="1"/>
  <c r="D984" i="4"/>
  <c r="E984" i="4" s="1"/>
  <c r="D985" i="4"/>
  <c r="E985" i="4" s="1"/>
  <c r="D986" i="4"/>
  <c r="E986" i="4" s="1"/>
  <c r="D987" i="4"/>
  <c r="E987" i="4" s="1"/>
  <c r="D988" i="4"/>
  <c r="E988" i="4" s="1"/>
  <c r="D989" i="4"/>
  <c r="E989" i="4" s="1"/>
  <c r="D990" i="4"/>
  <c r="E990" i="4" s="1"/>
  <c r="D991" i="4"/>
  <c r="E991" i="4" s="1"/>
  <c r="D992" i="4"/>
  <c r="E992" i="4" s="1"/>
  <c r="D993" i="4"/>
  <c r="E993" i="4" s="1"/>
  <c r="D994" i="4"/>
  <c r="E994" i="4" s="1"/>
  <c r="D995" i="4"/>
  <c r="E995" i="4" s="1"/>
  <c r="D996" i="4"/>
  <c r="E996" i="4" s="1"/>
  <c r="D997" i="4"/>
  <c r="E997" i="4" s="1"/>
  <c r="D998" i="4"/>
  <c r="E998" i="4" s="1"/>
  <c r="D999" i="4"/>
  <c r="E999" i="4" s="1"/>
  <c r="D1000" i="4"/>
  <c r="E1000" i="4" s="1"/>
  <c r="D5" i="4"/>
  <c r="E5" i="4" s="1"/>
  <c r="A6" i="4"/>
  <c r="B6" i="4"/>
  <c r="C6" i="4"/>
  <c r="A7" i="4"/>
  <c r="B7" i="4"/>
  <c r="C7" i="4"/>
  <c r="A8" i="4"/>
  <c r="B8" i="4"/>
  <c r="C8" i="4"/>
  <c r="A9" i="4"/>
  <c r="B9" i="4"/>
  <c r="C9" i="4"/>
  <c r="A10" i="4"/>
  <c r="B10" i="4"/>
  <c r="C10" i="4"/>
  <c r="A11" i="4"/>
  <c r="B11" i="4"/>
  <c r="C11" i="4"/>
  <c r="A12" i="4"/>
  <c r="B12" i="4"/>
  <c r="C12" i="4"/>
  <c r="A13" i="4"/>
  <c r="B13" i="4"/>
  <c r="C13" i="4"/>
  <c r="A14" i="4"/>
  <c r="B14" i="4"/>
  <c r="C14" i="4"/>
  <c r="A15" i="4"/>
  <c r="B15" i="4"/>
  <c r="C15" i="4"/>
  <c r="A16" i="4"/>
  <c r="B16" i="4"/>
  <c r="C16" i="4"/>
  <c r="A17" i="4"/>
  <c r="B17" i="4"/>
  <c r="C17" i="4"/>
  <c r="A18" i="4"/>
  <c r="B18" i="4"/>
  <c r="C18" i="4"/>
  <c r="A19" i="4"/>
  <c r="B19" i="4"/>
  <c r="C19" i="4"/>
  <c r="A20" i="4"/>
  <c r="B20" i="4"/>
  <c r="C20" i="4"/>
  <c r="A21" i="4"/>
  <c r="B21" i="4"/>
  <c r="C21" i="4"/>
  <c r="A22" i="4"/>
  <c r="B22" i="4"/>
  <c r="C22" i="4"/>
  <c r="A23" i="4"/>
  <c r="B23" i="4"/>
  <c r="C23" i="4"/>
  <c r="A24" i="4"/>
  <c r="B24" i="4"/>
  <c r="C24" i="4"/>
  <c r="A25" i="4"/>
  <c r="B25" i="4"/>
  <c r="C25" i="4"/>
  <c r="A26" i="4"/>
  <c r="B26" i="4"/>
  <c r="C26" i="4"/>
  <c r="A27" i="4"/>
  <c r="B27" i="4"/>
  <c r="C27" i="4"/>
  <c r="A28" i="4"/>
  <c r="B28" i="4"/>
  <c r="C28" i="4"/>
  <c r="A29" i="4"/>
  <c r="B29" i="4"/>
  <c r="C29" i="4"/>
  <c r="A30" i="4"/>
  <c r="B30" i="4"/>
  <c r="C30" i="4"/>
  <c r="A31" i="4"/>
  <c r="B31" i="4"/>
  <c r="C31" i="4"/>
  <c r="A32" i="4"/>
  <c r="B32" i="4"/>
  <c r="C32" i="4"/>
  <c r="A33" i="4"/>
  <c r="B33" i="4"/>
  <c r="C33" i="4"/>
  <c r="A34" i="4"/>
  <c r="B34" i="4"/>
  <c r="C34" i="4"/>
  <c r="A35" i="4"/>
  <c r="B35" i="4"/>
  <c r="C35" i="4"/>
  <c r="A36" i="4"/>
  <c r="B36" i="4"/>
  <c r="C36" i="4"/>
  <c r="A37" i="4"/>
  <c r="B37" i="4"/>
  <c r="C37" i="4"/>
  <c r="A38" i="4"/>
  <c r="B38" i="4"/>
  <c r="C38" i="4"/>
  <c r="A39" i="4"/>
  <c r="B39" i="4"/>
  <c r="C39" i="4"/>
  <c r="A40" i="4"/>
  <c r="B40" i="4"/>
  <c r="C40" i="4"/>
  <c r="A41" i="4"/>
  <c r="B41" i="4"/>
  <c r="C41" i="4"/>
  <c r="A42" i="4"/>
  <c r="B42" i="4"/>
  <c r="C42" i="4"/>
  <c r="A43" i="4"/>
  <c r="B43" i="4"/>
  <c r="C43" i="4"/>
  <c r="A44" i="4"/>
  <c r="B44" i="4"/>
  <c r="C44" i="4"/>
  <c r="A45" i="4"/>
  <c r="B45" i="4"/>
  <c r="C45" i="4"/>
  <c r="A46" i="4"/>
  <c r="B46" i="4"/>
  <c r="C46" i="4"/>
  <c r="A47" i="4"/>
  <c r="B47" i="4"/>
  <c r="C47" i="4"/>
  <c r="A48" i="4"/>
  <c r="B48" i="4"/>
  <c r="C48" i="4"/>
  <c r="A49" i="4"/>
  <c r="B49" i="4"/>
  <c r="C49" i="4"/>
  <c r="A50" i="4"/>
  <c r="B50" i="4"/>
  <c r="C50" i="4"/>
  <c r="A51" i="4"/>
  <c r="B51" i="4"/>
  <c r="C51" i="4"/>
  <c r="A52" i="4"/>
  <c r="B52" i="4"/>
  <c r="C52" i="4"/>
  <c r="A53" i="4"/>
  <c r="B53" i="4"/>
  <c r="C53" i="4"/>
  <c r="A54" i="4"/>
  <c r="B54" i="4"/>
  <c r="C54" i="4"/>
  <c r="A55" i="4"/>
  <c r="B55" i="4"/>
  <c r="C55" i="4"/>
  <c r="A56" i="4"/>
  <c r="B56" i="4"/>
  <c r="C56" i="4"/>
  <c r="A57" i="4"/>
  <c r="B57" i="4"/>
  <c r="C57" i="4"/>
  <c r="A58" i="4"/>
  <c r="B58" i="4"/>
  <c r="C58" i="4"/>
  <c r="A59" i="4"/>
  <c r="B59" i="4"/>
  <c r="C59" i="4"/>
  <c r="A60" i="4"/>
  <c r="B60" i="4"/>
  <c r="C60" i="4"/>
  <c r="A61" i="4"/>
  <c r="B61" i="4"/>
  <c r="C61" i="4"/>
  <c r="A62" i="4"/>
  <c r="B62" i="4"/>
  <c r="C62" i="4"/>
  <c r="A63" i="4"/>
  <c r="B63" i="4"/>
  <c r="C63" i="4"/>
  <c r="A64" i="4"/>
  <c r="B64" i="4"/>
  <c r="C64" i="4"/>
  <c r="A65" i="4"/>
  <c r="B65" i="4"/>
  <c r="C65" i="4"/>
  <c r="A66" i="4"/>
  <c r="B66" i="4"/>
  <c r="C66" i="4"/>
  <c r="A67" i="4"/>
  <c r="B67" i="4"/>
  <c r="C67" i="4"/>
  <c r="A68" i="4"/>
  <c r="B68" i="4"/>
  <c r="C68" i="4"/>
  <c r="A69" i="4"/>
  <c r="B69" i="4"/>
  <c r="C69" i="4"/>
  <c r="A70" i="4"/>
  <c r="B70" i="4"/>
  <c r="C70" i="4"/>
  <c r="A71" i="4"/>
  <c r="B71" i="4"/>
  <c r="C71" i="4"/>
  <c r="A72" i="4"/>
  <c r="B72" i="4"/>
  <c r="C72" i="4"/>
  <c r="A73" i="4"/>
  <c r="B73" i="4"/>
  <c r="C73" i="4"/>
  <c r="A74" i="4"/>
  <c r="B74" i="4"/>
  <c r="C74" i="4"/>
  <c r="A75" i="4"/>
  <c r="B75" i="4"/>
  <c r="C75" i="4"/>
  <c r="A76" i="4"/>
  <c r="B76" i="4"/>
  <c r="C76" i="4"/>
  <c r="A77" i="4"/>
  <c r="B77" i="4"/>
  <c r="C77" i="4"/>
  <c r="A78" i="4"/>
  <c r="B78" i="4"/>
  <c r="C78" i="4"/>
  <c r="A79" i="4"/>
  <c r="B79" i="4"/>
  <c r="C79" i="4"/>
  <c r="A80" i="4"/>
  <c r="B80" i="4"/>
  <c r="C80" i="4"/>
  <c r="A81" i="4"/>
  <c r="B81" i="4"/>
  <c r="C81" i="4"/>
  <c r="A82" i="4"/>
  <c r="B82" i="4"/>
  <c r="C82" i="4"/>
  <c r="A83" i="4"/>
  <c r="B83" i="4"/>
  <c r="C83" i="4"/>
  <c r="A84" i="4"/>
  <c r="B84" i="4"/>
  <c r="C84" i="4"/>
  <c r="A85" i="4"/>
  <c r="B85" i="4"/>
  <c r="C85" i="4"/>
  <c r="A86" i="4"/>
  <c r="B86" i="4"/>
  <c r="C86" i="4"/>
  <c r="A87" i="4"/>
  <c r="B87" i="4"/>
  <c r="C87" i="4"/>
  <c r="A88" i="4"/>
  <c r="B88" i="4"/>
  <c r="C88" i="4"/>
  <c r="A89" i="4"/>
  <c r="B89" i="4"/>
  <c r="C89" i="4"/>
  <c r="A90" i="4"/>
  <c r="B90" i="4"/>
  <c r="C90" i="4"/>
  <c r="A91" i="4"/>
  <c r="B91" i="4"/>
  <c r="C91" i="4"/>
  <c r="A92" i="4"/>
  <c r="B92" i="4"/>
  <c r="C92" i="4"/>
  <c r="A93" i="4"/>
  <c r="B93" i="4"/>
  <c r="C93" i="4"/>
  <c r="A94" i="4"/>
  <c r="B94" i="4"/>
  <c r="C94" i="4"/>
  <c r="A95" i="4"/>
  <c r="B95" i="4"/>
  <c r="C95" i="4"/>
  <c r="A96" i="4"/>
  <c r="B96" i="4"/>
  <c r="C96" i="4"/>
  <c r="A97" i="4"/>
  <c r="B97" i="4"/>
  <c r="C97" i="4"/>
  <c r="A98" i="4"/>
  <c r="B98" i="4"/>
  <c r="C98" i="4"/>
  <c r="A99" i="4"/>
  <c r="B99" i="4"/>
  <c r="C99" i="4"/>
  <c r="A100" i="4"/>
  <c r="B100" i="4"/>
  <c r="C100" i="4"/>
  <c r="A101" i="4"/>
  <c r="B101" i="4"/>
  <c r="C101" i="4"/>
  <c r="A102" i="4"/>
  <c r="B102" i="4"/>
  <c r="C102" i="4"/>
  <c r="A103" i="4"/>
  <c r="B103" i="4"/>
  <c r="C103" i="4"/>
  <c r="A104" i="4"/>
  <c r="B104" i="4"/>
  <c r="C104" i="4"/>
  <c r="A105" i="4"/>
  <c r="B105" i="4"/>
  <c r="C105" i="4"/>
  <c r="A106" i="4"/>
  <c r="B106" i="4"/>
  <c r="C106" i="4"/>
  <c r="A107" i="4"/>
  <c r="B107" i="4"/>
  <c r="C107" i="4"/>
  <c r="A108" i="4"/>
  <c r="B108" i="4"/>
  <c r="C108" i="4"/>
  <c r="A109" i="4"/>
  <c r="B109" i="4"/>
  <c r="C109" i="4"/>
  <c r="A110" i="4"/>
  <c r="B110" i="4"/>
  <c r="C110" i="4"/>
  <c r="A111" i="4"/>
  <c r="B111" i="4"/>
  <c r="C111" i="4"/>
  <c r="A112" i="4"/>
  <c r="B112" i="4"/>
  <c r="C112" i="4"/>
  <c r="A113" i="4"/>
  <c r="B113" i="4"/>
  <c r="C113" i="4"/>
  <c r="A114" i="4"/>
  <c r="B114" i="4"/>
  <c r="C114" i="4"/>
  <c r="A115" i="4"/>
  <c r="B115" i="4"/>
  <c r="C115" i="4"/>
  <c r="A116" i="4"/>
  <c r="B116" i="4"/>
  <c r="C116" i="4"/>
  <c r="A117" i="4"/>
  <c r="B117" i="4"/>
  <c r="C117" i="4"/>
  <c r="A118" i="4"/>
  <c r="B118" i="4"/>
  <c r="C118" i="4"/>
  <c r="A119" i="4"/>
  <c r="B119" i="4"/>
  <c r="C119" i="4"/>
  <c r="A120" i="4"/>
  <c r="B120" i="4"/>
  <c r="C120" i="4"/>
  <c r="A121" i="4"/>
  <c r="B121" i="4"/>
  <c r="C121" i="4"/>
  <c r="A122" i="4"/>
  <c r="B122" i="4"/>
  <c r="C122" i="4"/>
  <c r="A123" i="4"/>
  <c r="B123" i="4"/>
  <c r="C123" i="4"/>
  <c r="A124" i="4"/>
  <c r="B124" i="4"/>
  <c r="C124" i="4"/>
  <c r="A125" i="4"/>
  <c r="B125" i="4"/>
  <c r="C125" i="4"/>
  <c r="A126" i="4"/>
  <c r="B126" i="4"/>
  <c r="C126" i="4"/>
  <c r="A127" i="4"/>
  <c r="B127" i="4"/>
  <c r="C127" i="4"/>
  <c r="A128" i="4"/>
  <c r="B128" i="4"/>
  <c r="C128" i="4"/>
  <c r="A129" i="4"/>
  <c r="B129" i="4"/>
  <c r="C129" i="4"/>
  <c r="A130" i="4"/>
  <c r="B130" i="4"/>
  <c r="C130" i="4"/>
  <c r="A131" i="4"/>
  <c r="B131" i="4"/>
  <c r="C131" i="4"/>
  <c r="A132" i="4"/>
  <c r="B132" i="4"/>
  <c r="C132" i="4"/>
  <c r="A133" i="4"/>
  <c r="B133" i="4"/>
  <c r="C133" i="4"/>
  <c r="A134" i="4"/>
  <c r="B134" i="4"/>
  <c r="C134" i="4"/>
  <c r="A135" i="4"/>
  <c r="B135" i="4"/>
  <c r="C135" i="4"/>
  <c r="A136" i="4"/>
  <c r="B136" i="4"/>
  <c r="C136" i="4"/>
  <c r="A137" i="4"/>
  <c r="B137" i="4"/>
  <c r="C137" i="4"/>
  <c r="A138" i="4"/>
  <c r="B138" i="4"/>
  <c r="C138" i="4"/>
  <c r="A139" i="4"/>
  <c r="B139" i="4"/>
  <c r="C139" i="4"/>
  <c r="A140" i="4"/>
  <c r="B140" i="4"/>
  <c r="C140" i="4"/>
  <c r="A141" i="4"/>
  <c r="B141" i="4"/>
  <c r="C141" i="4"/>
  <c r="A142" i="4"/>
  <c r="B142" i="4"/>
  <c r="C142" i="4"/>
  <c r="A143" i="4"/>
  <c r="B143" i="4"/>
  <c r="C143" i="4"/>
  <c r="A144" i="4"/>
  <c r="B144" i="4"/>
  <c r="C144" i="4"/>
  <c r="A145" i="4"/>
  <c r="B145" i="4"/>
  <c r="C145" i="4"/>
  <c r="A146" i="4"/>
  <c r="B146" i="4"/>
  <c r="C146" i="4"/>
  <c r="A147" i="4"/>
  <c r="B147" i="4"/>
  <c r="C147" i="4"/>
  <c r="A148" i="4"/>
  <c r="B148" i="4"/>
  <c r="C148" i="4"/>
  <c r="A149" i="4"/>
  <c r="B149" i="4"/>
  <c r="C149" i="4"/>
  <c r="A150" i="4"/>
  <c r="B150" i="4"/>
  <c r="C150" i="4"/>
  <c r="A151" i="4"/>
  <c r="B151" i="4"/>
  <c r="C151" i="4"/>
  <c r="A152" i="4"/>
  <c r="B152" i="4"/>
  <c r="C152" i="4"/>
  <c r="A153" i="4"/>
  <c r="B153" i="4"/>
  <c r="C153" i="4"/>
  <c r="A154" i="4"/>
  <c r="B154" i="4"/>
  <c r="C154" i="4"/>
  <c r="A155" i="4"/>
  <c r="B155" i="4"/>
  <c r="C155" i="4"/>
  <c r="A156" i="4"/>
  <c r="B156" i="4"/>
  <c r="C156" i="4"/>
  <c r="A157" i="4"/>
  <c r="B157" i="4"/>
  <c r="C157" i="4"/>
  <c r="A158" i="4"/>
  <c r="B158" i="4"/>
  <c r="C158" i="4"/>
  <c r="A159" i="4"/>
  <c r="B159" i="4"/>
  <c r="C159" i="4"/>
  <c r="A160" i="4"/>
  <c r="B160" i="4"/>
  <c r="C160" i="4"/>
  <c r="A161" i="4"/>
  <c r="B161" i="4"/>
  <c r="C161" i="4"/>
  <c r="A162" i="4"/>
  <c r="B162" i="4"/>
  <c r="C162" i="4"/>
  <c r="A163" i="4"/>
  <c r="B163" i="4"/>
  <c r="C163" i="4"/>
  <c r="A164" i="4"/>
  <c r="B164" i="4"/>
  <c r="C164" i="4"/>
  <c r="A165" i="4"/>
  <c r="B165" i="4"/>
  <c r="C165" i="4"/>
  <c r="A166" i="4"/>
  <c r="B166" i="4"/>
  <c r="C166" i="4"/>
  <c r="A167" i="4"/>
  <c r="B167" i="4"/>
  <c r="C167" i="4"/>
  <c r="A168" i="4"/>
  <c r="B168" i="4"/>
  <c r="C168" i="4"/>
  <c r="A169" i="4"/>
  <c r="B169" i="4"/>
  <c r="C169" i="4"/>
  <c r="A170" i="4"/>
  <c r="B170" i="4"/>
  <c r="C170" i="4"/>
  <c r="A171" i="4"/>
  <c r="B171" i="4"/>
  <c r="C171" i="4"/>
  <c r="A172" i="4"/>
  <c r="B172" i="4"/>
  <c r="C172" i="4"/>
  <c r="A173" i="4"/>
  <c r="B173" i="4"/>
  <c r="C173" i="4"/>
  <c r="A174" i="4"/>
  <c r="B174" i="4"/>
  <c r="C174" i="4"/>
  <c r="A175" i="4"/>
  <c r="B175" i="4"/>
  <c r="C175" i="4"/>
  <c r="A176" i="4"/>
  <c r="B176" i="4"/>
  <c r="C176" i="4"/>
  <c r="A177" i="4"/>
  <c r="B177" i="4"/>
  <c r="C177" i="4"/>
  <c r="A178" i="4"/>
  <c r="B178" i="4"/>
  <c r="C178" i="4"/>
  <c r="A179" i="4"/>
  <c r="B179" i="4"/>
  <c r="C179" i="4"/>
  <c r="A180" i="4"/>
  <c r="B180" i="4"/>
  <c r="C180" i="4"/>
  <c r="A181" i="4"/>
  <c r="B181" i="4"/>
  <c r="C181" i="4"/>
  <c r="A182" i="4"/>
  <c r="B182" i="4"/>
  <c r="C182" i="4"/>
  <c r="A183" i="4"/>
  <c r="B183" i="4"/>
  <c r="C183" i="4"/>
  <c r="A184" i="4"/>
  <c r="B184" i="4"/>
  <c r="C184" i="4"/>
  <c r="A185" i="4"/>
  <c r="B185" i="4"/>
  <c r="C185" i="4"/>
  <c r="A186" i="4"/>
  <c r="B186" i="4"/>
  <c r="C186" i="4"/>
  <c r="A187" i="4"/>
  <c r="B187" i="4"/>
  <c r="C187" i="4"/>
  <c r="A188" i="4"/>
  <c r="B188" i="4"/>
  <c r="C188" i="4"/>
  <c r="A189" i="4"/>
  <c r="B189" i="4"/>
  <c r="C189" i="4"/>
  <c r="A190" i="4"/>
  <c r="B190" i="4"/>
  <c r="C190" i="4"/>
  <c r="A191" i="4"/>
  <c r="B191" i="4"/>
  <c r="C191" i="4"/>
  <c r="A192" i="4"/>
  <c r="B192" i="4"/>
  <c r="C192" i="4"/>
  <c r="A193" i="4"/>
  <c r="B193" i="4"/>
  <c r="C193" i="4"/>
  <c r="A194" i="4"/>
  <c r="B194" i="4"/>
  <c r="C194" i="4"/>
  <c r="A195" i="4"/>
  <c r="B195" i="4"/>
  <c r="C195" i="4"/>
  <c r="A196" i="4"/>
  <c r="B196" i="4"/>
  <c r="C196" i="4"/>
  <c r="A197" i="4"/>
  <c r="B197" i="4"/>
  <c r="C197" i="4"/>
  <c r="A198" i="4"/>
  <c r="B198" i="4"/>
  <c r="C198" i="4"/>
  <c r="A199" i="4"/>
  <c r="B199" i="4"/>
  <c r="C199" i="4"/>
  <c r="A200" i="4"/>
  <c r="B200" i="4"/>
  <c r="C200" i="4"/>
  <c r="A201" i="4"/>
  <c r="B201" i="4"/>
  <c r="C201" i="4"/>
  <c r="A202" i="4"/>
  <c r="B202" i="4"/>
  <c r="C202" i="4"/>
  <c r="A203" i="4"/>
  <c r="B203" i="4"/>
  <c r="C203" i="4"/>
  <c r="A204" i="4"/>
  <c r="B204" i="4"/>
  <c r="C204" i="4"/>
  <c r="A205" i="4"/>
  <c r="B205" i="4"/>
  <c r="C205" i="4"/>
  <c r="A206" i="4"/>
  <c r="B206" i="4"/>
  <c r="C206" i="4"/>
  <c r="A207" i="4"/>
  <c r="B207" i="4"/>
  <c r="C207" i="4"/>
  <c r="A208" i="4"/>
  <c r="B208" i="4"/>
  <c r="C208" i="4"/>
  <c r="A209" i="4"/>
  <c r="B209" i="4"/>
  <c r="C209" i="4"/>
  <c r="A210" i="4"/>
  <c r="B210" i="4"/>
  <c r="C210" i="4"/>
  <c r="A211" i="4"/>
  <c r="B211" i="4"/>
  <c r="C211" i="4"/>
  <c r="A212" i="4"/>
  <c r="B212" i="4"/>
  <c r="C212" i="4"/>
  <c r="A213" i="4"/>
  <c r="B213" i="4"/>
  <c r="C213" i="4"/>
  <c r="A214" i="4"/>
  <c r="B214" i="4"/>
  <c r="C214" i="4"/>
  <c r="A215" i="4"/>
  <c r="B215" i="4"/>
  <c r="C215" i="4"/>
  <c r="A216" i="4"/>
  <c r="B216" i="4"/>
  <c r="C216" i="4"/>
  <c r="A217" i="4"/>
  <c r="B217" i="4"/>
  <c r="C217" i="4"/>
  <c r="A218" i="4"/>
  <c r="B218" i="4"/>
  <c r="C218" i="4"/>
  <c r="A219" i="4"/>
  <c r="B219" i="4"/>
  <c r="C219" i="4"/>
  <c r="A220" i="4"/>
  <c r="B220" i="4"/>
  <c r="C220" i="4"/>
  <c r="A221" i="4"/>
  <c r="B221" i="4"/>
  <c r="C221" i="4"/>
  <c r="A222" i="4"/>
  <c r="B222" i="4"/>
  <c r="C222" i="4"/>
  <c r="A223" i="4"/>
  <c r="B223" i="4"/>
  <c r="C223" i="4"/>
  <c r="A224" i="4"/>
  <c r="B224" i="4"/>
  <c r="C224" i="4"/>
  <c r="A225" i="4"/>
  <c r="B225" i="4"/>
  <c r="C225" i="4"/>
  <c r="A226" i="4"/>
  <c r="B226" i="4"/>
  <c r="C226" i="4"/>
  <c r="A227" i="4"/>
  <c r="B227" i="4"/>
  <c r="C227" i="4"/>
  <c r="A228" i="4"/>
  <c r="B228" i="4"/>
  <c r="C228" i="4"/>
  <c r="A229" i="4"/>
  <c r="B229" i="4"/>
  <c r="C229" i="4"/>
  <c r="A230" i="4"/>
  <c r="B230" i="4"/>
  <c r="C230" i="4"/>
  <c r="A231" i="4"/>
  <c r="B231" i="4"/>
  <c r="C231" i="4"/>
  <c r="A232" i="4"/>
  <c r="B232" i="4"/>
  <c r="C232" i="4"/>
  <c r="A233" i="4"/>
  <c r="B233" i="4"/>
  <c r="C233" i="4"/>
  <c r="A234" i="4"/>
  <c r="B234" i="4"/>
  <c r="C234" i="4"/>
  <c r="A235" i="4"/>
  <c r="B235" i="4"/>
  <c r="C235" i="4"/>
  <c r="A236" i="4"/>
  <c r="B236" i="4"/>
  <c r="C236" i="4"/>
  <c r="A237" i="4"/>
  <c r="B237" i="4"/>
  <c r="C237" i="4"/>
  <c r="A238" i="4"/>
  <c r="B238" i="4"/>
  <c r="C238" i="4"/>
  <c r="A239" i="4"/>
  <c r="B239" i="4"/>
  <c r="C239" i="4"/>
  <c r="A240" i="4"/>
  <c r="B240" i="4"/>
  <c r="C240" i="4"/>
  <c r="A241" i="4"/>
  <c r="B241" i="4"/>
  <c r="C241" i="4"/>
  <c r="A242" i="4"/>
  <c r="B242" i="4"/>
  <c r="C242" i="4"/>
  <c r="A243" i="4"/>
  <c r="B243" i="4"/>
  <c r="C243" i="4"/>
  <c r="A244" i="4"/>
  <c r="B244" i="4"/>
  <c r="C244" i="4"/>
  <c r="A245" i="4"/>
  <c r="B245" i="4"/>
  <c r="C245" i="4"/>
  <c r="A246" i="4"/>
  <c r="B246" i="4"/>
  <c r="C246" i="4"/>
  <c r="A247" i="4"/>
  <c r="B247" i="4"/>
  <c r="C247" i="4"/>
  <c r="A248" i="4"/>
  <c r="B248" i="4"/>
  <c r="C248" i="4"/>
  <c r="A249" i="4"/>
  <c r="B249" i="4"/>
  <c r="C249" i="4"/>
  <c r="A250" i="4"/>
  <c r="B250" i="4"/>
  <c r="C250" i="4"/>
  <c r="A251" i="4"/>
  <c r="B251" i="4"/>
  <c r="C251" i="4"/>
  <c r="A252" i="4"/>
  <c r="B252" i="4"/>
  <c r="C252" i="4"/>
  <c r="A253" i="4"/>
  <c r="B253" i="4"/>
  <c r="C253" i="4"/>
  <c r="A254" i="4"/>
  <c r="B254" i="4"/>
  <c r="C254" i="4"/>
  <c r="A255" i="4"/>
  <c r="B255" i="4"/>
  <c r="C255" i="4"/>
  <c r="A256" i="4"/>
  <c r="B256" i="4"/>
  <c r="C256" i="4"/>
  <c r="A257" i="4"/>
  <c r="B257" i="4"/>
  <c r="C257" i="4"/>
  <c r="A258" i="4"/>
  <c r="B258" i="4"/>
  <c r="C258" i="4"/>
  <c r="A259" i="4"/>
  <c r="B259" i="4"/>
  <c r="C259" i="4"/>
  <c r="A260" i="4"/>
  <c r="B260" i="4"/>
  <c r="C260" i="4"/>
  <c r="A261" i="4"/>
  <c r="B261" i="4"/>
  <c r="C261" i="4"/>
  <c r="A262" i="4"/>
  <c r="B262" i="4"/>
  <c r="C262" i="4"/>
  <c r="A263" i="4"/>
  <c r="B263" i="4"/>
  <c r="C263" i="4"/>
  <c r="A264" i="4"/>
  <c r="B264" i="4"/>
  <c r="C264" i="4"/>
  <c r="A265" i="4"/>
  <c r="B265" i="4"/>
  <c r="C265" i="4"/>
  <c r="A266" i="4"/>
  <c r="B266" i="4"/>
  <c r="C266" i="4"/>
  <c r="A267" i="4"/>
  <c r="B267" i="4"/>
  <c r="C267" i="4"/>
  <c r="A268" i="4"/>
  <c r="B268" i="4"/>
  <c r="C268" i="4"/>
  <c r="A269" i="4"/>
  <c r="B269" i="4"/>
  <c r="C269" i="4"/>
  <c r="A270" i="4"/>
  <c r="B270" i="4"/>
  <c r="C270" i="4"/>
  <c r="A271" i="4"/>
  <c r="B271" i="4"/>
  <c r="C271" i="4"/>
  <c r="A272" i="4"/>
  <c r="B272" i="4"/>
  <c r="C272" i="4"/>
  <c r="A273" i="4"/>
  <c r="B273" i="4"/>
  <c r="C273" i="4"/>
  <c r="A274" i="4"/>
  <c r="B274" i="4"/>
  <c r="C274" i="4"/>
  <c r="A275" i="4"/>
  <c r="B275" i="4"/>
  <c r="C275" i="4"/>
  <c r="A276" i="4"/>
  <c r="B276" i="4"/>
  <c r="C276" i="4"/>
  <c r="A277" i="4"/>
  <c r="B277" i="4"/>
  <c r="C277" i="4"/>
  <c r="A278" i="4"/>
  <c r="B278" i="4"/>
  <c r="C278" i="4"/>
  <c r="A279" i="4"/>
  <c r="B279" i="4"/>
  <c r="C279" i="4"/>
  <c r="A280" i="4"/>
  <c r="B280" i="4"/>
  <c r="C280" i="4"/>
  <c r="A281" i="4"/>
  <c r="B281" i="4"/>
  <c r="C281" i="4"/>
  <c r="A282" i="4"/>
  <c r="B282" i="4"/>
  <c r="C282" i="4"/>
  <c r="A283" i="4"/>
  <c r="B283" i="4"/>
  <c r="C283" i="4"/>
  <c r="A284" i="4"/>
  <c r="B284" i="4"/>
  <c r="C284" i="4"/>
  <c r="A285" i="4"/>
  <c r="B285" i="4"/>
  <c r="C285" i="4"/>
  <c r="A286" i="4"/>
  <c r="B286" i="4"/>
  <c r="C286" i="4"/>
  <c r="A287" i="4"/>
  <c r="B287" i="4"/>
  <c r="C287" i="4"/>
  <c r="A288" i="4"/>
  <c r="B288" i="4"/>
  <c r="C288" i="4"/>
  <c r="A289" i="4"/>
  <c r="B289" i="4"/>
  <c r="C289" i="4"/>
  <c r="A290" i="4"/>
  <c r="B290" i="4"/>
  <c r="C290" i="4"/>
  <c r="A291" i="4"/>
  <c r="B291" i="4"/>
  <c r="C291" i="4"/>
  <c r="A292" i="4"/>
  <c r="B292" i="4"/>
  <c r="C292" i="4"/>
  <c r="A293" i="4"/>
  <c r="B293" i="4"/>
  <c r="C293" i="4"/>
  <c r="A294" i="4"/>
  <c r="B294" i="4"/>
  <c r="C294" i="4"/>
  <c r="A295" i="4"/>
  <c r="B295" i="4"/>
  <c r="C295" i="4"/>
  <c r="A296" i="4"/>
  <c r="B296" i="4"/>
  <c r="C296" i="4"/>
  <c r="A297" i="4"/>
  <c r="B297" i="4"/>
  <c r="C297" i="4"/>
  <c r="A298" i="4"/>
  <c r="B298" i="4"/>
  <c r="C298" i="4"/>
  <c r="A299" i="4"/>
  <c r="B299" i="4"/>
  <c r="C299" i="4"/>
  <c r="A300" i="4"/>
  <c r="B300" i="4"/>
  <c r="C300" i="4"/>
  <c r="A301" i="4"/>
  <c r="B301" i="4"/>
  <c r="C301" i="4"/>
  <c r="A302" i="4"/>
  <c r="B302" i="4"/>
  <c r="C302" i="4"/>
  <c r="A303" i="4"/>
  <c r="B303" i="4"/>
  <c r="C303" i="4"/>
  <c r="A304" i="4"/>
  <c r="B304" i="4"/>
  <c r="C304" i="4"/>
  <c r="A305" i="4"/>
  <c r="B305" i="4"/>
  <c r="C305" i="4"/>
  <c r="A306" i="4"/>
  <c r="B306" i="4"/>
  <c r="C306" i="4"/>
  <c r="A307" i="4"/>
  <c r="B307" i="4"/>
  <c r="C307" i="4"/>
  <c r="A308" i="4"/>
  <c r="B308" i="4"/>
  <c r="C308" i="4"/>
  <c r="A309" i="4"/>
  <c r="B309" i="4"/>
  <c r="C309" i="4"/>
  <c r="A310" i="4"/>
  <c r="B310" i="4"/>
  <c r="C310" i="4"/>
  <c r="A311" i="4"/>
  <c r="B311" i="4"/>
  <c r="C311" i="4"/>
  <c r="A312" i="4"/>
  <c r="B312" i="4"/>
  <c r="C312" i="4"/>
  <c r="A313" i="4"/>
  <c r="B313" i="4"/>
  <c r="C313" i="4"/>
  <c r="A314" i="4"/>
  <c r="B314" i="4"/>
  <c r="C314" i="4"/>
  <c r="A315" i="4"/>
  <c r="B315" i="4"/>
  <c r="C315" i="4"/>
  <c r="A316" i="4"/>
  <c r="B316" i="4"/>
  <c r="C316" i="4"/>
  <c r="A317" i="4"/>
  <c r="B317" i="4"/>
  <c r="C317" i="4"/>
  <c r="A318" i="4"/>
  <c r="B318" i="4"/>
  <c r="C318" i="4"/>
  <c r="A319" i="4"/>
  <c r="B319" i="4"/>
  <c r="C319" i="4"/>
  <c r="A320" i="4"/>
  <c r="B320" i="4"/>
  <c r="C320" i="4"/>
  <c r="A321" i="4"/>
  <c r="B321" i="4"/>
  <c r="C321" i="4"/>
  <c r="A322" i="4"/>
  <c r="B322" i="4"/>
  <c r="C322" i="4"/>
  <c r="A323" i="4"/>
  <c r="B323" i="4"/>
  <c r="C323" i="4"/>
  <c r="A324" i="4"/>
  <c r="B324" i="4"/>
  <c r="C324" i="4"/>
  <c r="A325" i="4"/>
  <c r="B325" i="4"/>
  <c r="C325" i="4"/>
  <c r="A326" i="4"/>
  <c r="B326" i="4"/>
  <c r="C326" i="4"/>
  <c r="A327" i="4"/>
  <c r="B327" i="4"/>
  <c r="C327" i="4"/>
  <c r="A328" i="4"/>
  <c r="B328" i="4"/>
  <c r="C328" i="4"/>
  <c r="A329" i="4"/>
  <c r="B329" i="4"/>
  <c r="C329" i="4"/>
  <c r="A330" i="4"/>
  <c r="B330" i="4"/>
  <c r="C330" i="4"/>
  <c r="A331" i="4"/>
  <c r="B331" i="4"/>
  <c r="C331" i="4"/>
  <c r="A332" i="4"/>
  <c r="B332" i="4"/>
  <c r="C332" i="4"/>
  <c r="A333" i="4"/>
  <c r="B333" i="4"/>
  <c r="C333" i="4"/>
  <c r="A334" i="4"/>
  <c r="B334" i="4"/>
  <c r="C334" i="4"/>
  <c r="A335" i="4"/>
  <c r="B335" i="4"/>
  <c r="C335" i="4"/>
  <c r="A336" i="4"/>
  <c r="B336" i="4"/>
  <c r="C336" i="4"/>
  <c r="A337" i="4"/>
  <c r="B337" i="4"/>
  <c r="C337" i="4"/>
  <c r="A338" i="4"/>
  <c r="B338" i="4"/>
  <c r="C338" i="4"/>
  <c r="A339" i="4"/>
  <c r="B339" i="4"/>
  <c r="C339" i="4"/>
  <c r="A340" i="4"/>
  <c r="B340" i="4"/>
  <c r="C340" i="4"/>
  <c r="A341" i="4"/>
  <c r="B341" i="4"/>
  <c r="C341" i="4"/>
  <c r="A342" i="4"/>
  <c r="B342" i="4"/>
  <c r="C342" i="4"/>
  <c r="A343" i="4"/>
  <c r="B343" i="4"/>
  <c r="C343" i="4"/>
  <c r="A344" i="4"/>
  <c r="B344" i="4"/>
  <c r="C344" i="4"/>
  <c r="A345" i="4"/>
  <c r="B345" i="4"/>
  <c r="C345" i="4"/>
  <c r="A346" i="4"/>
  <c r="B346" i="4"/>
  <c r="C346" i="4"/>
  <c r="A347" i="4"/>
  <c r="B347" i="4"/>
  <c r="C347" i="4"/>
  <c r="A348" i="4"/>
  <c r="B348" i="4"/>
  <c r="C348" i="4"/>
  <c r="A349" i="4"/>
  <c r="B349" i="4"/>
  <c r="C349" i="4"/>
  <c r="A350" i="4"/>
  <c r="B350" i="4"/>
  <c r="C350" i="4"/>
  <c r="A351" i="4"/>
  <c r="B351" i="4"/>
  <c r="C351" i="4"/>
  <c r="A352" i="4"/>
  <c r="B352" i="4"/>
  <c r="C352" i="4"/>
  <c r="A353" i="4"/>
  <c r="B353" i="4"/>
  <c r="C353" i="4"/>
  <c r="A354" i="4"/>
  <c r="B354" i="4"/>
  <c r="C354" i="4"/>
  <c r="A355" i="4"/>
  <c r="B355" i="4"/>
  <c r="C355" i="4"/>
  <c r="A356" i="4"/>
  <c r="B356" i="4"/>
  <c r="C356" i="4"/>
  <c r="A357" i="4"/>
  <c r="B357" i="4"/>
  <c r="C357" i="4"/>
  <c r="A358" i="4"/>
  <c r="B358" i="4"/>
  <c r="C358" i="4"/>
  <c r="A359" i="4"/>
  <c r="B359" i="4"/>
  <c r="C359" i="4"/>
  <c r="A360" i="4"/>
  <c r="B360" i="4"/>
  <c r="C360" i="4"/>
  <c r="A361" i="4"/>
  <c r="B361" i="4"/>
  <c r="C361" i="4"/>
  <c r="A362" i="4"/>
  <c r="B362" i="4"/>
  <c r="C362" i="4"/>
  <c r="A363" i="4"/>
  <c r="B363" i="4"/>
  <c r="C363" i="4"/>
  <c r="A364" i="4"/>
  <c r="B364" i="4"/>
  <c r="C364" i="4"/>
  <c r="A365" i="4"/>
  <c r="B365" i="4"/>
  <c r="C365" i="4"/>
  <c r="A366" i="4"/>
  <c r="B366" i="4"/>
  <c r="C366" i="4"/>
  <c r="A367" i="4"/>
  <c r="B367" i="4"/>
  <c r="C367" i="4"/>
  <c r="A368" i="4"/>
  <c r="B368" i="4"/>
  <c r="C368" i="4"/>
  <c r="A369" i="4"/>
  <c r="B369" i="4"/>
  <c r="C369" i="4"/>
  <c r="A370" i="4"/>
  <c r="B370" i="4"/>
  <c r="C370" i="4"/>
  <c r="A371" i="4"/>
  <c r="B371" i="4"/>
  <c r="C371" i="4"/>
  <c r="A372" i="4"/>
  <c r="B372" i="4"/>
  <c r="C372" i="4"/>
  <c r="A373" i="4"/>
  <c r="B373" i="4"/>
  <c r="C373" i="4"/>
  <c r="A374" i="4"/>
  <c r="B374" i="4"/>
  <c r="C374" i="4"/>
  <c r="A375" i="4"/>
  <c r="B375" i="4"/>
  <c r="C375" i="4"/>
  <c r="A376" i="4"/>
  <c r="B376" i="4"/>
  <c r="C376" i="4"/>
  <c r="A377" i="4"/>
  <c r="B377" i="4"/>
  <c r="C377" i="4"/>
  <c r="A378" i="4"/>
  <c r="B378" i="4"/>
  <c r="C378" i="4"/>
  <c r="A379" i="4"/>
  <c r="B379" i="4"/>
  <c r="C379" i="4"/>
  <c r="A380" i="4"/>
  <c r="B380" i="4"/>
  <c r="C380" i="4"/>
  <c r="A381" i="4"/>
  <c r="B381" i="4"/>
  <c r="C381" i="4"/>
  <c r="A382" i="4"/>
  <c r="B382" i="4"/>
  <c r="C382" i="4"/>
  <c r="A383" i="4"/>
  <c r="B383" i="4"/>
  <c r="C383" i="4"/>
  <c r="A384" i="4"/>
  <c r="B384" i="4"/>
  <c r="C384" i="4"/>
  <c r="A385" i="4"/>
  <c r="B385" i="4"/>
  <c r="C385" i="4"/>
  <c r="A386" i="4"/>
  <c r="B386" i="4"/>
  <c r="C386" i="4"/>
  <c r="A387" i="4"/>
  <c r="B387" i="4"/>
  <c r="C387" i="4"/>
  <c r="A388" i="4"/>
  <c r="B388" i="4"/>
  <c r="C388" i="4"/>
  <c r="A389" i="4"/>
  <c r="B389" i="4"/>
  <c r="C389" i="4"/>
  <c r="A390" i="4"/>
  <c r="B390" i="4"/>
  <c r="C390" i="4"/>
  <c r="A391" i="4"/>
  <c r="B391" i="4"/>
  <c r="C391" i="4"/>
  <c r="A392" i="4"/>
  <c r="B392" i="4"/>
  <c r="C392" i="4"/>
  <c r="A393" i="4"/>
  <c r="B393" i="4"/>
  <c r="C393" i="4"/>
  <c r="A394" i="4"/>
  <c r="B394" i="4"/>
  <c r="C394" i="4"/>
  <c r="A395" i="4"/>
  <c r="B395" i="4"/>
  <c r="C395" i="4"/>
  <c r="A396" i="4"/>
  <c r="B396" i="4"/>
  <c r="C396" i="4"/>
  <c r="A397" i="4"/>
  <c r="B397" i="4"/>
  <c r="C397" i="4"/>
  <c r="A398" i="4"/>
  <c r="B398" i="4"/>
  <c r="C398" i="4"/>
  <c r="A399" i="4"/>
  <c r="B399" i="4"/>
  <c r="C399" i="4"/>
  <c r="A400" i="4"/>
  <c r="B400" i="4"/>
  <c r="C400" i="4"/>
  <c r="A401" i="4"/>
  <c r="B401" i="4"/>
  <c r="C401" i="4"/>
  <c r="A402" i="4"/>
  <c r="B402" i="4"/>
  <c r="C402" i="4"/>
  <c r="A403" i="4"/>
  <c r="B403" i="4"/>
  <c r="C403" i="4"/>
  <c r="A404" i="4"/>
  <c r="B404" i="4"/>
  <c r="C404" i="4"/>
  <c r="A405" i="4"/>
  <c r="B405" i="4"/>
  <c r="C405" i="4"/>
  <c r="A406" i="4"/>
  <c r="B406" i="4"/>
  <c r="C406" i="4"/>
  <c r="A407" i="4"/>
  <c r="B407" i="4"/>
  <c r="C407" i="4"/>
  <c r="A408" i="4"/>
  <c r="B408" i="4"/>
  <c r="C408" i="4"/>
  <c r="A409" i="4"/>
  <c r="B409" i="4"/>
  <c r="C409" i="4"/>
  <c r="A410" i="4"/>
  <c r="B410" i="4"/>
  <c r="C410" i="4"/>
  <c r="A411" i="4"/>
  <c r="B411" i="4"/>
  <c r="C411" i="4"/>
  <c r="A412" i="4"/>
  <c r="B412" i="4"/>
  <c r="C412" i="4"/>
  <c r="A413" i="4"/>
  <c r="B413" i="4"/>
  <c r="C413" i="4"/>
  <c r="A414" i="4"/>
  <c r="B414" i="4"/>
  <c r="C414" i="4"/>
  <c r="A415" i="4"/>
  <c r="B415" i="4"/>
  <c r="C415" i="4"/>
  <c r="A416" i="4"/>
  <c r="B416" i="4"/>
  <c r="C416" i="4"/>
  <c r="A417" i="4"/>
  <c r="B417" i="4"/>
  <c r="C417" i="4"/>
  <c r="A418" i="4"/>
  <c r="B418" i="4"/>
  <c r="C418" i="4"/>
  <c r="A419" i="4"/>
  <c r="B419" i="4"/>
  <c r="C419" i="4"/>
  <c r="A420" i="4"/>
  <c r="B420" i="4"/>
  <c r="C420" i="4"/>
  <c r="A421" i="4"/>
  <c r="B421" i="4"/>
  <c r="C421" i="4"/>
  <c r="A422" i="4"/>
  <c r="B422" i="4"/>
  <c r="C422" i="4"/>
  <c r="A423" i="4"/>
  <c r="B423" i="4"/>
  <c r="C423" i="4"/>
  <c r="A424" i="4"/>
  <c r="B424" i="4"/>
  <c r="C424" i="4"/>
  <c r="A425" i="4"/>
  <c r="B425" i="4"/>
  <c r="C425" i="4"/>
  <c r="A426" i="4"/>
  <c r="B426" i="4"/>
  <c r="C426" i="4"/>
  <c r="A427" i="4"/>
  <c r="B427" i="4"/>
  <c r="C427" i="4"/>
  <c r="A428" i="4"/>
  <c r="B428" i="4"/>
  <c r="C428" i="4"/>
  <c r="A429" i="4"/>
  <c r="B429" i="4"/>
  <c r="C429" i="4"/>
  <c r="A430" i="4"/>
  <c r="B430" i="4"/>
  <c r="C430" i="4"/>
  <c r="A431" i="4"/>
  <c r="B431" i="4"/>
  <c r="C431" i="4"/>
  <c r="A432" i="4"/>
  <c r="B432" i="4"/>
  <c r="C432" i="4"/>
  <c r="A433" i="4"/>
  <c r="B433" i="4"/>
  <c r="C433" i="4"/>
  <c r="A434" i="4"/>
  <c r="B434" i="4"/>
  <c r="C434" i="4"/>
  <c r="A435" i="4"/>
  <c r="B435" i="4"/>
  <c r="C435" i="4"/>
  <c r="A436" i="4"/>
  <c r="B436" i="4"/>
  <c r="C436" i="4"/>
  <c r="A437" i="4"/>
  <c r="B437" i="4"/>
  <c r="C437" i="4"/>
  <c r="A438" i="4"/>
  <c r="B438" i="4"/>
  <c r="C438" i="4"/>
  <c r="A439" i="4"/>
  <c r="B439" i="4"/>
  <c r="C439" i="4"/>
  <c r="A440" i="4"/>
  <c r="B440" i="4"/>
  <c r="C440" i="4"/>
  <c r="A441" i="4"/>
  <c r="B441" i="4"/>
  <c r="C441" i="4"/>
  <c r="A442" i="4"/>
  <c r="B442" i="4"/>
  <c r="C442" i="4"/>
  <c r="A443" i="4"/>
  <c r="B443" i="4"/>
  <c r="C443" i="4"/>
  <c r="A444" i="4"/>
  <c r="B444" i="4"/>
  <c r="C444" i="4"/>
  <c r="A445" i="4"/>
  <c r="B445" i="4"/>
  <c r="C445" i="4"/>
  <c r="A446" i="4"/>
  <c r="B446" i="4"/>
  <c r="C446" i="4"/>
  <c r="A447" i="4"/>
  <c r="B447" i="4"/>
  <c r="C447" i="4"/>
  <c r="A448" i="4"/>
  <c r="B448" i="4"/>
  <c r="C448" i="4"/>
  <c r="A449" i="4"/>
  <c r="B449" i="4"/>
  <c r="C449" i="4"/>
  <c r="A450" i="4"/>
  <c r="B450" i="4"/>
  <c r="C450" i="4"/>
  <c r="A451" i="4"/>
  <c r="B451" i="4"/>
  <c r="C451" i="4"/>
  <c r="A452" i="4"/>
  <c r="B452" i="4"/>
  <c r="C452" i="4"/>
  <c r="A453" i="4"/>
  <c r="B453" i="4"/>
  <c r="C453" i="4"/>
  <c r="A454" i="4"/>
  <c r="B454" i="4"/>
  <c r="C454" i="4"/>
  <c r="A455" i="4"/>
  <c r="B455" i="4"/>
  <c r="C455" i="4"/>
  <c r="A456" i="4"/>
  <c r="B456" i="4"/>
  <c r="C456" i="4"/>
  <c r="A457" i="4"/>
  <c r="B457" i="4"/>
  <c r="C457" i="4"/>
  <c r="A458" i="4"/>
  <c r="B458" i="4"/>
  <c r="C458" i="4"/>
  <c r="A459" i="4"/>
  <c r="B459" i="4"/>
  <c r="C459" i="4"/>
  <c r="A460" i="4"/>
  <c r="B460" i="4"/>
  <c r="C460" i="4"/>
  <c r="A461" i="4"/>
  <c r="B461" i="4"/>
  <c r="C461" i="4"/>
  <c r="A462" i="4"/>
  <c r="B462" i="4"/>
  <c r="C462" i="4"/>
  <c r="A463" i="4"/>
  <c r="B463" i="4"/>
  <c r="C463" i="4"/>
  <c r="A464" i="4"/>
  <c r="B464" i="4"/>
  <c r="C464" i="4"/>
  <c r="A465" i="4"/>
  <c r="B465" i="4"/>
  <c r="C465" i="4"/>
  <c r="A466" i="4"/>
  <c r="B466" i="4"/>
  <c r="C466" i="4"/>
  <c r="A467" i="4"/>
  <c r="B467" i="4"/>
  <c r="C467" i="4"/>
  <c r="A468" i="4"/>
  <c r="B468" i="4"/>
  <c r="C468" i="4"/>
  <c r="A469" i="4"/>
  <c r="B469" i="4"/>
  <c r="C469" i="4"/>
  <c r="A470" i="4"/>
  <c r="B470" i="4"/>
  <c r="C470" i="4"/>
  <c r="A471" i="4"/>
  <c r="B471" i="4"/>
  <c r="C471" i="4"/>
  <c r="A472" i="4"/>
  <c r="B472" i="4"/>
  <c r="C472" i="4"/>
  <c r="A473" i="4"/>
  <c r="B473" i="4"/>
  <c r="C473" i="4"/>
  <c r="A474" i="4"/>
  <c r="B474" i="4"/>
  <c r="C474" i="4"/>
  <c r="A475" i="4"/>
  <c r="B475" i="4"/>
  <c r="C475" i="4"/>
  <c r="A476" i="4"/>
  <c r="B476" i="4"/>
  <c r="C476" i="4"/>
  <c r="A477" i="4"/>
  <c r="B477" i="4"/>
  <c r="C477" i="4"/>
  <c r="A478" i="4"/>
  <c r="B478" i="4"/>
  <c r="C478" i="4"/>
  <c r="A479" i="4"/>
  <c r="B479" i="4"/>
  <c r="C479" i="4"/>
  <c r="A480" i="4"/>
  <c r="B480" i="4"/>
  <c r="C480" i="4"/>
  <c r="A481" i="4"/>
  <c r="B481" i="4"/>
  <c r="C481" i="4"/>
  <c r="A482" i="4"/>
  <c r="B482" i="4"/>
  <c r="C482" i="4"/>
  <c r="A483" i="4"/>
  <c r="B483" i="4"/>
  <c r="C483" i="4"/>
  <c r="A484" i="4"/>
  <c r="B484" i="4"/>
  <c r="C484" i="4"/>
  <c r="A485" i="4"/>
  <c r="B485" i="4"/>
  <c r="C485" i="4"/>
  <c r="A486" i="4"/>
  <c r="B486" i="4"/>
  <c r="C486" i="4"/>
  <c r="A487" i="4"/>
  <c r="B487" i="4"/>
  <c r="C487" i="4"/>
  <c r="A488" i="4"/>
  <c r="B488" i="4"/>
  <c r="C488" i="4"/>
  <c r="A489" i="4"/>
  <c r="B489" i="4"/>
  <c r="C489" i="4"/>
  <c r="A490" i="4"/>
  <c r="B490" i="4"/>
  <c r="C490" i="4"/>
  <c r="A491" i="4"/>
  <c r="B491" i="4"/>
  <c r="C491" i="4"/>
  <c r="A492" i="4"/>
  <c r="B492" i="4"/>
  <c r="C492" i="4"/>
  <c r="A493" i="4"/>
  <c r="B493" i="4"/>
  <c r="C493" i="4"/>
  <c r="A494" i="4"/>
  <c r="B494" i="4"/>
  <c r="C494" i="4"/>
  <c r="A495" i="4"/>
  <c r="B495" i="4"/>
  <c r="C495" i="4"/>
  <c r="A496" i="4"/>
  <c r="B496" i="4"/>
  <c r="C496" i="4"/>
  <c r="A497" i="4"/>
  <c r="B497" i="4"/>
  <c r="C497" i="4"/>
  <c r="A498" i="4"/>
  <c r="B498" i="4"/>
  <c r="C498" i="4"/>
  <c r="A499" i="4"/>
  <c r="B499" i="4"/>
  <c r="C499" i="4"/>
  <c r="A500" i="4"/>
  <c r="B500" i="4"/>
  <c r="C500" i="4"/>
  <c r="A501" i="4"/>
  <c r="B501" i="4"/>
  <c r="C501" i="4"/>
  <c r="A502" i="4"/>
  <c r="B502" i="4"/>
  <c r="C502" i="4"/>
  <c r="A503" i="4"/>
  <c r="B503" i="4"/>
  <c r="C503" i="4"/>
  <c r="A504" i="4"/>
  <c r="B504" i="4"/>
  <c r="C504" i="4"/>
  <c r="A505" i="4"/>
  <c r="B505" i="4"/>
  <c r="C505" i="4"/>
  <c r="A506" i="4"/>
  <c r="B506" i="4"/>
  <c r="C506" i="4"/>
  <c r="A507" i="4"/>
  <c r="B507" i="4"/>
  <c r="C507" i="4"/>
  <c r="A508" i="4"/>
  <c r="B508" i="4"/>
  <c r="C508" i="4"/>
  <c r="A509" i="4"/>
  <c r="B509" i="4"/>
  <c r="C509" i="4"/>
  <c r="A510" i="4"/>
  <c r="B510" i="4"/>
  <c r="C510" i="4"/>
  <c r="A511" i="4"/>
  <c r="B511" i="4"/>
  <c r="C511" i="4"/>
  <c r="A512" i="4"/>
  <c r="B512" i="4"/>
  <c r="C512" i="4"/>
  <c r="A513" i="4"/>
  <c r="B513" i="4"/>
  <c r="C513" i="4"/>
  <c r="A514" i="4"/>
  <c r="B514" i="4"/>
  <c r="C514" i="4"/>
  <c r="A515" i="4"/>
  <c r="B515" i="4"/>
  <c r="C515" i="4"/>
  <c r="A516" i="4"/>
  <c r="B516" i="4"/>
  <c r="C516" i="4"/>
  <c r="A517" i="4"/>
  <c r="B517" i="4"/>
  <c r="C517" i="4"/>
  <c r="A518" i="4"/>
  <c r="B518" i="4"/>
  <c r="C518" i="4"/>
  <c r="A519" i="4"/>
  <c r="B519" i="4"/>
  <c r="C519" i="4"/>
  <c r="A520" i="4"/>
  <c r="B520" i="4"/>
  <c r="C520" i="4"/>
  <c r="A521" i="4"/>
  <c r="B521" i="4"/>
  <c r="C521" i="4"/>
  <c r="A522" i="4"/>
  <c r="B522" i="4"/>
  <c r="C522" i="4"/>
  <c r="A523" i="4"/>
  <c r="B523" i="4"/>
  <c r="C523" i="4"/>
  <c r="A524" i="4"/>
  <c r="B524" i="4"/>
  <c r="C524" i="4"/>
  <c r="A525" i="4"/>
  <c r="B525" i="4"/>
  <c r="C525" i="4"/>
  <c r="A526" i="4"/>
  <c r="B526" i="4"/>
  <c r="C526" i="4"/>
  <c r="A527" i="4"/>
  <c r="B527" i="4"/>
  <c r="C527" i="4"/>
  <c r="A528" i="4"/>
  <c r="B528" i="4"/>
  <c r="C528" i="4"/>
  <c r="A529" i="4"/>
  <c r="B529" i="4"/>
  <c r="C529" i="4"/>
  <c r="A530" i="4"/>
  <c r="B530" i="4"/>
  <c r="C530" i="4"/>
  <c r="A531" i="4"/>
  <c r="B531" i="4"/>
  <c r="C531" i="4"/>
  <c r="A532" i="4"/>
  <c r="B532" i="4"/>
  <c r="C532" i="4"/>
  <c r="A533" i="4"/>
  <c r="B533" i="4"/>
  <c r="C533" i="4"/>
  <c r="A534" i="4"/>
  <c r="B534" i="4"/>
  <c r="C534" i="4"/>
  <c r="A535" i="4"/>
  <c r="B535" i="4"/>
  <c r="C535" i="4"/>
  <c r="A536" i="4"/>
  <c r="B536" i="4"/>
  <c r="C536" i="4"/>
  <c r="A537" i="4"/>
  <c r="B537" i="4"/>
  <c r="C537" i="4"/>
  <c r="A538" i="4"/>
  <c r="B538" i="4"/>
  <c r="C538" i="4"/>
  <c r="A539" i="4"/>
  <c r="B539" i="4"/>
  <c r="C539" i="4"/>
  <c r="A540" i="4"/>
  <c r="B540" i="4"/>
  <c r="C540" i="4"/>
  <c r="A541" i="4"/>
  <c r="B541" i="4"/>
  <c r="C541" i="4"/>
  <c r="A542" i="4"/>
  <c r="B542" i="4"/>
  <c r="C542" i="4"/>
  <c r="A543" i="4"/>
  <c r="B543" i="4"/>
  <c r="C543" i="4"/>
  <c r="A544" i="4"/>
  <c r="B544" i="4"/>
  <c r="C544" i="4"/>
  <c r="A545" i="4"/>
  <c r="B545" i="4"/>
  <c r="C545" i="4"/>
  <c r="A546" i="4"/>
  <c r="B546" i="4"/>
  <c r="C546" i="4"/>
  <c r="A547" i="4"/>
  <c r="B547" i="4"/>
  <c r="C547" i="4"/>
  <c r="A548" i="4"/>
  <c r="B548" i="4"/>
  <c r="C548" i="4"/>
  <c r="A549" i="4"/>
  <c r="B549" i="4"/>
  <c r="C549" i="4"/>
  <c r="A550" i="4"/>
  <c r="B550" i="4"/>
  <c r="C550" i="4"/>
  <c r="A551" i="4"/>
  <c r="B551" i="4"/>
  <c r="C551" i="4"/>
  <c r="A552" i="4"/>
  <c r="B552" i="4"/>
  <c r="C552" i="4"/>
  <c r="A553" i="4"/>
  <c r="B553" i="4"/>
  <c r="C553" i="4"/>
  <c r="A554" i="4"/>
  <c r="B554" i="4"/>
  <c r="C554" i="4"/>
  <c r="A555" i="4"/>
  <c r="B555" i="4"/>
  <c r="C555" i="4"/>
  <c r="A556" i="4"/>
  <c r="B556" i="4"/>
  <c r="C556" i="4"/>
  <c r="A557" i="4"/>
  <c r="B557" i="4"/>
  <c r="C557" i="4"/>
  <c r="A558" i="4"/>
  <c r="B558" i="4"/>
  <c r="C558" i="4"/>
  <c r="A559" i="4"/>
  <c r="B559" i="4"/>
  <c r="C559" i="4"/>
  <c r="A560" i="4"/>
  <c r="B560" i="4"/>
  <c r="C560" i="4"/>
  <c r="A561" i="4"/>
  <c r="B561" i="4"/>
  <c r="C561" i="4"/>
  <c r="A562" i="4"/>
  <c r="B562" i="4"/>
  <c r="C562" i="4"/>
  <c r="A563" i="4"/>
  <c r="B563" i="4"/>
  <c r="C563" i="4"/>
  <c r="A564" i="4"/>
  <c r="B564" i="4"/>
  <c r="C564" i="4"/>
  <c r="A565" i="4"/>
  <c r="B565" i="4"/>
  <c r="C565" i="4"/>
  <c r="A566" i="4"/>
  <c r="B566" i="4"/>
  <c r="C566" i="4"/>
  <c r="A567" i="4"/>
  <c r="B567" i="4"/>
  <c r="C567" i="4"/>
  <c r="A568" i="4"/>
  <c r="B568" i="4"/>
  <c r="C568" i="4"/>
  <c r="A569" i="4"/>
  <c r="B569" i="4"/>
  <c r="C569" i="4"/>
  <c r="A570" i="4"/>
  <c r="B570" i="4"/>
  <c r="C570" i="4"/>
  <c r="A571" i="4"/>
  <c r="B571" i="4"/>
  <c r="C571" i="4"/>
  <c r="A572" i="4"/>
  <c r="B572" i="4"/>
  <c r="C572" i="4"/>
  <c r="A573" i="4"/>
  <c r="B573" i="4"/>
  <c r="C573" i="4"/>
  <c r="A574" i="4"/>
  <c r="B574" i="4"/>
  <c r="C574" i="4"/>
  <c r="A575" i="4"/>
  <c r="B575" i="4"/>
  <c r="C575" i="4"/>
  <c r="A576" i="4"/>
  <c r="B576" i="4"/>
  <c r="C576" i="4"/>
  <c r="A577" i="4"/>
  <c r="B577" i="4"/>
  <c r="C577" i="4"/>
  <c r="A578" i="4"/>
  <c r="B578" i="4"/>
  <c r="C578" i="4"/>
  <c r="A579" i="4"/>
  <c r="B579" i="4"/>
  <c r="C579" i="4"/>
  <c r="A580" i="4"/>
  <c r="B580" i="4"/>
  <c r="C580" i="4"/>
  <c r="A581" i="4"/>
  <c r="B581" i="4"/>
  <c r="C581" i="4"/>
  <c r="A582" i="4"/>
  <c r="B582" i="4"/>
  <c r="C582" i="4"/>
  <c r="A583" i="4"/>
  <c r="B583" i="4"/>
  <c r="C583" i="4"/>
  <c r="A584" i="4"/>
  <c r="B584" i="4"/>
  <c r="C584" i="4"/>
  <c r="A585" i="4"/>
  <c r="B585" i="4"/>
  <c r="C585" i="4"/>
  <c r="A586" i="4"/>
  <c r="B586" i="4"/>
  <c r="C586" i="4"/>
  <c r="A587" i="4"/>
  <c r="B587" i="4"/>
  <c r="C587" i="4"/>
  <c r="A588" i="4"/>
  <c r="B588" i="4"/>
  <c r="C588" i="4"/>
  <c r="A589" i="4"/>
  <c r="B589" i="4"/>
  <c r="C589" i="4"/>
  <c r="A590" i="4"/>
  <c r="B590" i="4"/>
  <c r="C590" i="4"/>
  <c r="A591" i="4"/>
  <c r="B591" i="4"/>
  <c r="C591" i="4"/>
  <c r="A592" i="4"/>
  <c r="B592" i="4"/>
  <c r="C592" i="4"/>
  <c r="A593" i="4"/>
  <c r="B593" i="4"/>
  <c r="C593" i="4"/>
  <c r="A594" i="4"/>
  <c r="B594" i="4"/>
  <c r="C594" i="4"/>
  <c r="A595" i="4"/>
  <c r="B595" i="4"/>
  <c r="C595" i="4"/>
  <c r="A596" i="4"/>
  <c r="B596" i="4"/>
  <c r="C596" i="4"/>
  <c r="A597" i="4"/>
  <c r="B597" i="4"/>
  <c r="C597" i="4"/>
  <c r="A598" i="4"/>
  <c r="B598" i="4"/>
  <c r="C598" i="4"/>
  <c r="A599" i="4"/>
  <c r="B599" i="4"/>
  <c r="C599" i="4"/>
  <c r="A600" i="4"/>
  <c r="B600" i="4"/>
  <c r="C600" i="4"/>
  <c r="A601" i="4"/>
  <c r="B601" i="4"/>
  <c r="C601" i="4"/>
  <c r="A602" i="4"/>
  <c r="B602" i="4"/>
  <c r="C602" i="4"/>
  <c r="A603" i="4"/>
  <c r="B603" i="4"/>
  <c r="C603" i="4"/>
  <c r="A604" i="4"/>
  <c r="B604" i="4"/>
  <c r="C604" i="4"/>
  <c r="A605" i="4"/>
  <c r="B605" i="4"/>
  <c r="C605" i="4"/>
  <c r="A606" i="4"/>
  <c r="B606" i="4"/>
  <c r="C606" i="4"/>
  <c r="A607" i="4"/>
  <c r="B607" i="4"/>
  <c r="C607" i="4"/>
  <c r="A608" i="4"/>
  <c r="B608" i="4"/>
  <c r="C608" i="4"/>
  <c r="A609" i="4"/>
  <c r="B609" i="4"/>
  <c r="C609" i="4"/>
  <c r="A610" i="4"/>
  <c r="B610" i="4"/>
  <c r="C610" i="4"/>
  <c r="A611" i="4"/>
  <c r="B611" i="4"/>
  <c r="C611" i="4"/>
  <c r="A612" i="4"/>
  <c r="B612" i="4"/>
  <c r="C612" i="4"/>
  <c r="A613" i="4"/>
  <c r="B613" i="4"/>
  <c r="C613" i="4"/>
  <c r="A614" i="4"/>
  <c r="B614" i="4"/>
  <c r="C614" i="4"/>
  <c r="A615" i="4"/>
  <c r="B615" i="4"/>
  <c r="C615" i="4"/>
  <c r="A616" i="4"/>
  <c r="B616" i="4"/>
  <c r="C616" i="4"/>
  <c r="A617" i="4"/>
  <c r="B617" i="4"/>
  <c r="C617" i="4"/>
  <c r="A618" i="4"/>
  <c r="B618" i="4"/>
  <c r="C618" i="4"/>
  <c r="A619" i="4"/>
  <c r="B619" i="4"/>
  <c r="C619" i="4"/>
  <c r="A620" i="4"/>
  <c r="B620" i="4"/>
  <c r="C620" i="4"/>
  <c r="A621" i="4"/>
  <c r="B621" i="4"/>
  <c r="C621" i="4"/>
  <c r="A622" i="4"/>
  <c r="B622" i="4"/>
  <c r="C622" i="4"/>
  <c r="A623" i="4"/>
  <c r="B623" i="4"/>
  <c r="C623" i="4"/>
  <c r="A624" i="4"/>
  <c r="B624" i="4"/>
  <c r="C624" i="4"/>
  <c r="A625" i="4"/>
  <c r="B625" i="4"/>
  <c r="C625" i="4"/>
  <c r="A626" i="4"/>
  <c r="B626" i="4"/>
  <c r="C626" i="4"/>
  <c r="A627" i="4"/>
  <c r="B627" i="4"/>
  <c r="C627" i="4"/>
  <c r="A628" i="4"/>
  <c r="B628" i="4"/>
  <c r="C628" i="4"/>
  <c r="A629" i="4"/>
  <c r="B629" i="4"/>
  <c r="C629" i="4"/>
  <c r="A630" i="4"/>
  <c r="B630" i="4"/>
  <c r="C630" i="4"/>
  <c r="A631" i="4"/>
  <c r="B631" i="4"/>
  <c r="C631" i="4"/>
  <c r="A632" i="4"/>
  <c r="B632" i="4"/>
  <c r="C632" i="4"/>
  <c r="A633" i="4"/>
  <c r="B633" i="4"/>
  <c r="C633" i="4"/>
  <c r="A634" i="4"/>
  <c r="B634" i="4"/>
  <c r="C634" i="4"/>
  <c r="A635" i="4"/>
  <c r="B635" i="4"/>
  <c r="C635" i="4"/>
  <c r="A636" i="4"/>
  <c r="B636" i="4"/>
  <c r="C636" i="4"/>
  <c r="A637" i="4"/>
  <c r="B637" i="4"/>
  <c r="C637" i="4"/>
  <c r="A638" i="4"/>
  <c r="B638" i="4"/>
  <c r="C638" i="4"/>
  <c r="A639" i="4"/>
  <c r="B639" i="4"/>
  <c r="C639" i="4"/>
  <c r="A640" i="4"/>
  <c r="B640" i="4"/>
  <c r="C640" i="4"/>
  <c r="A641" i="4"/>
  <c r="B641" i="4"/>
  <c r="C641" i="4"/>
  <c r="A642" i="4"/>
  <c r="B642" i="4"/>
  <c r="C642" i="4"/>
  <c r="A643" i="4"/>
  <c r="B643" i="4"/>
  <c r="C643" i="4"/>
  <c r="A644" i="4"/>
  <c r="B644" i="4"/>
  <c r="C644" i="4"/>
  <c r="A645" i="4"/>
  <c r="B645" i="4"/>
  <c r="C645" i="4"/>
  <c r="A646" i="4"/>
  <c r="B646" i="4"/>
  <c r="C646" i="4"/>
  <c r="A647" i="4"/>
  <c r="B647" i="4"/>
  <c r="C647" i="4"/>
  <c r="A648" i="4"/>
  <c r="B648" i="4"/>
  <c r="C648" i="4"/>
  <c r="A649" i="4"/>
  <c r="B649" i="4"/>
  <c r="C649" i="4"/>
  <c r="A650" i="4"/>
  <c r="B650" i="4"/>
  <c r="C650" i="4"/>
  <c r="A651" i="4"/>
  <c r="B651" i="4"/>
  <c r="C651" i="4"/>
  <c r="A652" i="4"/>
  <c r="B652" i="4"/>
  <c r="C652" i="4"/>
  <c r="A653" i="4"/>
  <c r="B653" i="4"/>
  <c r="C653" i="4"/>
  <c r="A654" i="4"/>
  <c r="B654" i="4"/>
  <c r="C654" i="4"/>
  <c r="A655" i="4"/>
  <c r="B655" i="4"/>
  <c r="C655" i="4"/>
  <c r="A656" i="4"/>
  <c r="B656" i="4"/>
  <c r="C656" i="4"/>
  <c r="A657" i="4"/>
  <c r="B657" i="4"/>
  <c r="C657" i="4"/>
  <c r="A658" i="4"/>
  <c r="B658" i="4"/>
  <c r="C658" i="4"/>
  <c r="A659" i="4"/>
  <c r="B659" i="4"/>
  <c r="C659" i="4"/>
  <c r="A660" i="4"/>
  <c r="B660" i="4"/>
  <c r="C660" i="4"/>
  <c r="A661" i="4"/>
  <c r="B661" i="4"/>
  <c r="C661" i="4"/>
  <c r="A662" i="4"/>
  <c r="B662" i="4"/>
  <c r="C662" i="4"/>
  <c r="A663" i="4"/>
  <c r="B663" i="4"/>
  <c r="C663" i="4"/>
  <c r="A664" i="4"/>
  <c r="B664" i="4"/>
  <c r="C664" i="4"/>
  <c r="A665" i="4"/>
  <c r="B665" i="4"/>
  <c r="C665" i="4"/>
  <c r="A666" i="4"/>
  <c r="B666" i="4"/>
  <c r="C666" i="4"/>
  <c r="A667" i="4"/>
  <c r="B667" i="4"/>
  <c r="C667" i="4"/>
  <c r="A668" i="4"/>
  <c r="B668" i="4"/>
  <c r="C668" i="4"/>
  <c r="A669" i="4"/>
  <c r="B669" i="4"/>
  <c r="C669" i="4"/>
  <c r="A670" i="4"/>
  <c r="B670" i="4"/>
  <c r="C670" i="4"/>
  <c r="A671" i="4"/>
  <c r="B671" i="4"/>
  <c r="C671" i="4"/>
  <c r="A672" i="4"/>
  <c r="B672" i="4"/>
  <c r="C672" i="4"/>
  <c r="A673" i="4"/>
  <c r="B673" i="4"/>
  <c r="C673" i="4"/>
  <c r="A674" i="4"/>
  <c r="B674" i="4"/>
  <c r="C674" i="4"/>
  <c r="A675" i="4"/>
  <c r="B675" i="4"/>
  <c r="C675" i="4"/>
  <c r="A676" i="4"/>
  <c r="B676" i="4"/>
  <c r="C676" i="4"/>
  <c r="A677" i="4"/>
  <c r="B677" i="4"/>
  <c r="C677" i="4"/>
  <c r="A678" i="4"/>
  <c r="B678" i="4"/>
  <c r="C678" i="4"/>
  <c r="A679" i="4"/>
  <c r="B679" i="4"/>
  <c r="C679" i="4"/>
  <c r="A680" i="4"/>
  <c r="B680" i="4"/>
  <c r="C680" i="4"/>
  <c r="A681" i="4"/>
  <c r="B681" i="4"/>
  <c r="C681" i="4"/>
  <c r="A682" i="4"/>
  <c r="B682" i="4"/>
  <c r="C682" i="4"/>
  <c r="A683" i="4"/>
  <c r="B683" i="4"/>
  <c r="C683" i="4"/>
  <c r="A684" i="4"/>
  <c r="B684" i="4"/>
  <c r="C684" i="4"/>
  <c r="A685" i="4"/>
  <c r="B685" i="4"/>
  <c r="C685" i="4"/>
  <c r="A686" i="4"/>
  <c r="B686" i="4"/>
  <c r="C686" i="4"/>
  <c r="A687" i="4"/>
  <c r="B687" i="4"/>
  <c r="C687" i="4"/>
  <c r="A688" i="4"/>
  <c r="B688" i="4"/>
  <c r="C688" i="4"/>
  <c r="A689" i="4"/>
  <c r="B689" i="4"/>
  <c r="C689" i="4"/>
  <c r="A690" i="4"/>
  <c r="B690" i="4"/>
  <c r="C690" i="4"/>
  <c r="A691" i="4"/>
  <c r="B691" i="4"/>
  <c r="C691" i="4"/>
  <c r="A692" i="4"/>
  <c r="B692" i="4"/>
  <c r="C692" i="4"/>
  <c r="A693" i="4"/>
  <c r="B693" i="4"/>
  <c r="C693" i="4"/>
  <c r="A694" i="4"/>
  <c r="B694" i="4"/>
  <c r="C694" i="4"/>
  <c r="A695" i="4"/>
  <c r="B695" i="4"/>
  <c r="C695" i="4"/>
  <c r="A696" i="4"/>
  <c r="B696" i="4"/>
  <c r="C696" i="4"/>
  <c r="A697" i="4"/>
  <c r="B697" i="4"/>
  <c r="C697" i="4"/>
  <c r="A698" i="4"/>
  <c r="B698" i="4"/>
  <c r="C698" i="4"/>
  <c r="A699" i="4"/>
  <c r="B699" i="4"/>
  <c r="C699" i="4"/>
  <c r="A700" i="4"/>
  <c r="B700" i="4"/>
  <c r="C700" i="4"/>
  <c r="A701" i="4"/>
  <c r="B701" i="4"/>
  <c r="C701" i="4"/>
  <c r="A702" i="4"/>
  <c r="B702" i="4"/>
  <c r="C702" i="4"/>
  <c r="A703" i="4"/>
  <c r="B703" i="4"/>
  <c r="C703" i="4"/>
  <c r="A704" i="4"/>
  <c r="B704" i="4"/>
  <c r="C704" i="4"/>
  <c r="A705" i="4"/>
  <c r="B705" i="4"/>
  <c r="C705" i="4"/>
  <c r="A706" i="4"/>
  <c r="B706" i="4"/>
  <c r="C706" i="4"/>
  <c r="A707" i="4"/>
  <c r="B707" i="4"/>
  <c r="C707" i="4"/>
  <c r="A708" i="4"/>
  <c r="B708" i="4"/>
  <c r="C708" i="4"/>
  <c r="A709" i="4"/>
  <c r="B709" i="4"/>
  <c r="C709" i="4"/>
  <c r="A710" i="4"/>
  <c r="B710" i="4"/>
  <c r="C710" i="4"/>
  <c r="A711" i="4"/>
  <c r="B711" i="4"/>
  <c r="C711" i="4"/>
  <c r="A712" i="4"/>
  <c r="B712" i="4"/>
  <c r="C712" i="4"/>
  <c r="A713" i="4"/>
  <c r="B713" i="4"/>
  <c r="C713" i="4"/>
  <c r="A714" i="4"/>
  <c r="B714" i="4"/>
  <c r="C714" i="4"/>
  <c r="A715" i="4"/>
  <c r="B715" i="4"/>
  <c r="C715" i="4"/>
  <c r="A716" i="4"/>
  <c r="B716" i="4"/>
  <c r="C716" i="4"/>
  <c r="A717" i="4"/>
  <c r="B717" i="4"/>
  <c r="C717" i="4"/>
  <c r="A718" i="4"/>
  <c r="B718" i="4"/>
  <c r="C718" i="4"/>
  <c r="A719" i="4"/>
  <c r="B719" i="4"/>
  <c r="C719" i="4"/>
  <c r="A720" i="4"/>
  <c r="B720" i="4"/>
  <c r="C720" i="4"/>
  <c r="A721" i="4"/>
  <c r="B721" i="4"/>
  <c r="C721" i="4"/>
  <c r="A722" i="4"/>
  <c r="B722" i="4"/>
  <c r="C722" i="4"/>
  <c r="A723" i="4"/>
  <c r="B723" i="4"/>
  <c r="C723" i="4"/>
  <c r="A724" i="4"/>
  <c r="B724" i="4"/>
  <c r="C724" i="4"/>
  <c r="A725" i="4"/>
  <c r="B725" i="4"/>
  <c r="C725" i="4"/>
  <c r="A726" i="4"/>
  <c r="B726" i="4"/>
  <c r="C726" i="4"/>
  <c r="A727" i="4"/>
  <c r="B727" i="4"/>
  <c r="C727" i="4"/>
  <c r="A728" i="4"/>
  <c r="B728" i="4"/>
  <c r="C728" i="4"/>
  <c r="A729" i="4"/>
  <c r="B729" i="4"/>
  <c r="C729" i="4"/>
  <c r="A730" i="4"/>
  <c r="B730" i="4"/>
  <c r="C730" i="4"/>
  <c r="A731" i="4"/>
  <c r="B731" i="4"/>
  <c r="C731" i="4"/>
  <c r="A732" i="4"/>
  <c r="B732" i="4"/>
  <c r="C732" i="4"/>
  <c r="A733" i="4"/>
  <c r="B733" i="4"/>
  <c r="C733" i="4"/>
  <c r="A734" i="4"/>
  <c r="B734" i="4"/>
  <c r="C734" i="4"/>
  <c r="A735" i="4"/>
  <c r="B735" i="4"/>
  <c r="C735" i="4"/>
  <c r="A736" i="4"/>
  <c r="B736" i="4"/>
  <c r="C736" i="4"/>
  <c r="A737" i="4"/>
  <c r="B737" i="4"/>
  <c r="C737" i="4"/>
  <c r="A738" i="4"/>
  <c r="B738" i="4"/>
  <c r="C738" i="4"/>
  <c r="A739" i="4"/>
  <c r="B739" i="4"/>
  <c r="C739" i="4"/>
  <c r="A740" i="4"/>
  <c r="B740" i="4"/>
  <c r="C740" i="4"/>
  <c r="A741" i="4"/>
  <c r="B741" i="4"/>
  <c r="C741" i="4"/>
  <c r="A742" i="4"/>
  <c r="B742" i="4"/>
  <c r="C742" i="4"/>
  <c r="A743" i="4"/>
  <c r="B743" i="4"/>
  <c r="C743" i="4"/>
  <c r="A744" i="4"/>
  <c r="B744" i="4"/>
  <c r="C744" i="4"/>
  <c r="A745" i="4"/>
  <c r="B745" i="4"/>
  <c r="C745" i="4"/>
  <c r="A746" i="4"/>
  <c r="B746" i="4"/>
  <c r="C746" i="4"/>
  <c r="A747" i="4"/>
  <c r="B747" i="4"/>
  <c r="C747" i="4"/>
  <c r="A748" i="4"/>
  <c r="B748" i="4"/>
  <c r="C748" i="4"/>
  <c r="A749" i="4"/>
  <c r="B749" i="4"/>
  <c r="C749" i="4"/>
  <c r="A750" i="4"/>
  <c r="B750" i="4"/>
  <c r="C750" i="4"/>
  <c r="A751" i="4"/>
  <c r="B751" i="4"/>
  <c r="C751" i="4"/>
  <c r="A752" i="4"/>
  <c r="B752" i="4"/>
  <c r="C752" i="4"/>
  <c r="A753" i="4"/>
  <c r="B753" i="4"/>
  <c r="C753" i="4"/>
  <c r="A754" i="4"/>
  <c r="B754" i="4"/>
  <c r="C754" i="4"/>
  <c r="A755" i="4"/>
  <c r="B755" i="4"/>
  <c r="C755" i="4"/>
  <c r="A756" i="4"/>
  <c r="B756" i="4"/>
  <c r="C756" i="4"/>
  <c r="A757" i="4"/>
  <c r="B757" i="4"/>
  <c r="C757" i="4"/>
  <c r="A758" i="4"/>
  <c r="B758" i="4"/>
  <c r="C758" i="4"/>
  <c r="A759" i="4"/>
  <c r="B759" i="4"/>
  <c r="C759" i="4"/>
  <c r="A760" i="4"/>
  <c r="B760" i="4"/>
  <c r="C760" i="4"/>
  <c r="A761" i="4"/>
  <c r="B761" i="4"/>
  <c r="C761" i="4"/>
  <c r="A762" i="4"/>
  <c r="B762" i="4"/>
  <c r="C762" i="4"/>
  <c r="A763" i="4"/>
  <c r="B763" i="4"/>
  <c r="C763" i="4"/>
  <c r="A764" i="4"/>
  <c r="B764" i="4"/>
  <c r="C764" i="4"/>
  <c r="A765" i="4"/>
  <c r="B765" i="4"/>
  <c r="C765" i="4"/>
  <c r="A766" i="4"/>
  <c r="B766" i="4"/>
  <c r="C766" i="4"/>
  <c r="A767" i="4"/>
  <c r="B767" i="4"/>
  <c r="C767" i="4"/>
  <c r="A768" i="4"/>
  <c r="B768" i="4"/>
  <c r="C768" i="4"/>
  <c r="A769" i="4"/>
  <c r="B769" i="4"/>
  <c r="C769" i="4"/>
  <c r="A770" i="4"/>
  <c r="B770" i="4"/>
  <c r="C770" i="4"/>
  <c r="A771" i="4"/>
  <c r="B771" i="4"/>
  <c r="C771" i="4"/>
  <c r="A772" i="4"/>
  <c r="B772" i="4"/>
  <c r="C772" i="4"/>
  <c r="A773" i="4"/>
  <c r="B773" i="4"/>
  <c r="C773" i="4"/>
  <c r="A774" i="4"/>
  <c r="B774" i="4"/>
  <c r="C774" i="4"/>
  <c r="A775" i="4"/>
  <c r="B775" i="4"/>
  <c r="C775" i="4"/>
  <c r="A776" i="4"/>
  <c r="B776" i="4"/>
  <c r="C776" i="4"/>
  <c r="A777" i="4"/>
  <c r="B777" i="4"/>
  <c r="C777" i="4"/>
  <c r="A778" i="4"/>
  <c r="B778" i="4"/>
  <c r="C778" i="4"/>
  <c r="A779" i="4"/>
  <c r="B779" i="4"/>
  <c r="C779" i="4"/>
  <c r="A780" i="4"/>
  <c r="B780" i="4"/>
  <c r="C780" i="4"/>
  <c r="A781" i="4"/>
  <c r="B781" i="4"/>
  <c r="C781" i="4"/>
  <c r="A782" i="4"/>
  <c r="B782" i="4"/>
  <c r="C782" i="4"/>
  <c r="A783" i="4"/>
  <c r="B783" i="4"/>
  <c r="C783" i="4"/>
  <c r="A784" i="4"/>
  <c r="B784" i="4"/>
  <c r="C784" i="4"/>
  <c r="A785" i="4"/>
  <c r="B785" i="4"/>
  <c r="C785" i="4"/>
  <c r="A786" i="4"/>
  <c r="B786" i="4"/>
  <c r="C786" i="4"/>
  <c r="A787" i="4"/>
  <c r="B787" i="4"/>
  <c r="C787" i="4"/>
  <c r="A788" i="4"/>
  <c r="B788" i="4"/>
  <c r="C788" i="4"/>
  <c r="A789" i="4"/>
  <c r="B789" i="4"/>
  <c r="C789" i="4"/>
  <c r="A790" i="4"/>
  <c r="B790" i="4"/>
  <c r="C790" i="4"/>
  <c r="A791" i="4"/>
  <c r="B791" i="4"/>
  <c r="C791" i="4"/>
  <c r="A792" i="4"/>
  <c r="B792" i="4"/>
  <c r="C792" i="4"/>
  <c r="A793" i="4"/>
  <c r="B793" i="4"/>
  <c r="C793" i="4"/>
  <c r="A794" i="4"/>
  <c r="B794" i="4"/>
  <c r="C794" i="4"/>
  <c r="A795" i="4"/>
  <c r="B795" i="4"/>
  <c r="C795" i="4"/>
  <c r="A796" i="4"/>
  <c r="B796" i="4"/>
  <c r="C796" i="4"/>
  <c r="A797" i="4"/>
  <c r="B797" i="4"/>
  <c r="C797" i="4"/>
  <c r="A798" i="4"/>
  <c r="B798" i="4"/>
  <c r="C798" i="4"/>
  <c r="A799" i="4"/>
  <c r="B799" i="4"/>
  <c r="C799" i="4"/>
  <c r="A800" i="4"/>
  <c r="B800" i="4"/>
  <c r="C800" i="4"/>
  <c r="A801" i="4"/>
  <c r="B801" i="4"/>
  <c r="C801" i="4"/>
  <c r="A802" i="4"/>
  <c r="B802" i="4"/>
  <c r="C802" i="4"/>
  <c r="A803" i="4"/>
  <c r="B803" i="4"/>
  <c r="C803" i="4"/>
  <c r="A804" i="4"/>
  <c r="B804" i="4"/>
  <c r="C804" i="4"/>
  <c r="A805" i="4"/>
  <c r="B805" i="4"/>
  <c r="C805" i="4"/>
  <c r="A806" i="4"/>
  <c r="B806" i="4"/>
  <c r="C806" i="4"/>
  <c r="A807" i="4"/>
  <c r="B807" i="4"/>
  <c r="C807" i="4"/>
  <c r="A808" i="4"/>
  <c r="B808" i="4"/>
  <c r="C808" i="4"/>
  <c r="A809" i="4"/>
  <c r="B809" i="4"/>
  <c r="C809" i="4"/>
  <c r="A810" i="4"/>
  <c r="B810" i="4"/>
  <c r="C810" i="4"/>
  <c r="A811" i="4"/>
  <c r="B811" i="4"/>
  <c r="C811" i="4"/>
  <c r="A812" i="4"/>
  <c r="B812" i="4"/>
  <c r="C812" i="4"/>
  <c r="A813" i="4"/>
  <c r="B813" i="4"/>
  <c r="C813" i="4"/>
  <c r="A814" i="4"/>
  <c r="B814" i="4"/>
  <c r="C814" i="4"/>
  <c r="A815" i="4"/>
  <c r="B815" i="4"/>
  <c r="C815" i="4"/>
  <c r="A816" i="4"/>
  <c r="B816" i="4"/>
  <c r="C816" i="4"/>
  <c r="A817" i="4"/>
  <c r="B817" i="4"/>
  <c r="C817" i="4"/>
  <c r="A818" i="4"/>
  <c r="B818" i="4"/>
  <c r="C818" i="4"/>
  <c r="A819" i="4"/>
  <c r="B819" i="4"/>
  <c r="C819" i="4"/>
  <c r="A820" i="4"/>
  <c r="B820" i="4"/>
  <c r="C820" i="4"/>
  <c r="A821" i="4"/>
  <c r="B821" i="4"/>
  <c r="C821" i="4"/>
  <c r="A822" i="4"/>
  <c r="B822" i="4"/>
  <c r="C822" i="4"/>
  <c r="A823" i="4"/>
  <c r="B823" i="4"/>
  <c r="C823" i="4"/>
  <c r="A824" i="4"/>
  <c r="B824" i="4"/>
  <c r="C824" i="4"/>
  <c r="A825" i="4"/>
  <c r="B825" i="4"/>
  <c r="C825" i="4"/>
  <c r="A826" i="4"/>
  <c r="B826" i="4"/>
  <c r="C826" i="4"/>
  <c r="A827" i="4"/>
  <c r="B827" i="4"/>
  <c r="C827" i="4"/>
  <c r="A828" i="4"/>
  <c r="B828" i="4"/>
  <c r="C828" i="4"/>
  <c r="A829" i="4"/>
  <c r="B829" i="4"/>
  <c r="C829" i="4"/>
  <c r="A830" i="4"/>
  <c r="B830" i="4"/>
  <c r="C830" i="4"/>
  <c r="A831" i="4"/>
  <c r="B831" i="4"/>
  <c r="C831" i="4"/>
  <c r="A832" i="4"/>
  <c r="B832" i="4"/>
  <c r="C832" i="4"/>
  <c r="A833" i="4"/>
  <c r="B833" i="4"/>
  <c r="C833" i="4"/>
  <c r="A834" i="4"/>
  <c r="B834" i="4"/>
  <c r="C834" i="4"/>
  <c r="A835" i="4"/>
  <c r="B835" i="4"/>
  <c r="C835" i="4"/>
  <c r="A836" i="4"/>
  <c r="B836" i="4"/>
  <c r="C836" i="4"/>
  <c r="A837" i="4"/>
  <c r="B837" i="4"/>
  <c r="C837" i="4"/>
  <c r="A838" i="4"/>
  <c r="B838" i="4"/>
  <c r="C838" i="4"/>
  <c r="A839" i="4"/>
  <c r="B839" i="4"/>
  <c r="C839" i="4"/>
  <c r="A840" i="4"/>
  <c r="B840" i="4"/>
  <c r="C840" i="4"/>
  <c r="A841" i="4"/>
  <c r="B841" i="4"/>
  <c r="C841" i="4"/>
  <c r="A842" i="4"/>
  <c r="B842" i="4"/>
  <c r="C842" i="4"/>
  <c r="A843" i="4"/>
  <c r="B843" i="4"/>
  <c r="C843" i="4"/>
  <c r="A844" i="4"/>
  <c r="B844" i="4"/>
  <c r="C844" i="4"/>
  <c r="A845" i="4"/>
  <c r="B845" i="4"/>
  <c r="C845" i="4"/>
  <c r="A846" i="4"/>
  <c r="B846" i="4"/>
  <c r="C846" i="4"/>
  <c r="A847" i="4"/>
  <c r="B847" i="4"/>
  <c r="C847" i="4"/>
  <c r="A848" i="4"/>
  <c r="B848" i="4"/>
  <c r="C848" i="4"/>
  <c r="A849" i="4"/>
  <c r="B849" i="4"/>
  <c r="C849" i="4"/>
  <c r="A850" i="4"/>
  <c r="B850" i="4"/>
  <c r="C850" i="4"/>
  <c r="A851" i="4"/>
  <c r="B851" i="4"/>
  <c r="C851" i="4"/>
  <c r="A852" i="4"/>
  <c r="B852" i="4"/>
  <c r="C852" i="4"/>
  <c r="A853" i="4"/>
  <c r="B853" i="4"/>
  <c r="C853" i="4"/>
  <c r="A854" i="4"/>
  <c r="B854" i="4"/>
  <c r="C854" i="4"/>
  <c r="A855" i="4"/>
  <c r="B855" i="4"/>
  <c r="C855" i="4"/>
  <c r="A856" i="4"/>
  <c r="B856" i="4"/>
  <c r="C856" i="4"/>
  <c r="A857" i="4"/>
  <c r="B857" i="4"/>
  <c r="C857" i="4"/>
  <c r="A858" i="4"/>
  <c r="B858" i="4"/>
  <c r="C858" i="4"/>
  <c r="A859" i="4"/>
  <c r="B859" i="4"/>
  <c r="C859" i="4"/>
  <c r="A860" i="4"/>
  <c r="B860" i="4"/>
  <c r="C860" i="4"/>
  <c r="A861" i="4"/>
  <c r="B861" i="4"/>
  <c r="C861" i="4"/>
  <c r="A862" i="4"/>
  <c r="B862" i="4"/>
  <c r="C862" i="4"/>
  <c r="A863" i="4"/>
  <c r="B863" i="4"/>
  <c r="C863" i="4"/>
  <c r="A864" i="4"/>
  <c r="B864" i="4"/>
  <c r="C864" i="4"/>
  <c r="A865" i="4"/>
  <c r="B865" i="4"/>
  <c r="C865" i="4"/>
  <c r="A866" i="4"/>
  <c r="B866" i="4"/>
  <c r="C866" i="4"/>
  <c r="A867" i="4"/>
  <c r="B867" i="4"/>
  <c r="C867" i="4"/>
  <c r="A868" i="4"/>
  <c r="B868" i="4"/>
  <c r="C868" i="4"/>
  <c r="A869" i="4"/>
  <c r="B869" i="4"/>
  <c r="C869" i="4"/>
  <c r="A870" i="4"/>
  <c r="B870" i="4"/>
  <c r="C870" i="4"/>
  <c r="A871" i="4"/>
  <c r="B871" i="4"/>
  <c r="C871" i="4"/>
  <c r="A872" i="4"/>
  <c r="B872" i="4"/>
  <c r="C872" i="4"/>
  <c r="A873" i="4"/>
  <c r="B873" i="4"/>
  <c r="C873" i="4"/>
  <c r="A874" i="4"/>
  <c r="B874" i="4"/>
  <c r="C874" i="4"/>
  <c r="A875" i="4"/>
  <c r="B875" i="4"/>
  <c r="C875" i="4"/>
  <c r="A876" i="4"/>
  <c r="B876" i="4"/>
  <c r="C876" i="4"/>
  <c r="A877" i="4"/>
  <c r="B877" i="4"/>
  <c r="C877" i="4"/>
  <c r="A878" i="4"/>
  <c r="B878" i="4"/>
  <c r="C878" i="4"/>
  <c r="A879" i="4"/>
  <c r="B879" i="4"/>
  <c r="C879" i="4"/>
  <c r="A880" i="4"/>
  <c r="B880" i="4"/>
  <c r="C880" i="4"/>
  <c r="A881" i="4"/>
  <c r="B881" i="4"/>
  <c r="C881" i="4"/>
  <c r="A882" i="4"/>
  <c r="B882" i="4"/>
  <c r="C882" i="4"/>
  <c r="A883" i="4"/>
  <c r="B883" i="4"/>
  <c r="C883" i="4"/>
  <c r="A884" i="4"/>
  <c r="B884" i="4"/>
  <c r="C884" i="4"/>
  <c r="A885" i="4"/>
  <c r="B885" i="4"/>
  <c r="C885" i="4"/>
  <c r="A886" i="4"/>
  <c r="B886" i="4"/>
  <c r="C886" i="4"/>
  <c r="A887" i="4"/>
  <c r="B887" i="4"/>
  <c r="C887" i="4"/>
  <c r="A888" i="4"/>
  <c r="B888" i="4"/>
  <c r="C888" i="4"/>
  <c r="A889" i="4"/>
  <c r="B889" i="4"/>
  <c r="C889" i="4"/>
  <c r="A890" i="4"/>
  <c r="B890" i="4"/>
  <c r="C890" i="4"/>
  <c r="A891" i="4"/>
  <c r="B891" i="4"/>
  <c r="C891" i="4"/>
  <c r="A892" i="4"/>
  <c r="B892" i="4"/>
  <c r="C892" i="4"/>
  <c r="A893" i="4"/>
  <c r="B893" i="4"/>
  <c r="C893" i="4"/>
  <c r="A894" i="4"/>
  <c r="B894" i="4"/>
  <c r="C894" i="4"/>
  <c r="A895" i="4"/>
  <c r="B895" i="4"/>
  <c r="C895" i="4"/>
  <c r="A896" i="4"/>
  <c r="B896" i="4"/>
  <c r="C896" i="4"/>
  <c r="A897" i="4"/>
  <c r="B897" i="4"/>
  <c r="C897" i="4"/>
  <c r="A898" i="4"/>
  <c r="B898" i="4"/>
  <c r="C898" i="4"/>
  <c r="A899" i="4"/>
  <c r="B899" i="4"/>
  <c r="C899" i="4"/>
  <c r="A900" i="4"/>
  <c r="B900" i="4"/>
  <c r="C900" i="4"/>
  <c r="A901" i="4"/>
  <c r="B901" i="4"/>
  <c r="C901" i="4"/>
  <c r="A902" i="4"/>
  <c r="B902" i="4"/>
  <c r="C902" i="4"/>
  <c r="A903" i="4"/>
  <c r="B903" i="4"/>
  <c r="C903" i="4"/>
  <c r="A904" i="4"/>
  <c r="B904" i="4"/>
  <c r="C904" i="4"/>
  <c r="A905" i="4"/>
  <c r="B905" i="4"/>
  <c r="C905" i="4"/>
  <c r="A906" i="4"/>
  <c r="B906" i="4"/>
  <c r="C906" i="4"/>
  <c r="A907" i="4"/>
  <c r="B907" i="4"/>
  <c r="C907" i="4"/>
  <c r="A908" i="4"/>
  <c r="B908" i="4"/>
  <c r="C908" i="4"/>
  <c r="A909" i="4"/>
  <c r="B909" i="4"/>
  <c r="C909" i="4"/>
  <c r="A910" i="4"/>
  <c r="B910" i="4"/>
  <c r="C910" i="4"/>
  <c r="A911" i="4"/>
  <c r="B911" i="4"/>
  <c r="C911" i="4"/>
  <c r="A912" i="4"/>
  <c r="B912" i="4"/>
  <c r="C912" i="4"/>
  <c r="A913" i="4"/>
  <c r="B913" i="4"/>
  <c r="C913" i="4"/>
  <c r="A914" i="4"/>
  <c r="B914" i="4"/>
  <c r="C914" i="4"/>
  <c r="A915" i="4"/>
  <c r="B915" i="4"/>
  <c r="C915" i="4"/>
  <c r="A916" i="4"/>
  <c r="B916" i="4"/>
  <c r="C916" i="4"/>
  <c r="A917" i="4"/>
  <c r="B917" i="4"/>
  <c r="C917" i="4"/>
  <c r="A918" i="4"/>
  <c r="B918" i="4"/>
  <c r="C918" i="4"/>
  <c r="A919" i="4"/>
  <c r="B919" i="4"/>
  <c r="C919" i="4"/>
  <c r="A920" i="4"/>
  <c r="B920" i="4"/>
  <c r="C920" i="4"/>
  <c r="A921" i="4"/>
  <c r="B921" i="4"/>
  <c r="C921" i="4"/>
  <c r="A922" i="4"/>
  <c r="B922" i="4"/>
  <c r="C922" i="4"/>
  <c r="A923" i="4"/>
  <c r="B923" i="4"/>
  <c r="C923" i="4"/>
  <c r="A924" i="4"/>
  <c r="B924" i="4"/>
  <c r="C924" i="4"/>
  <c r="A925" i="4"/>
  <c r="B925" i="4"/>
  <c r="C925" i="4"/>
  <c r="A926" i="4"/>
  <c r="B926" i="4"/>
  <c r="C926" i="4"/>
  <c r="A927" i="4"/>
  <c r="B927" i="4"/>
  <c r="C927" i="4"/>
  <c r="A928" i="4"/>
  <c r="B928" i="4"/>
  <c r="C928" i="4"/>
  <c r="A929" i="4"/>
  <c r="B929" i="4"/>
  <c r="C929" i="4"/>
  <c r="A930" i="4"/>
  <c r="B930" i="4"/>
  <c r="C930" i="4"/>
  <c r="A931" i="4"/>
  <c r="B931" i="4"/>
  <c r="C931" i="4"/>
  <c r="A932" i="4"/>
  <c r="B932" i="4"/>
  <c r="C932" i="4"/>
  <c r="A933" i="4"/>
  <c r="B933" i="4"/>
  <c r="C933" i="4"/>
  <c r="A934" i="4"/>
  <c r="B934" i="4"/>
  <c r="C934" i="4"/>
  <c r="A935" i="4"/>
  <c r="B935" i="4"/>
  <c r="C935" i="4"/>
  <c r="A936" i="4"/>
  <c r="B936" i="4"/>
  <c r="C936" i="4"/>
  <c r="A937" i="4"/>
  <c r="B937" i="4"/>
  <c r="C937" i="4"/>
  <c r="A938" i="4"/>
  <c r="B938" i="4"/>
  <c r="C938" i="4"/>
  <c r="A939" i="4"/>
  <c r="B939" i="4"/>
  <c r="C939" i="4"/>
  <c r="A940" i="4"/>
  <c r="B940" i="4"/>
  <c r="C940" i="4"/>
  <c r="A941" i="4"/>
  <c r="B941" i="4"/>
  <c r="C941" i="4"/>
  <c r="A942" i="4"/>
  <c r="B942" i="4"/>
  <c r="C942" i="4"/>
  <c r="A943" i="4"/>
  <c r="B943" i="4"/>
  <c r="C943" i="4"/>
  <c r="A944" i="4"/>
  <c r="B944" i="4"/>
  <c r="C944" i="4"/>
  <c r="A945" i="4"/>
  <c r="B945" i="4"/>
  <c r="C945" i="4"/>
  <c r="A946" i="4"/>
  <c r="B946" i="4"/>
  <c r="C946" i="4"/>
  <c r="A947" i="4"/>
  <c r="B947" i="4"/>
  <c r="C947" i="4"/>
  <c r="A948" i="4"/>
  <c r="B948" i="4"/>
  <c r="C948" i="4"/>
  <c r="A949" i="4"/>
  <c r="B949" i="4"/>
  <c r="C949" i="4"/>
  <c r="A950" i="4"/>
  <c r="B950" i="4"/>
  <c r="C950" i="4"/>
  <c r="A951" i="4"/>
  <c r="B951" i="4"/>
  <c r="C951" i="4"/>
  <c r="A952" i="4"/>
  <c r="B952" i="4"/>
  <c r="C952" i="4"/>
  <c r="A953" i="4"/>
  <c r="B953" i="4"/>
  <c r="C953" i="4"/>
  <c r="A954" i="4"/>
  <c r="B954" i="4"/>
  <c r="C954" i="4"/>
  <c r="A955" i="4"/>
  <c r="B955" i="4"/>
  <c r="C955" i="4"/>
  <c r="A956" i="4"/>
  <c r="B956" i="4"/>
  <c r="C956" i="4"/>
  <c r="A957" i="4"/>
  <c r="B957" i="4"/>
  <c r="C957" i="4"/>
  <c r="A958" i="4"/>
  <c r="B958" i="4"/>
  <c r="C958" i="4"/>
  <c r="A959" i="4"/>
  <c r="B959" i="4"/>
  <c r="C959" i="4"/>
  <c r="A960" i="4"/>
  <c r="B960" i="4"/>
  <c r="C960" i="4"/>
  <c r="A961" i="4"/>
  <c r="B961" i="4"/>
  <c r="C961" i="4"/>
  <c r="A962" i="4"/>
  <c r="B962" i="4"/>
  <c r="C962" i="4"/>
  <c r="A963" i="4"/>
  <c r="B963" i="4"/>
  <c r="C963" i="4"/>
  <c r="A964" i="4"/>
  <c r="B964" i="4"/>
  <c r="C964" i="4"/>
  <c r="A965" i="4"/>
  <c r="B965" i="4"/>
  <c r="C965" i="4"/>
  <c r="A966" i="4"/>
  <c r="B966" i="4"/>
  <c r="C966" i="4"/>
  <c r="A967" i="4"/>
  <c r="B967" i="4"/>
  <c r="C967" i="4"/>
  <c r="A968" i="4"/>
  <c r="B968" i="4"/>
  <c r="C968" i="4"/>
  <c r="A969" i="4"/>
  <c r="B969" i="4"/>
  <c r="C969" i="4"/>
  <c r="A970" i="4"/>
  <c r="B970" i="4"/>
  <c r="C970" i="4"/>
  <c r="A971" i="4"/>
  <c r="B971" i="4"/>
  <c r="C971" i="4"/>
  <c r="A972" i="4"/>
  <c r="B972" i="4"/>
  <c r="C972" i="4"/>
  <c r="A973" i="4"/>
  <c r="B973" i="4"/>
  <c r="C973" i="4"/>
  <c r="A974" i="4"/>
  <c r="B974" i="4"/>
  <c r="C974" i="4"/>
  <c r="A975" i="4"/>
  <c r="B975" i="4"/>
  <c r="C975" i="4"/>
  <c r="A976" i="4"/>
  <c r="B976" i="4"/>
  <c r="C976" i="4"/>
  <c r="A977" i="4"/>
  <c r="B977" i="4"/>
  <c r="C977" i="4"/>
  <c r="A978" i="4"/>
  <c r="B978" i="4"/>
  <c r="C978" i="4"/>
  <c r="A979" i="4"/>
  <c r="B979" i="4"/>
  <c r="C979" i="4"/>
  <c r="A980" i="4"/>
  <c r="B980" i="4"/>
  <c r="C980" i="4"/>
  <c r="A981" i="4"/>
  <c r="B981" i="4"/>
  <c r="C981" i="4"/>
  <c r="A982" i="4"/>
  <c r="B982" i="4"/>
  <c r="C982" i="4"/>
  <c r="A983" i="4"/>
  <c r="B983" i="4"/>
  <c r="C983" i="4"/>
  <c r="A984" i="4"/>
  <c r="B984" i="4"/>
  <c r="C984" i="4"/>
  <c r="A985" i="4"/>
  <c r="B985" i="4"/>
  <c r="C985" i="4"/>
  <c r="A986" i="4"/>
  <c r="B986" i="4"/>
  <c r="C986" i="4"/>
  <c r="A987" i="4"/>
  <c r="B987" i="4"/>
  <c r="C987" i="4"/>
  <c r="A988" i="4"/>
  <c r="B988" i="4"/>
  <c r="C988" i="4"/>
  <c r="A989" i="4"/>
  <c r="B989" i="4"/>
  <c r="C989" i="4"/>
  <c r="A990" i="4"/>
  <c r="B990" i="4"/>
  <c r="C990" i="4"/>
  <c r="A991" i="4"/>
  <c r="B991" i="4"/>
  <c r="C991" i="4"/>
  <c r="A992" i="4"/>
  <c r="B992" i="4"/>
  <c r="C992" i="4"/>
  <c r="A993" i="4"/>
  <c r="B993" i="4"/>
  <c r="C993" i="4"/>
  <c r="A994" i="4"/>
  <c r="B994" i="4"/>
  <c r="C994" i="4"/>
  <c r="A995" i="4"/>
  <c r="B995" i="4"/>
  <c r="C995" i="4"/>
  <c r="A996" i="4"/>
  <c r="B996" i="4"/>
  <c r="C996" i="4"/>
  <c r="A997" i="4"/>
  <c r="B997" i="4"/>
  <c r="C997" i="4"/>
  <c r="A998" i="4"/>
  <c r="B998" i="4"/>
  <c r="C998" i="4"/>
  <c r="A999" i="4"/>
  <c r="B999" i="4"/>
  <c r="C999" i="4"/>
  <c r="A1000" i="4"/>
  <c r="B1000" i="4"/>
  <c r="C1000" i="4"/>
  <c r="B5" i="4"/>
  <c r="C5" i="4"/>
  <c r="A5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<sst xmlns="http://schemas.openxmlformats.org/spreadsheetml/2006/main" count="540" uniqueCount="502">
  <si>
    <t>PASTE RAW DATA HERE</t>
  </si>
  <si>
    <t>State</t>
  </si>
  <si>
    <t>Abbreviation</t>
  </si>
  <si>
    <t>AL</t>
  </si>
  <si>
    <t>AK</t>
  </si>
  <si>
    <t>AZ</t>
  </si>
  <si>
    <t>AR</t>
  </si>
  <si>
    <t>CA</t>
  </si>
  <si>
    <t>CO</t>
  </si>
  <si>
    <t>CT</t>
  </si>
  <si>
    <t>DE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</si>
  <si>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</si>
  <si>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</si>
  <si>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</si>
  <si>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</si>
  <si>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</si>
  <si>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</si>
  <si>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</si>
  <si>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</si>
  <si>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</si>
  <si>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</si>
  <si>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</si>
  <si>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</si>
  <si>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</si>
  <si>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</si>
  <si>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</si>
  <si>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</si>
  <si>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</si>
  <si>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</si>
  <si>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</si>
  <si>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</si>
  <si>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</si>
  <si>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</si>
  <si>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</si>
  <si>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</si>
  <si>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</si>
  <si>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</si>
  <si>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</si>
  <si>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</si>
  <si>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</si>
  <si>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</si>
  <si>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</si>
  <si>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</si>
  <si>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</si>
  <si>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</si>
  <si>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</si>
  <si>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</si>
  <si>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</si>
  <si>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</si>
  <si>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</si>
  <si>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</si>
  <si>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</si>
  <si>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</si>
  <si>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Country</t>
  </si>
  <si>
    <t>US</t>
  </si>
  <si>
    <t>AF</t>
  </si>
  <si>
    <t>DZ</t>
  </si>
  <si>
    <t>AD</t>
  </si>
  <si>
    <t>AO</t>
  </si>
  <si>
    <t>AG</t>
  </si>
  <si>
    <t>AM</t>
  </si>
  <si>
    <t>AU</t>
  </si>
  <si>
    <t>AT</t>
  </si>
  <si>
    <t>BS</t>
  </si>
  <si>
    <t>BH</t>
  </si>
  <si>
    <t>BD</t>
  </si>
  <si>
    <t>BB</t>
  </si>
  <si>
    <t>BY</t>
  </si>
  <si>
    <t>BE</t>
  </si>
  <si>
    <t>BZ</t>
  </si>
  <si>
    <t>BJ</t>
  </si>
  <si>
    <t>BT</t>
  </si>
  <si>
    <t>BO</t>
  </si>
  <si>
    <t>BA</t>
  </si>
  <si>
    <t>BW</t>
  </si>
  <si>
    <t>BR</t>
  </si>
  <si>
    <t>BN</t>
  </si>
  <si>
    <t>BG</t>
  </si>
  <si>
    <t>BF</t>
  </si>
  <si>
    <t>BI</t>
  </si>
  <si>
    <t>CI</t>
  </si>
  <si>
    <t>CV</t>
  </si>
  <si>
    <t>KH</t>
  </si>
  <si>
    <t>CM</t>
  </si>
  <si>
    <t>CF</t>
  </si>
  <si>
    <t>TD</t>
  </si>
  <si>
    <t>CL</t>
  </si>
  <si>
    <t>CN</t>
  </si>
  <si>
    <t>KM</t>
  </si>
  <si>
    <t>CG</t>
  </si>
  <si>
    <t>CR</t>
  </si>
  <si>
    <t>HR</t>
  </si>
  <si>
    <t>CU</t>
  </si>
  <si>
    <t>CY</t>
  </si>
  <si>
    <t>CZ</t>
  </si>
  <si>
    <t>CD</t>
  </si>
  <si>
    <t>DK</t>
  </si>
  <si>
    <t>DJ</t>
  </si>
  <si>
    <t>DM</t>
  </si>
  <si>
    <t>DO</t>
  </si>
  <si>
    <t>EC</t>
  </si>
  <si>
    <t>EG</t>
  </si>
  <si>
    <t>SV</t>
  </si>
  <si>
    <t>GQ</t>
  </si>
  <si>
    <t>ER</t>
  </si>
  <si>
    <t>EE</t>
  </si>
  <si>
    <t>SZ</t>
  </si>
  <si>
    <t>ET</t>
  </si>
  <si>
    <t>FJ</t>
  </si>
  <si>
    <t>FI</t>
  </si>
  <si>
    <t>FR</t>
  </si>
  <si>
    <t>GM</t>
  </si>
  <si>
    <t>GE</t>
  </si>
  <si>
    <t>GH</t>
  </si>
  <si>
    <t>GR</t>
  </si>
  <si>
    <t>GD</t>
  </si>
  <si>
    <t>GT</t>
  </si>
  <si>
    <t>GN</t>
  </si>
  <si>
    <t>GW</t>
  </si>
  <si>
    <t>GY</t>
  </si>
  <si>
    <t>HT</t>
  </si>
  <si>
    <t>HN</t>
  </si>
  <si>
    <t>HU</t>
  </si>
  <si>
    <t>IS</t>
  </si>
  <si>
    <t>IR</t>
  </si>
  <si>
    <t>IQ</t>
  </si>
  <si>
    <t>IE</t>
  </si>
  <si>
    <t>IT</t>
  </si>
  <si>
    <t>JM</t>
  </si>
  <si>
    <t>JP</t>
  </si>
  <si>
    <t>JO</t>
  </si>
  <si>
    <t>KZ</t>
  </si>
  <si>
    <t>KE</t>
  </si>
  <si>
    <t>KI</t>
  </si>
  <si>
    <t>KW</t>
  </si>
  <si>
    <t>KG</t>
  </si>
  <si>
    <t>LV</t>
  </si>
  <si>
    <t>LB</t>
  </si>
  <si>
    <t>LS</t>
  </si>
  <si>
    <t>LR</t>
  </si>
  <si>
    <t>LY</t>
  </si>
  <si>
    <t>LI</t>
  </si>
  <si>
    <t>LT</t>
  </si>
  <si>
    <t>LU</t>
  </si>
  <si>
    <t>MG</t>
  </si>
  <si>
    <t>MW</t>
  </si>
  <si>
    <t>MY</t>
  </si>
  <si>
    <t>MV</t>
  </si>
  <si>
    <t>ML</t>
  </si>
  <si>
    <t>MH</t>
  </si>
  <si>
    <t>MR</t>
  </si>
  <si>
    <t>MU</t>
  </si>
  <si>
    <t>MX</t>
  </si>
  <si>
    <t>FM</t>
  </si>
  <si>
    <t>MC</t>
  </si>
  <si>
    <t>MZ</t>
  </si>
  <si>
    <t>MM</t>
  </si>
  <si>
    <t>NA</t>
  </si>
  <si>
    <t>NR</t>
  </si>
  <si>
    <t>NP</t>
  </si>
  <si>
    <t>NL</t>
  </si>
  <si>
    <t>NZ</t>
  </si>
  <si>
    <t>NI</t>
  </si>
  <si>
    <t>NG</t>
  </si>
  <si>
    <t>KP</t>
  </si>
  <si>
    <t>MK</t>
  </si>
  <si>
    <t>NO</t>
  </si>
  <si>
    <t>OM</t>
  </si>
  <si>
    <t>PK</t>
  </si>
  <si>
    <t>PW</t>
  </si>
  <si>
    <t>PS</t>
  </si>
  <si>
    <t>PG</t>
  </si>
  <si>
    <t>PY</t>
  </si>
  <si>
    <t>PE</t>
  </si>
  <si>
    <t>PH</t>
  </si>
  <si>
    <t>PL</t>
  </si>
  <si>
    <t>PT</t>
  </si>
  <si>
    <t>QA</t>
  </si>
  <si>
    <t>RO</t>
  </si>
  <si>
    <t>RU</t>
  </si>
  <si>
    <t>RW</t>
  </si>
  <si>
    <t>KN</t>
  </si>
  <si>
    <t>LC</t>
  </si>
  <si>
    <t>VC</t>
  </si>
  <si>
    <t>WS</t>
  </si>
  <si>
    <t>SM</t>
  </si>
  <si>
    <t>ST</t>
  </si>
  <si>
    <t>SA</t>
  </si>
  <si>
    <t>SN</t>
  </si>
  <si>
    <t>RS</t>
  </si>
  <si>
    <t>SL</t>
  </si>
  <si>
    <t>SG</t>
  </si>
  <si>
    <t>SK</t>
  </si>
  <si>
    <t>SI</t>
  </si>
  <si>
    <t>SB</t>
  </si>
  <si>
    <t>SO</t>
  </si>
  <si>
    <t>ZA</t>
  </si>
  <si>
    <t>KR</t>
  </si>
  <si>
    <t>SS</t>
  </si>
  <si>
    <t>ES</t>
  </si>
  <si>
    <t>LK</t>
  </si>
  <si>
    <t>SR</t>
  </si>
  <si>
    <t>SE</t>
  </si>
  <si>
    <t>CH</t>
  </si>
  <si>
    <t>SY</t>
  </si>
  <si>
    <t>TJ</t>
  </si>
  <si>
    <t>TZ</t>
  </si>
  <si>
    <t>TH</t>
  </si>
  <si>
    <t>TL</t>
  </si>
  <si>
    <t>TG</t>
  </si>
  <si>
    <t>TO</t>
  </si>
  <si>
    <t>TT</t>
  </si>
  <si>
    <t>TR</t>
  </si>
  <si>
    <t>TM</t>
  </si>
  <si>
    <t>TV</t>
  </si>
  <si>
    <t>UG</t>
  </si>
  <si>
    <t>UA</t>
  </si>
  <si>
    <t>AE</t>
  </si>
  <si>
    <t>GB</t>
  </si>
  <si>
    <t>UY</t>
  </si>
  <si>
    <t>UZ</t>
  </si>
  <si>
    <t>VU</t>
  </si>
  <si>
    <t>VE</t>
  </si>
  <si>
    <t>VN</t>
  </si>
  <si>
    <t>YE</t>
  </si>
  <si>
    <t>ZM</t>
  </si>
  <si>
    <t>ZW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</si>
  <si>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</si>
  <si>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</si>
  <si>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</si>
  <si>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</si>
  <si>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</si>
  <si>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</si>
  <si>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</si>
  <si>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</si>
  <si>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</si>
  <si>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</si>
  <si>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</si>
  <si>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</si>
  <si>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</si>
  <si>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</si>
  <si>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</si>
  <si>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</si>
  <si>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</si>
  <si>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</si>
  <si>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</si>
  <si>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</si>
  <si>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</si>
  <si>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</si>
  <si>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</si>
  <si>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</si>
  <si>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</si>
  <si>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</si>
  <si>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</si>
  <si>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</si>
  <si>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OHIO</t>
  </si>
  <si>
    <t>OKLAHOMA</t>
  </si>
  <si>
    <t>OREGON</t>
  </si>
  <si>
    <t>PENNSYLVANIA</t>
  </si>
  <si>
    <t>TENNESSEE</t>
  </si>
  <si>
    <t>TEXAS</t>
  </si>
  <si>
    <t>UTAH</t>
  </si>
  <si>
    <t>VERMONT</t>
  </si>
  <si>
    <t>VIRGINIA</t>
  </si>
  <si>
    <t>WASHINGTON</t>
  </si>
  <si>
    <t>WISCONSIN</t>
  </si>
  <si>
    <t>WYOMING</t>
  </si>
  <si>
    <t>AFGHANISTAN</t>
  </si>
  <si>
    <t>ALBANIA</t>
  </si>
  <si>
    <t>ALGERIA</t>
  </si>
  <si>
    <t>ANDORRA</t>
  </si>
  <si>
    <t>ANGOLA</t>
  </si>
  <si>
    <t>ARGENTINA</t>
  </si>
  <si>
    <t>ARMENIA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</si>
  <si>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</si>
  <si>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</si>
  <si>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</si>
  <si>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</si>
  <si>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</si>
  <si>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</si>
  <si>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</si>
  <si>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</si>
  <si>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</si>
  <si>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</si>
  <si>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</si>
  <si>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BHUTAN</t>
  </si>
  <si>
    <t>BOLIVIA</t>
  </si>
  <si>
    <t>BOTSWANA</t>
  </si>
  <si>
    <t>BRAZIL</t>
  </si>
  <si>
    <t>BRUNEI</t>
  </si>
  <si>
    <t>BULGARIA</t>
  </si>
  <si>
    <t>BURUNDI</t>
  </si>
  <si>
    <t>CAMBODIA</t>
  </si>
  <si>
    <t>CAMEROON</t>
  </si>
  <si>
    <t>CANADA</t>
  </si>
  <si>
    <t>CHAD</t>
  </si>
  <si>
    <t>CHILE</t>
  </si>
  <si>
    <t>CHINA</t>
  </si>
  <si>
    <t>COLOMBIA</t>
  </si>
  <si>
    <t>COMOROS</t>
  </si>
  <si>
    <t>CROATIA</t>
  </si>
  <si>
    <t>CUBA</t>
  </si>
  <si>
    <t>CYPRUS</t>
  </si>
  <si>
    <t>DENMARK</t>
  </si>
  <si>
    <t>DJIBOUTI</t>
  </si>
  <si>
    <t>DOMINICA</t>
  </si>
  <si>
    <t>ECUADOR</t>
  </si>
  <si>
    <t>EGYPT</t>
  </si>
  <si>
    <t>ERITREA</t>
  </si>
  <si>
    <t>ESTONIA</t>
  </si>
  <si>
    <t>ETHIOPIA</t>
  </si>
  <si>
    <t>FIJI</t>
  </si>
  <si>
    <t>FINLAND</t>
  </si>
  <si>
    <t>FRANCE</t>
  </si>
  <si>
    <t>GABON</t>
  </si>
  <si>
    <t>GAMBIA</t>
  </si>
  <si>
    <t>GERMANY</t>
  </si>
  <si>
    <t>GHANA</t>
  </si>
  <si>
    <t>GREECE</t>
  </si>
  <si>
    <t>GRENADA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</si>
  <si>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</si>
  <si>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</si>
  <si>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</si>
  <si>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</si>
  <si>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</si>
  <si>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</si>
  <si>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</si>
  <si>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</si>
  <si>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</si>
  <si>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</si>
  <si>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</si>
  <si>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</si>
  <si>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</si>
  <si>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</si>
  <si>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</si>
  <si>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</si>
  <si>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</si>
  <si>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</si>
  <si>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</si>
  <si>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</si>
  <si>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</si>
  <si>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</si>
  <si>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</si>
  <si>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</si>
  <si>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</si>
  <si>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</si>
  <si>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</si>
  <si>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</si>
  <si>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</si>
  <si>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</si>
  <si>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</si>
  <si>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</si>
  <si>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MADAGASCAR</t>
  </si>
  <si>
    <t>MALAWI</t>
  </si>
  <si>
    <t>MALAYSIA</t>
  </si>
  <si>
    <t>MALDIVES</t>
  </si>
  <si>
    <t>MALI</t>
  </si>
  <si>
    <t>MALTA</t>
  </si>
  <si>
    <t>MAURITANIA</t>
  </si>
  <si>
    <t>MAURITIUS</t>
  </si>
  <si>
    <t>MEXICO</t>
  </si>
  <si>
    <t>MICRONESIA</t>
  </si>
  <si>
    <t>MOLDOVA</t>
  </si>
  <si>
    <t>MONACO</t>
  </si>
  <si>
    <t>MONGOLIA</t>
  </si>
  <si>
    <t>MONTENEGRO</t>
  </si>
  <si>
    <t>MOROCCO</t>
  </si>
  <si>
    <t>MOZAMBIQUE</t>
  </si>
  <si>
    <t>NAMIBIA</t>
  </si>
  <si>
    <t>NAURU</t>
  </si>
  <si>
    <t>NEPAL</t>
  </si>
  <si>
    <t>NETHERLANDS</t>
  </si>
  <si>
    <t>NICARAGUA</t>
  </si>
  <si>
    <t>NIGER</t>
  </si>
  <si>
    <t>NIGERIA</t>
  </si>
  <si>
    <t>NORWAY</t>
  </si>
  <si>
    <t>OMAN</t>
  </si>
  <si>
    <t>PAKISTAN</t>
  </si>
  <si>
    <t>PALAU</t>
  </si>
  <si>
    <t>PANAMA</t>
  </si>
  <si>
    <t>PARAGUAY</t>
  </si>
  <si>
    <t>PERU</t>
  </si>
  <si>
    <t>PHILIPPINES</t>
  </si>
  <si>
    <t>POLAND</t>
  </si>
  <si>
    <t>PORTUGAL</t>
  </si>
  <si>
    <t>QATAR</t>
  </si>
  <si>
    <t>ROMANIA</t>
  </si>
  <si>
    <t>RUSSIA</t>
  </si>
  <si>
    <t>RWANDA</t>
  </si>
  <si>
    <t>SAMOA</t>
  </si>
  <si>
    <t>SENEGAL</t>
  </si>
  <si>
    <t>SERBIA</t>
  </si>
  <si>
    <t>SEYCHELLES</t>
  </si>
  <si>
    <t>SINGAPORE</t>
  </si>
  <si>
    <t>SLOVAKIA</t>
  </si>
  <si>
    <t>SLOVENIA</t>
  </si>
  <si>
    <t>SOMALIA</t>
  </si>
  <si>
    <t>SPAIN</t>
  </si>
  <si>
    <t>SUDAN</t>
  </si>
  <si>
    <t>SURINAME</t>
  </si>
  <si>
    <t>SWEDEN</t>
  </si>
  <si>
    <t>SWITZERLAND</t>
  </si>
  <si>
    <t>SYRIA</t>
  </si>
  <si>
    <t>TAJIKISTAN</t>
  </si>
  <si>
    <t>TANZANIA</t>
  </si>
  <si>
    <t>THAILAND</t>
  </si>
  <si>
    <t>TIMOR-LESTE</t>
  </si>
  <si>
    <t>TOGO</t>
  </si>
  <si>
    <t>TONGA</t>
  </si>
  <si>
    <t>TUNISIA</t>
  </si>
  <si>
    <t>TURKEY</t>
  </si>
  <si>
    <t>TURKMENISTAN</t>
  </si>
  <si>
    <t>TUVALU</t>
  </si>
  <si>
    <t>UGANDA</t>
  </si>
  <si>
    <t>UKRAINE</t>
  </si>
  <si>
    <t>URUGUAY</t>
  </si>
  <si>
    <t>UZBEKISTAN</t>
  </si>
  <si>
    <t>VANUATU</t>
  </si>
  <si>
    <t>VENEZUELA</t>
  </si>
  <si>
    <t>VIETNAM</t>
  </si>
  <si>
    <t>YEMEN</t>
  </si>
  <si>
    <t>ZAMBIA</t>
  </si>
  <si>
    <t>ZIMBABWE</t>
  </si>
  <si>
    <t>CLEAN DATA IS HERE</t>
  </si>
  <si>
    <t>First_Name</t>
  </si>
  <si>
    <t>Last_Name</t>
  </si>
  <si>
    <t>Hometown</t>
  </si>
  <si>
    <t>Grad_Year</t>
  </si>
  <si>
    <t>Rnd_1</t>
  </si>
  <si>
    <t>Rnd_2</t>
  </si>
  <si>
    <t>Rnd_3</t>
  </si>
  <si>
    <t>Rnd_4</t>
  </si>
  <si>
    <t>Status</t>
  </si>
  <si>
    <t>TITLE</t>
  </si>
  <si>
    <t>AGE GROUPS (COMMA SEPARATED)</t>
  </si>
  <si>
    <t>UNITEDSTATES</t>
  </si>
  <si>
    <t>UNITEDSTATESOFAMERICA</t>
  </si>
  <si>
    <t>ANTIGUAANDBARBUDA</t>
  </si>
  <si>
    <t>BOSNIAANDHERZEGOVINA</t>
  </si>
  <si>
    <t>BURKINAFASO</t>
  </si>
  <si>
    <t>CÔTED'IVOIRE</t>
  </si>
  <si>
    <t>CABOVERDE</t>
  </si>
  <si>
    <t>CENTRALAFRICANREPUBLIC</t>
  </si>
  <si>
    <t>CONGO(CONGO-BRAZZAVILLE)</t>
  </si>
  <si>
    <t>COSTARICA</t>
  </si>
  <si>
    <t>CZECHIA(CZECHREPUBLIC)</t>
  </si>
  <si>
    <t>DEMOCRATICREPUBLICOFTHECONGO</t>
  </si>
  <si>
    <t>DOMINICANREPUBLIC</t>
  </si>
  <si>
    <t>ELSALVADOR</t>
  </si>
  <si>
    <t>EQUATORIALGUINEA</t>
  </si>
  <si>
    <t>ESWATINI(FMR."SWAZILAND")</t>
  </si>
  <si>
    <t>HOLYSEE</t>
  </si>
  <si>
    <t>MARSHALLISLANDS</t>
  </si>
  <si>
    <t>MYANMAR(FORMERLYBURMA)</t>
  </si>
  <si>
    <t>NEWZEALAND</t>
  </si>
  <si>
    <t>NORTHKOREA</t>
  </si>
  <si>
    <t>NORTHMACEDONIA(FORMERLYMACEDONIA)</t>
  </si>
  <si>
    <t>PALESTINESTATE</t>
  </si>
  <si>
    <t>PAPUANEWGUINEA</t>
  </si>
  <si>
    <t>SAINTKITTSANDNEVIS</t>
  </si>
  <si>
    <t>SAINTLUCIA</t>
  </si>
  <si>
    <t>SAINTVINCENTANDTHEGRENADINES</t>
  </si>
  <si>
    <t>SANMARINO</t>
  </si>
  <si>
    <t>SAOTOMEANDPRINCIPE</t>
  </si>
  <si>
    <t>SAUDIARABIA</t>
  </si>
  <si>
    <t>SIERRALEONE</t>
  </si>
  <si>
    <t>SOLOMONISLANDS</t>
  </si>
  <si>
    <t>SOUTHAFRICA</t>
  </si>
  <si>
    <t>SOUTHKOREA</t>
  </si>
  <si>
    <t>SOUTHSUDAN</t>
  </si>
  <si>
    <t>SRILANKA</t>
  </si>
  <si>
    <t>TRINIDADANDTOBAGO</t>
  </si>
  <si>
    <t>UNITEDARABEMIRATES</t>
  </si>
  <si>
    <t>UNITEDKINGDOM</t>
  </si>
  <si>
    <t>NEWHAMPSHIRE</t>
  </si>
  <si>
    <t>NEWJERSEY</t>
  </si>
  <si>
    <t>NEWMEXICO</t>
  </si>
  <si>
    <t>NEWYORK</t>
  </si>
  <si>
    <t>NORTHCAROLINA</t>
  </si>
  <si>
    <t>NORTHDAKOTA</t>
  </si>
  <si>
    <t>RHODEISLAND</t>
  </si>
  <si>
    <t>SOUTHCAROLINA</t>
  </si>
  <si>
    <t>SOUTHDAKOTA</t>
  </si>
  <si>
    <t>WESTVIRGINIA</t>
  </si>
  <si>
    <t>This Workbook is designed to take messy data from excel files emailed to staff and clean it so it can be uploaded to the JGS Admin site.</t>
  </si>
  <si>
    <t>STEPS:</t>
  </si>
  <si>
    <t>Limitations and expectations:</t>
  </si>
  <si>
    <t>2. Input requisite information into the relevant cells titled DATE, TITLE, AGE GROUPS (COMMA SEPARATED), with correct format!</t>
  </si>
  <si>
    <t>3. Paste tournament info into the PASTE RAW DATA HERE section (columns have been labled accordingly)</t>
  </si>
  <si>
    <t>5. DONE! Check the folder that has been listed as your destination for csv files to see your clean file, ready for upload! :)</t>
  </si>
  <si>
    <r>
      <t xml:space="preserve">Workbook Created By </t>
    </r>
    <r>
      <rPr>
        <b/>
        <sz val="11"/>
        <color theme="1"/>
        <rFont val="Calibri"/>
        <family val="2"/>
        <scheme val="minor"/>
      </rPr>
      <t>Patrick Cataldo</t>
    </r>
    <r>
      <rPr>
        <sz val="11"/>
        <color theme="1"/>
        <rFont val="Calibri"/>
        <family val="2"/>
        <scheme val="minor"/>
      </rPr>
      <t>, 2023 Summer Intern at JGS</t>
    </r>
  </si>
  <si>
    <t>This Workbook WILL NOT do your job for you, it will only save minutes at a time, maybe more depending on the size and quality of spreadsheet.</t>
  </si>
  <si>
    <t>This Workbook cannot "magically" transform the data into something its not, data must already be organized based on the column names.</t>
  </si>
  <si>
    <t>This Workbook cannot be edited in cells other than input cells located in the MAIN sheet, all other sheets are password protected.</t>
  </si>
  <si>
    <t>This Workbook is designed to only do one tournament at a time.</t>
  </si>
  <si>
    <t>1. Gather requisite information (Date of tournament, tournament name, and age groups), usually located within the spreadsheet, email, or tournament info on the admin site.</t>
  </si>
  <si>
    <r>
      <t xml:space="preserve">3a. Tournament info should be pasted by AGE GROUP. </t>
    </r>
    <r>
      <rPr>
        <b/>
        <sz val="11"/>
        <color theme="1"/>
        <rFont val="Calibri"/>
        <family val="2"/>
        <scheme val="minor"/>
      </rPr>
      <t>Each age group table should be separated by 1 row of blank cells</t>
    </r>
    <r>
      <rPr>
        <sz val="11"/>
        <color theme="1"/>
        <rFont val="Calibri"/>
        <family val="2"/>
        <scheme val="minor"/>
      </rPr>
      <t>.</t>
    </r>
  </si>
  <si>
    <r>
      <t xml:space="preserve">3b. Match the age group tables with the order of the age groups entered in the AGE GROUPS (COMMA SEPARATED) cell. </t>
    </r>
    <r>
      <rPr>
        <b/>
        <sz val="11"/>
        <color rgb="FFFF0000"/>
        <rFont val="Calibri"/>
        <family val="2"/>
        <scheme val="minor"/>
      </rPr>
      <t>Failure will result in INACCURATE DATA</t>
    </r>
    <r>
      <rPr>
        <sz val="11"/>
        <color rgb="FFFF0000"/>
        <rFont val="Calibri"/>
        <family val="2"/>
        <scheme val="minor"/>
      </rPr>
      <t>!</t>
    </r>
  </si>
  <si>
    <t>3c. And check to make sure that the correct data is in the correct column!</t>
  </si>
  <si>
    <t>DATE (m-dd)</t>
  </si>
  <si>
    <t>4. Click the ExportCleanData button. (Visual aid below)</t>
  </si>
  <si>
    <t>Thanks for using this workbook, best of luck!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</si>
</sst>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\-dd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7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ck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0" fontId="6" fillId="0" borderId="0" applyNumberFormat="0" applyFont="0" applyFill="0" applyBorder="0" applyAlignment="0" applyProtection="0"/>
  </cellStyleXfs>
  <cellXfs count="27">
    <xf numFmtId="0" fontId="0" fillId="0" borderId="0" xfId="0"/>
    <xf numFmtId="0" fontId="1" fillId="0" borderId="0" xfId="0" applyFont="1"/>
    <xf numFmtId="0" fontId="0" fillId="3" borderId="0" xfId="0" applyFill="1"/>
    <xf numFmtId="0" fontId="0" fillId="3" borderId="1" xfId="0" applyFill="1" applyBorder="1"/>
    <xf numFmtId="0" fontId="0" fillId="4" borderId="2" xfId="0" applyFill="1" applyBorder="1"/>
    <xf numFmtId="0" fontId="1" fillId="3" borderId="0" xfId="0" applyFont="1" applyFill="1"/>
    <xf numFmtId="0" fontId="0" fillId="4" borderId="3" xfId="0" applyFill="1" applyBorder="1"/>
    <xf numFmtId="0" fontId="0" fillId="5" borderId="2" xfId="0" applyFill="1" applyBorder="1"/>
    <xf numFmtId="0" fontId="9" fillId="0" borderId="0" xfId="2" applyNumberFormat="1" applyFont="1" applyFill="1" applyBorder="1" applyAlignment="1" applyProtection="1"/>
    <xf numFmtId="0" fontId="12" fillId="0" borderId="0" xfId="0" applyFont="1"/>
    <xf numFmtId="0" fontId="0" fillId="6" borderId="0" xfId="0" applyFill="1"/>
    <xf numFmtId="0" fontId="2" fillId="3" borderId="0" xfId="0" applyFont="1" applyFill="1"/>
    <xf numFmtId="0" fontId="2" fillId="3" borderId="8" xfId="0" applyFont="1" applyFill="1" applyBorder="1"/>
    <xf numFmtId="0" fontId="2" fillId="3" borderId="9" xfId="0" applyFont="1" applyFill="1" applyBorder="1"/>
    <xf numFmtId="0" fontId="2" fillId="3" borderId="10" xfId="0" applyFont="1" applyFill="1" applyBorder="1"/>
    <xf numFmtId="0" fontId="8" fillId="0" borderId="0" xfId="0" applyFont="1"/>
    <xf numFmtId="0" fontId="10" fillId="0" borderId="0" xfId="1" applyFont="1"/>
    <xf numFmtId="0" fontId="0" fillId="3" borderId="7" xfId="0" applyFill="1" applyBorder="1"/>
    <xf numFmtId="0" fontId="3" fillId="4" borderId="0" xfId="0" applyFont="1" applyFill="1" applyAlignment="1">
      <alignment horizontal="center" vertical="center"/>
    </xf>
    <xf numFmtId="0" fontId="2" fillId="3" borderId="4" xfId="0" applyFont="1" applyFill="1" applyBorder="1" applyAlignment="1">
      <alignment horizontal="left" vertical="top"/>
    </xf>
    <xf numFmtId="0" fontId="2" fillId="3" borderId="3" xfId="0" applyFont="1" applyFill="1" applyBorder="1" applyAlignment="1">
      <alignment horizontal="left" vertical="top"/>
    </xf>
    <xf numFmtId="0" fontId="4" fillId="4" borderId="5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/>
    </xf>
    <xf numFmtId="164" fontId="2" fillId="3" borderId="6" xfId="0" applyNumberFormat="1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/>
    </xf>
  </cellXfs>
  <cellStyles count="3">
    <cellStyle name="Normal" xfId="0" builtinId="0"/>
    <cellStyle name="Normal 2" xfId="1" xr:uid="{6B85E3DB-B135-4AB9-A881-A56C01A82B21}"/>
    <cellStyle name="Normal 3" xfId="2" xr:uid="{6C95DD15-6B21-4DA1-825D-5A60E0EF294E}"/>
  </cellStyles>
  <dxfs count="0"/>
  <tableStyles count="0" defaultTableStyle="TableStyleMedium2" defaultPivotStyle="PivotStyleLight16"/>
  <colors>
    <mruColors>
      <color rgb="FFFEC200"/>
      <color rgb="FFD09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76200</xdr:colOff>
      <xdr:row>9</xdr:row>
      <xdr:rowOff>85725</xdr:rowOff>
    </xdr:from>
    <xdr:to>
      <xdr:col>14</xdr:col>
      <xdr:colOff>1206577</xdr:colOff>
      <xdr:row>41</xdr:row>
      <xdr:rowOff>189894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AE5604F6-1FD2-9F31-5877-8913A3AA7F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44000" y="1771650"/>
          <a:ext cx="3816427" cy="6200169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16</xdr:row>
      <xdr:rowOff>133350</xdr:rowOff>
    </xdr:from>
    <xdr:to>
      <xdr:col>12</xdr:col>
      <xdr:colOff>661533</xdr:colOff>
      <xdr:row>22</xdr:row>
      <xdr:rowOff>57242</xdr:rowOff>
    </xdr:to>
    <xdr:pic macro="[0]!ExportCleanData">
      <xdr:nvPicPr>
        <xdr:cNvPr id="95" name="Picture 94">
          <a:extLst>
            <a:ext uri="{FF2B5EF4-FFF2-40B4-BE49-F238E27FC236}">
              <a16:creationId xmlns:a16="http://schemas.microsoft.com/office/drawing/2014/main" id="{C7DDCFA3-C489-999B-D802-CF0109FD95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48800" y="3152775"/>
          <a:ext cx="1347333" cy="1066892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381001</xdr:colOff>
      <xdr:row>25</xdr:row>
      <xdr:rowOff>86813</xdr:rowOff>
    </xdr:from>
    <xdr:to>
      <xdr:col>12</xdr:col>
      <xdr:colOff>661534</xdr:colOff>
      <xdr:row>31</xdr:row>
      <xdr:rowOff>4609</xdr:rowOff>
    </xdr:to>
    <xdr:pic macro="[0]!ClearDataRange">
      <xdr:nvPicPr>
        <xdr:cNvPr id="96" name="Picture 95">
          <a:extLst>
            <a:ext uri="{FF2B5EF4-FFF2-40B4-BE49-F238E27FC236}">
              <a16:creationId xmlns:a16="http://schemas.microsoft.com/office/drawing/2014/main" id="{2C77EC18-3939-7557-7784-8575BA2DFE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48801" y="4820738"/>
          <a:ext cx="1347333" cy="1060796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34</xdr:row>
      <xdr:rowOff>34180</xdr:rowOff>
    </xdr:from>
    <xdr:to>
      <xdr:col>12</xdr:col>
      <xdr:colOff>661533</xdr:colOff>
      <xdr:row>39</xdr:row>
      <xdr:rowOff>142476</xdr:rowOff>
    </xdr:to>
    <xdr:pic macro="[0]!LockOrUnlockAllSheets">
      <xdr:nvPicPr>
        <xdr:cNvPr id="97" name="Picture 96">
          <a:extLst>
            <a:ext uri="{FF2B5EF4-FFF2-40B4-BE49-F238E27FC236}">
              <a16:creationId xmlns:a16="http://schemas.microsoft.com/office/drawing/2014/main" id="{4FC15855-C36E-F8D5-08ED-9C270FA713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48800" y="6482605"/>
          <a:ext cx="1347333" cy="106079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4</xdr:row>
      <xdr:rowOff>41021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DBF5E15-D44F-0DAF-89D6-F6EE388D8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777621"/>
        </a:xfrm>
        <a:prstGeom prst="rect">
          <a:avLst/>
        </a:prstGeom>
      </xdr:spPr>
    </xdr:pic>
    <xdr:clientData/>
  </xdr:twoCellAnchor>
  <xdr:twoCellAnchor editAs="oneCell">
    <xdr:from>
      <xdr:col>17</xdr:col>
      <xdr:colOff>533400</xdr:colOff>
      <xdr:row>4</xdr:row>
      <xdr:rowOff>94374</xdr:rowOff>
    </xdr:from>
    <xdr:to>
      <xdr:col>23</xdr:col>
      <xdr:colOff>410718</xdr:colOff>
      <xdr:row>23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524078A-FCA7-089D-0AAB-80EA019F3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96600" y="856374"/>
          <a:ext cx="3534918" cy="35251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P1000"/>
  <sheetViews>
    <sheetView zoomScale="70" zoomScaleNormal="70" workbookViewId="0">
      <selection activeCell="G39" sqref="G39"/>
    </sheetView>
  </sheetViews>
  <sheetFormatPr defaultColWidth="9.140625" defaultRowHeight="15" x14ac:dyDescent="0.25"/>
  <cols>
    <col min="1" max="1" width="16.28515625" bestFit="1" customWidth="1"/>
    <col min="2" max="2" width="18.7109375" bestFit="1" customWidth="1"/>
    <col min="3" max="3" width="14.5703125" bestFit="1" customWidth="1"/>
    <col min="4" max="4" width="9.140625" bestFit="1" customWidth="1"/>
    <col min="5" max="5" width="14.5703125" bestFit="1" customWidth="1"/>
    <col min="6" max="6" width="11.28515625" bestFit="1" customWidth="1"/>
    <col min="7" max="7" width="12.85546875" customWidth="1"/>
    <col min="8" max="8" width="10.5703125" customWidth="1"/>
    <col min="9" max="10" width="8.7109375"/>
    <col min="11" max="11" width="10.5703125" customWidth="1"/>
    <col min="12" max="12" width="16" style="3" bestFit="1" customWidth="1"/>
    <col min="13" max="13" width="12.42578125" style="2" customWidth="1"/>
    <col min="14" max="14" width="11.85546875" style="2" customWidth="1"/>
    <col min="15" max="15" width="18.42578125" style="2" customWidth="1"/>
    <col min="16" max="16384" width="9.140625" style="2"/>
  </cols>
  <sheetData>
    <row r="1" spans="1:16" ht="14.45" customHeight="1" x14ac:dyDescent="0.25">
      <c r="A1" s="18" t="s">
        <v>0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21" t="s">
        <v>499</v>
      </c>
      <c r="M1" s="22" t="s">
        <v>433</v>
      </c>
      <c r="N1" s="22"/>
      <c r="O1" s="22"/>
      <c r="P1" s="5"/>
    </row>
    <row r="2" spans="1:16" ht="14.45" customHeight="1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21"/>
      <c r="M2" s="22"/>
      <c r="N2" s="22"/>
      <c r="O2" s="22"/>
    </row>
    <row r="3" spans="1:16" ht="14.45" customHeight="1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23"/>
      <c r="M3" s="17"/>
      <c r="N3" s="11"/>
      <c r="O3" s="13"/>
    </row>
    <row r="4" spans="1:16" ht="15" customHeight="1" x14ac:dyDescent="0.25">
      <c r="A4" s="6" t="s">
        <v>424</v>
      </c>
      <c r="B4" s="6" t="s">
        <v>425</v>
      </c>
      <c r="C4" s="6" t="s">
        <v>426</v>
      </c>
      <c r="D4" s="6" t="s">
        <v>1</v>
      </c>
      <c r="E4" s="6" t="s">
        <v>53</v>
      </c>
      <c r="F4" s="6" t="s">
        <v>427</v>
      </c>
      <c r="G4" s="6" t="s">
        <v>428</v>
      </c>
      <c r="H4" s="6" t="s">
        <v>429</v>
      </c>
      <c r="I4" s="6" t="s">
        <v>430</v>
      </c>
      <c r="J4" s="6" t="s">
        <v>431</v>
      </c>
      <c r="K4" s="4" t="s">
        <v>432</v>
      </c>
      <c r="L4" s="24"/>
      <c r="M4" s="12"/>
      <c r="N4" s="11"/>
      <c r="O4" s="14"/>
    </row>
    <row r="5" spans="1:16" x14ac:dyDescent="0.25">
      <c r="A5" s="8"/>
      <c r="B5" s="8"/>
      <c r="C5" s="8"/>
      <c r="D5" s="8"/>
      <c r="E5" s="8"/>
      <c r="F5" s="8"/>
      <c r="G5" s="8"/>
      <c r="H5" s="8"/>
      <c r="I5" s="8"/>
      <c r="J5" s="15"/>
      <c r="K5" s="16"/>
      <c r="L5" s="25" t="s">
        <v>434</v>
      </c>
      <c r="M5" s="22"/>
      <c r="N5" s="22"/>
      <c r="O5" s="22"/>
    </row>
    <row r="6" spans="1:16" x14ac:dyDescent="0.25">
      <c r="A6" s="8"/>
      <c r="B6" s="8"/>
      <c r="C6" s="8"/>
      <c r="D6" s="8"/>
      <c r="E6" s="8"/>
      <c r="F6" s="8"/>
      <c r="G6" s="8"/>
      <c r="H6" s="8"/>
      <c r="I6" s="8"/>
      <c r="J6" s="15"/>
      <c r="K6" s="16"/>
      <c r="L6" s="25"/>
      <c r="M6" s="22"/>
      <c r="N6" s="22"/>
      <c r="O6" s="22"/>
    </row>
    <row r="7" spans="1:16" x14ac:dyDescent="0.25">
      <c r="A7" s="8"/>
      <c r="B7" s="8"/>
      <c r="C7" s="8"/>
      <c r="D7" s="8"/>
      <c r="E7" s="8"/>
      <c r="F7" s="8"/>
      <c r="G7" s="8"/>
      <c r="H7" s="8"/>
      <c r="I7" s="8"/>
      <c r="J7" s="15"/>
      <c r="K7" s="16"/>
      <c r="L7" s="19"/>
      <c r="M7" s="20"/>
      <c r="N7" s="20"/>
      <c r="O7" s="20"/>
    </row>
    <row r="8" spans="1:16" x14ac:dyDescent="0.25">
      <c r="A8" s="8"/>
      <c r="B8" s="8"/>
      <c r="C8" s="8"/>
      <c r="D8" s="8"/>
      <c r="E8" s="8"/>
      <c r="F8" s="8"/>
      <c r="G8" s="8"/>
      <c r="H8" s="8"/>
      <c r="I8" s="8"/>
      <c r="J8" s="15"/>
      <c r="K8" s="16"/>
      <c r="L8" s="19"/>
      <c r="M8" s="20"/>
      <c r="N8" s="20"/>
      <c r="O8" s="20"/>
    </row>
    <row r="9" spans="1:16" x14ac:dyDescent="0.25">
      <c r="A9" s="8"/>
      <c r="B9" s="8"/>
      <c r="C9" s="8"/>
      <c r="D9" s="8"/>
      <c r="E9" s="8"/>
      <c r="F9" s="8"/>
      <c r="G9" s="8"/>
      <c r="H9" s="8"/>
      <c r="I9" s="8"/>
      <c r="J9" s="15"/>
      <c r="K9" s="16"/>
      <c r="L9" s="19"/>
      <c r="M9" s="20"/>
      <c r="N9" s="20"/>
      <c r="O9" s="20"/>
    </row>
    <row r="10" spans="1:16" x14ac:dyDescent="0.25">
      <c r="A10" s="8"/>
      <c r="B10" s="8"/>
      <c r="C10" s="8"/>
      <c r="D10" s="8"/>
      <c r="E10" s="8"/>
      <c r="F10" s="8"/>
      <c r="G10" s="8"/>
      <c r="H10" s="8"/>
      <c r="I10" s="8"/>
      <c r="J10" s="15"/>
      <c r="K10" s="16"/>
    </row>
    <row r="11" spans="1:16" x14ac:dyDescent="0.25">
      <c r="A11" s="8"/>
      <c r="B11" s="8"/>
      <c r="C11" s="8"/>
      <c r="D11" s="8"/>
      <c r="E11" s="8"/>
      <c r="F11" s="8"/>
      <c r="G11" s="8"/>
      <c r="H11" s="8"/>
      <c r="I11" s="8"/>
      <c r="J11" s="15"/>
      <c r="K11" s="16"/>
    </row>
    <row r="12" spans="1:16" x14ac:dyDescent="0.25">
      <c r="A12" s="8"/>
      <c r="B12" s="8"/>
      <c r="C12" s="8"/>
      <c r="D12" s="8"/>
      <c r="E12" s="8"/>
      <c r="F12" s="8"/>
      <c r="G12" s="8"/>
      <c r="H12" s="8"/>
      <c r="I12" s="8"/>
      <c r="J12" s="15"/>
      <c r="K12" s="16"/>
    </row>
    <row r="13" spans="1:16" x14ac:dyDescent="0.25">
      <c r="A13" s="8"/>
      <c r="B13" s="8"/>
      <c r="C13" s="8"/>
      <c r="D13" s="8"/>
      <c r="E13" s="8"/>
      <c r="F13" s="8"/>
      <c r="G13" s="8"/>
      <c r="H13" s="8"/>
      <c r="I13" s="8"/>
      <c r="J13" s="15"/>
      <c r="K13" s="16"/>
    </row>
    <row r="14" spans="1:16" x14ac:dyDescent="0.25">
      <c r="A14" s="8"/>
      <c r="B14" s="8"/>
      <c r="C14" s="8"/>
      <c r="D14" s="8"/>
      <c r="E14" s="8"/>
      <c r="F14" s="8"/>
      <c r="G14" s="8"/>
      <c r="H14" s="8"/>
      <c r="I14" s="8"/>
      <c r="J14" s="15"/>
      <c r="K14" s="16"/>
    </row>
    <row r="15" spans="1:16" x14ac:dyDescent="0.25">
      <c r="A15" s="8"/>
      <c r="B15" s="8"/>
      <c r="C15" s="8"/>
      <c r="D15" s="8"/>
      <c r="E15" s="8"/>
      <c r="F15" s="8"/>
      <c r="G15" s="8"/>
      <c r="H15" s="8"/>
      <c r="I15" s="8"/>
      <c r="J15" s="15"/>
      <c r="K15" s="16"/>
    </row>
    <row r="16" spans="1:16" x14ac:dyDescent="0.25">
      <c r="A16" s="8"/>
      <c r="B16" s="8"/>
      <c r="C16" s="8"/>
      <c r="D16" s="8"/>
      <c r="E16" s="8"/>
      <c r="F16" s="8"/>
      <c r="G16" s="8"/>
      <c r="H16" s="8"/>
      <c r="I16" s="8"/>
      <c r="J16" s="15"/>
      <c r="K16" s="16"/>
    </row>
    <row r="17" spans="1:11" x14ac:dyDescent="0.25">
      <c r="A17" s="8"/>
      <c r="B17" s="8"/>
      <c r="C17" s="8"/>
      <c r="D17" s="8"/>
      <c r="E17" s="8"/>
      <c r="F17" s="8"/>
      <c r="G17" s="8"/>
      <c r="H17" s="8"/>
      <c r="I17" s="8"/>
      <c r="J17" s="15"/>
      <c r="K17" s="16"/>
    </row>
    <row r="18" spans="1:11" x14ac:dyDescent="0.25">
      <c r="A18" s="8"/>
      <c r="B18" s="8"/>
      <c r="C18" s="8"/>
      <c r="D18" s="8"/>
      <c r="E18" s="8"/>
      <c r="F18" s="8"/>
      <c r="G18" s="8"/>
      <c r="H18" s="8"/>
      <c r="I18" s="8"/>
      <c r="J18" s="15"/>
      <c r="K18" s="16"/>
    </row>
    <row r="19" spans="1:11" x14ac:dyDescent="0.25">
      <c r="A19" s="8"/>
      <c r="B19" s="8"/>
      <c r="C19" s="8"/>
      <c r="D19" s="8"/>
      <c r="E19" s="8"/>
      <c r="F19" s="8"/>
      <c r="G19" s="8"/>
      <c r="H19" s="8"/>
      <c r="I19" s="8"/>
      <c r="J19" s="15"/>
      <c r="K19" s="16"/>
    </row>
    <row r="20" spans="1:11" x14ac:dyDescent="0.25">
      <c r="A20" s="8"/>
      <c r="B20" s="8"/>
      <c r="C20" s="8"/>
      <c r="D20" s="8"/>
      <c r="E20" s="8"/>
      <c r="F20" s="8"/>
      <c r="G20" s="8"/>
      <c r="H20" s="8"/>
      <c r="I20" s="8"/>
      <c r="J20" s="15"/>
      <c r="K20" s="16"/>
    </row>
    <row r="21" spans="1:11" x14ac:dyDescent="0.25">
      <c r="A21" s="8"/>
      <c r="B21" s="8"/>
      <c r="C21" s="8"/>
      <c r="D21" s="8"/>
      <c r="E21" s="8"/>
      <c r="F21" s="8"/>
      <c r="G21" s="8"/>
      <c r="H21" s="8"/>
      <c r="I21" s="8"/>
      <c r="J21" s="15"/>
      <c r="K21" s="16"/>
    </row>
    <row r="22" spans="1:11" x14ac:dyDescent="0.25">
      <c r="A22" s="8"/>
      <c r="B22" s="8"/>
      <c r="C22" s="8"/>
      <c r="D22" s="8"/>
      <c r="E22" s="8"/>
      <c r="F22" s="8"/>
      <c r="G22" s="8"/>
      <c r="H22" s="8"/>
      <c r="I22" s="8"/>
      <c r="J22" s="15"/>
      <c r="K22" s="16"/>
    </row>
    <row r="23" spans="1:11" x14ac:dyDescent="0.25">
      <c r="A23" s="8"/>
      <c r="B23" s="8"/>
      <c r="C23" s="8"/>
      <c r="D23" s="8"/>
      <c r="E23" s="8"/>
      <c r="F23" s="8"/>
      <c r="G23" s="8"/>
      <c r="H23" s="8"/>
      <c r="I23" s="8"/>
      <c r="J23" s="15"/>
      <c r="K23" s="16"/>
    </row>
    <row r="24" spans="1:11" x14ac:dyDescent="0.25">
      <c r="A24" s="8"/>
      <c r="B24" s="8"/>
      <c r="C24" s="8"/>
      <c r="D24" s="8"/>
      <c r="E24" s="8"/>
      <c r="F24" s="8"/>
      <c r="G24" s="8"/>
      <c r="H24" s="8"/>
      <c r="I24" s="8"/>
      <c r="J24" s="15"/>
      <c r="K24" s="16"/>
    </row>
    <row r="25" spans="1:11" x14ac:dyDescent="0.25">
      <c r="A25" s="8"/>
      <c r="B25" s="8"/>
      <c r="C25" s="8"/>
      <c r="D25" s="8"/>
      <c r="E25" s="8"/>
      <c r="F25" s="8"/>
      <c r="G25" s="8"/>
      <c r="H25" s="8"/>
      <c r="I25" s="8"/>
      <c r="J25" s="15"/>
      <c r="K25" s="16"/>
    </row>
    <row r="26" spans="1:11" x14ac:dyDescent="0.25">
      <c r="A26" s="8"/>
      <c r="B26" s="8"/>
      <c r="C26" s="8"/>
      <c r="D26" s="8"/>
      <c r="E26" s="8"/>
      <c r="F26" s="8"/>
      <c r="G26" s="8"/>
      <c r="H26" s="8"/>
      <c r="I26" s="8"/>
      <c r="J26" s="15"/>
      <c r="K26" s="16"/>
    </row>
    <row r="27" spans="1:11" x14ac:dyDescent="0.25">
      <c r="A27" s="8"/>
      <c r="B27" s="8"/>
      <c r="C27" s="8"/>
      <c r="D27" s="8"/>
      <c r="E27" s="8"/>
      <c r="F27" s="8"/>
      <c r="G27" s="8"/>
      <c r="H27" s="8"/>
      <c r="I27" s="8"/>
      <c r="J27" s="15"/>
      <c r="K27" s="16"/>
    </row>
    <row r="28" spans="1:11" x14ac:dyDescent="0.25">
      <c r="A28" s="8"/>
      <c r="B28" s="8"/>
      <c r="C28" s="8"/>
      <c r="D28" s="8"/>
      <c r="E28" s="8"/>
      <c r="F28" s="8"/>
      <c r="G28" s="8"/>
      <c r="H28" s="8"/>
      <c r="I28" s="8"/>
      <c r="J28" s="15"/>
      <c r="K28" s="16"/>
    </row>
    <row r="29" spans="1:11" x14ac:dyDescent="0.25">
      <c r="A29" s="8"/>
      <c r="B29" s="8"/>
      <c r="C29" s="8"/>
      <c r="D29" s="8"/>
      <c r="E29" s="8"/>
      <c r="F29" s="8"/>
      <c r="G29" s="8"/>
      <c r="H29" s="8"/>
      <c r="I29" s="8"/>
      <c r="J29" s="15"/>
      <c r="K29" s="16"/>
    </row>
    <row r="30" spans="1:11" x14ac:dyDescent="0.25">
      <c r="A30" s="8"/>
      <c r="B30" s="8"/>
      <c r="C30" s="8"/>
      <c r="D30" s="8"/>
      <c r="E30" s="8"/>
      <c r="F30" s="8"/>
      <c r="G30" s="8"/>
      <c r="H30" s="8"/>
      <c r="I30" s="8"/>
      <c r="J30" s="15"/>
      <c r="K30" s="16"/>
    </row>
    <row r="31" spans="1:11" x14ac:dyDescent="0.25">
      <c r="A31" s="8"/>
      <c r="B31" s="8"/>
      <c r="C31" s="8"/>
      <c r="D31" s="8"/>
      <c r="E31" s="8"/>
      <c r="F31" s="8"/>
      <c r="G31" s="8"/>
      <c r="H31" s="8"/>
      <c r="I31" s="8"/>
      <c r="J31" s="15"/>
      <c r="K31" s="16"/>
    </row>
    <row r="32" spans="1:11" x14ac:dyDescent="0.25">
      <c r="A32" s="8"/>
      <c r="B32" s="8"/>
      <c r="C32" s="8"/>
      <c r="D32" s="8"/>
      <c r="E32" s="8"/>
      <c r="F32" s="8"/>
      <c r="G32" s="8"/>
      <c r="H32" s="8"/>
      <c r="I32" s="8"/>
      <c r="J32" s="15"/>
      <c r="K32" s="16"/>
    </row>
    <row r="33" spans="1:11" x14ac:dyDescent="0.25">
      <c r="A33" s="8"/>
      <c r="B33" s="8"/>
      <c r="C33" s="8"/>
      <c r="D33" s="8"/>
      <c r="E33" s="8"/>
      <c r="F33" s="8"/>
      <c r="G33" s="8"/>
      <c r="H33" s="8"/>
      <c r="I33" s="8"/>
      <c r="J33" s="15"/>
      <c r="K33" s="16"/>
    </row>
    <row r="34" spans="1:11" x14ac:dyDescent="0.25">
      <c r="A34" s="8"/>
      <c r="B34" s="8"/>
      <c r="C34" s="8"/>
      <c r="D34" s="8"/>
      <c r="E34" s="8"/>
      <c r="F34" s="8"/>
      <c r="G34" s="8"/>
      <c r="H34" s="8"/>
      <c r="I34" s="8"/>
      <c r="J34" s="15"/>
      <c r="K34" s="16"/>
    </row>
    <row r="35" spans="1:11" x14ac:dyDescent="0.25">
      <c r="A35" s="8"/>
      <c r="B35" s="8"/>
      <c r="C35" s="8"/>
      <c r="D35" s="8"/>
      <c r="E35" s="8"/>
      <c r="F35" s="8"/>
      <c r="G35" s="8"/>
      <c r="H35" s="8"/>
      <c r="I35" s="8"/>
      <c r="J35" s="15"/>
      <c r="K35" s="16"/>
    </row>
    <row r="36" spans="1:11" x14ac:dyDescent="0.25">
      <c r="A36" s="8"/>
      <c r="B36" s="8"/>
      <c r="C36" s="8"/>
      <c r="D36" s="8"/>
      <c r="E36" s="8"/>
      <c r="F36" s="8"/>
      <c r="G36" s="8"/>
      <c r="H36" s="8"/>
      <c r="I36" s="8"/>
      <c r="J36" s="15"/>
      <c r="K36" s="16"/>
    </row>
    <row r="37" spans="1:11" x14ac:dyDescent="0.25">
      <c r="A37" s="8"/>
      <c r="B37" s="8"/>
      <c r="C37" s="8"/>
      <c r="D37" s="8"/>
      <c r="E37" s="8"/>
      <c r="F37" s="8"/>
      <c r="G37" s="8"/>
      <c r="H37" s="8"/>
      <c r="I37" s="8"/>
      <c r="J37" s="15"/>
      <c r="K37" s="16"/>
    </row>
    <row r="38" spans="1:11" x14ac:dyDescent="0.25">
      <c r="A38" s="8"/>
      <c r="B38" s="8"/>
      <c r="C38" s="8"/>
      <c r="D38" s="8"/>
      <c r="E38" s="8"/>
      <c r="F38" s="8"/>
      <c r="G38" s="8"/>
      <c r="H38" s="8"/>
      <c r="I38" s="8"/>
      <c r="J38" s="15"/>
      <c r="K38" s="16"/>
    </row>
    <row r="39" spans="1:11" x14ac:dyDescent="0.25">
      <c r="A39" s="8"/>
      <c r="B39" s="8"/>
      <c r="C39" s="8"/>
      <c r="D39" s="8"/>
      <c r="E39" s="8"/>
      <c r="F39" s="8"/>
      <c r="G39" s="8"/>
      <c r="H39" s="8"/>
      <c r="I39" s="8"/>
      <c r="J39" s="15"/>
      <c r="K39" s="16"/>
    </row>
    <row r="40" spans="1:11" x14ac:dyDescent="0.25">
      <c r="A40" s="8"/>
      <c r="B40" s="8"/>
      <c r="C40" s="8"/>
      <c r="D40" s="8"/>
      <c r="E40" s="8"/>
      <c r="F40" s="8"/>
      <c r="G40" s="8"/>
      <c r="H40" s="8"/>
      <c r="I40" s="8"/>
      <c r="J40" s="15"/>
      <c r="K40" s="16"/>
    </row>
    <row r="41" spans="1:11" x14ac:dyDescent="0.25">
      <c r="A41" s="8"/>
      <c r="B41" s="8"/>
      <c r="C41" s="8"/>
      <c r="D41" s="8"/>
      <c r="E41" s="8"/>
      <c r="F41" s="8"/>
      <c r="G41" s="8"/>
      <c r="H41" s="8"/>
      <c r="I41" s="8"/>
      <c r="J41" s="15"/>
      <c r="K41" s="16"/>
    </row>
    <row r="42" spans="1:11" x14ac:dyDescent="0.25">
      <c r="A42" s="8"/>
      <c r="B42" s="8"/>
      <c r="C42" s="8"/>
      <c r="D42" s="8"/>
      <c r="E42" s="8"/>
      <c r="F42" s="8"/>
      <c r="G42" s="8"/>
      <c r="H42" s="8"/>
      <c r="I42" s="8"/>
      <c r="J42" s="15"/>
      <c r="K42" s="16"/>
    </row>
    <row r="43" spans="1:11" x14ac:dyDescent="0.25">
      <c r="A43" s="8"/>
      <c r="B43" s="8"/>
      <c r="C43" s="8"/>
      <c r="D43" s="8"/>
      <c r="E43" s="8"/>
      <c r="F43" s="8"/>
      <c r="G43" s="8"/>
      <c r="H43" s="8"/>
      <c r="I43" s="8"/>
      <c r="J43" s="15"/>
      <c r="K43" s="16"/>
    </row>
    <row r="44" spans="1:11" x14ac:dyDescent="0.25">
      <c r="A44" s="8"/>
      <c r="B44" s="8"/>
      <c r="C44" s="8"/>
      <c r="D44" s="8"/>
      <c r="E44" s="8"/>
      <c r="F44" s="8"/>
      <c r="G44" s="8"/>
      <c r="H44" s="8"/>
      <c r="I44" s="8"/>
      <c r="J44" s="15"/>
      <c r="K44" s="16"/>
    </row>
    <row r="45" spans="1:11" x14ac:dyDescent="0.25">
      <c r="A45" s="8"/>
      <c r="B45" s="8"/>
      <c r="C45" s="8"/>
      <c r="D45" s="8"/>
      <c r="E45" s="8"/>
      <c r="F45" s="8"/>
      <c r="G45" s="8"/>
      <c r="H45" s="8"/>
      <c r="I45" s="8"/>
      <c r="J45" s="15"/>
      <c r="K45" s="16"/>
    </row>
    <row r="46" spans="1:11" x14ac:dyDescent="0.25">
      <c r="A46" s="8"/>
      <c r="B46" s="8"/>
      <c r="C46" s="8"/>
      <c r="D46" s="8"/>
      <c r="E46" s="8"/>
      <c r="F46" s="8"/>
      <c r="G46" s="8"/>
      <c r="H46" s="8"/>
      <c r="I46" s="8"/>
      <c r="J46" s="15"/>
      <c r="K46" s="16"/>
    </row>
    <row r="47" spans="1:11" x14ac:dyDescent="0.25">
      <c r="A47" s="8"/>
      <c r="B47" s="8"/>
      <c r="C47" s="8"/>
      <c r="D47" s="8"/>
      <c r="E47" s="8"/>
      <c r="F47" s="8"/>
      <c r="G47" s="8"/>
      <c r="H47" s="8"/>
      <c r="I47" s="8"/>
      <c r="J47" s="15"/>
      <c r="K47" s="16"/>
    </row>
    <row r="48" spans="1:11" x14ac:dyDescent="0.25">
      <c r="A48" s="8"/>
      <c r="B48" s="8"/>
      <c r="C48" s="8"/>
      <c r="D48" s="8"/>
      <c r="E48" s="8"/>
      <c r="F48" s="8"/>
      <c r="G48" s="8"/>
      <c r="H48" s="8"/>
      <c r="I48" s="8"/>
      <c r="J48" s="15"/>
      <c r="K48" s="16"/>
    </row>
    <row r="49" spans="1:11" x14ac:dyDescent="0.25">
      <c r="A49" s="8"/>
      <c r="B49" s="8"/>
      <c r="C49" s="8"/>
      <c r="D49" s="8"/>
      <c r="E49" s="8"/>
      <c r="F49" s="8"/>
      <c r="G49" s="8"/>
      <c r="H49" s="8"/>
      <c r="I49" s="8"/>
      <c r="J49" s="15"/>
      <c r="K49" s="16"/>
    </row>
    <row r="50" spans="1:11" x14ac:dyDescent="0.25">
      <c r="A50" s="8"/>
      <c r="B50" s="8"/>
      <c r="C50" s="8"/>
      <c r="D50" s="8"/>
      <c r="E50" s="8"/>
      <c r="F50" s="8"/>
      <c r="G50" s="8"/>
      <c r="H50" s="8"/>
      <c r="I50" s="8"/>
      <c r="J50" s="15"/>
      <c r="K50" s="16"/>
    </row>
    <row r="51" spans="1:11" x14ac:dyDescent="0.25">
      <c r="A51" s="8"/>
      <c r="B51" s="8"/>
      <c r="C51" s="8"/>
      <c r="D51" s="8"/>
      <c r="E51" s="8"/>
      <c r="F51" s="8"/>
      <c r="G51" s="8"/>
      <c r="H51" s="8"/>
      <c r="I51" s="8"/>
      <c r="J51" s="15"/>
      <c r="K51" s="16"/>
    </row>
    <row r="52" spans="1:11" x14ac:dyDescent="0.25">
      <c r="A52" s="8"/>
      <c r="B52" s="8"/>
      <c r="C52" s="8"/>
      <c r="D52" s="8"/>
      <c r="E52" s="8"/>
      <c r="F52" s="8"/>
      <c r="G52" s="8"/>
      <c r="H52" s="8"/>
      <c r="I52" s="8"/>
      <c r="J52" s="15"/>
      <c r="K52" s="16"/>
    </row>
    <row r="53" spans="1:11" x14ac:dyDescent="0.25">
      <c r="A53" s="8"/>
      <c r="B53" s="8"/>
      <c r="C53" s="8"/>
      <c r="D53" s="8"/>
      <c r="E53" s="8"/>
      <c r="F53" s="8"/>
      <c r="G53" s="8"/>
      <c r="H53" s="8"/>
      <c r="I53" s="8"/>
      <c r="J53" s="15"/>
      <c r="K53" s="16"/>
    </row>
    <row r="54" spans="1:11" x14ac:dyDescent="0.25">
      <c r="A54" s="8"/>
      <c r="B54" s="8"/>
      <c r="C54" s="8"/>
      <c r="D54" s="8"/>
      <c r="E54" s="8"/>
      <c r="F54" s="8"/>
      <c r="G54" s="8"/>
      <c r="H54" s="8"/>
      <c r="I54" s="8"/>
      <c r="J54" s="15"/>
      <c r="K54" s="16"/>
    </row>
    <row r="55" spans="1:11" x14ac:dyDescent="0.25">
      <c r="A55" s="8"/>
      <c r="B55" s="8"/>
      <c r="C55" s="8"/>
      <c r="D55" s="8"/>
      <c r="E55" s="8"/>
      <c r="F55" s="8"/>
      <c r="G55" s="8"/>
      <c r="H55" s="8"/>
      <c r="I55" s="8"/>
      <c r="J55" s="15"/>
      <c r="K55" s="16"/>
    </row>
    <row r="56" spans="1:11" x14ac:dyDescent="0.25">
      <c r="A56" s="8"/>
      <c r="B56" s="8"/>
      <c r="C56" s="8"/>
      <c r="D56" s="8"/>
      <c r="E56" s="8"/>
      <c r="F56" s="8"/>
      <c r="G56" s="8"/>
      <c r="H56" s="8"/>
      <c r="I56" s="8"/>
      <c r="J56" s="15"/>
      <c r="K56" s="16"/>
    </row>
    <row r="57" spans="1:11" x14ac:dyDescent="0.25">
      <c r="A57" s="8"/>
      <c r="B57" s="8"/>
      <c r="C57" s="8"/>
      <c r="D57" s="8"/>
      <c r="E57" s="8"/>
      <c r="F57" s="8"/>
      <c r="G57" s="8"/>
      <c r="H57" s="8"/>
      <c r="I57" s="8"/>
      <c r="J57" s="15"/>
      <c r="K57" s="16"/>
    </row>
    <row r="58" spans="1:11" x14ac:dyDescent="0.25">
      <c r="A58" s="8"/>
      <c r="B58" s="8"/>
      <c r="C58" s="8"/>
      <c r="D58" s="8"/>
      <c r="E58" s="8"/>
      <c r="F58" s="8"/>
      <c r="G58" s="8"/>
      <c r="H58" s="8"/>
      <c r="I58" s="8"/>
      <c r="J58" s="15"/>
      <c r="K58" s="16"/>
    </row>
    <row r="59" spans="1:11" x14ac:dyDescent="0.25">
      <c r="A59" s="8"/>
      <c r="B59" s="8"/>
      <c r="C59" s="8"/>
      <c r="D59" s="8"/>
      <c r="E59" s="8"/>
      <c r="F59" s="8"/>
      <c r="G59" s="8"/>
      <c r="H59" s="8"/>
      <c r="I59" s="8"/>
      <c r="J59" s="15"/>
      <c r="K59" s="16"/>
    </row>
    <row r="60" spans="1:11" x14ac:dyDescent="0.25">
      <c r="A60" s="8"/>
      <c r="B60" s="8"/>
      <c r="C60" s="8"/>
      <c r="D60" s="8"/>
      <c r="E60" s="8"/>
      <c r="F60" s="8"/>
      <c r="G60" s="8"/>
      <c r="H60" s="8"/>
      <c r="I60" s="8"/>
      <c r="J60" s="15"/>
      <c r="K60" s="15"/>
    </row>
    <row r="61" spans="1:11" x14ac:dyDescent="0.25">
      <c r="A61" s="8"/>
      <c r="B61" s="8"/>
      <c r="C61" s="8"/>
      <c r="D61" s="8"/>
      <c r="E61" s="8"/>
      <c r="F61" s="8"/>
      <c r="G61" s="8"/>
      <c r="H61" s="8"/>
      <c r="I61" s="8"/>
      <c r="J61" s="15"/>
      <c r="K61" s="15"/>
    </row>
    <row r="62" spans="1:11" x14ac:dyDescent="0.25">
      <c r="A62" s="8"/>
      <c r="B62" s="8"/>
      <c r="C62" s="8"/>
      <c r="D62" s="8"/>
      <c r="E62" s="8"/>
      <c r="F62" s="8"/>
      <c r="G62" s="8"/>
      <c r="H62" s="8"/>
      <c r="I62" s="8"/>
      <c r="J62" s="15"/>
      <c r="K62" s="15"/>
    </row>
    <row r="63" spans="1:11" x14ac:dyDescent="0.25">
      <c r="A63" s="8"/>
      <c r="B63" s="8"/>
      <c r="C63" s="8"/>
      <c r="D63" s="8"/>
      <c r="E63" s="8"/>
      <c r="F63" s="8"/>
      <c r="G63" s="8"/>
      <c r="H63" s="8"/>
      <c r="I63" s="8"/>
      <c r="J63" s="15"/>
      <c r="K63" s="15"/>
    </row>
    <row r="64" spans="1:11" x14ac:dyDescent="0.25">
      <c r="A64" s="8"/>
      <c r="B64" s="8"/>
      <c r="C64" s="8"/>
      <c r="D64" s="8"/>
      <c r="E64" s="8"/>
      <c r="F64" s="8"/>
      <c r="G64" s="8"/>
      <c r="H64" s="8"/>
      <c r="I64" s="8"/>
      <c r="J64" s="15"/>
      <c r="K64" s="15"/>
    </row>
    <row r="65" spans="1:11" x14ac:dyDescent="0.25">
      <c r="A65" s="8"/>
      <c r="B65" s="8"/>
      <c r="C65" s="8"/>
      <c r="D65" s="8"/>
      <c r="E65" s="8"/>
      <c r="F65" s="8"/>
      <c r="G65" s="8"/>
      <c r="H65" s="8"/>
      <c r="I65" s="8"/>
      <c r="J65" s="15"/>
      <c r="K65" s="15"/>
    </row>
    <row r="66" spans="1:11" x14ac:dyDescent="0.25">
      <c r="A66" s="8"/>
      <c r="B66" s="8"/>
      <c r="C66" s="8"/>
      <c r="D66" s="8"/>
      <c r="E66" s="8"/>
      <c r="F66" s="8"/>
      <c r="G66" s="8"/>
      <c r="H66" s="8"/>
      <c r="I66" s="8"/>
      <c r="J66" s="15"/>
      <c r="K66" s="15"/>
    </row>
    <row r="67" spans="1:11" x14ac:dyDescent="0.25">
      <c r="A67" s="8"/>
      <c r="B67" s="8"/>
      <c r="C67" s="8"/>
      <c r="D67" s="8"/>
      <c r="E67" s="8"/>
      <c r="F67" s="8"/>
      <c r="G67" s="8"/>
      <c r="H67" s="8"/>
      <c r="I67" s="8"/>
      <c r="J67" s="15"/>
      <c r="K67" s="15"/>
    </row>
    <row r="68" spans="1:11" x14ac:dyDescent="0.25">
      <c r="A68" s="8"/>
      <c r="B68" s="8"/>
      <c r="C68" s="8"/>
      <c r="D68" s="8"/>
      <c r="E68" s="8"/>
      <c r="F68" s="8"/>
      <c r="G68" s="8"/>
      <c r="H68" s="8"/>
      <c r="I68" s="8"/>
      <c r="J68" s="15"/>
      <c r="K68" s="15"/>
    </row>
    <row r="69" spans="1:11" x14ac:dyDescent="0.25">
      <c r="A69" s="8"/>
      <c r="B69" s="8"/>
      <c r="C69" s="8"/>
      <c r="D69" s="8"/>
      <c r="E69" s="8"/>
      <c r="F69" s="8"/>
      <c r="G69" s="8"/>
      <c r="H69" s="8"/>
      <c r="I69" s="8"/>
      <c r="J69" s="15"/>
      <c r="K69" s="15"/>
    </row>
    <row r="70" spans="1:11" x14ac:dyDescent="0.25">
      <c r="A70" s="8"/>
      <c r="B70" s="8"/>
      <c r="C70" s="8"/>
      <c r="D70" s="8"/>
      <c r="E70" s="8"/>
      <c r="F70" s="8"/>
      <c r="G70" s="8"/>
      <c r="H70" s="8"/>
      <c r="I70" s="8"/>
      <c r="J70" s="15"/>
      <c r="K70" s="15"/>
    </row>
    <row r="71" spans="1:11" x14ac:dyDescent="0.2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</row>
    <row r="72" spans="1:11" x14ac:dyDescent="0.25">
      <c r="A72" s="8"/>
      <c r="B72" s="8"/>
      <c r="C72" s="8"/>
      <c r="D72" s="8"/>
      <c r="E72" s="8"/>
      <c r="F72" s="8"/>
      <c r="G72" s="8"/>
      <c r="H72" s="8"/>
      <c r="I72" s="8"/>
      <c r="J72" s="15"/>
      <c r="K72" s="15"/>
    </row>
    <row r="73" spans="1:11" x14ac:dyDescent="0.25">
      <c r="A73" s="8"/>
      <c r="B73" s="8"/>
      <c r="C73" s="8"/>
      <c r="D73" s="8"/>
      <c r="E73" s="8"/>
      <c r="F73" s="8"/>
      <c r="G73" s="8"/>
      <c r="H73" s="8"/>
      <c r="I73" s="8"/>
      <c r="J73" s="15"/>
      <c r="K73" s="15"/>
    </row>
    <row r="74" spans="1:11" x14ac:dyDescent="0.25">
      <c r="A74" s="8"/>
      <c r="B74" s="8"/>
      <c r="C74" s="8"/>
      <c r="D74" s="8"/>
      <c r="E74" s="8"/>
      <c r="F74" s="8"/>
      <c r="G74" s="8"/>
      <c r="H74" s="8"/>
      <c r="I74" s="8"/>
      <c r="J74" s="15"/>
      <c r="K74" s="15"/>
    </row>
    <row r="75" spans="1:11" x14ac:dyDescent="0.25">
      <c r="A75" s="8"/>
      <c r="B75" s="8"/>
      <c r="C75" s="8"/>
      <c r="D75" s="8"/>
      <c r="E75" s="8"/>
      <c r="F75" s="8"/>
      <c r="G75" s="8"/>
      <c r="H75" s="8"/>
      <c r="I75" s="8"/>
      <c r="J75" s="15"/>
      <c r="K75" s="15"/>
    </row>
    <row r="76" spans="1:11" x14ac:dyDescent="0.25">
      <c r="A76" s="8"/>
      <c r="B76" s="8"/>
      <c r="C76" s="8"/>
      <c r="D76" s="8"/>
      <c r="E76" s="8"/>
      <c r="F76" s="8"/>
      <c r="G76" s="8"/>
      <c r="H76" s="8"/>
      <c r="I76" s="8"/>
      <c r="J76" s="15"/>
      <c r="K76" s="15"/>
    </row>
    <row r="77" spans="1:11" x14ac:dyDescent="0.25">
      <c r="A77" s="8"/>
      <c r="B77" s="8"/>
      <c r="C77" s="8"/>
      <c r="D77" s="8"/>
      <c r="E77" s="8"/>
      <c r="F77" s="8"/>
      <c r="G77" s="8"/>
      <c r="H77" s="8"/>
      <c r="I77" s="8"/>
      <c r="J77" s="15"/>
      <c r="K77" s="15"/>
    </row>
    <row r="78" spans="1:11" x14ac:dyDescent="0.25">
      <c r="A78" s="8"/>
      <c r="B78" s="8"/>
      <c r="C78" s="8"/>
      <c r="D78" s="8"/>
      <c r="E78" s="8"/>
      <c r="F78" s="8"/>
      <c r="G78" s="8"/>
      <c r="H78" s="8"/>
      <c r="I78" s="8"/>
      <c r="J78" s="15"/>
      <c r="K78" s="15"/>
    </row>
    <row r="79" spans="1:11" x14ac:dyDescent="0.25">
      <c r="A79" s="8"/>
      <c r="B79" s="8"/>
      <c r="C79" s="8"/>
      <c r="D79" s="8"/>
      <c r="E79" s="8"/>
      <c r="F79" s="8"/>
      <c r="G79" s="8"/>
      <c r="H79" s="8"/>
      <c r="I79" s="8"/>
      <c r="J79" s="15"/>
      <c r="K79" s="15"/>
    </row>
    <row r="80" spans="1:11" x14ac:dyDescent="0.25">
      <c r="A80" s="8"/>
      <c r="B80" s="8"/>
      <c r="C80" s="8"/>
      <c r="D80" s="8"/>
      <c r="E80" s="8"/>
      <c r="F80" s="8"/>
      <c r="G80" s="8"/>
      <c r="H80" s="8"/>
      <c r="I80" s="8"/>
      <c r="J80" s="15"/>
      <c r="K80" s="15"/>
    </row>
    <row r="81" spans="1:11" x14ac:dyDescent="0.25">
      <c r="A81" s="8"/>
      <c r="B81" s="8"/>
      <c r="C81" s="8"/>
      <c r="D81" s="8"/>
      <c r="E81" s="8"/>
      <c r="F81" s="8"/>
      <c r="G81" s="8"/>
      <c r="H81" s="8"/>
      <c r="I81" s="8"/>
      <c r="J81" s="15"/>
      <c r="K81" s="15"/>
    </row>
    <row r="82" spans="1:11" x14ac:dyDescent="0.25">
      <c r="A82" s="8"/>
      <c r="B82" s="8"/>
      <c r="C82" s="8"/>
      <c r="D82" s="8"/>
      <c r="E82" s="8"/>
      <c r="F82" s="8"/>
      <c r="G82" s="8"/>
      <c r="H82" s="8"/>
      <c r="I82" s="8"/>
      <c r="J82" s="15"/>
      <c r="K82" s="15"/>
    </row>
    <row r="83" spans="1:11" x14ac:dyDescent="0.25">
      <c r="A83" s="8"/>
      <c r="B83" s="8"/>
      <c r="C83" s="8"/>
      <c r="D83" s="8"/>
      <c r="E83" s="8"/>
      <c r="F83" s="8"/>
      <c r="G83" s="8"/>
      <c r="H83" s="8"/>
      <c r="I83" s="8"/>
      <c r="J83" s="15"/>
      <c r="K83" s="15"/>
    </row>
    <row r="84" spans="1:11" x14ac:dyDescent="0.25">
      <c r="A84" s="8"/>
      <c r="B84" s="8"/>
      <c r="C84" s="8"/>
      <c r="D84" s="8"/>
      <c r="E84" s="8"/>
      <c r="F84" s="8"/>
      <c r="G84" s="8"/>
      <c r="H84" s="8"/>
      <c r="I84" s="8"/>
      <c r="J84" s="15"/>
      <c r="K84" s="15"/>
    </row>
    <row r="85" spans="1:11" x14ac:dyDescent="0.25">
      <c r="A85" s="8"/>
      <c r="B85" s="8"/>
      <c r="C85" s="8"/>
      <c r="D85" s="8"/>
      <c r="E85" s="8"/>
      <c r="F85" s="8"/>
      <c r="G85" s="8"/>
      <c r="H85" s="8"/>
      <c r="I85" s="8"/>
      <c r="J85" s="15"/>
      <c r="K85" s="15"/>
    </row>
    <row r="86" spans="1:11" x14ac:dyDescent="0.25">
      <c r="A86" s="8"/>
      <c r="B86" s="8"/>
      <c r="C86" s="8"/>
      <c r="D86" s="8"/>
      <c r="E86" s="8"/>
      <c r="F86" s="8"/>
      <c r="G86" s="8"/>
      <c r="H86" s="8"/>
      <c r="I86" s="8"/>
      <c r="J86" s="15"/>
      <c r="K86" s="15"/>
    </row>
    <row r="87" spans="1:11" x14ac:dyDescent="0.25">
      <c r="A87" s="8"/>
      <c r="B87" s="8"/>
      <c r="C87" s="8"/>
      <c r="D87" s="8"/>
      <c r="E87" s="8"/>
      <c r="F87" s="8"/>
      <c r="G87" s="8"/>
      <c r="H87" s="8"/>
      <c r="I87" s="8"/>
      <c r="J87" s="15"/>
      <c r="K87" s="15"/>
    </row>
    <row r="88" spans="1:11" x14ac:dyDescent="0.25">
      <c r="A88" s="8"/>
      <c r="B88" s="8"/>
      <c r="C88" s="8"/>
      <c r="D88" s="8"/>
      <c r="E88" s="8"/>
      <c r="F88" s="8"/>
      <c r="G88" s="8"/>
      <c r="H88" s="8"/>
      <c r="I88" s="8"/>
      <c r="J88" s="15"/>
      <c r="K88" s="15"/>
    </row>
    <row r="89" spans="1:11" x14ac:dyDescent="0.25">
      <c r="A89" s="8"/>
      <c r="B89" s="8"/>
      <c r="C89" s="8"/>
      <c r="D89" s="8"/>
      <c r="E89" s="8"/>
      <c r="F89" s="8"/>
      <c r="G89" s="8"/>
      <c r="H89" s="8"/>
      <c r="I89" s="8"/>
      <c r="J89" s="15"/>
      <c r="K89" s="15"/>
    </row>
    <row r="90" spans="1:11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</row>
    <row r="91" spans="1:11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</row>
    <row r="92" spans="1:11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</row>
    <row r="93" spans="1:11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</row>
    <row r="94" spans="1:11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</row>
    <row r="95" spans="1:11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</row>
    <row r="96" spans="1:11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</row>
    <row r="97" spans="1:11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</row>
    <row r="98" spans="1:11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</row>
    <row r="99" spans="1:11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</row>
    <row r="100" spans="1:11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</row>
    <row r="101" spans="1:11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</row>
    <row r="102" spans="1:11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</row>
    <row r="103" spans="1:11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</row>
    <row r="104" spans="1:11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</row>
    <row r="105" spans="1:11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</row>
    <row r="106" spans="1:11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</row>
    <row r="107" spans="1:11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</row>
    <row r="108" spans="1:11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</row>
    <row r="109" spans="1:11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</row>
    <row r="110" spans="1:11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</row>
    <row r="111" spans="1:11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</row>
    <row r="112" spans="1:11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</row>
    <row r="113" spans="1:11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</row>
    <row r="114" spans="1:11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</row>
    <row r="115" spans="1:11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</row>
    <row r="116" spans="1:11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</row>
    <row r="117" spans="1:11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</row>
    <row r="118" spans="1:11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</row>
    <row r="119" spans="1:11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</row>
    <row r="120" spans="1:11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</row>
    <row r="121" spans="1:11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</row>
    <row r="122" spans="1:11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</row>
    <row r="123" spans="1:11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</row>
    <row r="124" spans="1:11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</row>
    <row r="125" spans="1:11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</row>
    <row r="126" spans="1:11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</row>
    <row r="127" spans="1:11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</row>
    <row r="128" spans="1:11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</row>
    <row r="129" spans="1:11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</row>
    <row r="130" spans="1:11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</row>
    <row r="131" spans="1:11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</row>
    <row r="132" spans="1:11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</row>
    <row r="133" spans="1:11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</row>
    <row r="134" spans="1:11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</row>
    <row r="135" spans="1:11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</row>
    <row r="136" spans="1:11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</row>
    <row r="137" spans="1:11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</row>
    <row r="138" spans="1:11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</row>
    <row r="139" spans="1:11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</row>
    <row r="140" spans="1:11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</row>
    <row r="141" spans="1:11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</row>
    <row r="142" spans="1:11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</row>
    <row r="143" spans="1:11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</row>
    <row r="144" spans="1:11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</row>
    <row r="145" spans="1:11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</row>
    <row r="146" spans="1:11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</row>
    <row r="147" spans="1:11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</row>
    <row r="148" spans="1:11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</row>
    <row r="149" spans="1:11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</row>
    <row r="150" spans="1:11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</row>
    <row r="151" spans="1:11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</row>
    <row r="152" spans="1:11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</row>
    <row r="153" spans="1:11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</row>
    <row r="154" spans="1:11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</row>
    <row r="155" spans="1:11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</row>
    <row r="156" spans="1:11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</row>
    <row r="157" spans="1:11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</row>
    <row r="158" spans="1:11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</row>
    <row r="159" spans="1:11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</row>
    <row r="160" spans="1:11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</row>
    <row r="161" spans="1:11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</row>
    <row r="162" spans="1:11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</row>
    <row r="163" spans="1:11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</row>
    <row r="164" spans="1:11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</row>
    <row r="165" spans="1:11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</row>
    <row r="166" spans="1:11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</row>
    <row r="167" spans="1:11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</row>
    <row r="168" spans="1:11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</row>
    <row r="169" spans="1:11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</row>
    <row r="170" spans="1:11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</row>
    <row r="171" spans="1:11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</row>
    <row r="172" spans="1:11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</row>
    <row r="173" spans="1:11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</row>
    <row r="174" spans="1:11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</row>
    <row r="175" spans="1:11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</row>
    <row r="176" spans="1:11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</row>
    <row r="177" spans="1:11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</row>
    <row r="178" spans="1:11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</row>
    <row r="179" spans="1:11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</row>
    <row r="180" spans="1:11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</row>
    <row r="181" spans="1:11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</row>
    <row r="182" spans="1:11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</row>
    <row r="183" spans="1:11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</row>
    <row r="184" spans="1:11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</row>
    <row r="185" spans="1:11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</row>
    <row r="186" spans="1:11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</row>
    <row r="187" spans="1:11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</row>
    <row r="188" spans="1:11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</row>
    <row r="189" spans="1:11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</row>
    <row r="190" spans="1:11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</row>
    <row r="191" spans="1:11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</row>
    <row r="192" spans="1:11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</row>
    <row r="193" spans="1:11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</row>
    <row r="194" spans="1:11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</row>
    <row r="195" spans="1:11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</row>
    <row r="196" spans="1:11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</row>
    <row r="197" spans="1:11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</row>
    <row r="198" spans="1:11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</row>
    <row r="199" spans="1:11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</row>
    <row r="200" spans="1:11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</row>
    <row r="201" spans="1:11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</row>
    <row r="202" spans="1:11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</row>
    <row r="203" spans="1:11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</row>
    <row r="204" spans="1:11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</row>
    <row r="205" spans="1:11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</row>
    <row r="206" spans="1:11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</row>
    <row r="207" spans="1:11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</row>
    <row r="208" spans="1:11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</row>
    <row r="209" spans="1:11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</row>
    <row r="210" spans="1:11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</row>
    <row r="211" spans="1:11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</row>
    <row r="212" spans="1:11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</row>
    <row r="213" spans="1:11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</row>
    <row r="214" spans="1:11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</row>
    <row r="215" spans="1:11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</row>
    <row r="216" spans="1:11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</row>
    <row r="217" spans="1:11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</row>
    <row r="218" spans="1:11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</row>
    <row r="219" spans="1:11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</row>
    <row r="220" spans="1:11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</row>
    <row r="221" spans="1:11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</row>
    <row r="222" spans="1:11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</row>
    <row r="223" spans="1:11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</row>
    <row r="224" spans="1:11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</row>
    <row r="225" spans="1:11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</row>
    <row r="226" spans="1:11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</row>
    <row r="227" spans="1:11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</row>
    <row r="228" spans="1:11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</row>
    <row r="229" spans="1:11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</row>
    <row r="230" spans="1:11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</row>
    <row r="231" spans="1:11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</row>
    <row r="232" spans="1:11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</row>
    <row r="233" spans="1:11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</row>
    <row r="234" spans="1:11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</row>
    <row r="235" spans="1:11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</row>
    <row r="236" spans="1:11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</row>
    <row r="237" spans="1:11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</row>
    <row r="238" spans="1:11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</row>
    <row r="239" spans="1:11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</row>
    <row r="240" spans="1:11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</row>
    <row r="241" spans="1:11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</row>
    <row r="242" spans="1:11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</row>
    <row r="243" spans="1:11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</row>
    <row r="244" spans="1:11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</row>
    <row r="245" spans="1:11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</row>
    <row r="246" spans="1:11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</row>
    <row r="247" spans="1:11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</row>
    <row r="248" spans="1:11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</row>
    <row r="249" spans="1:11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</row>
    <row r="250" spans="1:11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</row>
    <row r="251" spans="1:11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</row>
    <row r="252" spans="1:11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</row>
    <row r="253" spans="1:11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</row>
    <row r="254" spans="1:11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</row>
    <row r="255" spans="1:11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</row>
    <row r="256" spans="1:11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</row>
    <row r="257" spans="1:11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</row>
    <row r="258" spans="1:11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</row>
    <row r="259" spans="1:11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</row>
    <row r="260" spans="1:11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</row>
    <row r="261" spans="1:11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</row>
    <row r="262" spans="1:11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</row>
    <row r="263" spans="1:11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</row>
    <row r="264" spans="1:11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</row>
    <row r="265" spans="1:11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</row>
    <row r="266" spans="1:11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</row>
    <row r="267" spans="1:11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</row>
    <row r="268" spans="1:11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</row>
    <row r="269" spans="1:11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</row>
    <row r="270" spans="1:11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</row>
    <row r="271" spans="1:11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</row>
    <row r="272" spans="1:11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</row>
    <row r="273" spans="1:11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</row>
    <row r="274" spans="1:11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</row>
    <row r="275" spans="1:11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</row>
    <row r="276" spans="1:11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</row>
    <row r="277" spans="1:11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</row>
    <row r="278" spans="1:11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</row>
    <row r="279" spans="1:11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</row>
    <row r="280" spans="1:11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</row>
    <row r="281" spans="1:11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</row>
    <row r="282" spans="1:11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</row>
    <row r="283" spans="1:11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</row>
    <row r="284" spans="1:11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</row>
    <row r="285" spans="1:11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</row>
    <row r="286" spans="1:11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</row>
    <row r="287" spans="1:11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</row>
    <row r="288" spans="1:11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</row>
    <row r="289" spans="1:11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</row>
    <row r="290" spans="1:11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</row>
    <row r="291" spans="1:11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</row>
    <row r="292" spans="1:11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</row>
    <row r="293" spans="1:11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</row>
    <row r="294" spans="1:11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</row>
    <row r="295" spans="1:11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</row>
    <row r="296" spans="1:11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</row>
    <row r="297" spans="1:11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</row>
    <row r="298" spans="1:11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</row>
    <row r="299" spans="1:11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</row>
    <row r="300" spans="1:11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</row>
    <row r="301" spans="1:11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</row>
    <row r="302" spans="1:11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</row>
    <row r="303" spans="1:11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</row>
    <row r="304" spans="1:11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</row>
    <row r="305" spans="1:11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</row>
    <row r="306" spans="1:11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</row>
    <row r="307" spans="1:11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</row>
    <row r="308" spans="1:11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</row>
    <row r="309" spans="1:11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</row>
    <row r="310" spans="1:11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</row>
    <row r="311" spans="1:11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</row>
    <row r="312" spans="1:11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</row>
    <row r="313" spans="1:11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</row>
    <row r="314" spans="1:11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</row>
    <row r="315" spans="1:11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</row>
    <row r="316" spans="1:11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</row>
    <row r="317" spans="1:11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</row>
    <row r="318" spans="1:11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</row>
    <row r="319" spans="1:11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</row>
    <row r="320" spans="1:11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</row>
    <row r="321" spans="1:11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</row>
    <row r="322" spans="1:11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</row>
    <row r="323" spans="1:11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</row>
    <row r="324" spans="1:11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</row>
    <row r="325" spans="1:11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</row>
    <row r="326" spans="1:11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</row>
    <row r="327" spans="1:11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</row>
    <row r="328" spans="1:11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</row>
    <row r="329" spans="1:11" x14ac:dyDescent="0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</row>
    <row r="330" spans="1:11" x14ac:dyDescent="0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</row>
    <row r="331" spans="1:11" x14ac:dyDescent="0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</row>
    <row r="332" spans="1:11" x14ac:dyDescent="0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</row>
    <row r="333" spans="1:11" x14ac:dyDescent="0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</row>
    <row r="334" spans="1:11" x14ac:dyDescent="0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</row>
    <row r="335" spans="1:11" x14ac:dyDescent="0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</row>
    <row r="336" spans="1:11" x14ac:dyDescent="0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</row>
    <row r="337" spans="1:11" x14ac:dyDescent="0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</row>
    <row r="338" spans="1:11" x14ac:dyDescent="0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</row>
    <row r="339" spans="1:11" x14ac:dyDescent="0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</row>
    <row r="340" spans="1:11" x14ac:dyDescent="0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</row>
    <row r="341" spans="1:11" x14ac:dyDescent="0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</row>
    <row r="342" spans="1:11" x14ac:dyDescent="0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</row>
    <row r="343" spans="1:11" x14ac:dyDescent="0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</row>
    <row r="344" spans="1:11" x14ac:dyDescent="0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</row>
    <row r="345" spans="1:11" x14ac:dyDescent="0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</row>
    <row r="346" spans="1:11" x14ac:dyDescent="0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</row>
    <row r="347" spans="1:11" x14ac:dyDescent="0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</row>
    <row r="348" spans="1:11" x14ac:dyDescent="0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</row>
    <row r="349" spans="1:11" x14ac:dyDescent="0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</row>
    <row r="350" spans="1:11" x14ac:dyDescent="0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</row>
    <row r="351" spans="1:11" x14ac:dyDescent="0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</row>
    <row r="352" spans="1:11" x14ac:dyDescent="0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</row>
    <row r="353" spans="1:11" x14ac:dyDescent="0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</row>
    <row r="354" spans="1:11" x14ac:dyDescent="0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</row>
    <row r="355" spans="1:11" x14ac:dyDescent="0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</row>
    <row r="356" spans="1:11" x14ac:dyDescent="0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</row>
    <row r="357" spans="1:11" x14ac:dyDescent="0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</row>
    <row r="358" spans="1:11" x14ac:dyDescent="0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</row>
    <row r="359" spans="1:11" x14ac:dyDescent="0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</row>
    <row r="360" spans="1:11" x14ac:dyDescent="0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</row>
    <row r="361" spans="1:11" x14ac:dyDescent="0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</row>
    <row r="362" spans="1:11" x14ac:dyDescent="0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</row>
    <row r="363" spans="1:11" x14ac:dyDescent="0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</row>
    <row r="364" spans="1:11" x14ac:dyDescent="0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</row>
    <row r="365" spans="1:11" x14ac:dyDescent="0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</row>
    <row r="366" spans="1:11" x14ac:dyDescent="0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</row>
    <row r="367" spans="1:11" x14ac:dyDescent="0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</row>
    <row r="368" spans="1:11" x14ac:dyDescent="0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</row>
    <row r="369" spans="1:11" x14ac:dyDescent="0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</row>
    <row r="370" spans="1:11" x14ac:dyDescent="0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</row>
    <row r="371" spans="1:11" x14ac:dyDescent="0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</row>
    <row r="372" spans="1:11" x14ac:dyDescent="0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</row>
    <row r="373" spans="1:11" x14ac:dyDescent="0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</row>
    <row r="374" spans="1:11" x14ac:dyDescent="0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</row>
    <row r="375" spans="1:11" x14ac:dyDescent="0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</row>
    <row r="376" spans="1:11" x14ac:dyDescent="0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</row>
    <row r="377" spans="1:11" x14ac:dyDescent="0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</row>
    <row r="378" spans="1:11" x14ac:dyDescent="0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</row>
    <row r="379" spans="1:11" x14ac:dyDescent="0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</row>
    <row r="380" spans="1:11" x14ac:dyDescent="0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</row>
    <row r="381" spans="1:11" x14ac:dyDescent="0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</row>
    <row r="382" spans="1:11" x14ac:dyDescent="0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</row>
    <row r="383" spans="1:11" x14ac:dyDescent="0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</row>
    <row r="384" spans="1:11" x14ac:dyDescent="0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</row>
    <row r="385" spans="1:11" x14ac:dyDescent="0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</row>
    <row r="386" spans="1:11" x14ac:dyDescent="0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</row>
    <row r="387" spans="1:11" x14ac:dyDescent="0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</row>
    <row r="388" spans="1:11" x14ac:dyDescent="0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</row>
    <row r="389" spans="1:11" x14ac:dyDescent="0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</row>
    <row r="390" spans="1:11" x14ac:dyDescent="0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</row>
    <row r="391" spans="1:11" x14ac:dyDescent="0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</row>
    <row r="392" spans="1:11" x14ac:dyDescent="0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</row>
    <row r="393" spans="1:11" x14ac:dyDescent="0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</row>
    <row r="394" spans="1:11" x14ac:dyDescent="0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</row>
    <row r="395" spans="1:11" x14ac:dyDescent="0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</row>
    <row r="396" spans="1:11" x14ac:dyDescent="0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</row>
    <row r="397" spans="1:11" x14ac:dyDescent="0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</row>
    <row r="398" spans="1:11" x14ac:dyDescent="0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</row>
    <row r="399" spans="1:11" x14ac:dyDescent="0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</row>
    <row r="400" spans="1:11" x14ac:dyDescent="0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</row>
    <row r="401" spans="1:11" x14ac:dyDescent="0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</row>
    <row r="402" spans="1:11" x14ac:dyDescent="0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</row>
    <row r="403" spans="1:11" x14ac:dyDescent="0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</row>
    <row r="404" spans="1:11" x14ac:dyDescent="0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</row>
    <row r="405" spans="1:11" x14ac:dyDescent="0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</row>
    <row r="406" spans="1:11" x14ac:dyDescent="0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</row>
    <row r="407" spans="1:11" x14ac:dyDescent="0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</row>
    <row r="408" spans="1:11" x14ac:dyDescent="0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</row>
    <row r="409" spans="1:11" x14ac:dyDescent="0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</row>
    <row r="410" spans="1:11" x14ac:dyDescent="0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</row>
    <row r="411" spans="1:11" x14ac:dyDescent="0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</row>
    <row r="412" spans="1:11" x14ac:dyDescent="0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</row>
    <row r="413" spans="1:11" x14ac:dyDescent="0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</row>
    <row r="414" spans="1:11" x14ac:dyDescent="0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</row>
    <row r="415" spans="1:11" x14ac:dyDescent="0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</row>
    <row r="416" spans="1:11" x14ac:dyDescent="0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</row>
    <row r="417" spans="1:11" x14ac:dyDescent="0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</row>
    <row r="418" spans="1:11" x14ac:dyDescent="0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</row>
    <row r="419" spans="1:11" x14ac:dyDescent="0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</row>
    <row r="420" spans="1:11" x14ac:dyDescent="0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</row>
    <row r="421" spans="1:11" x14ac:dyDescent="0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</row>
    <row r="422" spans="1:11" x14ac:dyDescent="0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</row>
    <row r="423" spans="1:11" x14ac:dyDescent="0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</row>
    <row r="424" spans="1:11" x14ac:dyDescent="0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</row>
    <row r="425" spans="1:11" x14ac:dyDescent="0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</row>
    <row r="426" spans="1:11" x14ac:dyDescent="0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</row>
    <row r="427" spans="1:11" x14ac:dyDescent="0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</row>
    <row r="428" spans="1:11" x14ac:dyDescent="0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</row>
    <row r="429" spans="1:11" x14ac:dyDescent="0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</row>
    <row r="430" spans="1:11" x14ac:dyDescent="0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</row>
    <row r="431" spans="1:11" x14ac:dyDescent="0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</row>
    <row r="432" spans="1:11" x14ac:dyDescent="0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</row>
    <row r="433" spans="1:11" x14ac:dyDescent="0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</row>
    <row r="434" spans="1:11" x14ac:dyDescent="0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</row>
    <row r="435" spans="1:11" x14ac:dyDescent="0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</row>
    <row r="436" spans="1:11" x14ac:dyDescent="0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</row>
    <row r="437" spans="1:11" x14ac:dyDescent="0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</row>
    <row r="438" spans="1:11" x14ac:dyDescent="0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</row>
    <row r="439" spans="1:11" x14ac:dyDescent="0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</row>
    <row r="440" spans="1:11" x14ac:dyDescent="0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</row>
    <row r="441" spans="1:11" x14ac:dyDescent="0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</row>
    <row r="442" spans="1:11" x14ac:dyDescent="0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</row>
    <row r="443" spans="1:11" x14ac:dyDescent="0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</row>
    <row r="444" spans="1:11" x14ac:dyDescent="0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</row>
    <row r="445" spans="1:11" x14ac:dyDescent="0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</row>
    <row r="446" spans="1:11" x14ac:dyDescent="0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</row>
    <row r="447" spans="1:11" x14ac:dyDescent="0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</row>
    <row r="448" spans="1:11" x14ac:dyDescent="0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</row>
    <row r="449" spans="1:11" x14ac:dyDescent="0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</row>
    <row r="450" spans="1:11" x14ac:dyDescent="0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</row>
    <row r="451" spans="1:11" x14ac:dyDescent="0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</row>
    <row r="452" spans="1:11" x14ac:dyDescent="0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</row>
    <row r="453" spans="1:11" x14ac:dyDescent="0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</row>
    <row r="454" spans="1:11" x14ac:dyDescent="0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</row>
    <row r="455" spans="1:11" x14ac:dyDescent="0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</row>
    <row r="456" spans="1:11" x14ac:dyDescent="0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</row>
    <row r="457" spans="1:11" x14ac:dyDescent="0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</row>
    <row r="458" spans="1:11" x14ac:dyDescent="0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</row>
    <row r="459" spans="1:11" x14ac:dyDescent="0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</row>
    <row r="460" spans="1:11" x14ac:dyDescent="0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</row>
    <row r="461" spans="1:11" x14ac:dyDescent="0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</row>
    <row r="462" spans="1:11" x14ac:dyDescent="0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</row>
    <row r="463" spans="1:11" x14ac:dyDescent="0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</row>
    <row r="464" spans="1:11" x14ac:dyDescent="0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</row>
    <row r="465" spans="1:11" x14ac:dyDescent="0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</row>
    <row r="466" spans="1:11" x14ac:dyDescent="0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</row>
    <row r="467" spans="1:11" x14ac:dyDescent="0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</row>
    <row r="468" spans="1:11" x14ac:dyDescent="0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</row>
    <row r="469" spans="1:11" x14ac:dyDescent="0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</row>
    <row r="470" spans="1:11" x14ac:dyDescent="0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</row>
    <row r="471" spans="1:11" x14ac:dyDescent="0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</row>
    <row r="472" spans="1:11" x14ac:dyDescent="0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</row>
    <row r="473" spans="1:11" x14ac:dyDescent="0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</row>
    <row r="474" spans="1:11" x14ac:dyDescent="0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</row>
    <row r="475" spans="1:11" x14ac:dyDescent="0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</row>
    <row r="476" spans="1:11" x14ac:dyDescent="0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</row>
    <row r="477" spans="1:11" x14ac:dyDescent="0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</row>
    <row r="478" spans="1:11" x14ac:dyDescent="0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</row>
    <row r="479" spans="1:11" x14ac:dyDescent="0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</row>
    <row r="480" spans="1:11" x14ac:dyDescent="0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</row>
    <row r="481" spans="1:11" x14ac:dyDescent="0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</row>
    <row r="482" spans="1:11" x14ac:dyDescent="0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</row>
    <row r="483" spans="1:11" x14ac:dyDescent="0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</row>
    <row r="484" spans="1:11" x14ac:dyDescent="0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</row>
    <row r="485" spans="1:11" x14ac:dyDescent="0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</row>
    <row r="486" spans="1:11" x14ac:dyDescent="0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</row>
    <row r="487" spans="1:11" x14ac:dyDescent="0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</row>
    <row r="488" spans="1:11" x14ac:dyDescent="0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</row>
    <row r="489" spans="1:11" x14ac:dyDescent="0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</row>
    <row r="490" spans="1:11" x14ac:dyDescent="0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</row>
    <row r="491" spans="1:11" x14ac:dyDescent="0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</row>
    <row r="492" spans="1:11" x14ac:dyDescent="0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</row>
    <row r="493" spans="1:11" x14ac:dyDescent="0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</row>
    <row r="494" spans="1:11" x14ac:dyDescent="0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</row>
    <row r="495" spans="1:11" x14ac:dyDescent="0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</row>
    <row r="496" spans="1:11" x14ac:dyDescent="0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</row>
    <row r="497" spans="1:11" x14ac:dyDescent="0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</row>
    <row r="498" spans="1:11" x14ac:dyDescent="0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</row>
    <row r="499" spans="1:11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</row>
    <row r="500" spans="1:11" x14ac:dyDescent="0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</row>
    <row r="501" spans="1:11" x14ac:dyDescent="0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</row>
    <row r="502" spans="1:11" x14ac:dyDescent="0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</row>
    <row r="503" spans="1:11" x14ac:dyDescent="0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</row>
    <row r="504" spans="1:11" x14ac:dyDescent="0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</row>
    <row r="505" spans="1:11" x14ac:dyDescent="0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</row>
    <row r="506" spans="1:11" x14ac:dyDescent="0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</row>
    <row r="507" spans="1:11" x14ac:dyDescent="0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</row>
    <row r="508" spans="1:11" x14ac:dyDescent="0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</row>
    <row r="509" spans="1:11" x14ac:dyDescent="0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</row>
    <row r="510" spans="1:11" x14ac:dyDescent="0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</row>
    <row r="511" spans="1:11" x14ac:dyDescent="0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</row>
    <row r="512" spans="1:11" x14ac:dyDescent="0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</row>
    <row r="513" spans="1:11" x14ac:dyDescent="0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</row>
    <row r="514" spans="1:11" x14ac:dyDescent="0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</row>
    <row r="515" spans="1:11" x14ac:dyDescent="0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</row>
    <row r="516" spans="1:11" x14ac:dyDescent="0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</row>
    <row r="517" spans="1:11" x14ac:dyDescent="0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</row>
    <row r="518" spans="1:11" x14ac:dyDescent="0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</row>
    <row r="519" spans="1:11" x14ac:dyDescent="0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</row>
    <row r="520" spans="1:11" x14ac:dyDescent="0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</row>
    <row r="521" spans="1:11" x14ac:dyDescent="0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</row>
    <row r="522" spans="1:11" x14ac:dyDescent="0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</row>
    <row r="523" spans="1:11" x14ac:dyDescent="0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</row>
    <row r="524" spans="1:11" x14ac:dyDescent="0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</row>
    <row r="525" spans="1:11" x14ac:dyDescent="0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</row>
    <row r="526" spans="1:11" x14ac:dyDescent="0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</row>
    <row r="527" spans="1:11" x14ac:dyDescent="0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</row>
    <row r="528" spans="1:11" x14ac:dyDescent="0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</row>
    <row r="529" spans="1:11" x14ac:dyDescent="0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</row>
    <row r="530" spans="1:11" x14ac:dyDescent="0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</row>
    <row r="531" spans="1:11" x14ac:dyDescent="0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</row>
    <row r="532" spans="1:11" x14ac:dyDescent="0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</row>
    <row r="533" spans="1:11" x14ac:dyDescent="0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</row>
    <row r="534" spans="1:11" x14ac:dyDescent="0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</row>
    <row r="535" spans="1:11" x14ac:dyDescent="0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</row>
    <row r="536" spans="1:11" x14ac:dyDescent="0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</row>
    <row r="537" spans="1:11" x14ac:dyDescent="0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</row>
    <row r="538" spans="1:11" x14ac:dyDescent="0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</row>
    <row r="539" spans="1:11" x14ac:dyDescent="0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</row>
    <row r="540" spans="1:11" x14ac:dyDescent="0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</row>
    <row r="541" spans="1:11" x14ac:dyDescent="0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</row>
    <row r="542" spans="1:11" x14ac:dyDescent="0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</row>
    <row r="543" spans="1:11" x14ac:dyDescent="0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</row>
    <row r="544" spans="1:11" x14ac:dyDescent="0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</row>
    <row r="545" spans="1:11" x14ac:dyDescent="0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</row>
    <row r="546" spans="1:11" x14ac:dyDescent="0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</row>
    <row r="547" spans="1:11" x14ac:dyDescent="0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</row>
    <row r="548" spans="1:11" x14ac:dyDescent="0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</row>
    <row r="549" spans="1:11" x14ac:dyDescent="0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</row>
    <row r="550" spans="1:11" x14ac:dyDescent="0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</row>
    <row r="551" spans="1:11" x14ac:dyDescent="0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</row>
    <row r="552" spans="1:11" x14ac:dyDescent="0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</row>
    <row r="553" spans="1:11" x14ac:dyDescent="0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</row>
    <row r="554" spans="1:11" x14ac:dyDescent="0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</row>
    <row r="555" spans="1:11" x14ac:dyDescent="0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</row>
    <row r="556" spans="1:11" x14ac:dyDescent="0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</row>
    <row r="557" spans="1:11" x14ac:dyDescent="0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</row>
    <row r="558" spans="1:11" x14ac:dyDescent="0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</row>
    <row r="559" spans="1:11" x14ac:dyDescent="0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</row>
    <row r="560" spans="1:11" x14ac:dyDescent="0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</row>
    <row r="561" spans="1:11" x14ac:dyDescent="0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</row>
    <row r="562" spans="1:11" x14ac:dyDescent="0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</row>
    <row r="563" spans="1:11" x14ac:dyDescent="0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</row>
    <row r="564" spans="1:11" x14ac:dyDescent="0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</row>
    <row r="565" spans="1:11" x14ac:dyDescent="0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</row>
    <row r="566" spans="1:11" x14ac:dyDescent="0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</row>
    <row r="567" spans="1:11" x14ac:dyDescent="0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</row>
    <row r="568" spans="1:11" x14ac:dyDescent="0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</row>
    <row r="569" spans="1:11" x14ac:dyDescent="0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</row>
    <row r="570" spans="1:11" x14ac:dyDescent="0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</row>
    <row r="571" spans="1:11" x14ac:dyDescent="0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</row>
    <row r="572" spans="1:11" x14ac:dyDescent="0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</row>
    <row r="573" spans="1:11" x14ac:dyDescent="0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</row>
    <row r="574" spans="1:11" x14ac:dyDescent="0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</row>
    <row r="575" spans="1:11" x14ac:dyDescent="0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</row>
    <row r="576" spans="1:11" x14ac:dyDescent="0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</row>
    <row r="577" spans="1:11" x14ac:dyDescent="0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</row>
    <row r="578" spans="1:11" x14ac:dyDescent="0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</row>
    <row r="579" spans="1:11" x14ac:dyDescent="0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</row>
    <row r="580" spans="1:11" x14ac:dyDescent="0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</row>
    <row r="581" spans="1:11" x14ac:dyDescent="0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</row>
    <row r="582" spans="1:11" x14ac:dyDescent="0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</row>
    <row r="583" spans="1:11" x14ac:dyDescent="0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</row>
    <row r="584" spans="1:11" x14ac:dyDescent="0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</row>
    <row r="585" spans="1:11" x14ac:dyDescent="0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</row>
    <row r="586" spans="1:11" x14ac:dyDescent="0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</row>
    <row r="587" spans="1:11" x14ac:dyDescent="0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</row>
    <row r="588" spans="1:11" x14ac:dyDescent="0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</row>
    <row r="589" spans="1:11" x14ac:dyDescent="0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</row>
    <row r="590" spans="1:11" x14ac:dyDescent="0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</row>
    <row r="591" spans="1:11" x14ac:dyDescent="0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</row>
    <row r="592" spans="1:11" x14ac:dyDescent="0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</row>
    <row r="593" spans="1:11" x14ac:dyDescent="0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</row>
    <row r="594" spans="1:11" x14ac:dyDescent="0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</row>
    <row r="595" spans="1:11" x14ac:dyDescent="0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</row>
    <row r="596" spans="1:11" x14ac:dyDescent="0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</row>
    <row r="597" spans="1:11" x14ac:dyDescent="0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</row>
    <row r="598" spans="1:11" x14ac:dyDescent="0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</row>
    <row r="599" spans="1:11" x14ac:dyDescent="0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</row>
    <row r="600" spans="1:11" x14ac:dyDescent="0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</row>
    <row r="601" spans="1:11" x14ac:dyDescent="0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</row>
    <row r="602" spans="1:11" x14ac:dyDescent="0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</row>
    <row r="603" spans="1:11" x14ac:dyDescent="0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</row>
    <row r="604" spans="1:11" x14ac:dyDescent="0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</row>
    <row r="605" spans="1:11" x14ac:dyDescent="0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</row>
    <row r="606" spans="1:11" x14ac:dyDescent="0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</row>
    <row r="607" spans="1:11" x14ac:dyDescent="0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</row>
    <row r="608" spans="1:11" x14ac:dyDescent="0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</row>
    <row r="609" spans="1:11" x14ac:dyDescent="0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</row>
    <row r="610" spans="1:11" x14ac:dyDescent="0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</row>
    <row r="611" spans="1:11" x14ac:dyDescent="0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</row>
    <row r="612" spans="1:11" x14ac:dyDescent="0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</row>
    <row r="613" spans="1:11" x14ac:dyDescent="0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</row>
    <row r="614" spans="1:11" x14ac:dyDescent="0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</row>
    <row r="615" spans="1:11" x14ac:dyDescent="0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</row>
    <row r="616" spans="1:11" x14ac:dyDescent="0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</row>
    <row r="617" spans="1:11" x14ac:dyDescent="0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</row>
    <row r="618" spans="1:11" x14ac:dyDescent="0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</row>
    <row r="619" spans="1:11" x14ac:dyDescent="0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</row>
    <row r="620" spans="1:11" x14ac:dyDescent="0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</row>
    <row r="621" spans="1:11" x14ac:dyDescent="0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</row>
    <row r="622" spans="1:11" x14ac:dyDescent="0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</row>
    <row r="623" spans="1:11" x14ac:dyDescent="0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</row>
    <row r="624" spans="1:11" x14ac:dyDescent="0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</row>
    <row r="625" spans="1:11" x14ac:dyDescent="0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</row>
    <row r="626" spans="1:11" x14ac:dyDescent="0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</row>
    <row r="627" spans="1:11" x14ac:dyDescent="0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</row>
    <row r="628" spans="1:11" x14ac:dyDescent="0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</row>
    <row r="629" spans="1:11" x14ac:dyDescent="0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</row>
    <row r="630" spans="1:11" x14ac:dyDescent="0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</row>
    <row r="631" spans="1:11" x14ac:dyDescent="0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</row>
    <row r="632" spans="1:11" x14ac:dyDescent="0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</row>
    <row r="633" spans="1:11" x14ac:dyDescent="0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</row>
    <row r="634" spans="1:11" x14ac:dyDescent="0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</row>
    <row r="635" spans="1:11" x14ac:dyDescent="0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</row>
    <row r="636" spans="1:11" x14ac:dyDescent="0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</row>
    <row r="637" spans="1:11" x14ac:dyDescent="0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</row>
    <row r="638" spans="1:11" x14ac:dyDescent="0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</row>
    <row r="639" spans="1:11" x14ac:dyDescent="0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</row>
    <row r="640" spans="1:11" x14ac:dyDescent="0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</row>
    <row r="641" spans="1:11" x14ac:dyDescent="0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</row>
    <row r="642" spans="1:11" x14ac:dyDescent="0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</row>
    <row r="643" spans="1:11" x14ac:dyDescent="0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</row>
    <row r="644" spans="1:11" x14ac:dyDescent="0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</row>
    <row r="645" spans="1:11" x14ac:dyDescent="0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</row>
    <row r="646" spans="1:11" x14ac:dyDescent="0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</row>
    <row r="647" spans="1:11" x14ac:dyDescent="0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</row>
    <row r="648" spans="1:11" x14ac:dyDescent="0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</row>
    <row r="649" spans="1:11" x14ac:dyDescent="0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</row>
    <row r="650" spans="1:11" x14ac:dyDescent="0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</row>
    <row r="651" spans="1:11" x14ac:dyDescent="0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</row>
    <row r="652" spans="1:11" x14ac:dyDescent="0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</row>
    <row r="653" spans="1:11" x14ac:dyDescent="0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</row>
    <row r="654" spans="1:11" x14ac:dyDescent="0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</row>
    <row r="655" spans="1:11" x14ac:dyDescent="0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</row>
    <row r="656" spans="1:11" x14ac:dyDescent="0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</row>
    <row r="657" spans="1:11" x14ac:dyDescent="0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</row>
    <row r="658" spans="1:11" x14ac:dyDescent="0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</row>
    <row r="659" spans="1:11" x14ac:dyDescent="0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</row>
    <row r="660" spans="1:11" x14ac:dyDescent="0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</row>
    <row r="661" spans="1:11" x14ac:dyDescent="0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</row>
    <row r="662" spans="1:11" x14ac:dyDescent="0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</row>
    <row r="663" spans="1:11" x14ac:dyDescent="0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</row>
    <row r="664" spans="1:11" x14ac:dyDescent="0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</row>
    <row r="665" spans="1:11" x14ac:dyDescent="0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</row>
    <row r="666" spans="1:11" x14ac:dyDescent="0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</row>
    <row r="667" spans="1:11" x14ac:dyDescent="0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</row>
    <row r="668" spans="1:11" x14ac:dyDescent="0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</row>
    <row r="669" spans="1:11" x14ac:dyDescent="0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</row>
    <row r="670" spans="1:11" x14ac:dyDescent="0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</row>
    <row r="671" spans="1:11" x14ac:dyDescent="0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</row>
    <row r="672" spans="1:11" x14ac:dyDescent="0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</row>
    <row r="673" spans="1:11" x14ac:dyDescent="0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</row>
    <row r="674" spans="1:11" x14ac:dyDescent="0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</row>
    <row r="675" spans="1:11" x14ac:dyDescent="0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</row>
    <row r="676" spans="1:11" x14ac:dyDescent="0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</row>
    <row r="677" spans="1:11" x14ac:dyDescent="0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</row>
    <row r="678" spans="1:11" x14ac:dyDescent="0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</row>
    <row r="679" spans="1:11" x14ac:dyDescent="0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</row>
    <row r="680" spans="1:11" x14ac:dyDescent="0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</row>
    <row r="681" spans="1:11" x14ac:dyDescent="0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</row>
    <row r="682" spans="1:11" x14ac:dyDescent="0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</row>
    <row r="683" spans="1:11" x14ac:dyDescent="0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</row>
    <row r="684" spans="1:11" x14ac:dyDescent="0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</row>
    <row r="685" spans="1:11" x14ac:dyDescent="0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</row>
    <row r="686" spans="1:11" x14ac:dyDescent="0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</row>
    <row r="687" spans="1:11" x14ac:dyDescent="0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</row>
    <row r="688" spans="1:11" x14ac:dyDescent="0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</row>
    <row r="689" spans="1:11" x14ac:dyDescent="0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</row>
    <row r="690" spans="1:11" x14ac:dyDescent="0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</row>
    <row r="691" spans="1:11" x14ac:dyDescent="0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</row>
    <row r="692" spans="1:11" x14ac:dyDescent="0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</row>
    <row r="693" spans="1:11" x14ac:dyDescent="0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</row>
    <row r="694" spans="1:11" x14ac:dyDescent="0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</row>
    <row r="695" spans="1:11" x14ac:dyDescent="0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</row>
    <row r="696" spans="1:11" x14ac:dyDescent="0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</row>
    <row r="697" spans="1:11" x14ac:dyDescent="0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</row>
    <row r="698" spans="1:11" x14ac:dyDescent="0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</row>
    <row r="699" spans="1:11" x14ac:dyDescent="0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</row>
    <row r="700" spans="1:11" x14ac:dyDescent="0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</row>
    <row r="701" spans="1:11" x14ac:dyDescent="0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</row>
    <row r="702" spans="1:11" x14ac:dyDescent="0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</row>
    <row r="703" spans="1:11" x14ac:dyDescent="0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</row>
    <row r="704" spans="1:11" x14ac:dyDescent="0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</row>
    <row r="705" spans="1:11" x14ac:dyDescent="0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</row>
    <row r="706" spans="1:11" x14ac:dyDescent="0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</row>
    <row r="707" spans="1:11" x14ac:dyDescent="0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</row>
    <row r="708" spans="1:11" x14ac:dyDescent="0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</row>
    <row r="709" spans="1:11" x14ac:dyDescent="0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</row>
    <row r="710" spans="1:11" x14ac:dyDescent="0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</row>
    <row r="711" spans="1:11" x14ac:dyDescent="0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</row>
    <row r="712" spans="1:11" x14ac:dyDescent="0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</row>
    <row r="713" spans="1:11" x14ac:dyDescent="0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</row>
    <row r="714" spans="1:11" x14ac:dyDescent="0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</row>
    <row r="715" spans="1:11" x14ac:dyDescent="0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</row>
    <row r="716" spans="1:11" x14ac:dyDescent="0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</row>
    <row r="717" spans="1:11" x14ac:dyDescent="0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</row>
    <row r="718" spans="1:11" x14ac:dyDescent="0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</row>
    <row r="719" spans="1:11" x14ac:dyDescent="0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</row>
    <row r="720" spans="1:11" x14ac:dyDescent="0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</row>
    <row r="721" spans="1:11" x14ac:dyDescent="0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</row>
    <row r="722" spans="1:11" x14ac:dyDescent="0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</row>
    <row r="723" spans="1:11" x14ac:dyDescent="0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</row>
    <row r="724" spans="1:11" x14ac:dyDescent="0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</row>
    <row r="725" spans="1:11" x14ac:dyDescent="0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</row>
    <row r="726" spans="1:11" x14ac:dyDescent="0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</row>
    <row r="727" spans="1:11" x14ac:dyDescent="0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</row>
    <row r="728" spans="1:11" x14ac:dyDescent="0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</row>
    <row r="729" spans="1:11" x14ac:dyDescent="0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</row>
    <row r="730" spans="1:11" x14ac:dyDescent="0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</row>
    <row r="731" spans="1:11" x14ac:dyDescent="0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</row>
    <row r="732" spans="1:11" x14ac:dyDescent="0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</row>
    <row r="733" spans="1:11" x14ac:dyDescent="0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</row>
    <row r="734" spans="1:11" x14ac:dyDescent="0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</row>
    <row r="735" spans="1:11" x14ac:dyDescent="0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</row>
    <row r="736" spans="1:11" x14ac:dyDescent="0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</row>
    <row r="737" spans="1:11" x14ac:dyDescent="0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</row>
    <row r="738" spans="1:11" x14ac:dyDescent="0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</row>
    <row r="739" spans="1:11" x14ac:dyDescent="0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</row>
    <row r="740" spans="1:11" x14ac:dyDescent="0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</row>
    <row r="741" spans="1:11" x14ac:dyDescent="0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</row>
    <row r="742" spans="1:11" x14ac:dyDescent="0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</row>
    <row r="743" spans="1:11" x14ac:dyDescent="0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</row>
    <row r="744" spans="1:11" x14ac:dyDescent="0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</row>
    <row r="745" spans="1:11" x14ac:dyDescent="0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</row>
    <row r="746" spans="1:11" x14ac:dyDescent="0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</row>
    <row r="747" spans="1:11" x14ac:dyDescent="0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</row>
    <row r="748" spans="1:11" x14ac:dyDescent="0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</row>
    <row r="749" spans="1:11" x14ac:dyDescent="0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</row>
    <row r="750" spans="1:11" x14ac:dyDescent="0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</row>
    <row r="751" spans="1:11" x14ac:dyDescent="0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</row>
    <row r="752" spans="1:11" x14ac:dyDescent="0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</row>
    <row r="753" spans="1:11" x14ac:dyDescent="0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</row>
    <row r="754" spans="1:11" x14ac:dyDescent="0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</row>
    <row r="755" spans="1:11" x14ac:dyDescent="0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</row>
    <row r="756" spans="1:11" x14ac:dyDescent="0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</row>
    <row r="757" spans="1:11" x14ac:dyDescent="0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</row>
    <row r="758" spans="1:11" x14ac:dyDescent="0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</row>
    <row r="759" spans="1:11" x14ac:dyDescent="0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</row>
    <row r="760" spans="1:11" x14ac:dyDescent="0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</row>
    <row r="761" spans="1:11" x14ac:dyDescent="0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</row>
    <row r="762" spans="1:11" x14ac:dyDescent="0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</row>
    <row r="763" spans="1:11" x14ac:dyDescent="0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</row>
    <row r="764" spans="1:11" x14ac:dyDescent="0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</row>
    <row r="765" spans="1:11" x14ac:dyDescent="0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</row>
    <row r="766" spans="1:11" x14ac:dyDescent="0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</row>
    <row r="767" spans="1:11" x14ac:dyDescent="0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</row>
    <row r="768" spans="1:11" x14ac:dyDescent="0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</row>
    <row r="769" spans="1:11" x14ac:dyDescent="0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</row>
    <row r="770" spans="1:11" x14ac:dyDescent="0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</row>
    <row r="771" spans="1:11" x14ac:dyDescent="0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</row>
    <row r="772" spans="1:11" x14ac:dyDescent="0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</row>
    <row r="773" spans="1:11" x14ac:dyDescent="0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</row>
    <row r="774" spans="1:11" x14ac:dyDescent="0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</row>
    <row r="775" spans="1:11" x14ac:dyDescent="0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</row>
    <row r="776" spans="1:11" x14ac:dyDescent="0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</row>
    <row r="777" spans="1:11" x14ac:dyDescent="0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</row>
    <row r="778" spans="1:11" x14ac:dyDescent="0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</row>
    <row r="779" spans="1:11" x14ac:dyDescent="0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</row>
    <row r="780" spans="1:11" x14ac:dyDescent="0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</row>
    <row r="781" spans="1:11" x14ac:dyDescent="0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</row>
    <row r="782" spans="1:11" x14ac:dyDescent="0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</row>
    <row r="783" spans="1:11" x14ac:dyDescent="0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</row>
    <row r="784" spans="1:11" x14ac:dyDescent="0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</row>
    <row r="785" spans="1:11" x14ac:dyDescent="0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</row>
    <row r="786" spans="1:11" x14ac:dyDescent="0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</row>
    <row r="787" spans="1:11" x14ac:dyDescent="0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</row>
    <row r="788" spans="1:11" x14ac:dyDescent="0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</row>
    <row r="789" spans="1:11" x14ac:dyDescent="0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</row>
    <row r="790" spans="1:11" x14ac:dyDescent="0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</row>
    <row r="791" spans="1:11" x14ac:dyDescent="0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</row>
    <row r="792" spans="1:11" x14ac:dyDescent="0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</row>
    <row r="793" spans="1:11" x14ac:dyDescent="0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</row>
    <row r="794" spans="1:11" x14ac:dyDescent="0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</row>
    <row r="795" spans="1:11" x14ac:dyDescent="0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</row>
    <row r="796" spans="1:11" x14ac:dyDescent="0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</row>
    <row r="797" spans="1:11" x14ac:dyDescent="0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</row>
    <row r="798" spans="1:11" x14ac:dyDescent="0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</row>
    <row r="799" spans="1:11" x14ac:dyDescent="0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</row>
    <row r="800" spans="1:11" x14ac:dyDescent="0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</row>
    <row r="801" spans="1:11" x14ac:dyDescent="0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</row>
    <row r="802" spans="1:11" x14ac:dyDescent="0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</row>
    <row r="803" spans="1:11" x14ac:dyDescent="0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</row>
    <row r="804" spans="1:11" x14ac:dyDescent="0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</row>
    <row r="805" spans="1:11" x14ac:dyDescent="0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</row>
    <row r="806" spans="1:11" x14ac:dyDescent="0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</row>
    <row r="807" spans="1:11" x14ac:dyDescent="0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</row>
    <row r="808" spans="1:11" x14ac:dyDescent="0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</row>
    <row r="809" spans="1:11" x14ac:dyDescent="0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</row>
    <row r="810" spans="1:11" x14ac:dyDescent="0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</row>
    <row r="811" spans="1:11" x14ac:dyDescent="0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</row>
    <row r="812" spans="1:11" x14ac:dyDescent="0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</row>
    <row r="813" spans="1:11" x14ac:dyDescent="0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</row>
    <row r="814" spans="1:11" x14ac:dyDescent="0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</row>
    <row r="815" spans="1:11" x14ac:dyDescent="0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</row>
    <row r="816" spans="1:11" x14ac:dyDescent="0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</row>
    <row r="817" spans="1:11" x14ac:dyDescent="0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</row>
    <row r="818" spans="1:11" x14ac:dyDescent="0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</row>
    <row r="819" spans="1:11" x14ac:dyDescent="0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</row>
    <row r="820" spans="1:11" x14ac:dyDescent="0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</row>
    <row r="821" spans="1:11" x14ac:dyDescent="0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</row>
    <row r="822" spans="1:11" x14ac:dyDescent="0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</row>
    <row r="823" spans="1:11" x14ac:dyDescent="0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</row>
    <row r="824" spans="1:11" x14ac:dyDescent="0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</row>
    <row r="825" spans="1:11" x14ac:dyDescent="0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</row>
    <row r="826" spans="1:11" x14ac:dyDescent="0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</row>
    <row r="827" spans="1:11" x14ac:dyDescent="0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</row>
    <row r="828" spans="1:11" x14ac:dyDescent="0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</row>
    <row r="829" spans="1:11" x14ac:dyDescent="0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</row>
    <row r="830" spans="1:11" x14ac:dyDescent="0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</row>
    <row r="831" spans="1:11" x14ac:dyDescent="0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</row>
    <row r="832" spans="1:11" x14ac:dyDescent="0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</row>
    <row r="833" spans="1:11" x14ac:dyDescent="0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</row>
    <row r="834" spans="1:11" x14ac:dyDescent="0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</row>
    <row r="835" spans="1:11" x14ac:dyDescent="0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</row>
    <row r="836" spans="1:11" x14ac:dyDescent="0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</row>
    <row r="837" spans="1:11" x14ac:dyDescent="0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</row>
    <row r="838" spans="1:11" x14ac:dyDescent="0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</row>
    <row r="839" spans="1:11" x14ac:dyDescent="0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</row>
    <row r="840" spans="1:11" x14ac:dyDescent="0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</row>
    <row r="841" spans="1:11" x14ac:dyDescent="0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</row>
    <row r="842" spans="1:11" x14ac:dyDescent="0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</row>
    <row r="843" spans="1:11" x14ac:dyDescent="0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</row>
    <row r="844" spans="1:11" x14ac:dyDescent="0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</row>
    <row r="845" spans="1:11" x14ac:dyDescent="0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</row>
    <row r="846" spans="1:11" x14ac:dyDescent="0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</row>
    <row r="847" spans="1:11" x14ac:dyDescent="0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</row>
    <row r="848" spans="1:11" x14ac:dyDescent="0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</row>
    <row r="849" spans="1:11" x14ac:dyDescent="0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</row>
    <row r="850" spans="1:11" x14ac:dyDescent="0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</row>
    <row r="851" spans="1:11" x14ac:dyDescent="0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</row>
    <row r="852" spans="1:11" x14ac:dyDescent="0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</row>
    <row r="853" spans="1:11" x14ac:dyDescent="0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</row>
    <row r="854" spans="1:11" x14ac:dyDescent="0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</row>
    <row r="855" spans="1:11" x14ac:dyDescent="0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</row>
    <row r="856" spans="1:11" x14ac:dyDescent="0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</row>
    <row r="857" spans="1:11" x14ac:dyDescent="0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</row>
    <row r="858" spans="1:11" x14ac:dyDescent="0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</row>
    <row r="859" spans="1:11" x14ac:dyDescent="0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</row>
    <row r="860" spans="1:11" x14ac:dyDescent="0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</row>
    <row r="861" spans="1:11" x14ac:dyDescent="0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</row>
    <row r="862" spans="1:11" x14ac:dyDescent="0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</row>
    <row r="863" spans="1:11" x14ac:dyDescent="0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</row>
    <row r="864" spans="1:11" x14ac:dyDescent="0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</row>
    <row r="865" spans="1:11" x14ac:dyDescent="0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</row>
    <row r="866" spans="1:11" x14ac:dyDescent="0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</row>
    <row r="867" spans="1:11" x14ac:dyDescent="0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</row>
    <row r="868" spans="1:11" x14ac:dyDescent="0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</row>
    <row r="869" spans="1:11" x14ac:dyDescent="0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</row>
    <row r="870" spans="1:11" x14ac:dyDescent="0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</row>
    <row r="871" spans="1:11" x14ac:dyDescent="0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</row>
    <row r="872" spans="1:11" x14ac:dyDescent="0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</row>
    <row r="873" spans="1:11" x14ac:dyDescent="0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</row>
    <row r="874" spans="1:11" x14ac:dyDescent="0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</row>
    <row r="875" spans="1:11" x14ac:dyDescent="0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</row>
    <row r="876" spans="1:11" x14ac:dyDescent="0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</row>
    <row r="877" spans="1:11" x14ac:dyDescent="0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</row>
    <row r="878" spans="1:11" x14ac:dyDescent="0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</row>
    <row r="879" spans="1:11" x14ac:dyDescent="0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</row>
    <row r="880" spans="1:11" x14ac:dyDescent="0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</row>
    <row r="881" spans="1:11" x14ac:dyDescent="0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</row>
    <row r="882" spans="1:11" x14ac:dyDescent="0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</row>
    <row r="883" spans="1:11" x14ac:dyDescent="0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</row>
    <row r="884" spans="1:11" x14ac:dyDescent="0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</row>
    <row r="885" spans="1:11" x14ac:dyDescent="0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</row>
    <row r="886" spans="1:11" x14ac:dyDescent="0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</row>
    <row r="887" spans="1:11" x14ac:dyDescent="0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</row>
    <row r="888" spans="1:11" x14ac:dyDescent="0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</row>
    <row r="889" spans="1:11" x14ac:dyDescent="0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</row>
    <row r="890" spans="1:11" x14ac:dyDescent="0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</row>
    <row r="891" spans="1:11" x14ac:dyDescent="0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</row>
    <row r="892" spans="1:11" x14ac:dyDescent="0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</row>
    <row r="893" spans="1:11" x14ac:dyDescent="0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</row>
    <row r="894" spans="1:11" x14ac:dyDescent="0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</row>
    <row r="895" spans="1:11" x14ac:dyDescent="0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</row>
    <row r="896" spans="1:11" x14ac:dyDescent="0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</row>
    <row r="897" spans="1:11" x14ac:dyDescent="0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</row>
    <row r="898" spans="1:11" x14ac:dyDescent="0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</row>
    <row r="899" spans="1:11" x14ac:dyDescent="0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</row>
    <row r="900" spans="1:11" x14ac:dyDescent="0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</row>
    <row r="901" spans="1:11" x14ac:dyDescent="0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</row>
    <row r="902" spans="1:11" x14ac:dyDescent="0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</row>
    <row r="903" spans="1:11" x14ac:dyDescent="0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</row>
    <row r="904" spans="1:11" x14ac:dyDescent="0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</row>
    <row r="905" spans="1:11" x14ac:dyDescent="0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</row>
    <row r="906" spans="1:11" x14ac:dyDescent="0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</row>
    <row r="907" spans="1:11" x14ac:dyDescent="0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</row>
    <row r="908" spans="1:11" x14ac:dyDescent="0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</row>
    <row r="909" spans="1:11" x14ac:dyDescent="0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</row>
    <row r="910" spans="1:11" x14ac:dyDescent="0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</row>
    <row r="911" spans="1:11" x14ac:dyDescent="0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</row>
    <row r="912" spans="1:11" x14ac:dyDescent="0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</row>
    <row r="913" spans="1:11" x14ac:dyDescent="0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</row>
    <row r="914" spans="1:11" x14ac:dyDescent="0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</row>
    <row r="915" spans="1:11" x14ac:dyDescent="0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</row>
    <row r="916" spans="1:11" x14ac:dyDescent="0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</row>
    <row r="917" spans="1:11" x14ac:dyDescent="0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</row>
    <row r="918" spans="1:11" x14ac:dyDescent="0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</row>
    <row r="919" spans="1:11" x14ac:dyDescent="0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</row>
    <row r="920" spans="1:11" x14ac:dyDescent="0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</row>
    <row r="921" spans="1:11" x14ac:dyDescent="0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</row>
    <row r="922" spans="1:11" x14ac:dyDescent="0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</row>
    <row r="923" spans="1:11" x14ac:dyDescent="0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</row>
    <row r="924" spans="1:11" x14ac:dyDescent="0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</row>
    <row r="925" spans="1:11" x14ac:dyDescent="0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</row>
    <row r="926" spans="1:11" x14ac:dyDescent="0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</row>
    <row r="927" spans="1:11" x14ac:dyDescent="0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</row>
    <row r="928" spans="1:11" x14ac:dyDescent="0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</row>
    <row r="929" spans="1:11" x14ac:dyDescent="0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</row>
    <row r="930" spans="1:11" x14ac:dyDescent="0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</row>
    <row r="931" spans="1:11" x14ac:dyDescent="0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</row>
    <row r="932" spans="1:11" x14ac:dyDescent="0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</row>
    <row r="933" spans="1:11" x14ac:dyDescent="0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</row>
    <row r="934" spans="1:11" x14ac:dyDescent="0.25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</row>
    <row r="935" spans="1:11" x14ac:dyDescent="0.25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</row>
    <row r="936" spans="1:11" x14ac:dyDescent="0.25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</row>
    <row r="937" spans="1:11" x14ac:dyDescent="0.25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</row>
    <row r="938" spans="1:11" x14ac:dyDescent="0.25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</row>
    <row r="939" spans="1:11" x14ac:dyDescent="0.25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</row>
    <row r="940" spans="1:11" x14ac:dyDescent="0.25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</row>
    <row r="941" spans="1:11" x14ac:dyDescent="0.25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</row>
    <row r="942" spans="1:11" x14ac:dyDescent="0.25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</row>
    <row r="943" spans="1:11" x14ac:dyDescent="0.25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</row>
    <row r="944" spans="1:11" x14ac:dyDescent="0.25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</row>
    <row r="945" spans="1:11" x14ac:dyDescent="0.25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</row>
    <row r="946" spans="1:11" x14ac:dyDescent="0.25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</row>
    <row r="947" spans="1:11" x14ac:dyDescent="0.25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</row>
    <row r="948" spans="1:11" x14ac:dyDescent="0.25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</row>
    <row r="949" spans="1:11" x14ac:dyDescent="0.25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</row>
    <row r="950" spans="1:11" x14ac:dyDescent="0.25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</row>
    <row r="951" spans="1:11" x14ac:dyDescent="0.25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</row>
    <row r="952" spans="1:11" x14ac:dyDescent="0.25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</row>
    <row r="953" spans="1:11" x14ac:dyDescent="0.25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</row>
    <row r="954" spans="1:11" x14ac:dyDescent="0.25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</row>
    <row r="955" spans="1:11" x14ac:dyDescent="0.25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</row>
    <row r="956" spans="1:11" x14ac:dyDescent="0.25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</row>
    <row r="957" spans="1:11" x14ac:dyDescent="0.25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</row>
    <row r="958" spans="1:11" x14ac:dyDescent="0.25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</row>
    <row r="959" spans="1:11" x14ac:dyDescent="0.25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</row>
    <row r="960" spans="1:11" x14ac:dyDescent="0.25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</row>
    <row r="961" spans="1:11" x14ac:dyDescent="0.25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</row>
    <row r="962" spans="1:11" x14ac:dyDescent="0.25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</row>
    <row r="963" spans="1:11" x14ac:dyDescent="0.25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</row>
    <row r="964" spans="1:11" x14ac:dyDescent="0.25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</row>
    <row r="965" spans="1:11" x14ac:dyDescent="0.25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</row>
    <row r="966" spans="1:11" x14ac:dyDescent="0.25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</row>
    <row r="967" spans="1:11" x14ac:dyDescent="0.25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</row>
    <row r="968" spans="1:11" x14ac:dyDescent="0.25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</row>
    <row r="969" spans="1:11" x14ac:dyDescent="0.25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</row>
    <row r="970" spans="1:11" x14ac:dyDescent="0.25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</row>
    <row r="971" spans="1:11" x14ac:dyDescent="0.25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</row>
    <row r="972" spans="1:11" x14ac:dyDescent="0.25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</row>
    <row r="973" spans="1:11" x14ac:dyDescent="0.25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</row>
    <row r="974" spans="1:11" x14ac:dyDescent="0.25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</row>
    <row r="975" spans="1:11" x14ac:dyDescent="0.25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</row>
    <row r="976" spans="1:11" x14ac:dyDescent="0.25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</row>
    <row r="977" spans="1:11" x14ac:dyDescent="0.25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</row>
    <row r="978" spans="1:11" x14ac:dyDescent="0.25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</row>
    <row r="979" spans="1:11" x14ac:dyDescent="0.25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</row>
    <row r="980" spans="1:11" x14ac:dyDescent="0.25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</row>
    <row r="981" spans="1:11" x14ac:dyDescent="0.25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</row>
    <row r="982" spans="1:11" x14ac:dyDescent="0.25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</row>
    <row r="983" spans="1:11" x14ac:dyDescent="0.25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</row>
    <row r="984" spans="1:11" x14ac:dyDescent="0.25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</row>
    <row r="985" spans="1:11" x14ac:dyDescent="0.25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</row>
    <row r="986" spans="1:11" x14ac:dyDescent="0.25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</row>
    <row r="987" spans="1:11" x14ac:dyDescent="0.25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</row>
    <row r="988" spans="1:11" x14ac:dyDescent="0.25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</row>
    <row r="989" spans="1:11" x14ac:dyDescent="0.25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</row>
    <row r="990" spans="1:11" x14ac:dyDescent="0.25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</row>
    <row r="991" spans="1:11" x14ac:dyDescent="0.25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</row>
    <row r="992" spans="1:11" x14ac:dyDescent="0.25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</row>
    <row r="993" spans="1:11" x14ac:dyDescent="0.25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</row>
    <row r="994" spans="1:11" x14ac:dyDescent="0.25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</row>
    <row r="995" spans="1:11" x14ac:dyDescent="0.25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</row>
    <row r="996" spans="1:11" x14ac:dyDescent="0.25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</row>
    <row r="997" spans="1:11" x14ac:dyDescent="0.25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</row>
    <row r="998" spans="1:11" x14ac:dyDescent="0.25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</row>
    <row r="999" spans="1:11" x14ac:dyDescent="0.25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</row>
    <row r="1000" spans="1:11" x14ac:dyDescent="0.25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</row>
  </sheetData>
  <sheetProtection algorithmName="SHA-512" hashValue="A/T7JrLA8DymrDq6z9d63vGsFS2Ban754Im3lvNdttzY270LMM695ujXIPFq2+hI6aKZAzufwh8QgOQ0ANj4VQ==" saltValue="OPNiVbQFSx3dm4YAgupHNg==" spinCount="100000" sheet="1" objects="1" scenarios="1"/>
  <protectedRanges>
    <protectedRange sqref="L7" name="Age Groups"/>
    <protectedRange sqref="M3" name="Title"/>
    <protectedRange sqref="L3" name="Date"/>
    <protectedRange sqref="A5:K1004" name="Paste Raw Data Range"/>
  </protectedRanges>
  <mergeCells count="6">
    <mergeCell ref="A1:K3"/>
    <mergeCell ref="L7:O9"/>
    <mergeCell ref="L1:L2"/>
    <mergeCell ref="M1:O2"/>
    <mergeCell ref="L3:L4"/>
    <mergeCell ref="L5:O6"/>
  </mergeCells>
  <phoneticPr fontId="7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4D959-3E70-48B3-B7B4-DAECEFE6193B}">
  <sheetPr codeName="Sheet3"/>
  <dimension ref="A6:L24"/>
  <sheetViews>
    <sheetView tabSelected="1" workbookViewId="0">
      <selection activeCell="M27" sqref="M27"/>
    </sheetView>
  </sheetViews>
  <sheetFormatPr defaultRowHeight="15" x14ac:dyDescent="0.25"/>
  <sheetData>
    <row r="6" spans="1:1" x14ac:dyDescent="0.25">
      <c r="A6" t="s">
        <v>490</v>
      </c>
    </row>
    <row r="7" spans="1:1" x14ac:dyDescent="0.25">
      <c r="A7" s="9" t="s">
        <v>486</v>
      </c>
    </row>
    <row r="8" spans="1:1" x14ac:dyDescent="0.25">
      <c r="A8" t="s">
        <v>484</v>
      </c>
    </row>
    <row r="9" spans="1:1" x14ac:dyDescent="0.25">
      <c r="A9" t="s">
        <v>494</v>
      </c>
    </row>
    <row r="10" spans="1:1" x14ac:dyDescent="0.25">
      <c r="A10" t="s">
        <v>493</v>
      </c>
    </row>
    <row r="11" spans="1:1" x14ac:dyDescent="0.25">
      <c r="A11" t="s">
        <v>492</v>
      </c>
    </row>
    <row r="12" spans="1:1" x14ac:dyDescent="0.25">
      <c r="A12" t="s">
        <v>491</v>
      </c>
    </row>
    <row r="14" spans="1:1" x14ac:dyDescent="0.25">
      <c r="A14" s="9" t="s">
        <v>485</v>
      </c>
    </row>
    <row r="15" spans="1:1" x14ac:dyDescent="0.25">
      <c r="A15" t="s">
        <v>495</v>
      </c>
    </row>
    <row r="16" spans="1:1" x14ac:dyDescent="0.25">
      <c r="A16" t="s">
        <v>487</v>
      </c>
    </row>
    <row r="17" spans="1:12" x14ac:dyDescent="0.25">
      <c r="A17" t="s">
        <v>488</v>
      </c>
    </row>
    <row r="18" spans="1:12" x14ac:dyDescent="0.25">
      <c r="A18" s="10" t="s">
        <v>496</v>
      </c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</row>
    <row r="19" spans="1:12" x14ac:dyDescent="0.25">
      <c r="A19" t="s">
        <v>497</v>
      </c>
    </row>
    <row r="20" spans="1:12" x14ac:dyDescent="0.25">
      <c r="A20" t="s">
        <v>498</v>
      </c>
    </row>
    <row r="21" spans="1:12" x14ac:dyDescent="0.25">
      <c r="A21" t="s">
        <v>500</v>
      </c>
    </row>
    <row r="22" spans="1:12" x14ac:dyDescent="0.25">
      <c r="A22" t="s">
        <v>489</v>
      </c>
    </row>
    <row r="24" spans="1:12" x14ac:dyDescent="0.25">
      <c r="A24" t="s">
        <v>501</v>
      </c>
    </row>
  </sheetData>
  <sheetProtection algorithmName="SHA-512" hashValue="5xd6qkToFq8+LMbLoHQJRP8fm79+e3bbHVSWK9nUbdxuAJEeZYElxNTw/RIZQZfA9T1DC/CCpYbD4V3l5Wkeuw==" saltValue="FAIsAob6DJQY5ktV44GU1Q==" spinCount="100000" sheet="1" objects="1" scenario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32DF4-1411-4372-A1FD-0C628530855A}">
  <sheetPr codeName="Sheet2"/>
  <dimension ref="A1:L1000"/>
  <sheetViews>
    <sheetView zoomScale="90" zoomScaleNormal="90" workbookViewId="0">
      <selection activeCell="O34" sqref="O34"/>
    </sheetView>
  </sheetViews>
  <sheetFormatPr defaultColWidth="9.140625" defaultRowHeight="15" x14ac:dyDescent="0.25"/>
  <cols>
    <col min="1" max="1" width="11.140625" bestFit="1" customWidth="1"/>
    <col min="2" max="2" width="10.7109375" bestFit="1" customWidth="1"/>
    <col min="3" max="3" width="10.85546875" bestFit="1" customWidth="1"/>
    <col min="4" max="4" width="8.7109375"/>
    <col min="5" max="5" width="8" bestFit="1" customWidth="1"/>
    <col min="6" max="6" width="10.140625" bestFit="1" customWidth="1"/>
    <col min="7" max="7" width="10.140625" customWidth="1"/>
    <col min="8" max="11" width="8.7109375"/>
    <col min="12" max="12" width="9.140625" style="3"/>
    <col min="13" max="16384" width="9.140625" style="2"/>
  </cols>
  <sheetData>
    <row r="1" spans="1:11" x14ac:dyDescent="0.25">
      <c r="A1" s="26" t="s">
        <v>423</v>
      </c>
      <c r="B1" s="26"/>
      <c r="C1" s="26"/>
      <c r="D1" s="26"/>
      <c r="E1" s="26"/>
      <c r="F1" s="26"/>
      <c r="G1" s="26"/>
      <c r="H1" s="26"/>
      <c r="I1" s="26"/>
      <c r="J1" s="26"/>
      <c r="K1" s="26"/>
    </row>
    <row r="2" spans="1:1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</row>
    <row r="3" spans="1:11" x14ac:dyDescent="0.25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</row>
    <row r="4" spans="1:11" x14ac:dyDescent="0.25">
      <c r="A4" s="7" t="s">
        <v>424</v>
      </c>
      <c r="B4" s="7" t="s">
        <v>425</v>
      </c>
      <c r="C4" s="7" t="s">
        <v>426</v>
      </c>
      <c r="D4" s="7" t="s">
        <v>1</v>
      </c>
      <c r="E4" s="7" t="s">
        <v>53</v>
      </c>
      <c r="F4" s="7" t="s">
        <v>427</v>
      </c>
      <c r="G4" s="7" t="s">
        <v>428</v>
      </c>
      <c r="H4" s="7" t="s">
        <v>429</v>
      </c>
      <c r="I4" s="7" t="s">
        <v>430</v>
      </c>
      <c r="J4" s="7" t="s">
        <v>431</v>
      </c>
      <c r="K4" s="7" t="s">
        <v>432</v>
      </c>
    </row>
    <row r="5" spans="1:11" x14ac:dyDescent="0.25">
      <c r="A5" t="str">
        <f>IF(ISBLANK(MAIN!A5), "--", IFERROR(PROPER(SUBSTITUTE(SUBSTITUTE(SUBSTITUTE(SUBSTITUTE(SUBSTITUTE(SUBSTITUTE(SUBSTITUTE(SUBSTITUTE(SUBSTITUTE(SUBSTITUTE(LEFT(MAIN!A5, FIND(",",MAIN!A5) -1), "0", ""), "1", ""), "2", ""), "3", ""), "4", ""), "5", ""), "6", ""), "7", ""), "8", ""), "9", "")), PROPER(SUBSTITUTE(SUBSTITUTE(SUBSTITUTE(SUBSTITUTE(SUBSTITUTE(SUBSTITUTE(SUBSTITUTE(SUBSTITUTE(SUBSTITUTE(SUBSTITUTE(MAIN!A5, "0", ""), "1", ""), "2", ""), "3", ""), "4", ""), "5", ""), "6", ""), "7", ""), "8", ""), "9", ""))))</f>
        <v>--</v>
      </c>
      <c r="B5" t="str">
        <f>IF(ISBLANK(MAIN!B5), "--", IFERROR(PROPER(SUBSTITUTE(SUBSTITUTE(SUBSTITUTE(SUBSTITUTE(SUBSTITUTE(SUBSTITUTE(SUBSTITUTE(SUBSTITUTE(SUBSTITUTE(SUBSTITUTE(LEFT(MAIN!B5, FIND(",",MAIN!B5) -1), "0", ""), "1", ""), "2", ""), "3", ""), "4", ""), "5", ""), "6", ""), "7", ""), "8", ""), "9", "")), PROPER(SUBSTITUTE(SUBSTITUTE(SUBSTITUTE(SUBSTITUTE(SUBSTITUTE(SUBSTITUTE(SUBSTITUTE(SUBSTITUTE(SUBSTITUTE(SUBSTITUTE(MAIN!B5, "0", ""), "1", ""), "2", ""), "3", ""), "4", ""), "5", ""), "6", ""), "7", ""), "8", ""), "9", ""))))</f>
        <v>--</v>
      </c>
      <c r="C5" t="str">
        <f>IF(ISBLANK(MAIN!C5), "--", IFERROR(PROPER(SUBSTITUTE(SUBSTITUTE(SUBSTITUTE(SUBSTITUTE(SUBSTITUTE(SUBSTITUTE(SUBSTITUTE(SUBSTITUTE(SUBSTITUTE(SUBSTITUTE(LEFT(MAIN!C5, FIND(",",MAIN!C5) -1), "0", ""), "1", ""), "2", ""), "3", ""), "4", ""), "5", ""), "6", ""), "7", ""), "8", ""), "9", "")), PROPER(SUBSTITUTE(SUBSTITUTE(SUBSTITUTE(SUBSTITUTE(SUBSTITUTE(SUBSTITUTE(SUBSTITUTE(SUBSTITUTE(SUBSTITUTE(SUBSTITUTE(MAIN!C5, "0", ""), "1", ""), "2", ""), "3", ""), "4", ""), "5", ""), "6", ""), "7", ""), "8", ""), "9", ""))))</f>
        <v>--</v>
      </c>
      <c r="D5" t="str">
        <f>IF(ISBLANK(MAIN!D5), "--", IF(ISNUMBER(MATCH(SUBSTITUTE(LEFT(MAIN!D5, IFERROR(FIND(",", MAIN!D5)-1, LEN(MAIN!D5))), " ", ""), lookup_values!$B$2:$B$51, 0)), UPPER(SUBSTITUTE(LEFT(MAIN!D5, IFERROR(FIND(",", MAIN!D5)-1, LEN(MAIN!D5))), " ", "")), IF(ISNA(VLOOKUP(SUBSTITUTE(LEFT(MAIN!D5, IFERROR(FIND(",", MAIN!D5)-1, LEN(MAIN!D5))), " ", ""), lookup_values!$A$2:$B$51, 2, FALSE)), "--", VLOOKUP(SUBSTITUTE(LEFT(MAIN!D5, IFERROR(FIND(",", MAIN!D5)-1, LEN(MAIN!D5))), " ", ""), lookup_values!$A$2:$B$51, 2, FALSE))))</f>
        <v>--</v>
      </c>
      <c r="E5" t="str">
        <f>IF(CLEAN_DATA!D5&lt;&gt;"--","US",IF(ISBLANK(MAIN!E5), "--", IF(ISNUMBER(MATCH(SUBSTITUTE(LEFT(MAIN!E5, IFERROR(FIND(",", MAIN!E5)-1, LEN(MAIN!E5))), " ", ""), lookup_values!$E$2:$E$197, 0)), UPPER(SUBSTITUTE(LEFT(MAIN!E5, IFERROR(FIND(",", MAIN!E5)-1, LEN(MAIN!E5))), " ", "")), IF(ISNA(VLOOKUP(SUBSTITUTE(LEFT(MAIN!E5, IFERROR(FIND(",", MAIN!E5)-1, LEN(MAIN!E5))), " ", ""), lookup_values!$D$2:$E$197, 2, FALSE)), "--", VLOOKUP(SUBSTITUTE(LEFT(MAIN!E5, IFERROR(FIND(",", MAIN!E5)-1, LEN(MAIN!E5))), " ", ""), lookup_values!$D$2:$E$197, 2, FALSE)))))</f>
        <v>--</v>
      </c>
      <c r="F5" t="str">
        <f>IF(ISBLANK(MAIN!F5), "", IF(AND(ISNUMBER(VALUE(TRIM(MAIN!F5))), LEN(TRIM(MAIN!F5))=4), VALUE(TRIM(MAIN!F5)), ""))</f>
        <v/>
      </c>
      <c r="G5">
        <f>IF(ISBLANK(MAIN!G5), 0, IF(ISNUMBER(VALUE(TRIM(MAIN!G5))), VALUE(TRIM(MAIN!G5)), 0))</f>
        <v>0</v>
      </c>
      <c r="H5">
        <f>IF(ISBLANK(MAIN!H5), 0, IF(ISNUMBER(VALUE(TRIM(MAIN!H5))), VALUE(TRIM(MAIN!H5)), 0))</f>
        <v>0</v>
      </c>
      <c r="I5">
        <f>IF(ISBLANK(MAIN!I5), 0, IF(ISNUMBER(VALUE(TRIM(MAIN!I5))), VALUE(TRIM(MAIN!I5)), 0))</f>
        <v>0</v>
      </c>
      <c r="J5">
        <f>IF(ISBLANK(MAIN!J5), 0, IF(ISNUMBER(VALUE(TRIM(MAIN!J5))), VALUE(TRIM(MAIN!J5)), 0))</f>
        <v>0</v>
      </c>
      <c r="K5" cm="1">
        <f t="array" ref="K5">IFERROR(
    VALUE(
        IFERROR(
            UPPER(
                IF(MAX(IFERROR(SEARCH("WD",MAIN!G5:J5), 0))&gt;0, "WD",
                IF(MAX(IFERROR(SEARCH("NS",MAIN!G5:J5), 0))&gt;0, "NS",
                IF(MAX(IFERROR(SEARCH("NC",MAIN!G5:J5), 0))&gt;0, "NC",
                IF(MAX(IFERROR(SEARCH("DQ",MAIN!G5:J5), 0))&gt;0, "DQ",
                IF(ISNUMBER(SEARCH("WD",MAIN!K5)), "WD",
                IF(ISNUMBER(SEARCH("NS",MAIN!K5)), "NS",
                IF(ISNUMBER(SEARCH("NC",MAIN!K5)), "NC",
                IF(ISNUMBER(SEARCH("DQ",MAIN!K5)), "DQ",
                IF(ISNUMBER(SEARCH("A",MAIN!K5)), 0,
                IF(OR(MAIN!K5=0,MAIN!K5=""), 0, --TRIM(MAIN!K5)))))))))))),
            0
        )
    ),
    IFERROR(
        UPPER(
            IF(MAX(IFERROR(SEARCH("WD",MAIN!G5:J5), 0))&gt;0, "WD",
            IF(MAX(IFERROR(SEARCH("NS",MAIN!G5:J5), 0))&gt;0, "NS",
            IF(MAX(IFERROR(SEARCH("NC",MAIN!G5:J5), 0))&gt;0, "NC",
            IF(MAX(IFERROR(SEARCH("DQ",MAIN!G5:J5), 0))&gt;0, "DQ",
            IF(ISNUMBER(SEARCH("WD",MAIN!K5)), "WD",
            IF(ISNUMBER(SEARCH("NS",MAIN!K5)), "NS",
            IF(ISNUMBER(SEARCH("NC",MAIN!K5)), "NC",
            IF(ISNUMBER(SEARCH("DQ",MAIN!K5)), "DQ",
            IF(ISNUMBER(SEARCH("A",MAIN!K5)), 0,
            IF(OR(MAIN!K5=0,MAIN!K5=""), 0, --TRIM(MAIN!K5)))))))))))),
        0
    )
)</f>
        <v>0</v>
      </c>
    </row>
    <row r="6" spans="1:11" x14ac:dyDescent="0.25">
      <c r="A6" t="str">
        <f>IF(ISBLANK(MAIN!A6), "--", IFERROR(PROPER(SUBSTITUTE(SUBSTITUTE(SUBSTITUTE(SUBSTITUTE(SUBSTITUTE(SUBSTITUTE(SUBSTITUTE(SUBSTITUTE(SUBSTITUTE(SUBSTITUTE(LEFT(MAIN!A6, FIND(",",MAIN!A6) -1), "0", ""), "1", ""), "2", ""), "3", ""), "4", ""), "5", ""), "6", ""), "7", ""), "8", ""), "9", "")), PROPER(SUBSTITUTE(SUBSTITUTE(SUBSTITUTE(SUBSTITUTE(SUBSTITUTE(SUBSTITUTE(SUBSTITUTE(SUBSTITUTE(SUBSTITUTE(SUBSTITUTE(MAIN!A6, "0", ""), "1", ""), "2", ""), "3", ""), "4", ""), "5", ""), "6", ""), "7", ""), "8", ""), "9", ""))))</f>
        <v>--</v>
      </c>
      <c r="B6" t="str">
        <f>IF(ISBLANK(MAIN!B6), "--", IFERROR(PROPER(SUBSTITUTE(SUBSTITUTE(SUBSTITUTE(SUBSTITUTE(SUBSTITUTE(SUBSTITUTE(SUBSTITUTE(SUBSTITUTE(SUBSTITUTE(SUBSTITUTE(LEFT(MAIN!B6, FIND(",",MAIN!B6) -1), "0", ""), "1", ""), "2", ""), "3", ""), "4", ""), "5", ""), "6", ""), "7", ""), "8", ""), "9", "")), PROPER(SUBSTITUTE(SUBSTITUTE(SUBSTITUTE(SUBSTITUTE(SUBSTITUTE(SUBSTITUTE(SUBSTITUTE(SUBSTITUTE(SUBSTITUTE(SUBSTITUTE(MAIN!B6, "0", ""), "1", ""), "2", ""), "3", ""), "4", ""), "5", ""), "6", ""), "7", ""), "8", ""), "9", ""))))</f>
        <v>--</v>
      </c>
      <c r="C6" t="str">
        <f>IF(ISBLANK(MAIN!C6), "--", IFERROR(PROPER(SUBSTITUTE(SUBSTITUTE(SUBSTITUTE(SUBSTITUTE(SUBSTITUTE(SUBSTITUTE(SUBSTITUTE(SUBSTITUTE(SUBSTITUTE(SUBSTITUTE(LEFT(MAIN!C6, FIND(",",MAIN!C6) -1), "0", ""), "1", ""), "2", ""), "3", ""), "4", ""), "5", ""), "6", ""), "7", ""), "8", ""), "9", "")), PROPER(SUBSTITUTE(SUBSTITUTE(SUBSTITUTE(SUBSTITUTE(SUBSTITUTE(SUBSTITUTE(SUBSTITUTE(SUBSTITUTE(SUBSTITUTE(SUBSTITUTE(MAIN!C6, "0", ""), "1", ""), "2", ""), "3", ""), "4", ""), "5", ""), "6", ""), "7", ""), "8", ""), "9", ""))))</f>
        <v>--</v>
      </c>
      <c r="D6" t="str">
        <f>IF(ISBLANK(MAIN!D6), "--", IF(ISNUMBER(MATCH(SUBSTITUTE(LEFT(MAIN!D6, IFERROR(FIND(",", MAIN!D6)-1, LEN(MAIN!D6))), " ", ""), lookup_values!$B$2:$B$51, 0)), UPPER(SUBSTITUTE(LEFT(MAIN!D6, IFERROR(FIND(",", MAIN!D6)-1, LEN(MAIN!D6))), " ", "")), IF(ISNA(VLOOKUP(SUBSTITUTE(LEFT(MAIN!D6, IFERROR(FIND(",", MAIN!D6)-1, LEN(MAIN!D6))), " ", ""), lookup_values!$A$2:$B$51, 2, FALSE)), "--", VLOOKUP(SUBSTITUTE(LEFT(MAIN!D6, IFERROR(FIND(",", MAIN!D6)-1, LEN(MAIN!D6))), " ", ""), lookup_values!$A$2:$B$51, 2, FALSE))))</f>
        <v>--</v>
      </c>
      <c r="E6" t="str">
        <f>IF(CLEAN_DATA!D6&lt;&gt;"--","US",IF(ISBLANK(MAIN!E6), "--", IF(ISNUMBER(MATCH(SUBSTITUTE(LEFT(MAIN!E6, IFERROR(FIND(",", MAIN!E6)-1, LEN(MAIN!E6))), " ", ""), lookup_values!$E$2:$E$197, 0)), UPPER(SUBSTITUTE(LEFT(MAIN!E6, IFERROR(FIND(",", MAIN!E6)-1, LEN(MAIN!E6))), " ", "")), IF(ISNA(VLOOKUP(SUBSTITUTE(LEFT(MAIN!E6, IFERROR(FIND(",", MAIN!E6)-1, LEN(MAIN!E6))), " ", ""), lookup_values!$D$2:$E$197, 2, FALSE)), "--", VLOOKUP(SUBSTITUTE(LEFT(MAIN!E6, IFERROR(FIND(",", MAIN!E6)-1, LEN(MAIN!E6))), " ", ""), lookup_values!$D$2:$E$197, 2, FALSE)))))</f>
        <v>--</v>
      </c>
      <c r="F6" t="str">
        <f>IF(ISBLANK(MAIN!F6), "", IF(AND(ISNUMBER(VALUE(TRIM(MAIN!F6))), LEN(TRIM(MAIN!F6))=4), VALUE(TRIM(MAIN!F6)), ""))</f>
        <v/>
      </c>
      <c r="G6">
        <f>IF(ISBLANK(MAIN!G6), 0, IF(ISNUMBER(VALUE(TRIM(MAIN!G6))), VALUE(TRIM(MAIN!G6)), 0))</f>
        <v>0</v>
      </c>
      <c r="H6">
        <f>IF(ISBLANK(MAIN!H6), 0, IF(ISNUMBER(VALUE(TRIM(MAIN!H6))), VALUE(TRIM(MAIN!H6)), 0))</f>
        <v>0</v>
      </c>
      <c r="I6">
        <f>IF(ISBLANK(MAIN!I6), 0, IF(ISNUMBER(VALUE(TRIM(MAIN!I6))), VALUE(TRIM(MAIN!I6)), 0))</f>
        <v>0</v>
      </c>
      <c r="J6">
        <f>IF(ISBLANK(MAIN!J6), 0, IF(ISNUMBER(VALUE(TRIM(MAIN!J6))), VALUE(TRIM(MAIN!J6)), 0))</f>
        <v>0</v>
      </c>
      <c r="K6" cm="1">
        <f t="array" ref="K6">IFERROR(
    VALUE(
        IFERROR(
            UPPER(
                IF(MAX(IFERROR(SEARCH("WD",MAIN!G6:J6), 0))&gt;0, "WD",
                IF(MAX(IFERROR(SEARCH("NS",MAIN!G6:J6), 0))&gt;0, "NS",
                IF(MAX(IFERROR(SEARCH("NC",MAIN!G6:J6), 0))&gt;0, "NC",
                IF(MAX(IFERROR(SEARCH("DQ",MAIN!G6:J6), 0))&gt;0, "DQ",
                IF(ISNUMBER(SEARCH("WD",MAIN!K6)), "WD",
                IF(ISNUMBER(SEARCH("NS",MAIN!K6)), "NS",
                IF(ISNUMBER(SEARCH("NC",MAIN!K6)), "NC",
                IF(ISNUMBER(SEARCH("DQ",MAIN!K6)), "DQ",
                IF(ISNUMBER(SEARCH("A",MAIN!K6)), 0,
                IF(OR(MAIN!K6=0,MAIN!K6=""), 0, --TRIM(MAIN!K6)))))))))))),
            0
        )
    ),
    IFERROR(
        UPPER(
            IF(MAX(IFERROR(SEARCH("WD",MAIN!G6:J6), 0))&gt;0, "WD",
            IF(MAX(IFERROR(SEARCH("NS",MAIN!G6:J6), 0))&gt;0, "NS",
            IF(MAX(IFERROR(SEARCH("NC",MAIN!G6:J6), 0))&gt;0, "NC",
            IF(MAX(IFERROR(SEARCH("DQ",MAIN!G6:J6), 0))&gt;0, "DQ",
            IF(ISNUMBER(SEARCH("WD",MAIN!K6)), "WD",
            IF(ISNUMBER(SEARCH("NS",MAIN!K6)), "NS",
            IF(ISNUMBER(SEARCH("NC",MAIN!K6)), "NC",
            IF(ISNUMBER(SEARCH("DQ",MAIN!K6)), "DQ",
            IF(ISNUMBER(SEARCH("A",MAIN!K6)), 0,
            IF(OR(MAIN!K6=0,MAIN!K6=""), 0, --TRIM(MAIN!K6)))))))))))),
        0
    )
)</f>
        <v>0</v>
      </c>
    </row>
    <row r="7" spans="1:11" x14ac:dyDescent="0.25">
      <c r="A7" t="str">
        <f>IF(ISBLANK(MAIN!A7), "--", IFERROR(PROPER(SUBSTITUTE(SUBSTITUTE(SUBSTITUTE(SUBSTITUTE(SUBSTITUTE(SUBSTITUTE(SUBSTITUTE(SUBSTITUTE(SUBSTITUTE(SUBSTITUTE(LEFT(MAIN!A7, FIND(",",MAIN!A7) -1), "0", ""), "1", ""), "2", ""), "3", ""), "4", ""), "5", ""), "6", ""), "7", ""), "8", ""), "9", "")), PROPER(SUBSTITUTE(SUBSTITUTE(SUBSTITUTE(SUBSTITUTE(SUBSTITUTE(SUBSTITUTE(SUBSTITUTE(SUBSTITUTE(SUBSTITUTE(SUBSTITUTE(MAIN!A7, "0", ""), "1", ""), "2", ""), "3", ""), "4", ""), "5", ""), "6", ""), "7", ""), "8", ""), "9", ""))))</f>
        <v>--</v>
      </c>
      <c r="B7" t="str">
        <f>IF(ISBLANK(MAIN!B7), "--", IFERROR(PROPER(SUBSTITUTE(SUBSTITUTE(SUBSTITUTE(SUBSTITUTE(SUBSTITUTE(SUBSTITUTE(SUBSTITUTE(SUBSTITUTE(SUBSTITUTE(SUBSTITUTE(LEFT(MAIN!B7, FIND(",",MAIN!B7) -1), "0", ""), "1", ""), "2", ""), "3", ""), "4", ""), "5", ""), "6", ""), "7", ""), "8", ""), "9", "")), PROPER(SUBSTITUTE(SUBSTITUTE(SUBSTITUTE(SUBSTITUTE(SUBSTITUTE(SUBSTITUTE(SUBSTITUTE(SUBSTITUTE(SUBSTITUTE(SUBSTITUTE(MAIN!B7, "0", ""), "1", ""), "2", ""), "3", ""), "4", ""), "5", ""), "6", ""), "7", ""), "8", ""), "9", ""))))</f>
        <v>--</v>
      </c>
      <c r="C7" t="str">
        <f>IF(ISBLANK(MAIN!C7), "--", IFERROR(PROPER(SUBSTITUTE(SUBSTITUTE(SUBSTITUTE(SUBSTITUTE(SUBSTITUTE(SUBSTITUTE(SUBSTITUTE(SUBSTITUTE(SUBSTITUTE(SUBSTITUTE(LEFT(MAIN!C7, FIND(",",MAIN!C7) -1), "0", ""), "1", ""), "2", ""), "3", ""), "4", ""), "5", ""), "6", ""), "7", ""), "8", ""), "9", "")), PROPER(SUBSTITUTE(SUBSTITUTE(SUBSTITUTE(SUBSTITUTE(SUBSTITUTE(SUBSTITUTE(SUBSTITUTE(SUBSTITUTE(SUBSTITUTE(SUBSTITUTE(MAIN!C7, "0", ""), "1", ""), "2", ""), "3", ""), "4", ""), "5", ""), "6", ""), "7", ""), "8", ""), "9", ""))))</f>
        <v>--</v>
      </c>
      <c r="D7" t="str">
        <f>IF(ISBLANK(MAIN!D7), "--", IF(ISNUMBER(MATCH(SUBSTITUTE(LEFT(MAIN!D7, IFERROR(FIND(",", MAIN!D7)-1, LEN(MAIN!D7))), " ", ""), lookup_values!$B$2:$B$51, 0)), UPPER(SUBSTITUTE(LEFT(MAIN!D7, IFERROR(FIND(",", MAIN!D7)-1, LEN(MAIN!D7))), " ", "")), IF(ISNA(VLOOKUP(SUBSTITUTE(LEFT(MAIN!D7, IFERROR(FIND(",", MAIN!D7)-1, LEN(MAIN!D7))), " ", ""), lookup_values!$A$2:$B$51, 2, FALSE)), "--", VLOOKUP(SUBSTITUTE(LEFT(MAIN!D7, IFERROR(FIND(",", MAIN!D7)-1, LEN(MAIN!D7))), " ", ""), lookup_values!$A$2:$B$51, 2, FALSE))))</f>
        <v>--</v>
      </c>
      <c r="E7" t="str">
        <f>IF(CLEAN_DATA!D7&lt;&gt;"--","US",IF(ISBLANK(MAIN!E7), "--", IF(ISNUMBER(MATCH(SUBSTITUTE(LEFT(MAIN!E7, IFERROR(FIND(",", MAIN!E7)-1, LEN(MAIN!E7))), " ", ""), lookup_values!$E$2:$E$197, 0)), UPPER(SUBSTITUTE(LEFT(MAIN!E7, IFERROR(FIND(",", MAIN!E7)-1, LEN(MAIN!E7))), " ", "")), IF(ISNA(VLOOKUP(SUBSTITUTE(LEFT(MAIN!E7, IFERROR(FIND(",", MAIN!E7)-1, LEN(MAIN!E7))), " ", ""), lookup_values!$D$2:$E$197, 2, FALSE)), "--", VLOOKUP(SUBSTITUTE(LEFT(MAIN!E7, IFERROR(FIND(",", MAIN!E7)-1, LEN(MAIN!E7))), " ", ""), lookup_values!$D$2:$E$197, 2, FALSE)))))</f>
        <v>--</v>
      </c>
      <c r="F7" t="str">
        <f>IF(ISBLANK(MAIN!F7), "", IF(AND(ISNUMBER(VALUE(TRIM(MAIN!F7))), LEN(TRIM(MAIN!F7))=4), VALUE(TRIM(MAIN!F7)), ""))</f>
        <v/>
      </c>
      <c r="G7">
        <f>IF(ISBLANK(MAIN!G7), 0, IF(ISNUMBER(VALUE(TRIM(MAIN!G7))), VALUE(TRIM(MAIN!G7)), 0))</f>
        <v>0</v>
      </c>
      <c r="H7">
        <f>IF(ISBLANK(MAIN!H7), 0, IF(ISNUMBER(VALUE(TRIM(MAIN!H7))), VALUE(TRIM(MAIN!H7)), 0))</f>
        <v>0</v>
      </c>
      <c r="I7">
        <f>IF(ISBLANK(MAIN!I7), 0, IF(ISNUMBER(VALUE(TRIM(MAIN!I7))), VALUE(TRIM(MAIN!I7)), 0))</f>
        <v>0</v>
      </c>
      <c r="J7">
        <f>IF(ISBLANK(MAIN!J7), 0, IF(ISNUMBER(VALUE(TRIM(MAIN!J7))), VALUE(TRIM(MAIN!J7)), 0))</f>
        <v>0</v>
      </c>
      <c r="K7" cm="1">
        <f t="array" ref="K7">IFERROR(
    VALUE(
        IFERROR(
            UPPER(
                IF(MAX(IFERROR(SEARCH("WD",MAIN!G7:J7), 0))&gt;0, "WD",
                IF(MAX(IFERROR(SEARCH("NS",MAIN!G7:J7), 0))&gt;0, "NS",
                IF(MAX(IFERROR(SEARCH("NC",MAIN!G7:J7), 0))&gt;0, "NC",
                IF(MAX(IFERROR(SEARCH("DQ",MAIN!G7:J7), 0))&gt;0, "DQ",
                IF(ISNUMBER(SEARCH("WD",MAIN!K7)), "WD",
                IF(ISNUMBER(SEARCH("NS",MAIN!K7)), "NS",
                IF(ISNUMBER(SEARCH("NC",MAIN!K7)), "NC",
                IF(ISNUMBER(SEARCH("DQ",MAIN!K7)), "DQ",
                IF(ISNUMBER(SEARCH("A",MAIN!K7)), 0,
                IF(OR(MAIN!K7=0,MAIN!K7=""), 0, --TRIM(MAIN!K7)))))))))))),
            0
        )
    ),
    IFERROR(
        UPPER(
            IF(MAX(IFERROR(SEARCH("WD",MAIN!G7:J7), 0))&gt;0, "WD",
            IF(MAX(IFERROR(SEARCH("NS",MAIN!G7:J7), 0))&gt;0, "NS",
            IF(MAX(IFERROR(SEARCH("NC",MAIN!G7:J7), 0))&gt;0, "NC",
            IF(MAX(IFERROR(SEARCH("DQ",MAIN!G7:J7), 0))&gt;0, "DQ",
            IF(ISNUMBER(SEARCH("WD",MAIN!K7)), "WD",
            IF(ISNUMBER(SEARCH("NS",MAIN!K7)), "NS",
            IF(ISNUMBER(SEARCH("NC",MAIN!K7)), "NC",
            IF(ISNUMBER(SEARCH("DQ",MAIN!K7)), "DQ",
            IF(ISNUMBER(SEARCH("A",MAIN!K7)), 0,
            IF(OR(MAIN!K7=0,MAIN!K7=""), 0, --TRIM(MAIN!K7)))))))))))),
        0
    )
)</f>
        <v>0</v>
      </c>
    </row>
    <row r="8" spans="1:11" x14ac:dyDescent="0.25">
      <c r="A8" t="str">
        <f>IF(ISBLANK(MAIN!A8), "--", IFERROR(PROPER(SUBSTITUTE(SUBSTITUTE(SUBSTITUTE(SUBSTITUTE(SUBSTITUTE(SUBSTITUTE(SUBSTITUTE(SUBSTITUTE(SUBSTITUTE(SUBSTITUTE(LEFT(MAIN!A8, FIND(",",MAIN!A8) -1), "0", ""), "1", ""), "2", ""), "3", ""), "4", ""), "5", ""), "6", ""), "7", ""), "8", ""), "9", "")), PROPER(SUBSTITUTE(SUBSTITUTE(SUBSTITUTE(SUBSTITUTE(SUBSTITUTE(SUBSTITUTE(SUBSTITUTE(SUBSTITUTE(SUBSTITUTE(SUBSTITUTE(MAIN!A8, "0", ""), "1", ""), "2", ""), "3", ""), "4", ""), "5", ""), "6", ""), "7", ""), "8", ""), "9", ""))))</f>
        <v>--</v>
      </c>
      <c r="B8" t="str">
        <f>IF(ISBLANK(MAIN!B8), "--", IFERROR(PROPER(SUBSTITUTE(SUBSTITUTE(SUBSTITUTE(SUBSTITUTE(SUBSTITUTE(SUBSTITUTE(SUBSTITUTE(SUBSTITUTE(SUBSTITUTE(SUBSTITUTE(LEFT(MAIN!B8, FIND(",",MAIN!B8) -1), "0", ""), "1", ""), "2", ""), "3", ""), "4", ""), "5", ""), "6", ""), "7", ""), "8", ""), "9", "")), PROPER(SUBSTITUTE(SUBSTITUTE(SUBSTITUTE(SUBSTITUTE(SUBSTITUTE(SUBSTITUTE(SUBSTITUTE(SUBSTITUTE(SUBSTITUTE(SUBSTITUTE(MAIN!B8, "0", ""), "1", ""), "2", ""), "3", ""), "4", ""), "5", ""), "6", ""), "7", ""), "8", ""), "9", ""))))</f>
        <v>--</v>
      </c>
      <c r="C8" t="str">
        <f>IF(ISBLANK(MAIN!C8), "--", IFERROR(PROPER(SUBSTITUTE(SUBSTITUTE(SUBSTITUTE(SUBSTITUTE(SUBSTITUTE(SUBSTITUTE(SUBSTITUTE(SUBSTITUTE(SUBSTITUTE(SUBSTITUTE(LEFT(MAIN!C8, FIND(",",MAIN!C8) -1), "0", ""), "1", ""), "2", ""), "3", ""), "4", ""), "5", ""), "6", ""), "7", ""), "8", ""), "9", "")), PROPER(SUBSTITUTE(SUBSTITUTE(SUBSTITUTE(SUBSTITUTE(SUBSTITUTE(SUBSTITUTE(SUBSTITUTE(SUBSTITUTE(SUBSTITUTE(SUBSTITUTE(MAIN!C8, "0", ""), "1", ""), "2", ""), "3", ""), "4", ""), "5", ""), "6", ""), "7", ""), "8", ""), "9", ""))))</f>
        <v>--</v>
      </c>
      <c r="D8" t="str">
        <f>IF(ISBLANK(MAIN!D8), "--", IF(ISNUMBER(MATCH(SUBSTITUTE(LEFT(MAIN!D8, IFERROR(FIND(",", MAIN!D8)-1, LEN(MAIN!D8))), " ", ""), lookup_values!$B$2:$B$51, 0)), UPPER(SUBSTITUTE(LEFT(MAIN!D8, IFERROR(FIND(",", MAIN!D8)-1, LEN(MAIN!D8))), " ", "")), IF(ISNA(VLOOKUP(SUBSTITUTE(LEFT(MAIN!D8, IFERROR(FIND(",", MAIN!D8)-1, LEN(MAIN!D8))), " ", ""), lookup_values!$A$2:$B$51, 2, FALSE)), "--", VLOOKUP(SUBSTITUTE(LEFT(MAIN!D8, IFERROR(FIND(",", MAIN!D8)-1, LEN(MAIN!D8))), " ", ""), lookup_values!$A$2:$B$51, 2, FALSE))))</f>
        <v>--</v>
      </c>
      <c r="E8" t="str">
        <f>IF(CLEAN_DATA!D8&lt;&gt;"--","US",IF(ISBLANK(MAIN!E8), "--", IF(ISNUMBER(MATCH(SUBSTITUTE(LEFT(MAIN!E8, IFERROR(FIND(",", MAIN!E8)-1, LEN(MAIN!E8))), " ", ""), lookup_values!$E$2:$E$197, 0)), UPPER(SUBSTITUTE(LEFT(MAIN!E8, IFERROR(FIND(",", MAIN!E8)-1, LEN(MAIN!E8))), " ", "")), IF(ISNA(VLOOKUP(SUBSTITUTE(LEFT(MAIN!E8, IFERROR(FIND(",", MAIN!E8)-1, LEN(MAIN!E8))), " ", ""), lookup_values!$D$2:$E$197, 2, FALSE)), "--", VLOOKUP(SUBSTITUTE(LEFT(MAIN!E8, IFERROR(FIND(",", MAIN!E8)-1, LEN(MAIN!E8))), " ", ""), lookup_values!$D$2:$E$197, 2, FALSE)))))</f>
        <v>--</v>
      </c>
      <c r="F8" t="str">
        <f>IF(ISBLANK(MAIN!F8), "", IF(AND(ISNUMBER(VALUE(TRIM(MAIN!F8))), LEN(TRIM(MAIN!F8))=4), VALUE(TRIM(MAIN!F8)), ""))</f>
        <v/>
      </c>
      <c r="G8">
        <f>IF(ISBLANK(MAIN!G8), 0, IF(ISNUMBER(VALUE(TRIM(MAIN!G8))), VALUE(TRIM(MAIN!G8)), 0))</f>
        <v>0</v>
      </c>
      <c r="H8">
        <f>IF(ISBLANK(MAIN!H8), 0, IF(ISNUMBER(VALUE(TRIM(MAIN!H8))), VALUE(TRIM(MAIN!H8)), 0))</f>
        <v>0</v>
      </c>
      <c r="I8">
        <f>IF(ISBLANK(MAIN!I8), 0, IF(ISNUMBER(VALUE(TRIM(MAIN!I8))), VALUE(TRIM(MAIN!I8)), 0))</f>
        <v>0</v>
      </c>
      <c r="J8">
        <f>IF(ISBLANK(MAIN!J8), 0, IF(ISNUMBER(VALUE(TRIM(MAIN!J8))), VALUE(TRIM(MAIN!J8)), 0))</f>
        <v>0</v>
      </c>
      <c r="K8" cm="1">
        <f t="array" ref="K8">IFERROR(
    VALUE(
        IFERROR(
            UPPER(
                IF(MAX(IFERROR(SEARCH("WD",MAIN!G8:J8), 0))&gt;0, "WD",
                IF(MAX(IFERROR(SEARCH("NS",MAIN!G8:J8), 0))&gt;0, "NS",
                IF(MAX(IFERROR(SEARCH("NC",MAIN!G8:J8), 0))&gt;0, "NC",
                IF(MAX(IFERROR(SEARCH("DQ",MAIN!G8:J8), 0))&gt;0, "DQ",
                IF(ISNUMBER(SEARCH("WD",MAIN!K8)), "WD",
                IF(ISNUMBER(SEARCH("NS",MAIN!K8)), "NS",
                IF(ISNUMBER(SEARCH("NC",MAIN!K8)), "NC",
                IF(ISNUMBER(SEARCH("DQ",MAIN!K8)), "DQ",
                IF(ISNUMBER(SEARCH("A",MAIN!K8)), 0,
                IF(OR(MAIN!K8=0,MAIN!K8=""), 0, --TRIM(MAIN!K8)))))))))))),
            0
        )
    ),
    IFERROR(
        UPPER(
            IF(MAX(IFERROR(SEARCH("WD",MAIN!G8:J8), 0))&gt;0, "WD",
            IF(MAX(IFERROR(SEARCH("NS",MAIN!G8:J8), 0))&gt;0, "NS",
            IF(MAX(IFERROR(SEARCH("NC",MAIN!G8:J8), 0))&gt;0, "NC",
            IF(MAX(IFERROR(SEARCH("DQ",MAIN!G8:J8), 0))&gt;0, "DQ",
            IF(ISNUMBER(SEARCH("WD",MAIN!K8)), "WD",
            IF(ISNUMBER(SEARCH("NS",MAIN!K8)), "NS",
            IF(ISNUMBER(SEARCH("NC",MAIN!K8)), "NC",
            IF(ISNUMBER(SEARCH("DQ",MAIN!K8)), "DQ",
            IF(ISNUMBER(SEARCH("A",MAIN!K8)), 0,
            IF(OR(MAIN!K8=0,MAIN!K8=""), 0, --TRIM(MAIN!K8)))))))))))),
        0
    )
)</f>
        <v>0</v>
      </c>
    </row>
    <row r="9" spans="1:11" x14ac:dyDescent="0.25">
      <c r="A9" t="str">
        <f>IF(ISBLANK(MAIN!A9), "--", IFERROR(PROPER(SUBSTITUTE(SUBSTITUTE(SUBSTITUTE(SUBSTITUTE(SUBSTITUTE(SUBSTITUTE(SUBSTITUTE(SUBSTITUTE(SUBSTITUTE(SUBSTITUTE(LEFT(MAIN!A9, FIND(",",MAIN!A9) -1), "0", ""), "1", ""), "2", ""), "3", ""), "4", ""), "5", ""), "6", ""), "7", ""), "8", ""), "9", "")), PROPER(SUBSTITUTE(SUBSTITUTE(SUBSTITUTE(SUBSTITUTE(SUBSTITUTE(SUBSTITUTE(SUBSTITUTE(SUBSTITUTE(SUBSTITUTE(SUBSTITUTE(MAIN!A9, "0", ""), "1", ""), "2", ""), "3", ""), "4", ""), "5", ""), "6", ""), "7", ""), "8", ""), "9", ""))))</f>
        <v>--</v>
      </c>
      <c r="B9" t="str">
        <f>IF(ISBLANK(MAIN!B9), "--", IFERROR(PROPER(SUBSTITUTE(SUBSTITUTE(SUBSTITUTE(SUBSTITUTE(SUBSTITUTE(SUBSTITUTE(SUBSTITUTE(SUBSTITUTE(SUBSTITUTE(SUBSTITUTE(LEFT(MAIN!B9, FIND(",",MAIN!B9) -1), "0", ""), "1", ""), "2", ""), "3", ""), "4", ""), "5", ""), "6", ""), "7", ""), "8", ""), "9", "")), PROPER(SUBSTITUTE(SUBSTITUTE(SUBSTITUTE(SUBSTITUTE(SUBSTITUTE(SUBSTITUTE(SUBSTITUTE(SUBSTITUTE(SUBSTITUTE(SUBSTITUTE(MAIN!B9, "0", ""), "1", ""), "2", ""), "3", ""), "4", ""), "5", ""), "6", ""), "7", ""), "8", ""), "9", ""))))</f>
        <v>--</v>
      </c>
      <c r="C9" t="str">
        <f>IF(ISBLANK(MAIN!C9), "--", IFERROR(PROPER(SUBSTITUTE(SUBSTITUTE(SUBSTITUTE(SUBSTITUTE(SUBSTITUTE(SUBSTITUTE(SUBSTITUTE(SUBSTITUTE(SUBSTITUTE(SUBSTITUTE(LEFT(MAIN!C9, FIND(",",MAIN!C9) -1), "0", ""), "1", ""), "2", ""), "3", ""), "4", ""), "5", ""), "6", ""), "7", ""), "8", ""), "9", "")), PROPER(SUBSTITUTE(SUBSTITUTE(SUBSTITUTE(SUBSTITUTE(SUBSTITUTE(SUBSTITUTE(SUBSTITUTE(SUBSTITUTE(SUBSTITUTE(SUBSTITUTE(MAIN!C9, "0", ""), "1", ""), "2", ""), "3", ""), "4", ""), "5", ""), "6", ""), "7", ""), "8", ""), "9", ""))))</f>
        <v>--</v>
      </c>
      <c r="D9" t="str">
        <f>IF(ISBLANK(MAIN!D9), "--", IF(ISNUMBER(MATCH(SUBSTITUTE(LEFT(MAIN!D9, IFERROR(FIND(",", MAIN!D9)-1, LEN(MAIN!D9))), " ", ""), lookup_values!$B$2:$B$51, 0)), UPPER(SUBSTITUTE(LEFT(MAIN!D9, IFERROR(FIND(",", MAIN!D9)-1, LEN(MAIN!D9))), " ", "")), IF(ISNA(VLOOKUP(SUBSTITUTE(LEFT(MAIN!D9, IFERROR(FIND(",", MAIN!D9)-1, LEN(MAIN!D9))), " ", ""), lookup_values!$A$2:$B$51, 2, FALSE)), "--", VLOOKUP(SUBSTITUTE(LEFT(MAIN!D9, IFERROR(FIND(",", MAIN!D9)-1, LEN(MAIN!D9))), " ", ""), lookup_values!$A$2:$B$51, 2, FALSE))))</f>
        <v>--</v>
      </c>
      <c r="E9" t="str">
        <f>IF(CLEAN_DATA!D9&lt;&gt;"--","US",IF(ISBLANK(MAIN!E9), "--", IF(ISNUMBER(MATCH(SUBSTITUTE(LEFT(MAIN!E9, IFERROR(FIND(",", MAIN!E9)-1, LEN(MAIN!E9))), " ", ""), lookup_values!$E$2:$E$197, 0)), UPPER(SUBSTITUTE(LEFT(MAIN!E9, IFERROR(FIND(",", MAIN!E9)-1, LEN(MAIN!E9))), " ", "")), IF(ISNA(VLOOKUP(SUBSTITUTE(LEFT(MAIN!E9, IFERROR(FIND(",", MAIN!E9)-1, LEN(MAIN!E9))), " ", ""), lookup_values!$D$2:$E$197, 2, FALSE)), "--", VLOOKUP(SUBSTITUTE(LEFT(MAIN!E9, IFERROR(FIND(",", MAIN!E9)-1, LEN(MAIN!E9))), " ", ""), lookup_values!$D$2:$E$197, 2, FALSE)))))</f>
        <v>--</v>
      </c>
      <c r="F9" t="str">
        <f>IF(ISBLANK(MAIN!F9), "", IF(AND(ISNUMBER(VALUE(TRIM(MAIN!F9))), LEN(TRIM(MAIN!F9))=4), VALUE(TRIM(MAIN!F9)), ""))</f>
        <v/>
      </c>
      <c r="G9">
        <f>IF(ISBLANK(MAIN!G9), 0, IF(ISNUMBER(VALUE(TRIM(MAIN!G9))), VALUE(TRIM(MAIN!G9)), 0))</f>
        <v>0</v>
      </c>
      <c r="H9">
        <f>IF(ISBLANK(MAIN!H9), 0, IF(ISNUMBER(VALUE(TRIM(MAIN!H9))), VALUE(TRIM(MAIN!H9)), 0))</f>
        <v>0</v>
      </c>
      <c r="I9">
        <f>IF(ISBLANK(MAIN!I9), 0, IF(ISNUMBER(VALUE(TRIM(MAIN!I9))), VALUE(TRIM(MAIN!I9)), 0))</f>
        <v>0</v>
      </c>
      <c r="J9">
        <f>IF(ISBLANK(MAIN!J9), 0, IF(ISNUMBER(VALUE(TRIM(MAIN!J9))), VALUE(TRIM(MAIN!J9)), 0))</f>
        <v>0</v>
      </c>
      <c r="K9" cm="1">
        <f t="array" ref="K9">IFERROR(
    VALUE(
        IFERROR(
            UPPER(
                IF(MAX(IFERROR(SEARCH("WD",MAIN!G9:J9), 0))&gt;0, "WD",
                IF(MAX(IFERROR(SEARCH("NS",MAIN!G9:J9), 0))&gt;0, "NS",
                IF(MAX(IFERROR(SEARCH("NC",MAIN!G9:J9), 0))&gt;0, "NC",
                IF(MAX(IFERROR(SEARCH("DQ",MAIN!G9:J9), 0))&gt;0, "DQ",
                IF(ISNUMBER(SEARCH("WD",MAIN!K9)), "WD",
                IF(ISNUMBER(SEARCH("NS",MAIN!K9)), "NS",
                IF(ISNUMBER(SEARCH("NC",MAIN!K9)), "NC",
                IF(ISNUMBER(SEARCH("DQ",MAIN!K9)), "DQ",
                IF(ISNUMBER(SEARCH("A",MAIN!K9)), 0,
                IF(OR(MAIN!K9=0,MAIN!K9=""), 0, --TRIM(MAIN!K9)))))))))))),
            0
        )
    ),
    IFERROR(
        UPPER(
            IF(MAX(IFERROR(SEARCH("WD",MAIN!G9:J9), 0))&gt;0, "WD",
            IF(MAX(IFERROR(SEARCH("NS",MAIN!G9:J9), 0))&gt;0, "NS",
            IF(MAX(IFERROR(SEARCH("NC",MAIN!G9:J9), 0))&gt;0, "NC",
            IF(MAX(IFERROR(SEARCH("DQ",MAIN!G9:J9), 0))&gt;0, "DQ",
            IF(ISNUMBER(SEARCH("WD",MAIN!K9)), "WD",
            IF(ISNUMBER(SEARCH("NS",MAIN!K9)), "NS",
            IF(ISNUMBER(SEARCH("NC",MAIN!K9)), "NC",
            IF(ISNUMBER(SEARCH("DQ",MAIN!K9)), "DQ",
            IF(ISNUMBER(SEARCH("A",MAIN!K9)), 0,
            IF(OR(MAIN!K9=0,MAIN!K9=""), 0, --TRIM(MAIN!K9)))))))))))),
        0
    )
)</f>
        <v>0</v>
      </c>
    </row>
    <row r="10" spans="1:11" x14ac:dyDescent="0.25">
      <c r="A10" t="str">
        <f>IF(ISBLANK(MAIN!A10), "--", IFERROR(PROPER(SUBSTITUTE(SUBSTITUTE(SUBSTITUTE(SUBSTITUTE(SUBSTITUTE(SUBSTITUTE(SUBSTITUTE(SUBSTITUTE(SUBSTITUTE(SUBSTITUTE(LEFT(MAIN!A10, FIND(",",MAIN!A10) -1), "0", ""), "1", ""), "2", ""), "3", ""), "4", ""), "5", ""), "6", ""), "7", ""), "8", ""), "9", "")), PROPER(SUBSTITUTE(SUBSTITUTE(SUBSTITUTE(SUBSTITUTE(SUBSTITUTE(SUBSTITUTE(SUBSTITUTE(SUBSTITUTE(SUBSTITUTE(SUBSTITUTE(MAIN!A10, "0", ""), "1", ""), "2", ""), "3", ""), "4", ""), "5", ""), "6", ""), "7", ""), "8", ""), "9", ""))))</f>
        <v>--</v>
      </c>
      <c r="B10" t="str">
        <f>IF(ISBLANK(MAIN!B10), "--", IFERROR(PROPER(SUBSTITUTE(SUBSTITUTE(SUBSTITUTE(SUBSTITUTE(SUBSTITUTE(SUBSTITUTE(SUBSTITUTE(SUBSTITUTE(SUBSTITUTE(SUBSTITUTE(LEFT(MAIN!B10, FIND(",",MAIN!B10) -1), "0", ""), "1", ""), "2", ""), "3", ""), "4", ""), "5", ""), "6", ""), "7", ""), "8", ""), "9", "")), PROPER(SUBSTITUTE(SUBSTITUTE(SUBSTITUTE(SUBSTITUTE(SUBSTITUTE(SUBSTITUTE(SUBSTITUTE(SUBSTITUTE(SUBSTITUTE(SUBSTITUTE(MAIN!B10, "0", ""), "1", ""), "2", ""), "3", ""), "4", ""), "5", ""), "6", ""), "7", ""), "8", ""), "9", ""))))</f>
        <v>--</v>
      </c>
      <c r="C10" t="str">
        <f>IF(ISBLANK(MAIN!C10), "--", IFERROR(PROPER(SUBSTITUTE(SUBSTITUTE(SUBSTITUTE(SUBSTITUTE(SUBSTITUTE(SUBSTITUTE(SUBSTITUTE(SUBSTITUTE(SUBSTITUTE(SUBSTITUTE(LEFT(MAIN!C10, FIND(",",MAIN!C10) -1), "0", ""), "1", ""), "2", ""), "3", ""), "4", ""), "5", ""), "6", ""), "7", ""), "8", ""), "9", "")), PROPER(SUBSTITUTE(SUBSTITUTE(SUBSTITUTE(SUBSTITUTE(SUBSTITUTE(SUBSTITUTE(SUBSTITUTE(SUBSTITUTE(SUBSTITUTE(SUBSTITUTE(MAIN!C10, "0", ""), "1", ""), "2", ""), "3", ""), "4", ""), "5", ""), "6", ""), "7", ""), "8", ""), "9", ""))))</f>
        <v>--</v>
      </c>
      <c r="D10" t="str">
        <f>IF(ISBLANK(MAIN!D10), "--", IF(ISNUMBER(MATCH(SUBSTITUTE(LEFT(MAIN!D10, IFERROR(FIND(",", MAIN!D10)-1, LEN(MAIN!D10))), " ", ""), lookup_values!$B$2:$B$51, 0)), UPPER(SUBSTITUTE(LEFT(MAIN!D10, IFERROR(FIND(",", MAIN!D10)-1, LEN(MAIN!D10))), " ", "")), IF(ISNA(VLOOKUP(SUBSTITUTE(LEFT(MAIN!D10, IFERROR(FIND(",", MAIN!D10)-1, LEN(MAIN!D10))), " ", ""), lookup_values!$A$2:$B$51, 2, FALSE)), "--", VLOOKUP(SUBSTITUTE(LEFT(MAIN!D10, IFERROR(FIND(",", MAIN!D10)-1, LEN(MAIN!D10))), " ", ""), lookup_values!$A$2:$B$51, 2, FALSE))))</f>
        <v>--</v>
      </c>
      <c r="E10" t="str">
        <f>IF(CLEAN_DATA!D10&lt;&gt;"--","US",IF(ISBLANK(MAIN!E10), "--", IF(ISNUMBER(MATCH(SUBSTITUTE(LEFT(MAIN!E10, IFERROR(FIND(",", MAIN!E10)-1, LEN(MAIN!E10))), " ", ""), lookup_values!$E$2:$E$197, 0)), UPPER(SUBSTITUTE(LEFT(MAIN!E10, IFERROR(FIND(",", MAIN!E10)-1, LEN(MAIN!E10))), " ", "")), IF(ISNA(VLOOKUP(SUBSTITUTE(LEFT(MAIN!E10, IFERROR(FIND(",", MAIN!E10)-1, LEN(MAIN!E10))), " ", ""), lookup_values!$D$2:$E$197, 2, FALSE)), "--", VLOOKUP(SUBSTITUTE(LEFT(MAIN!E10, IFERROR(FIND(",", MAIN!E10)-1, LEN(MAIN!E10))), " ", ""), lookup_values!$D$2:$E$197, 2, FALSE)))))</f>
        <v>--</v>
      </c>
      <c r="F10" t="str">
        <f>IF(ISBLANK(MAIN!F10), "", IF(AND(ISNUMBER(VALUE(TRIM(MAIN!F10))), LEN(TRIM(MAIN!F10))=4), VALUE(TRIM(MAIN!F10)), ""))</f>
        <v/>
      </c>
      <c r="G10">
        <f>IF(ISBLANK(MAIN!G10), 0, IF(ISNUMBER(VALUE(TRIM(MAIN!G10))), VALUE(TRIM(MAIN!G10)), 0))</f>
        <v>0</v>
      </c>
      <c r="H10">
        <f>IF(ISBLANK(MAIN!H10), 0, IF(ISNUMBER(VALUE(TRIM(MAIN!H10))), VALUE(TRIM(MAIN!H10)), 0))</f>
        <v>0</v>
      </c>
      <c r="I10">
        <f>IF(ISBLANK(MAIN!I10), 0, IF(ISNUMBER(VALUE(TRIM(MAIN!I10))), VALUE(TRIM(MAIN!I10)), 0))</f>
        <v>0</v>
      </c>
      <c r="J10">
        <f>IF(ISBLANK(MAIN!J10), 0, IF(ISNUMBER(VALUE(TRIM(MAIN!J10))), VALUE(TRIM(MAIN!J10)), 0))</f>
        <v>0</v>
      </c>
      <c r="K10" cm="1">
        <f t="array" ref="K10">IFERROR(
    VALUE(
        IFERROR(
            UPPER(
                IF(MAX(IFERROR(SEARCH("WD",MAIN!G10:J10), 0))&gt;0, "WD",
                IF(MAX(IFERROR(SEARCH("NS",MAIN!G10:J10), 0))&gt;0, "NS",
                IF(MAX(IFERROR(SEARCH("NC",MAIN!G10:J10), 0))&gt;0, "NC",
                IF(MAX(IFERROR(SEARCH("DQ",MAIN!G10:J10), 0))&gt;0, "DQ",
                IF(ISNUMBER(SEARCH("WD",MAIN!K10)), "WD",
                IF(ISNUMBER(SEARCH("NS",MAIN!K10)), "NS",
                IF(ISNUMBER(SEARCH("NC",MAIN!K10)), "NC",
                IF(ISNUMBER(SEARCH("DQ",MAIN!K10)), "DQ",
                IF(ISNUMBER(SEARCH("A",MAIN!K10)), 0,
                IF(OR(MAIN!K10=0,MAIN!K10=""), 0, --TRIM(MAIN!K10)))))))))))),
            0
        )
    ),
    IFERROR(
        UPPER(
            IF(MAX(IFERROR(SEARCH("WD",MAIN!G10:J10), 0))&gt;0, "WD",
            IF(MAX(IFERROR(SEARCH("NS",MAIN!G10:J10), 0))&gt;0, "NS",
            IF(MAX(IFERROR(SEARCH("NC",MAIN!G10:J10), 0))&gt;0, "NC",
            IF(MAX(IFERROR(SEARCH("DQ",MAIN!G10:J10), 0))&gt;0, "DQ",
            IF(ISNUMBER(SEARCH("WD",MAIN!K10)), "WD",
            IF(ISNUMBER(SEARCH("NS",MAIN!K10)), "NS",
            IF(ISNUMBER(SEARCH("NC",MAIN!K10)), "NC",
            IF(ISNUMBER(SEARCH("DQ",MAIN!K10)), "DQ",
            IF(ISNUMBER(SEARCH("A",MAIN!K10)), 0,
            IF(OR(MAIN!K10=0,MAIN!K10=""), 0, --TRIM(MAIN!K10)))))))))))),
        0
    )
)</f>
        <v>0</v>
      </c>
    </row>
    <row r="11" spans="1:11" x14ac:dyDescent="0.25">
      <c r="A11" t="str">
        <f>IF(ISBLANK(MAIN!A11), "--", IFERROR(PROPER(SUBSTITUTE(SUBSTITUTE(SUBSTITUTE(SUBSTITUTE(SUBSTITUTE(SUBSTITUTE(SUBSTITUTE(SUBSTITUTE(SUBSTITUTE(SUBSTITUTE(LEFT(MAIN!A11, FIND(",",MAIN!A11) -1), "0", ""), "1", ""), "2", ""), "3", ""), "4", ""), "5", ""), "6", ""), "7", ""), "8", ""), "9", "")), PROPER(SUBSTITUTE(SUBSTITUTE(SUBSTITUTE(SUBSTITUTE(SUBSTITUTE(SUBSTITUTE(SUBSTITUTE(SUBSTITUTE(SUBSTITUTE(SUBSTITUTE(MAIN!A11, "0", ""), "1", ""), "2", ""), "3", ""), "4", ""), "5", ""), "6", ""), "7", ""), "8", ""), "9", ""))))</f>
        <v>--</v>
      </c>
      <c r="B11" t="str">
        <f>IF(ISBLANK(MAIN!B11), "--", IFERROR(PROPER(SUBSTITUTE(SUBSTITUTE(SUBSTITUTE(SUBSTITUTE(SUBSTITUTE(SUBSTITUTE(SUBSTITUTE(SUBSTITUTE(SUBSTITUTE(SUBSTITUTE(LEFT(MAIN!B11, FIND(",",MAIN!B11) -1), "0", ""), "1", ""), "2", ""), "3", ""), "4", ""), "5", ""), "6", ""), "7", ""), "8", ""), "9", "")), PROPER(SUBSTITUTE(SUBSTITUTE(SUBSTITUTE(SUBSTITUTE(SUBSTITUTE(SUBSTITUTE(SUBSTITUTE(SUBSTITUTE(SUBSTITUTE(SUBSTITUTE(MAIN!B11, "0", ""), "1", ""), "2", ""), "3", ""), "4", ""), "5", ""), "6", ""), "7", ""), "8", ""), "9", ""))))</f>
        <v>--</v>
      </c>
      <c r="C11" t="str">
        <f>IF(ISBLANK(MAIN!C11), "--", IFERROR(PROPER(SUBSTITUTE(SUBSTITUTE(SUBSTITUTE(SUBSTITUTE(SUBSTITUTE(SUBSTITUTE(SUBSTITUTE(SUBSTITUTE(SUBSTITUTE(SUBSTITUTE(LEFT(MAIN!C11, FIND(",",MAIN!C11) -1), "0", ""), "1", ""), "2", ""), "3", ""), "4", ""), "5", ""), "6", ""), "7", ""), "8", ""), "9", "")), PROPER(SUBSTITUTE(SUBSTITUTE(SUBSTITUTE(SUBSTITUTE(SUBSTITUTE(SUBSTITUTE(SUBSTITUTE(SUBSTITUTE(SUBSTITUTE(SUBSTITUTE(MAIN!C11, "0", ""), "1", ""), "2", ""), "3", ""), "4", ""), "5", ""), "6", ""), "7", ""), "8", ""), "9", ""))))</f>
        <v>--</v>
      </c>
      <c r="D11" t="str">
        <f>IF(ISBLANK(MAIN!D11), "--", IF(ISNUMBER(MATCH(SUBSTITUTE(LEFT(MAIN!D11, IFERROR(FIND(",", MAIN!D11)-1, LEN(MAIN!D11))), " ", ""), lookup_values!$B$2:$B$51, 0)), UPPER(SUBSTITUTE(LEFT(MAIN!D11, IFERROR(FIND(",", MAIN!D11)-1, LEN(MAIN!D11))), " ", "")), IF(ISNA(VLOOKUP(SUBSTITUTE(LEFT(MAIN!D11, IFERROR(FIND(",", MAIN!D11)-1, LEN(MAIN!D11))), " ", ""), lookup_values!$A$2:$B$51, 2, FALSE)), "--", VLOOKUP(SUBSTITUTE(LEFT(MAIN!D11, IFERROR(FIND(",", MAIN!D11)-1, LEN(MAIN!D11))), " ", ""), lookup_values!$A$2:$B$51, 2, FALSE))))</f>
        <v>--</v>
      </c>
      <c r="E11" t="str">
        <f>IF(CLEAN_DATA!D11&lt;&gt;"--","US",IF(ISBLANK(MAIN!E11), "--", IF(ISNUMBER(MATCH(SUBSTITUTE(LEFT(MAIN!E11, IFERROR(FIND(",", MAIN!E11)-1, LEN(MAIN!E11))), " ", ""), lookup_values!$E$2:$E$197, 0)), UPPER(SUBSTITUTE(LEFT(MAIN!E11, IFERROR(FIND(",", MAIN!E11)-1, LEN(MAIN!E11))), " ", "")), IF(ISNA(VLOOKUP(SUBSTITUTE(LEFT(MAIN!E11, IFERROR(FIND(",", MAIN!E11)-1, LEN(MAIN!E11))), " ", ""), lookup_values!$D$2:$E$197, 2, FALSE)), "--", VLOOKUP(SUBSTITUTE(LEFT(MAIN!E11, IFERROR(FIND(",", MAIN!E11)-1, LEN(MAIN!E11))), " ", ""), lookup_values!$D$2:$E$197, 2, FALSE)))))</f>
        <v>--</v>
      </c>
      <c r="F11" t="str">
        <f>IF(ISBLANK(MAIN!F11), "", IF(AND(ISNUMBER(VALUE(TRIM(MAIN!F11))), LEN(TRIM(MAIN!F11))=4), VALUE(TRIM(MAIN!F11)), ""))</f>
        <v/>
      </c>
      <c r="G11">
        <f>IF(ISBLANK(MAIN!G11), 0, IF(ISNUMBER(VALUE(TRIM(MAIN!G11))), VALUE(TRIM(MAIN!G11)), 0))</f>
        <v>0</v>
      </c>
      <c r="H11">
        <f>IF(ISBLANK(MAIN!H11), 0, IF(ISNUMBER(VALUE(TRIM(MAIN!H11))), VALUE(TRIM(MAIN!H11)), 0))</f>
        <v>0</v>
      </c>
      <c r="I11">
        <f>IF(ISBLANK(MAIN!I11), 0, IF(ISNUMBER(VALUE(TRIM(MAIN!I11))), VALUE(TRIM(MAIN!I11)), 0))</f>
        <v>0</v>
      </c>
      <c r="J11">
        <f>IF(ISBLANK(MAIN!J11), 0, IF(ISNUMBER(VALUE(TRIM(MAIN!J11))), VALUE(TRIM(MAIN!J11)), 0))</f>
        <v>0</v>
      </c>
      <c r="K11" cm="1">
        <f t="array" ref="K11">IFERROR(
    VALUE(
        IFERROR(
            UPPER(
                IF(MAX(IFERROR(SEARCH("WD",MAIN!G11:J11), 0))&gt;0, "WD",
                IF(MAX(IFERROR(SEARCH("NS",MAIN!G11:J11), 0))&gt;0, "NS",
                IF(MAX(IFERROR(SEARCH("NC",MAIN!G11:J11), 0))&gt;0, "NC",
                IF(MAX(IFERROR(SEARCH("DQ",MAIN!G11:J11), 0))&gt;0, "DQ",
                IF(ISNUMBER(SEARCH("WD",MAIN!K11)), "WD",
                IF(ISNUMBER(SEARCH("NS",MAIN!K11)), "NS",
                IF(ISNUMBER(SEARCH("NC",MAIN!K11)), "NC",
                IF(ISNUMBER(SEARCH("DQ",MAIN!K11)), "DQ",
                IF(ISNUMBER(SEARCH("A",MAIN!K11)), 0,
                IF(OR(MAIN!K11=0,MAIN!K11=""), 0, --TRIM(MAIN!K11)))))))))))),
            0
        )
    ),
    IFERROR(
        UPPER(
            IF(MAX(IFERROR(SEARCH("WD",MAIN!G11:J11), 0))&gt;0, "WD",
            IF(MAX(IFERROR(SEARCH("NS",MAIN!G11:J11), 0))&gt;0, "NS",
            IF(MAX(IFERROR(SEARCH("NC",MAIN!G11:J11), 0))&gt;0, "NC",
            IF(MAX(IFERROR(SEARCH("DQ",MAIN!G11:J11), 0))&gt;0, "DQ",
            IF(ISNUMBER(SEARCH("WD",MAIN!K11)), "WD",
            IF(ISNUMBER(SEARCH("NS",MAIN!K11)), "NS",
            IF(ISNUMBER(SEARCH("NC",MAIN!K11)), "NC",
            IF(ISNUMBER(SEARCH("DQ",MAIN!K11)), "DQ",
            IF(ISNUMBER(SEARCH("A",MAIN!K11)), 0,
            IF(OR(MAIN!K11=0,MAIN!K11=""), 0, --TRIM(MAIN!K11)))))))))))),
        0
    )
)</f>
        <v>0</v>
      </c>
    </row>
    <row r="12" spans="1:11" x14ac:dyDescent="0.25">
      <c r="A12" t="str">
        <f>IF(ISBLANK(MAIN!A12), "--", IFERROR(PROPER(SUBSTITUTE(SUBSTITUTE(SUBSTITUTE(SUBSTITUTE(SUBSTITUTE(SUBSTITUTE(SUBSTITUTE(SUBSTITUTE(SUBSTITUTE(SUBSTITUTE(LEFT(MAIN!A12, FIND(",",MAIN!A12) -1), "0", ""), "1", ""), "2", ""), "3", ""), "4", ""), "5", ""), "6", ""), "7", ""), "8", ""), "9", "")), PROPER(SUBSTITUTE(SUBSTITUTE(SUBSTITUTE(SUBSTITUTE(SUBSTITUTE(SUBSTITUTE(SUBSTITUTE(SUBSTITUTE(SUBSTITUTE(SUBSTITUTE(MAIN!A12, "0", ""), "1", ""), "2", ""), "3", ""), "4", ""), "5", ""), "6", ""), "7", ""), "8", ""), "9", ""))))</f>
        <v>--</v>
      </c>
      <c r="B12" t="str">
        <f>IF(ISBLANK(MAIN!B12), "--", IFERROR(PROPER(SUBSTITUTE(SUBSTITUTE(SUBSTITUTE(SUBSTITUTE(SUBSTITUTE(SUBSTITUTE(SUBSTITUTE(SUBSTITUTE(SUBSTITUTE(SUBSTITUTE(LEFT(MAIN!B12, FIND(",",MAIN!B12) -1), "0", ""), "1", ""), "2", ""), "3", ""), "4", ""), "5", ""), "6", ""), "7", ""), "8", ""), "9", "")), PROPER(SUBSTITUTE(SUBSTITUTE(SUBSTITUTE(SUBSTITUTE(SUBSTITUTE(SUBSTITUTE(SUBSTITUTE(SUBSTITUTE(SUBSTITUTE(SUBSTITUTE(MAIN!B12, "0", ""), "1", ""), "2", ""), "3", ""), "4", ""), "5", ""), "6", ""), "7", ""), "8", ""), "9", ""))))</f>
        <v>--</v>
      </c>
      <c r="C12" t="str">
        <f>IF(ISBLANK(MAIN!C12), "--", IFERROR(PROPER(SUBSTITUTE(SUBSTITUTE(SUBSTITUTE(SUBSTITUTE(SUBSTITUTE(SUBSTITUTE(SUBSTITUTE(SUBSTITUTE(SUBSTITUTE(SUBSTITUTE(LEFT(MAIN!C12, FIND(",",MAIN!C12) -1), "0", ""), "1", ""), "2", ""), "3", ""), "4", ""), "5", ""), "6", ""), "7", ""), "8", ""), "9", "")), PROPER(SUBSTITUTE(SUBSTITUTE(SUBSTITUTE(SUBSTITUTE(SUBSTITUTE(SUBSTITUTE(SUBSTITUTE(SUBSTITUTE(SUBSTITUTE(SUBSTITUTE(MAIN!C12, "0", ""), "1", ""), "2", ""), "3", ""), "4", ""), "5", ""), "6", ""), "7", ""), "8", ""), "9", ""))))</f>
        <v>--</v>
      </c>
      <c r="D12" t="str">
        <f>IF(ISBLANK(MAIN!D12), "--", IF(ISNUMBER(MATCH(SUBSTITUTE(LEFT(MAIN!D12, IFERROR(FIND(",", MAIN!D12)-1, LEN(MAIN!D12))), " ", ""), lookup_values!$B$2:$B$51, 0)), UPPER(SUBSTITUTE(LEFT(MAIN!D12, IFERROR(FIND(",", MAIN!D12)-1, LEN(MAIN!D12))), " ", "")), IF(ISNA(VLOOKUP(SUBSTITUTE(LEFT(MAIN!D12, IFERROR(FIND(",", MAIN!D12)-1, LEN(MAIN!D12))), " ", ""), lookup_values!$A$2:$B$51, 2, FALSE)), "--", VLOOKUP(SUBSTITUTE(LEFT(MAIN!D12, IFERROR(FIND(",", MAIN!D12)-1, LEN(MAIN!D12))), " ", ""), lookup_values!$A$2:$B$51, 2, FALSE))))</f>
        <v>--</v>
      </c>
      <c r="E12" t="str">
        <f>IF(CLEAN_DATA!D12&lt;&gt;"--","US",IF(ISBLANK(MAIN!E12), "--", IF(ISNUMBER(MATCH(SUBSTITUTE(LEFT(MAIN!E12, IFERROR(FIND(",", MAIN!E12)-1, LEN(MAIN!E12))), " ", ""), lookup_values!$E$2:$E$197, 0)), UPPER(SUBSTITUTE(LEFT(MAIN!E12, IFERROR(FIND(",", MAIN!E12)-1, LEN(MAIN!E12))), " ", "")), IF(ISNA(VLOOKUP(SUBSTITUTE(LEFT(MAIN!E12, IFERROR(FIND(",", MAIN!E12)-1, LEN(MAIN!E12))), " ", ""), lookup_values!$D$2:$E$197, 2, FALSE)), "--", VLOOKUP(SUBSTITUTE(LEFT(MAIN!E12, IFERROR(FIND(",", MAIN!E12)-1, LEN(MAIN!E12))), " ", ""), lookup_values!$D$2:$E$197, 2, FALSE)))))</f>
        <v>--</v>
      </c>
      <c r="F12" t="str">
        <f>IF(ISBLANK(MAIN!F12), "", IF(AND(ISNUMBER(VALUE(TRIM(MAIN!F12))), LEN(TRIM(MAIN!F12))=4), VALUE(TRIM(MAIN!F12)), ""))</f>
        <v/>
      </c>
      <c r="G12">
        <f>IF(ISBLANK(MAIN!G12), 0, IF(ISNUMBER(VALUE(TRIM(MAIN!G12))), VALUE(TRIM(MAIN!G12)), 0))</f>
        <v>0</v>
      </c>
      <c r="H12">
        <f>IF(ISBLANK(MAIN!H12), 0, IF(ISNUMBER(VALUE(TRIM(MAIN!H12))), VALUE(TRIM(MAIN!H12)), 0))</f>
        <v>0</v>
      </c>
      <c r="I12">
        <f>IF(ISBLANK(MAIN!I12), 0, IF(ISNUMBER(VALUE(TRIM(MAIN!I12))), VALUE(TRIM(MAIN!I12)), 0))</f>
        <v>0</v>
      </c>
      <c r="J12">
        <f>IF(ISBLANK(MAIN!J12), 0, IF(ISNUMBER(VALUE(TRIM(MAIN!J12))), VALUE(TRIM(MAIN!J12)), 0))</f>
        <v>0</v>
      </c>
      <c r="K12" cm="1">
        <f t="array" ref="K12">IFERROR(
    VALUE(
        IFERROR(
            UPPER(
                IF(MAX(IFERROR(SEARCH("WD",MAIN!G12:J12), 0))&gt;0, "WD",
                IF(MAX(IFERROR(SEARCH("NS",MAIN!G12:J12), 0))&gt;0, "NS",
                IF(MAX(IFERROR(SEARCH("NC",MAIN!G12:J12), 0))&gt;0, "NC",
                IF(MAX(IFERROR(SEARCH("DQ",MAIN!G12:J12), 0))&gt;0, "DQ",
                IF(ISNUMBER(SEARCH("WD",MAIN!K12)), "WD",
                IF(ISNUMBER(SEARCH("NS",MAIN!K12)), "NS",
                IF(ISNUMBER(SEARCH("NC",MAIN!K12)), "NC",
                IF(ISNUMBER(SEARCH("DQ",MAIN!K12)), "DQ",
                IF(ISNUMBER(SEARCH("A",MAIN!K12)), 0,
                IF(OR(MAIN!K12=0,MAIN!K12=""), 0, --TRIM(MAIN!K12)))))))))))),
            0
        )
    ),
    IFERROR(
        UPPER(
            IF(MAX(IFERROR(SEARCH("WD",MAIN!G12:J12), 0))&gt;0, "WD",
            IF(MAX(IFERROR(SEARCH("NS",MAIN!G12:J12), 0))&gt;0, "NS",
            IF(MAX(IFERROR(SEARCH("NC",MAIN!G12:J12), 0))&gt;0, "NC",
            IF(MAX(IFERROR(SEARCH("DQ",MAIN!G12:J12), 0))&gt;0, "DQ",
            IF(ISNUMBER(SEARCH("WD",MAIN!K12)), "WD",
            IF(ISNUMBER(SEARCH("NS",MAIN!K12)), "NS",
            IF(ISNUMBER(SEARCH("NC",MAIN!K12)), "NC",
            IF(ISNUMBER(SEARCH("DQ",MAIN!K12)), "DQ",
            IF(ISNUMBER(SEARCH("A",MAIN!K12)), 0,
            IF(OR(MAIN!K12=0,MAIN!K12=""), 0, --TRIM(MAIN!K12)))))))))))),
        0
    )
)</f>
        <v>0</v>
      </c>
    </row>
    <row r="13" spans="1:11" x14ac:dyDescent="0.25">
      <c r="A13" t="str">
        <f>IF(ISBLANK(MAIN!A13), "--", IFERROR(PROPER(SUBSTITUTE(SUBSTITUTE(SUBSTITUTE(SUBSTITUTE(SUBSTITUTE(SUBSTITUTE(SUBSTITUTE(SUBSTITUTE(SUBSTITUTE(SUBSTITUTE(LEFT(MAIN!A13, FIND(",",MAIN!A13) -1), "0", ""), "1", ""), "2", ""), "3", ""), "4", ""), "5", ""), "6", ""), "7", ""), "8", ""), "9", "")), PROPER(SUBSTITUTE(SUBSTITUTE(SUBSTITUTE(SUBSTITUTE(SUBSTITUTE(SUBSTITUTE(SUBSTITUTE(SUBSTITUTE(SUBSTITUTE(SUBSTITUTE(MAIN!A13, "0", ""), "1", ""), "2", ""), "3", ""), "4", ""), "5", ""), "6", ""), "7", ""), "8", ""), "9", ""))))</f>
        <v>--</v>
      </c>
      <c r="B13" t="str">
        <f>IF(ISBLANK(MAIN!B13), "--", IFERROR(PROPER(SUBSTITUTE(SUBSTITUTE(SUBSTITUTE(SUBSTITUTE(SUBSTITUTE(SUBSTITUTE(SUBSTITUTE(SUBSTITUTE(SUBSTITUTE(SUBSTITUTE(LEFT(MAIN!B13, FIND(",",MAIN!B13) -1), "0", ""), "1", ""), "2", ""), "3", ""), "4", ""), "5", ""), "6", ""), "7", ""), "8", ""), "9", "")), PROPER(SUBSTITUTE(SUBSTITUTE(SUBSTITUTE(SUBSTITUTE(SUBSTITUTE(SUBSTITUTE(SUBSTITUTE(SUBSTITUTE(SUBSTITUTE(SUBSTITUTE(MAIN!B13, "0", ""), "1", ""), "2", ""), "3", ""), "4", ""), "5", ""), "6", ""), "7", ""), "8", ""), "9", ""))))</f>
        <v>--</v>
      </c>
      <c r="C13" t="str">
        <f>IF(ISBLANK(MAIN!C13), "--", IFERROR(PROPER(SUBSTITUTE(SUBSTITUTE(SUBSTITUTE(SUBSTITUTE(SUBSTITUTE(SUBSTITUTE(SUBSTITUTE(SUBSTITUTE(SUBSTITUTE(SUBSTITUTE(LEFT(MAIN!C13, FIND(",",MAIN!C13) -1), "0", ""), "1", ""), "2", ""), "3", ""), "4", ""), "5", ""), "6", ""), "7", ""), "8", ""), "9", "")), PROPER(SUBSTITUTE(SUBSTITUTE(SUBSTITUTE(SUBSTITUTE(SUBSTITUTE(SUBSTITUTE(SUBSTITUTE(SUBSTITUTE(SUBSTITUTE(SUBSTITUTE(MAIN!C13, "0", ""), "1", ""), "2", ""), "3", ""), "4", ""), "5", ""), "6", ""), "7", ""), "8", ""), "9", ""))))</f>
        <v>--</v>
      </c>
      <c r="D13" t="str">
        <f>IF(ISBLANK(MAIN!D13), "--", IF(ISNUMBER(MATCH(SUBSTITUTE(LEFT(MAIN!D13, IFERROR(FIND(",", MAIN!D13)-1, LEN(MAIN!D13))), " ", ""), lookup_values!$B$2:$B$51, 0)), UPPER(SUBSTITUTE(LEFT(MAIN!D13, IFERROR(FIND(",", MAIN!D13)-1, LEN(MAIN!D13))), " ", "")), IF(ISNA(VLOOKUP(SUBSTITUTE(LEFT(MAIN!D13, IFERROR(FIND(",", MAIN!D13)-1, LEN(MAIN!D13))), " ", ""), lookup_values!$A$2:$B$51, 2, FALSE)), "--", VLOOKUP(SUBSTITUTE(LEFT(MAIN!D13, IFERROR(FIND(",", MAIN!D13)-1, LEN(MAIN!D13))), " ", ""), lookup_values!$A$2:$B$51, 2, FALSE))))</f>
        <v>--</v>
      </c>
      <c r="E13" t="str">
        <f>IF(CLEAN_DATA!D13&lt;&gt;"--","US",IF(ISBLANK(MAIN!E13), "--", IF(ISNUMBER(MATCH(SUBSTITUTE(LEFT(MAIN!E13, IFERROR(FIND(",", MAIN!E13)-1, LEN(MAIN!E13))), " ", ""), lookup_values!$E$2:$E$197, 0)), UPPER(SUBSTITUTE(LEFT(MAIN!E13, IFERROR(FIND(",", MAIN!E13)-1, LEN(MAIN!E13))), " ", "")), IF(ISNA(VLOOKUP(SUBSTITUTE(LEFT(MAIN!E13, IFERROR(FIND(",", MAIN!E13)-1, LEN(MAIN!E13))), " ", ""), lookup_values!$D$2:$E$197, 2, FALSE)), "--", VLOOKUP(SUBSTITUTE(LEFT(MAIN!E13, IFERROR(FIND(",", MAIN!E13)-1, LEN(MAIN!E13))), " ", ""), lookup_values!$D$2:$E$197, 2, FALSE)))))</f>
        <v>--</v>
      </c>
      <c r="F13" t="str">
        <f>IF(ISBLANK(MAIN!F13), "", IF(AND(ISNUMBER(VALUE(TRIM(MAIN!F13))), LEN(TRIM(MAIN!F13))=4), VALUE(TRIM(MAIN!F13)), ""))</f>
        <v/>
      </c>
      <c r="G13">
        <f>IF(ISBLANK(MAIN!G13), 0, IF(ISNUMBER(VALUE(TRIM(MAIN!G13))), VALUE(TRIM(MAIN!G13)), 0))</f>
        <v>0</v>
      </c>
      <c r="H13">
        <f>IF(ISBLANK(MAIN!H13), 0, IF(ISNUMBER(VALUE(TRIM(MAIN!H13))), VALUE(TRIM(MAIN!H13)), 0))</f>
        <v>0</v>
      </c>
      <c r="I13">
        <f>IF(ISBLANK(MAIN!I13), 0, IF(ISNUMBER(VALUE(TRIM(MAIN!I13))), VALUE(TRIM(MAIN!I13)), 0))</f>
        <v>0</v>
      </c>
      <c r="J13">
        <f>IF(ISBLANK(MAIN!J13), 0, IF(ISNUMBER(VALUE(TRIM(MAIN!J13))), VALUE(TRIM(MAIN!J13)), 0))</f>
        <v>0</v>
      </c>
      <c r="K13" cm="1">
        <f t="array" ref="K13">IFERROR(
    VALUE(
        IFERROR(
            UPPER(
                IF(MAX(IFERROR(SEARCH("WD",MAIN!G13:J13), 0))&gt;0, "WD",
                IF(MAX(IFERROR(SEARCH("NS",MAIN!G13:J13), 0))&gt;0, "NS",
                IF(MAX(IFERROR(SEARCH("NC",MAIN!G13:J13), 0))&gt;0, "NC",
                IF(MAX(IFERROR(SEARCH("DQ",MAIN!G13:J13), 0))&gt;0, "DQ",
                IF(ISNUMBER(SEARCH("WD",MAIN!K13)), "WD",
                IF(ISNUMBER(SEARCH("NS",MAIN!K13)), "NS",
                IF(ISNUMBER(SEARCH("NC",MAIN!K13)), "NC",
                IF(ISNUMBER(SEARCH("DQ",MAIN!K13)), "DQ",
                IF(ISNUMBER(SEARCH("A",MAIN!K13)), 0,
                IF(OR(MAIN!K13=0,MAIN!K13=""), 0, --TRIM(MAIN!K13)))))))))))),
            0
        )
    ),
    IFERROR(
        UPPER(
            IF(MAX(IFERROR(SEARCH("WD",MAIN!G13:J13), 0))&gt;0, "WD",
            IF(MAX(IFERROR(SEARCH("NS",MAIN!G13:J13), 0))&gt;0, "NS",
            IF(MAX(IFERROR(SEARCH("NC",MAIN!G13:J13), 0))&gt;0, "NC",
            IF(MAX(IFERROR(SEARCH("DQ",MAIN!G13:J13), 0))&gt;0, "DQ",
            IF(ISNUMBER(SEARCH("WD",MAIN!K13)), "WD",
            IF(ISNUMBER(SEARCH("NS",MAIN!K13)), "NS",
            IF(ISNUMBER(SEARCH("NC",MAIN!K13)), "NC",
            IF(ISNUMBER(SEARCH("DQ",MAIN!K13)), "DQ",
            IF(ISNUMBER(SEARCH("A",MAIN!K13)), 0,
            IF(OR(MAIN!K13=0,MAIN!K13=""), 0, --TRIM(MAIN!K13)))))))))))),
        0
    )
)</f>
        <v>0</v>
      </c>
    </row>
    <row r="14" spans="1:11" x14ac:dyDescent="0.25">
      <c r="A14" t="str">
        <f>IF(ISBLANK(MAIN!A14), "--", IFERROR(PROPER(SUBSTITUTE(SUBSTITUTE(SUBSTITUTE(SUBSTITUTE(SUBSTITUTE(SUBSTITUTE(SUBSTITUTE(SUBSTITUTE(SUBSTITUTE(SUBSTITUTE(LEFT(MAIN!A14, FIND(",",MAIN!A14) -1), "0", ""), "1", ""), "2", ""), "3", ""), "4", ""), "5", ""), "6", ""), "7", ""), "8", ""), "9", "")), PROPER(SUBSTITUTE(SUBSTITUTE(SUBSTITUTE(SUBSTITUTE(SUBSTITUTE(SUBSTITUTE(SUBSTITUTE(SUBSTITUTE(SUBSTITUTE(SUBSTITUTE(MAIN!A14, "0", ""), "1", ""), "2", ""), "3", ""), "4", ""), "5", ""), "6", ""), "7", ""), "8", ""), "9", ""))))</f>
        <v>--</v>
      </c>
      <c r="B14" t="str">
        <f>IF(ISBLANK(MAIN!B14), "--", IFERROR(PROPER(SUBSTITUTE(SUBSTITUTE(SUBSTITUTE(SUBSTITUTE(SUBSTITUTE(SUBSTITUTE(SUBSTITUTE(SUBSTITUTE(SUBSTITUTE(SUBSTITUTE(LEFT(MAIN!B14, FIND(",",MAIN!B14) -1), "0", ""), "1", ""), "2", ""), "3", ""), "4", ""), "5", ""), "6", ""), "7", ""), "8", ""), "9", "")), PROPER(SUBSTITUTE(SUBSTITUTE(SUBSTITUTE(SUBSTITUTE(SUBSTITUTE(SUBSTITUTE(SUBSTITUTE(SUBSTITUTE(SUBSTITUTE(SUBSTITUTE(MAIN!B14, "0", ""), "1", ""), "2", ""), "3", ""), "4", ""), "5", ""), "6", ""), "7", ""), "8", ""), "9", ""))))</f>
        <v>--</v>
      </c>
      <c r="C14" t="str">
        <f>IF(ISBLANK(MAIN!C14), "--", IFERROR(PROPER(SUBSTITUTE(SUBSTITUTE(SUBSTITUTE(SUBSTITUTE(SUBSTITUTE(SUBSTITUTE(SUBSTITUTE(SUBSTITUTE(SUBSTITUTE(SUBSTITUTE(LEFT(MAIN!C14, FIND(",",MAIN!C14) -1), "0", ""), "1", ""), "2", ""), "3", ""), "4", ""), "5", ""), "6", ""), "7", ""), "8", ""), "9", "")), PROPER(SUBSTITUTE(SUBSTITUTE(SUBSTITUTE(SUBSTITUTE(SUBSTITUTE(SUBSTITUTE(SUBSTITUTE(SUBSTITUTE(SUBSTITUTE(SUBSTITUTE(MAIN!C14, "0", ""), "1", ""), "2", ""), "3", ""), "4", ""), "5", ""), "6", ""), "7", ""), "8", ""), "9", ""))))</f>
        <v>--</v>
      </c>
      <c r="D14" t="str">
        <f>IF(ISBLANK(MAIN!D14), "--", IF(ISNUMBER(MATCH(SUBSTITUTE(LEFT(MAIN!D14, IFERROR(FIND(",", MAIN!D14)-1, LEN(MAIN!D14))), " ", ""), lookup_values!$B$2:$B$51, 0)), UPPER(SUBSTITUTE(LEFT(MAIN!D14, IFERROR(FIND(",", MAIN!D14)-1, LEN(MAIN!D14))), " ", "")), IF(ISNA(VLOOKUP(SUBSTITUTE(LEFT(MAIN!D14, IFERROR(FIND(",", MAIN!D14)-1, LEN(MAIN!D14))), " ", ""), lookup_values!$A$2:$B$51, 2, FALSE)), "--", VLOOKUP(SUBSTITUTE(LEFT(MAIN!D14, IFERROR(FIND(",", MAIN!D14)-1, LEN(MAIN!D14))), " ", ""), lookup_values!$A$2:$B$51, 2, FALSE))))</f>
        <v>--</v>
      </c>
      <c r="E14" t="str">
        <f>IF(CLEAN_DATA!D14&lt;&gt;"--","US",IF(ISBLANK(MAIN!E14), "--", IF(ISNUMBER(MATCH(SUBSTITUTE(LEFT(MAIN!E14, IFERROR(FIND(",", MAIN!E14)-1, LEN(MAIN!E14))), " ", ""), lookup_values!$E$2:$E$197, 0)), UPPER(SUBSTITUTE(LEFT(MAIN!E14, IFERROR(FIND(",", MAIN!E14)-1, LEN(MAIN!E14))), " ", "")), IF(ISNA(VLOOKUP(SUBSTITUTE(LEFT(MAIN!E14, IFERROR(FIND(",", MAIN!E14)-1, LEN(MAIN!E14))), " ", ""), lookup_values!$D$2:$E$197, 2, FALSE)), "--", VLOOKUP(SUBSTITUTE(LEFT(MAIN!E14, IFERROR(FIND(",", MAIN!E14)-1, LEN(MAIN!E14))), " ", ""), lookup_values!$D$2:$E$197, 2, FALSE)))))</f>
        <v>--</v>
      </c>
      <c r="F14" t="str">
        <f>IF(ISBLANK(MAIN!F14), "", IF(AND(ISNUMBER(VALUE(TRIM(MAIN!F14))), LEN(TRIM(MAIN!F14))=4), VALUE(TRIM(MAIN!F14)), ""))</f>
        <v/>
      </c>
      <c r="G14">
        <f>IF(ISBLANK(MAIN!G14), 0, IF(ISNUMBER(VALUE(TRIM(MAIN!G14))), VALUE(TRIM(MAIN!G14)), 0))</f>
        <v>0</v>
      </c>
      <c r="H14">
        <f>IF(ISBLANK(MAIN!H14), 0, IF(ISNUMBER(VALUE(TRIM(MAIN!H14))), VALUE(TRIM(MAIN!H14)), 0))</f>
        <v>0</v>
      </c>
      <c r="I14">
        <f>IF(ISBLANK(MAIN!I14), 0, IF(ISNUMBER(VALUE(TRIM(MAIN!I14))), VALUE(TRIM(MAIN!I14)), 0))</f>
        <v>0</v>
      </c>
      <c r="J14">
        <f>IF(ISBLANK(MAIN!J14), 0, IF(ISNUMBER(VALUE(TRIM(MAIN!J14))), VALUE(TRIM(MAIN!J14)), 0))</f>
        <v>0</v>
      </c>
      <c r="K14" cm="1">
        <f t="array" ref="K14">IFERROR(
    VALUE(
        IFERROR(
            UPPER(
                IF(MAX(IFERROR(SEARCH("WD",MAIN!G14:J14), 0))&gt;0, "WD",
                IF(MAX(IFERROR(SEARCH("NS",MAIN!G14:J14), 0))&gt;0, "NS",
                IF(MAX(IFERROR(SEARCH("NC",MAIN!G14:J14), 0))&gt;0, "NC",
                IF(MAX(IFERROR(SEARCH("DQ",MAIN!G14:J14), 0))&gt;0, "DQ",
                IF(ISNUMBER(SEARCH("WD",MAIN!K14)), "WD",
                IF(ISNUMBER(SEARCH("NS",MAIN!K14)), "NS",
                IF(ISNUMBER(SEARCH("NC",MAIN!K14)), "NC",
                IF(ISNUMBER(SEARCH("DQ",MAIN!K14)), "DQ",
                IF(ISNUMBER(SEARCH("A",MAIN!K14)), 0,
                IF(OR(MAIN!K14=0,MAIN!K14=""), 0, --TRIM(MAIN!K14)))))))))))),
            0
        )
    ),
    IFERROR(
        UPPER(
            IF(MAX(IFERROR(SEARCH("WD",MAIN!G14:J14), 0))&gt;0, "WD",
            IF(MAX(IFERROR(SEARCH("NS",MAIN!G14:J14), 0))&gt;0, "NS",
            IF(MAX(IFERROR(SEARCH("NC",MAIN!G14:J14), 0))&gt;0, "NC",
            IF(MAX(IFERROR(SEARCH("DQ",MAIN!G14:J14), 0))&gt;0, "DQ",
            IF(ISNUMBER(SEARCH("WD",MAIN!K14)), "WD",
            IF(ISNUMBER(SEARCH("NS",MAIN!K14)), "NS",
            IF(ISNUMBER(SEARCH("NC",MAIN!K14)), "NC",
            IF(ISNUMBER(SEARCH("DQ",MAIN!K14)), "DQ",
            IF(ISNUMBER(SEARCH("A",MAIN!K14)), 0,
            IF(OR(MAIN!K14=0,MAIN!K14=""), 0, --TRIM(MAIN!K14)))))))))))),
        0
    )
)</f>
        <v>0</v>
      </c>
    </row>
    <row r="15" spans="1:11" x14ac:dyDescent="0.25">
      <c r="A15" t="str">
        <f>IF(ISBLANK(MAIN!A15), "--", IFERROR(PROPER(SUBSTITUTE(SUBSTITUTE(SUBSTITUTE(SUBSTITUTE(SUBSTITUTE(SUBSTITUTE(SUBSTITUTE(SUBSTITUTE(SUBSTITUTE(SUBSTITUTE(LEFT(MAIN!A15, FIND(",",MAIN!A15) -1), "0", ""), "1", ""), "2", ""), "3", ""), "4", ""), "5", ""), "6", ""), "7", ""), "8", ""), "9", "")), PROPER(SUBSTITUTE(SUBSTITUTE(SUBSTITUTE(SUBSTITUTE(SUBSTITUTE(SUBSTITUTE(SUBSTITUTE(SUBSTITUTE(SUBSTITUTE(SUBSTITUTE(MAIN!A15, "0", ""), "1", ""), "2", ""), "3", ""), "4", ""), "5", ""), "6", ""), "7", ""), "8", ""), "9", ""))))</f>
        <v>--</v>
      </c>
      <c r="B15" t="str">
        <f>IF(ISBLANK(MAIN!B15), "--", IFERROR(PROPER(SUBSTITUTE(SUBSTITUTE(SUBSTITUTE(SUBSTITUTE(SUBSTITUTE(SUBSTITUTE(SUBSTITUTE(SUBSTITUTE(SUBSTITUTE(SUBSTITUTE(LEFT(MAIN!B15, FIND(",",MAIN!B15) -1), "0", ""), "1", ""), "2", ""), "3", ""), "4", ""), "5", ""), "6", ""), "7", ""), "8", ""), "9", "")), PROPER(SUBSTITUTE(SUBSTITUTE(SUBSTITUTE(SUBSTITUTE(SUBSTITUTE(SUBSTITUTE(SUBSTITUTE(SUBSTITUTE(SUBSTITUTE(SUBSTITUTE(MAIN!B15, "0", ""), "1", ""), "2", ""), "3", ""), "4", ""), "5", ""), "6", ""), "7", ""), "8", ""), "9", ""))))</f>
        <v>--</v>
      </c>
      <c r="C15" t="str">
        <f>IF(ISBLANK(MAIN!C15), "--", IFERROR(PROPER(SUBSTITUTE(SUBSTITUTE(SUBSTITUTE(SUBSTITUTE(SUBSTITUTE(SUBSTITUTE(SUBSTITUTE(SUBSTITUTE(SUBSTITUTE(SUBSTITUTE(LEFT(MAIN!C15, FIND(",",MAIN!C15) -1), "0", ""), "1", ""), "2", ""), "3", ""), "4", ""), "5", ""), "6", ""), "7", ""), "8", ""), "9", "")), PROPER(SUBSTITUTE(SUBSTITUTE(SUBSTITUTE(SUBSTITUTE(SUBSTITUTE(SUBSTITUTE(SUBSTITUTE(SUBSTITUTE(SUBSTITUTE(SUBSTITUTE(MAIN!C15, "0", ""), "1", ""), "2", ""), "3", ""), "4", ""), "5", ""), "6", ""), "7", ""), "8", ""), "9", ""))))</f>
        <v>--</v>
      </c>
      <c r="D15" t="str">
        <f>IF(ISBLANK(MAIN!D15), "--", IF(ISNUMBER(MATCH(SUBSTITUTE(LEFT(MAIN!D15, IFERROR(FIND(",", MAIN!D15)-1, LEN(MAIN!D15))), " ", ""), lookup_values!$B$2:$B$51, 0)), UPPER(SUBSTITUTE(LEFT(MAIN!D15, IFERROR(FIND(",", MAIN!D15)-1, LEN(MAIN!D15))), " ", "")), IF(ISNA(VLOOKUP(SUBSTITUTE(LEFT(MAIN!D15, IFERROR(FIND(",", MAIN!D15)-1, LEN(MAIN!D15))), " ", ""), lookup_values!$A$2:$B$51, 2, FALSE)), "--", VLOOKUP(SUBSTITUTE(LEFT(MAIN!D15, IFERROR(FIND(",", MAIN!D15)-1, LEN(MAIN!D15))), " ", ""), lookup_values!$A$2:$B$51, 2, FALSE))))</f>
        <v>--</v>
      </c>
      <c r="E15" t="str">
        <f>IF(CLEAN_DATA!D15&lt;&gt;"--","US",IF(ISBLANK(MAIN!E15), "--", IF(ISNUMBER(MATCH(SUBSTITUTE(LEFT(MAIN!E15, IFERROR(FIND(",", MAIN!E15)-1, LEN(MAIN!E15))), " ", ""), lookup_values!$E$2:$E$197, 0)), UPPER(SUBSTITUTE(LEFT(MAIN!E15, IFERROR(FIND(",", MAIN!E15)-1, LEN(MAIN!E15))), " ", "")), IF(ISNA(VLOOKUP(SUBSTITUTE(LEFT(MAIN!E15, IFERROR(FIND(",", MAIN!E15)-1, LEN(MAIN!E15))), " ", ""), lookup_values!$D$2:$E$197, 2, FALSE)), "--", VLOOKUP(SUBSTITUTE(LEFT(MAIN!E15, IFERROR(FIND(",", MAIN!E15)-1, LEN(MAIN!E15))), " ", ""), lookup_values!$D$2:$E$197, 2, FALSE)))))</f>
        <v>--</v>
      </c>
      <c r="F15" t="str">
        <f>IF(ISBLANK(MAIN!F15), "", IF(AND(ISNUMBER(VALUE(TRIM(MAIN!F15))), LEN(TRIM(MAIN!F15))=4), VALUE(TRIM(MAIN!F15)), ""))</f>
        <v/>
      </c>
      <c r="G15">
        <f>IF(ISBLANK(MAIN!G15), 0, IF(ISNUMBER(VALUE(TRIM(MAIN!G15))), VALUE(TRIM(MAIN!G15)), 0))</f>
        <v>0</v>
      </c>
      <c r="H15">
        <f>IF(ISBLANK(MAIN!H15), 0, IF(ISNUMBER(VALUE(TRIM(MAIN!H15))), VALUE(TRIM(MAIN!H15)), 0))</f>
        <v>0</v>
      </c>
      <c r="I15">
        <f>IF(ISBLANK(MAIN!I15), 0, IF(ISNUMBER(VALUE(TRIM(MAIN!I15))), VALUE(TRIM(MAIN!I15)), 0))</f>
        <v>0</v>
      </c>
      <c r="J15">
        <f>IF(ISBLANK(MAIN!J15), 0, IF(ISNUMBER(VALUE(TRIM(MAIN!J15))), VALUE(TRIM(MAIN!J15)), 0))</f>
        <v>0</v>
      </c>
      <c r="K15" cm="1">
        <f t="array" ref="K15">IFERROR(
    VALUE(
        IFERROR(
            UPPER(
                IF(MAX(IFERROR(SEARCH("WD",MAIN!G15:J15), 0))&gt;0, "WD",
                IF(MAX(IFERROR(SEARCH("NS",MAIN!G15:J15), 0))&gt;0, "NS",
                IF(MAX(IFERROR(SEARCH("NC",MAIN!G15:J15), 0))&gt;0, "NC",
                IF(MAX(IFERROR(SEARCH("DQ",MAIN!G15:J15), 0))&gt;0, "DQ",
                IF(ISNUMBER(SEARCH("WD",MAIN!K15)), "WD",
                IF(ISNUMBER(SEARCH("NS",MAIN!K15)), "NS",
                IF(ISNUMBER(SEARCH("NC",MAIN!K15)), "NC",
                IF(ISNUMBER(SEARCH("DQ",MAIN!K15)), "DQ",
                IF(ISNUMBER(SEARCH("A",MAIN!K15)), 0,
                IF(OR(MAIN!K15=0,MAIN!K15=""), 0, --TRIM(MAIN!K15)))))))))))),
            0
        )
    ),
    IFERROR(
        UPPER(
            IF(MAX(IFERROR(SEARCH("WD",MAIN!G15:J15), 0))&gt;0, "WD",
            IF(MAX(IFERROR(SEARCH("NS",MAIN!G15:J15), 0))&gt;0, "NS",
            IF(MAX(IFERROR(SEARCH("NC",MAIN!G15:J15), 0))&gt;0, "NC",
            IF(MAX(IFERROR(SEARCH("DQ",MAIN!G15:J15), 0))&gt;0, "DQ",
            IF(ISNUMBER(SEARCH("WD",MAIN!K15)), "WD",
            IF(ISNUMBER(SEARCH("NS",MAIN!K15)), "NS",
            IF(ISNUMBER(SEARCH("NC",MAIN!K15)), "NC",
            IF(ISNUMBER(SEARCH("DQ",MAIN!K15)), "DQ",
            IF(ISNUMBER(SEARCH("A",MAIN!K15)), 0,
            IF(OR(MAIN!K15=0,MAIN!K15=""), 0, --TRIM(MAIN!K15)))))))))))),
        0
    )
)</f>
        <v>0</v>
      </c>
    </row>
    <row r="16" spans="1:11" x14ac:dyDescent="0.25">
      <c r="A16" t="str">
        <f>IF(ISBLANK(MAIN!A16), "--", IFERROR(PROPER(SUBSTITUTE(SUBSTITUTE(SUBSTITUTE(SUBSTITUTE(SUBSTITUTE(SUBSTITUTE(SUBSTITUTE(SUBSTITUTE(SUBSTITUTE(SUBSTITUTE(LEFT(MAIN!A16, FIND(",",MAIN!A16) -1), "0", ""), "1", ""), "2", ""), "3", ""), "4", ""), "5", ""), "6", ""), "7", ""), "8", ""), "9", "")), PROPER(SUBSTITUTE(SUBSTITUTE(SUBSTITUTE(SUBSTITUTE(SUBSTITUTE(SUBSTITUTE(SUBSTITUTE(SUBSTITUTE(SUBSTITUTE(SUBSTITUTE(MAIN!A16, "0", ""), "1", ""), "2", ""), "3", ""), "4", ""), "5", ""), "6", ""), "7", ""), "8", ""), "9", ""))))</f>
        <v>--</v>
      </c>
      <c r="B16" t="str">
        <f>IF(ISBLANK(MAIN!B16), "--", IFERROR(PROPER(SUBSTITUTE(SUBSTITUTE(SUBSTITUTE(SUBSTITUTE(SUBSTITUTE(SUBSTITUTE(SUBSTITUTE(SUBSTITUTE(SUBSTITUTE(SUBSTITUTE(LEFT(MAIN!B16, FIND(",",MAIN!B16) -1), "0", ""), "1", ""), "2", ""), "3", ""), "4", ""), "5", ""), "6", ""), "7", ""), "8", ""), "9", "")), PROPER(SUBSTITUTE(SUBSTITUTE(SUBSTITUTE(SUBSTITUTE(SUBSTITUTE(SUBSTITUTE(SUBSTITUTE(SUBSTITUTE(SUBSTITUTE(SUBSTITUTE(MAIN!B16, "0", ""), "1", ""), "2", ""), "3", ""), "4", ""), "5", ""), "6", ""), "7", ""), "8", ""), "9", ""))))</f>
        <v>--</v>
      </c>
      <c r="C16" t="str">
        <f>IF(ISBLANK(MAIN!C16), "--", IFERROR(PROPER(SUBSTITUTE(SUBSTITUTE(SUBSTITUTE(SUBSTITUTE(SUBSTITUTE(SUBSTITUTE(SUBSTITUTE(SUBSTITUTE(SUBSTITUTE(SUBSTITUTE(LEFT(MAIN!C16, FIND(",",MAIN!C16) -1), "0", ""), "1", ""), "2", ""), "3", ""), "4", ""), "5", ""), "6", ""), "7", ""), "8", ""), "9", "")), PROPER(SUBSTITUTE(SUBSTITUTE(SUBSTITUTE(SUBSTITUTE(SUBSTITUTE(SUBSTITUTE(SUBSTITUTE(SUBSTITUTE(SUBSTITUTE(SUBSTITUTE(MAIN!C16, "0", ""), "1", ""), "2", ""), "3", ""), "4", ""), "5", ""), "6", ""), "7", ""), "8", ""), "9", ""))))</f>
        <v>--</v>
      </c>
      <c r="D16" t="str">
        <f>IF(ISBLANK(MAIN!D16), "--", IF(ISNUMBER(MATCH(SUBSTITUTE(LEFT(MAIN!D16, IFERROR(FIND(",", MAIN!D16)-1, LEN(MAIN!D16))), " ", ""), lookup_values!$B$2:$B$51, 0)), UPPER(SUBSTITUTE(LEFT(MAIN!D16, IFERROR(FIND(",", MAIN!D16)-1, LEN(MAIN!D16))), " ", "")), IF(ISNA(VLOOKUP(SUBSTITUTE(LEFT(MAIN!D16, IFERROR(FIND(",", MAIN!D16)-1, LEN(MAIN!D16))), " ", ""), lookup_values!$A$2:$B$51, 2, FALSE)), "--", VLOOKUP(SUBSTITUTE(LEFT(MAIN!D16, IFERROR(FIND(",", MAIN!D16)-1, LEN(MAIN!D16))), " ", ""), lookup_values!$A$2:$B$51, 2, FALSE))))</f>
        <v>--</v>
      </c>
      <c r="E16" t="str">
        <f>IF(CLEAN_DATA!D16&lt;&gt;"--","US",IF(ISBLANK(MAIN!E16), "--", IF(ISNUMBER(MATCH(SUBSTITUTE(LEFT(MAIN!E16, IFERROR(FIND(",", MAIN!E16)-1, LEN(MAIN!E16))), " ", ""), lookup_values!$E$2:$E$197, 0)), UPPER(SUBSTITUTE(LEFT(MAIN!E16, IFERROR(FIND(",", MAIN!E16)-1, LEN(MAIN!E16))), " ", "")), IF(ISNA(VLOOKUP(SUBSTITUTE(LEFT(MAIN!E16, IFERROR(FIND(",", MAIN!E16)-1, LEN(MAIN!E16))), " ", ""), lookup_values!$D$2:$E$197, 2, FALSE)), "--", VLOOKUP(SUBSTITUTE(LEFT(MAIN!E16, IFERROR(FIND(",", MAIN!E16)-1, LEN(MAIN!E16))), " ", ""), lookup_values!$D$2:$E$197, 2, FALSE)))))</f>
        <v>--</v>
      </c>
      <c r="F16" t="str">
        <f>IF(ISBLANK(MAIN!F16), "", IF(AND(ISNUMBER(VALUE(TRIM(MAIN!F16))), LEN(TRIM(MAIN!F16))=4), VALUE(TRIM(MAIN!F16)), ""))</f>
        <v/>
      </c>
      <c r="G16">
        <f>IF(ISBLANK(MAIN!G16), 0, IF(ISNUMBER(VALUE(TRIM(MAIN!G16))), VALUE(TRIM(MAIN!G16)), 0))</f>
        <v>0</v>
      </c>
      <c r="H16">
        <f>IF(ISBLANK(MAIN!H16), 0, IF(ISNUMBER(VALUE(TRIM(MAIN!H16))), VALUE(TRIM(MAIN!H16)), 0))</f>
        <v>0</v>
      </c>
      <c r="I16">
        <f>IF(ISBLANK(MAIN!I16), 0, IF(ISNUMBER(VALUE(TRIM(MAIN!I16))), VALUE(TRIM(MAIN!I16)), 0))</f>
        <v>0</v>
      </c>
      <c r="J16">
        <f>IF(ISBLANK(MAIN!J16), 0, IF(ISNUMBER(VALUE(TRIM(MAIN!J16))), VALUE(TRIM(MAIN!J16)), 0))</f>
        <v>0</v>
      </c>
      <c r="K16" cm="1">
        <f t="array" ref="K16">IFERROR(
    VALUE(
        IFERROR(
            UPPER(
                IF(MAX(IFERROR(SEARCH("WD",MAIN!G16:J16), 0))&gt;0, "WD",
                IF(MAX(IFERROR(SEARCH("NS",MAIN!G16:J16), 0))&gt;0, "NS",
                IF(MAX(IFERROR(SEARCH("NC",MAIN!G16:J16), 0))&gt;0, "NC",
                IF(MAX(IFERROR(SEARCH("DQ",MAIN!G16:J16), 0))&gt;0, "DQ",
                IF(ISNUMBER(SEARCH("WD",MAIN!K16)), "WD",
                IF(ISNUMBER(SEARCH("NS",MAIN!K16)), "NS",
                IF(ISNUMBER(SEARCH("NC",MAIN!K16)), "NC",
                IF(ISNUMBER(SEARCH("DQ",MAIN!K16)), "DQ",
                IF(ISNUMBER(SEARCH("A",MAIN!K16)), 0,
                IF(OR(MAIN!K16=0,MAIN!K16=""), 0, --TRIM(MAIN!K16)))))))))))),
            0
        )
    ),
    IFERROR(
        UPPER(
            IF(MAX(IFERROR(SEARCH("WD",MAIN!G16:J16), 0))&gt;0, "WD",
            IF(MAX(IFERROR(SEARCH("NS",MAIN!G16:J16), 0))&gt;0, "NS",
            IF(MAX(IFERROR(SEARCH("NC",MAIN!G16:J16), 0))&gt;0, "NC",
            IF(MAX(IFERROR(SEARCH("DQ",MAIN!G16:J16), 0))&gt;0, "DQ",
            IF(ISNUMBER(SEARCH("WD",MAIN!K16)), "WD",
            IF(ISNUMBER(SEARCH("NS",MAIN!K16)), "NS",
            IF(ISNUMBER(SEARCH("NC",MAIN!K16)), "NC",
            IF(ISNUMBER(SEARCH("DQ",MAIN!K16)), "DQ",
            IF(ISNUMBER(SEARCH("A",MAIN!K16)), 0,
            IF(OR(MAIN!K16=0,MAIN!K16=""), 0, --TRIM(MAIN!K16)))))))))))),
        0
    )
)</f>
        <v>0</v>
      </c>
    </row>
    <row r="17" spans="1:11" x14ac:dyDescent="0.25">
      <c r="A17" t="str">
        <f>IF(ISBLANK(MAIN!A17), "--", IFERROR(PROPER(SUBSTITUTE(SUBSTITUTE(SUBSTITUTE(SUBSTITUTE(SUBSTITUTE(SUBSTITUTE(SUBSTITUTE(SUBSTITUTE(SUBSTITUTE(SUBSTITUTE(LEFT(MAIN!A17, FIND(",",MAIN!A17) -1), "0", ""), "1", ""), "2", ""), "3", ""), "4", ""), "5", ""), "6", ""), "7", ""), "8", ""), "9", "")), PROPER(SUBSTITUTE(SUBSTITUTE(SUBSTITUTE(SUBSTITUTE(SUBSTITUTE(SUBSTITUTE(SUBSTITUTE(SUBSTITUTE(SUBSTITUTE(SUBSTITUTE(MAIN!A17, "0", ""), "1", ""), "2", ""), "3", ""), "4", ""), "5", ""), "6", ""), "7", ""), "8", ""), "9", ""))))</f>
        <v>--</v>
      </c>
      <c r="B17" t="str">
        <f>IF(ISBLANK(MAIN!B17), "--", IFERROR(PROPER(SUBSTITUTE(SUBSTITUTE(SUBSTITUTE(SUBSTITUTE(SUBSTITUTE(SUBSTITUTE(SUBSTITUTE(SUBSTITUTE(SUBSTITUTE(SUBSTITUTE(LEFT(MAIN!B17, FIND(",",MAIN!B17) -1), "0", ""), "1", ""), "2", ""), "3", ""), "4", ""), "5", ""), "6", ""), "7", ""), "8", ""), "9", "")), PROPER(SUBSTITUTE(SUBSTITUTE(SUBSTITUTE(SUBSTITUTE(SUBSTITUTE(SUBSTITUTE(SUBSTITUTE(SUBSTITUTE(SUBSTITUTE(SUBSTITUTE(MAIN!B17, "0", ""), "1", ""), "2", ""), "3", ""), "4", ""), "5", ""), "6", ""), "7", ""), "8", ""), "9", ""))))</f>
        <v>--</v>
      </c>
      <c r="C17" t="str">
        <f>IF(ISBLANK(MAIN!C17), "--", IFERROR(PROPER(SUBSTITUTE(SUBSTITUTE(SUBSTITUTE(SUBSTITUTE(SUBSTITUTE(SUBSTITUTE(SUBSTITUTE(SUBSTITUTE(SUBSTITUTE(SUBSTITUTE(LEFT(MAIN!C17, FIND(",",MAIN!C17) -1), "0", ""), "1", ""), "2", ""), "3", ""), "4", ""), "5", ""), "6", ""), "7", ""), "8", ""), "9", "")), PROPER(SUBSTITUTE(SUBSTITUTE(SUBSTITUTE(SUBSTITUTE(SUBSTITUTE(SUBSTITUTE(SUBSTITUTE(SUBSTITUTE(SUBSTITUTE(SUBSTITUTE(MAIN!C17, "0", ""), "1", ""), "2", ""), "3", ""), "4", ""), "5", ""), "6", ""), "7", ""), "8", ""), "9", ""))))</f>
        <v>--</v>
      </c>
      <c r="D17" t="str">
        <f>IF(ISBLANK(MAIN!D17), "--", IF(ISNUMBER(MATCH(SUBSTITUTE(LEFT(MAIN!D17, IFERROR(FIND(",", MAIN!D17)-1, LEN(MAIN!D17))), " ", ""), lookup_values!$B$2:$B$51, 0)), UPPER(SUBSTITUTE(LEFT(MAIN!D17, IFERROR(FIND(",", MAIN!D17)-1, LEN(MAIN!D17))), " ", "")), IF(ISNA(VLOOKUP(SUBSTITUTE(LEFT(MAIN!D17, IFERROR(FIND(",", MAIN!D17)-1, LEN(MAIN!D17))), " ", ""), lookup_values!$A$2:$B$51, 2, FALSE)), "--", VLOOKUP(SUBSTITUTE(LEFT(MAIN!D17, IFERROR(FIND(",", MAIN!D17)-1, LEN(MAIN!D17))), " ", ""), lookup_values!$A$2:$B$51, 2, FALSE))))</f>
        <v>--</v>
      </c>
      <c r="E17" t="str">
        <f>IF(CLEAN_DATA!D17&lt;&gt;"--","US",IF(ISBLANK(MAIN!E17), "--", IF(ISNUMBER(MATCH(SUBSTITUTE(LEFT(MAIN!E17, IFERROR(FIND(",", MAIN!E17)-1, LEN(MAIN!E17))), " ", ""), lookup_values!$E$2:$E$197, 0)), UPPER(SUBSTITUTE(LEFT(MAIN!E17, IFERROR(FIND(",", MAIN!E17)-1, LEN(MAIN!E17))), " ", "")), IF(ISNA(VLOOKUP(SUBSTITUTE(LEFT(MAIN!E17, IFERROR(FIND(",", MAIN!E17)-1, LEN(MAIN!E17))), " ", ""), lookup_values!$D$2:$E$197, 2, FALSE)), "--", VLOOKUP(SUBSTITUTE(LEFT(MAIN!E17, IFERROR(FIND(",", MAIN!E17)-1, LEN(MAIN!E17))), " ", ""), lookup_values!$D$2:$E$197, 2, FALSE)))))</f>
        <v>--</v>
      </c>
      <c r="F17" t="str">
        <f>IF(ISBLANK(MAIN!F17), "", IF(AND(ISNUMBER(VALUE(TRIM(MAIN!F17))), LEN(TRIM(MAIN!F17))=4), VALUE(TRIM(MAIN!F17)), ""))</f>
        <v/>
      </c>
      <c r="G17">
        <f>IF(ISBLANK(MAIN!G17), 0, IF(ISNUMBER(VALUE(TRIM(MAIN!G17))), VALUE(TRIM(MAIN!G17)), 0))</f>
        <v>0</v>
      </c>
      <c r="H17">
        <f>IF(ISBLANK(MAIN!H17), 0, IF(ISNUMBER(VALUE(TRIM(MAIN!H17))), VALUE(TRIM(MAIN!H17)), 0))</f>
        <v>0</v>
      </c>
      <c r="I17">
        <f>IF(ISBLANK(MAIN!I17), 0, IF(ISNUMBER(VALUE(TRIM(MAIN!I17))), VALUE(TRIM(MAIN!I17)), 0))</f>
        <v>0</v>
      </c>
      <c r="J17">
        <f>IF(ISBLANK(MAIN!J17), 0, IF(ISNUMBER(VALUE(TRIM(MAIN!J17))), VALUE(TRIM(MAIN!J17)), 0))</f>
        <v>0</v>
      </c>
      <c r="K17" cm="1">
        <f t="array" ref="K17">IFERROR(
    VALUE(
        IFERROR(
            UPPER(
                IF(MAX(IFERROR(SEARCH("WD",MAIN!G17:J17), 0))&gt;0, "WD",
                IF(MAX(IFERROR(SEARCH("NS",MAIN!G17:J17), 0))&gt;0, "NS",
                IF(MAX(IFERROR(SEARCH("NC",MAIN!G17:J17), 0))&gt;0, "NC",
                IF(MAX(IFERROR(SEARCH("DQ",MAIN!G17:J17), 0))&gt;0, "DQ",
                IF(ISNUMBER(SEARCH("WD",MAIN!K17)), "WD",
                IF(ISNUMBER(SEARCH("NS",MAIN!K17)), "NS",
                IF(ISNUMBER(SEARCH("NC",MAIN!K17)), "NC",
                IF(ISNUMBER(SEARCH("DQ",MAIN!K17)), "DQ",
                IF(ISNUMBER(SEARCH("A",MAIN!K17)), 0,
                IF(OR(MAIN!K17=0,MAIN!K17=""), 0, --TRIM(MAIN!K17)))))))))))),
            0
        )
    ),
    IFERROR(
        UPPER(
            IF(MAX(IFERROR(SEARCH("WD",MAIN!G17:J17), 0))&gt;0, "WD",
            IF(MAX(IFERROR(SEARCH("NS",MAIN!G17:J17), 0))&gt;0, "NS",
            IF(MAX(IFERROR(SEARCH("NC",MAIN!G17:J17), 0))&gt;0, "NC",
            IF(MAX(IFERROR(SEARCH("DQ",MAIN!G17:J17), 0))&gt;0, "DQ",
            IF(ISNUMBER(SEARCH("WD",MAIN!K17)), "WD",
            IF(ISNUMBER(SEARCH("NS",MAIN!K17)), "NS",
            IF(ISNUMBER(SEARCH("NC",MAIN!K17)), "NC",
            IF(ISNUMBER(SEARCH("DQ",MAIN!K17)), "DQ",
            IF(ISNUMBER(SEARCH("A",MAIN!K17)), 0,
            IF(OR(MAIN!K17=0,MAIN!K17=""), 0, --TRIM(MAIN!K17)))))))))))),
        0
    )
)</f>
        <v>0</v>
      </c>
    </row>
    <row r="18" spans="1:11" x14ac:dyDescent="0.25">
      <c r="A18" t="str">
        <f>IF(ISBLANK(MAIN!A18), "--", IFERROR(PROPER(SUBSTITUTE(SUBSTITUTE(SUBSTITUTE(SUBSTITUTE(SUBSTITUTE(SUBSTITUTE(SUBSTITUTE(SUBSTITUTE(SUBSTITUTE(SUBSTITUTE(LEFT(MAIN!A18, FIND(",",MAIN!A18) -1), "0", ""), "1", ""), "2", ""), "3", ""), "4", ""), "5", ""), "6", ""), "7", ""), "8", ""), "9", "")), PROPER(SUBSTITUTE(SUBSTITUTE(SUBSTITUTE(SUBSTITUTE(SUBSTITUTE(SUBSTITUTE(SUBSTITUTE(SUBSTITUTE(SUBSTITUTE(SUBSTITUTE(MAIN!A18, "0", ""), "1", ""), "2", ""), "3", ""), "4", ""), "5", ""), "6", ""), "7", ""), "8", ""), "9", ""))))</f>
        <v>--</v>
      </c>
      <c r="B18" t="str">
        <f>IF(ISBLANK(MAIN!B18), "--", IFERROR(PROPER(SUBSTITUTE(SUBSTITUTE(SUBSTITUTE(SUBSTITUTE(SUBSTITUTE(SUBSTITUTE(SUBSTITUTE(SUBSTITUTE(SUBSTITUTE(SUBSTITUTE(LEFT(MAIN!B18, FIND(",",MAIN!B18) -1), "0", ""), "1", ""), "2", ""), "3", ""), "4", ""), "5", ""), "6", ""), "7", ""), "8", ""), "9", "")), PROPER(SUBSTITUTE(SUBSTITUTE(SUBSTITUTE(SUBSTITUTE(SUBSTITUTE(SUBSTITUTE(SUBSTITUTE(SUBSTITUTE(SUBSTITUTE(SUBSTITUTE(MAIN!B18, "0", ""), "1", ""), "2", ""), "3", ""), "4", ""), "5", ""), "6", ""), "7", ""), "8", ""), "9", ""))))</f>
        <v>--</v>
      </c>
      <c r="C18" t="str">
        <f>IF(ISBLANK(MAIN!C18), "--", IFERROR(PROPER(SUBSTITUTE(SUBSTITUTE(SUBSTITUTE(SUBSTITUTE(SUBSTITUTE(SUBSTITUTE(SUBSTITUTE(SUBSTITUTE(SUBSTITUTE(SUBSTITUTE(LEFT(MAIN!C18, FIND(",",MAIN!C18) -1), "0", ""), "1", ""), "2", ""), "3", ""), "4", ""), "5", ""), "6", ""), "7", ""), "8", ""), "9", "")), PROPER(SUBSTITUTE(SUBSTITUTE(SUBSTITUTE(SUBSTITUTE(SUBSTITUTE(SUBSTITUTE(SUBSTITUTE(SUBSTITUTE(SUBSTITUTE(SUBSTITUTE(MAIN!C18, "0", ""), "1", ""), "2", ""), "3", ""), "4", ""), "5", ""), "6", ""), "7", ""), "8", ""), "9", ""))))</f>
        <v>--</v>
      </c>
      <c r="D18" t="str">
        <f>IF(ISBLANK(MAIN!D18), "--", IF(ISNUMBER(MATCH(SUBSTITUTE(LEFT(MAIN!D18, IFERROR(FIND(",", MAIN!D18)-1, LEN(MAIN!D18))), " ", ""), lookup_values!$B$2:$B$51, 0)), UPPER(SUBSTITUTE(LEFT(MAIN!D18, IFERROR(FIND(",", MAIN!D18)-1, LEN(MAIN!D18))), " ", "")), IF(ISNA(VLOOKUP(SUBSTITUTE(LEFT(MAIN!D18, IFERROR(FIND(",", MAIN!D18)-1, LEN(MAIN!D18))), " ", ""), lookup_values!$A$2:$B$51, 2, FALSE)), "--", VLOOKUP(SUBSTITUTE(LEFT(MAIN!D18, IFERROR(FIND(",", MAIN!D18)-1, LEN(MAIN!D18))), " ", ""), lookup_values!$A$2:$B$51, 2, FALSE))))</f>
        <v>--</v>
      </c>
      <c r="E18" t="str">
        <f>IF(CLEAN_DATA!D18&lt;&gt;"--","US",IF(ISBLANK(MAIN!E18), "--", IF(ISNUMBER(MATCH(SUBSTITUTE(LEFT(MAIN!E18, IFERROR(FIND(",", MAIN!E18)-1, LEN(MAIN!E18))), " ", ""), lookup_values!$E$2:$E$197, 0)), UPPER(SUBSTITUTE(LEFT(MAIN!E18, IFERROR(FIND(",", MAIN!E18)-1, LEN(MAIN!E18))), " ", "")), IF(ISNA(VLOOKUP(SUBSTITUTE(LEFT(MAIN!E18, IFERROR(FIND(",", MAIN!E18)-1, LEN(MAIN!E18))), " ", ""), lookup_values!$D$2:$E$197, 2, FALSE)), "--", VLOOKUP(SUBSTITUTE(LEFT(MAIN!E18, IFERROR(FIND(",", MAIN!E18)-1, LEN(MAIN!E18))), " ", ""), lookup_values!$D$2:$E$197, 2, FALSE)))))</f>
        <v>--</v>
      </c>
      <c r="F18" t="str">
        <f>IF(ISBLANK(MAIN!F18), "", IF(AND(ISNUMBER(VALUE(TRIM(MAIN!F18))), LEN(TRIM(MAIN!F18))=4), VALUE(TRIM(MAIN!F18)), ""))</f>
        <v/>
      </c>
      <c r="G18">
        <f>IF(ISBLANK(MAIN!G18), 0, IF(ISNUMBER(VALUE(TRIM(MAIN!G18))), VALUE(TRIM(MAIN!G18)), 0))</f>
        <v>0</v>
      </c>
      <c r="H18">
        <f>IF(ISBLANK(MAIN!H18), 0, IF(ISNUMBER(VALUE(TRIM(MAIN!H18))), VALUE(TRIM(MAIN!H18)), 0))</f>
        <v>0</v>
      </c>
      <c r="I18">
        <f>IF(ISBLANK(MAIN!I18), 0, IF(ISNUMBER(VALUE(TRIM(MAIN!I18))), VALUE(TRIM(MAIN!I18)), 0))</f>
        <v>0</v>
      </c>
      <c r="J18">
        <f>IF(ISBLANK(MAIN!J18), 0, IF(ISNUMBER(VALUE(TRIM(MAIN!J18))), VALUE(TRIM(MAIN!J18)), 0))</f>
        <v>0</v>
      </c>
      <c r="K18" cm="1">
        <f t="array" ref="K18">IFERROR(
    VALUE(
        IFERROR(
            UPPER(
                IF(MAX(IFERROR(SEARCH("WD",MAIN!G18:J18), 0))&gt;0, "WD",
                IF(MAX(IFERROR(SEARCH("NS",MAIN!G18:J18), 0))&gt;0, "NS",
                IF(MAX(IFERROR(SEARCH("NC",MAIN!G18:J18), 0))&gt;0, "NC",
                IF(MAX(IFERROR(SEARCH("DQ",MAIN!G18:J18), 0))&gt;0, "DQ",
                IF(ISNUMBER(SEARCH("WD",MAIN!K18)), "WD",
                IF(ISNUMBER(SEARCH("NS",MAIN!K18)), "NS",
                IF(ISNUMBER(SEARCH("NC",MAIN!K18)), "NC",
                IF(ISNUMBER(SEARCH("DQ",MAIN!K18)), "DQ",
                IF(ISNUMBER(SEARCH("A",MAIN!K18)), 0,
                IF(OR(MAIN!K18=0,MAIN!K18=""), 0, --TRIM(MAIN!K18)))))))))))),
            0
        )
    ),
    IFERROR(
        UPPER(
            IF(MAX(IFERROR(SEARCH("WD",MAIN!G18:J18), 0))&gt;0, "WD",
            IF(MAX(IFERROR(SEARCH("NS",MAIN!G18:J18), 0))&gt;0, "NS",
            IF(MAX(IFERROR(SEARCH("NC",MAIN!G18:J18), 0))&gt;0, "NC",
            IF(MAX(IFERROR(SEARCH("DQ",MAIN!G18:J18), 0))&gt;0, "DQ",
            IF(ISNUMBER(SEARCH("WD",MAIN!K18)), "WD",
            IF(ISNUMBER(SEARCH("NS",MAIN!K18)), "NS",
            IF(ISNUMBER(SEARCH("NC",MAIN!K18)), "NC",
            IF(ISNUMBER(SEARCH("DQ",MAIN!K18)), "DQ",
            IF(ISNUMBER(SEARCH("A",MAIN!K18)), 0,
            IF(OR(MAIN!K18=0,MAIN!K18=""), 0, --TRIM(MAIN!K18)))))))))))),
        0
    )
)</f>
        <v>0</v>
      </c>
    </row>
    <row r="19" spans="1:11" x14ac:dyDescent="0.25">
      <c r="A19" t="str">
        <f>IF(ISBLANK(MAIN!A19), "--", IFERROR(PROPER(SUBSTITUTE(SUBSTITUTE(SUBSTITUTE(SUBSTITUTE(SUBSTITUTE(SUBSTITUTE(SUBSTITUTE(SUBSTITUTE(SUBSTITUTE(SUBSTITUTE(LEFT(MAIN!A19, FIND(",",MAIN!A19) -1), "0", ""), "1", ""), "2", ""), "3", ""), "4", ""), "5", ""), "6", ""), "7", ""), "8", ""), "9", "")), PROPER(SUBSTITUTE(SUBSTITUTE(SUBSTITUTE(SUBSTITUTE(SUBSTITUTE(SUBSTITUTE(SUBSTITUTE(SUBSTITUTE(SUBSTITUTE(SUBSTITUTE(MAIN!A19, "0", ""), "1", ""), "2", ""), "3", ""), "4", ""), "5", ""), "6", ""), "7", ""), "8", ""), "9", ""))))</f>
        <v>--</v>
      </c>
      <c r="B19" t="str">
        <f>IF(ISBLANK(MAIN!B19), "--", IFERROR(PROPER(SUBSTITUTE(SUBSTITUTE(SUBSTITUTE(SUBSTITUTE(SUBSTITUTE(SUBSTITUTE(SUBSTITUTE(SUBSTITUTE(SUBSTITUTE(SUBSTITUTE(LEFT(MAIN!B19, FIND(",",MAIN!B19) -1), "0", ""), "1", ""), "2", ""), "3", ""), "4", ""), "5", ""), "6", ""), "7", ""), "8", ""), "9", "")), PROPER(SUBSTITUTE(SUBSTITUTE(SUBSTITUTE(SUBSTITUTE(SUBSTITUTE(SUBSTITUTE(SUBSTITUTE(SUBSTITUTE(SUBSTITUTE(SUBSTITUTE(MAIN!B19, "0", ""), "1", ""), "2", ""), "3", ""), "4", ""), "5", ""), "6", ""), "7", ""), "8", ""), "9", ""))))</f>
        <v>--</v>
      </c>
      <c r="C19" t="str">
        <f>IF(ISBLANK(MAIN!C19), "--", IFERROR(PROPER(SUBSTITUTE(SUBSTITUTE(SUBSTITUTE(SUBSTITUTE(SUBSTITUTE(SUBSTITUTE(SUBSTITUTE(SUBSTITUTE(SUBSTITUTE(SUBSTITUTE(LEFT(MAIN!C19, FIND(",",MAIN!C19) -1), "0", ""), "1", ""), "2", ""), "3", ""), "4", ""), "5", ""), "6", ""), "7", ""), "8", ""), "9", "")), PROPER(SUBSTITUTE(SUBSTITUTE(SUBSTITUTE(SUBSTITUTE(SUBSTITUTE(SUBSTITUTE(SUBSTITUTE(SUBSTITUTE(SUBSTITUTE(SUBSTITUTE(MAIN!C19, "0", ""), "1", ""), "2", ""), "3", ""), "4", ""), "5", ""), "6", ""), "7", ""), "8", ""), "9", ""))))</f>
        <v>--</v>
      </c>
      <c r="D19" t="str">
        <f>IF(ISBLANK(MAIN!D19), "--", IF(ISNUMBER(MATCH(SUBSTITUTE(LEFT(MAIN!D19, IFERROR(FIND(",", MAIN!D19)-1, LEN(MAIN!D19))), " ", ""), lookup_values!$B$2:$B$51, 0)), UPPER(SUBSTITUTE(LEFT(MAIN!D19, IFERROR(FIND(",", MAIN!D19)-1, LEN(MAIN!D19))), " ", "")), IF(ISNA(VLOOKUP(SUBSTITUTE(LEFT(MAIN!D19, IFERROR(FIND(",", MAIN!D19)-1, LEN(MAIN!D19))), " ", ""), lookup_values!$A$2:$B$51, 2, FALSE)), "--", VLOOKUP(SUBSTITUTE(LEFT(MAIN!D19, IFERROR(FIND(",", MAIN!D19)-1, LEN(MAIN!D19))), " ", ""), lookup_values!$A$2:$B$51, 2, FALSE))))</f>
        <v>--</v>
      </c>
      <c r="E19" t="str">
        <f>IF(CLEAN_DATA!D19&lt;&gt;"--","US",IF(ISBLANK(MAIN!E19), "--", IF(ISNUMBER(MATCH(SUBSTITUTE(LEFT(MAIN!E19, IFERROR(FIND(",", MAIN!E19)-1, LEN(MAIN!E19))), " ", ""), lookup_values!$E$2:$E$197, 0)), UPPER(SUBSTITUTE(LEFT(MAIN!E19, IFERROR(FIND(",", MAIN!E19)-1, LEN(MAIN!E19))), " ", "")), IF(ISNA(VLOOKUP(SUBSTITUTE(LEFT(MAIN!E19, IFERROR(FIND(",", MAIN!E19)-1, LEN(MAIN!E19))), " ", ""), lookup_values!$D$2:$E$197, 2, FALSE)), "--", VLOOKUP(SUBSTITUTE(LEFT(MAIN!E19, IFERROR(FIND(",", MAIN!E19)-1, LEN(MAIN!E19))), " ", ""), lookup_values!$D$2:$E$197, 2, FALSE)))))</f>
        <v>--</v>
      </c>
      <c r="F19" t="str">
        <f>IF(ISBLANK(MAIN!F19), "", IF(AND(ISNUMBER(VALUE(TRIM(MAIN!F19))), LEN(TRIM(MAIN!F19))=4), VALUE(TRIM(MAIN!F19)), ""))</f>
        <v/>
      </c>
      <c r="G19">
        <f>IF(ISBLANK(MAIN!G19), 0, IF(ISNUMBER(VALUE(TRIM(MAIN!G19))), VALUE(TRIM(MAIN!G19)), 0))</f>
        <v>0</v>
      </c>
      <c r="H19">
        <f>IF(ISBLANK(MAIN!H19), 0, IF(ISNUMBER(VALUE(TRIM(MAIN!H19))), VALUE(TRIM(MAIN!H19)), 0))</f>
        <v>0</v>
      </c>
      <c r="I19">
        <f>IF(ISBLANK(MAIN!I19), 0, IF(ISNUMBER(VALUE(TRIM(MAIN!I19))), VALUE(TRIM(MAIN!I19)), 0))</f>
        <v>0</v>
      </c>
      <c r="J19">
        <f>IF(ISBLANK(MAIN!J19), 0, IF(ISNUMBER(VALUE(TRIM(MAIN!J19))), VALUE(TRIM(MAIN!J19)), 0))</f>
        <v>0</v>
      </c>
      <c r="K19" cm="1">
        <f t="array" ref="K19">IFERROR(
    VALUE(
        IFERROR(
            UPPER(
                IF(MAX(IFERROR(SEARCH("WD",MAIN!G19:J19), 0))&gt;0, "WD",
                IF(MAX(IFERROR(SEARCH("NS",MAIN!G19:J19), 0))&gt;0, "NS",
                IF(MAX(IFERROR(SEARCH("NC",MAIN!G19:J19), 0))&gt;0, "NC",
                IF(MAX(IFERROR(SEARCH("DQ",MAIN!G19:J19), 0))&gt;0, "DQ",
                IF(ISNUMBER(SEARCH("WD",MAIN!K19)), "WD",
                IF(ISNUMBER(SEARCH("NS",MAIN!K19)), "NS",
                IF(ISNUMBER(SEARCH("NC",MAIN!K19)), "NC",
                IF(ISNUMBER(SEARCH("DQ",MAIN!K19)), "DQ",
                IF(ISNUMBER(SEARCH("A",MAIN!K19)), 0,
                IF(OR(MAIN!K19=0,MAIN!K19=""), 0, --TRIM(MAIN!K19)))))))))))),
            0
        )
    ),
    IFERROR(
        UPPER(
            IF(MAX(IFERROR(SEARCH("WD",MAIN!G19:J19), 0))&gt;0, "WD",
            IF(MAX(IFERROR(SEARCH("NS",MAIN!G19:J19), 0))&gt;0, "NS",
            IF(MAX(IFERROR(SEARCH("NC",MAIN!G19:J19), 0))&gt;0, "NC",
            IF(MAX(IFERROR(SEARCH("DQ",MAIN!G19:J19), 0))&gt;0, "DQ",
            IF(ISNUMBER(SEARCH("WD",MAIN!K19)), "WD",
            IF(ISNUMBER(SEARCH("NS",MAIN!K19)), "NS",
            IF(ISNUMBER(SEARCH("NC",MAIN!K19)), "NC",
            IF(ISNUMBER(SEARCH("DQ",MAIN!K19)), "DQ",
            IF(ISNUMBER(SEARCH("A",MAIN!K19)), 0,
            IF(OR(MAIN!K19=0,MAIN!K19=""), 0, --TRIM(MAIN!K19)))))))))))),
        0
    )
)</f>
        <v>0</v>
      </c>
    </row>
    <row r="20" spans="1:11" x14ac:dyDescent="0.25">
      <c r="A20" t="str">
        <f>IF(ISBLANK(MAIN!A20), "--", IFERROR(PROPER(SUBSTITUTE(SUBSTITUTE(SUBSTITUTE(SUBSTITUTE(SUBSTITUTE(SUBSTITUTE(SUBSTITUTE(SUBSTITUTE(SUBSTITUTE(SUBSTITUTE(LEFT(MAIN!A20, FIND(",",MAIN!A20) -1), "0", ""), "1", ""), "2", ""), "3", ""), "4", ""), "5", ""), "6", ""), "7", ""), "8", ""), "9", "")), PROPER(SUBSTITUTE(SUBSTITUTE(SUBSTITUTE(SUBSTITUTE(SUBSTITUTE(SUBSTITUTE(SUBSTITUTE(SUBSTITUTE(SUBSTITUTE(SUBSTITUTE(MAIN!A20, "0", ""), "1", ""), "2", ""), "3", ""), "4", ""), "5", ""), "6", ""), "7", ""), "8", ""), "9", ""))))</f>
        <v>--</v>
      </c>
      <c r="B20" t="str">
        <f>IF(ISBLANK(MAIN!B20), "--", IFERROR(PROPER(SUBSTITUTE(SUBSTITUTE(SUBSTITUTE(SUBSTITUTE(SUBSTITUTE(SUBSTITUTE(SUBSTITUTE(SUBSTITUTE(SUBSTITUTE(SUBSTITUTE(LEFT(MAIN!B20, FIND(",",MAIN!B20) -1), "0", ""), "1", ""), "2", ""), "3", ""), "4", ""), "5", ""), "6", ""), "7", ""), "8", ""), "9", "")), PROPER(SUBSTITUTE(SUBSTITUTE(SUBSTITUTE(SUBSTITUTE(SUBSTITUTE(SUBSTITUTE(SUBSTITUTE(SUBSTITUTE(SUBSTITUTE(SUBSTITUTE(MAIN!B20, "0", ""), "1", ""), "2", ""), "3", ""), "4", ""), "5", ""), "6", ""), "7", ""), "8", ""), "9", ""))))</f>
        <v>--</v>
      </c>
      <c r="C20" t="str">
        <f>IF(ISBLANK(MAIN!C20), "--", IFERROR(PROPER(SUBSTITUTE(SUBSTITUTE(SUBSTITUTE(SUBSTITUTE(SUBSTITUTE(SUBSTITUTE(SUBSTITUTE(SUBSTITUTE(SUBSTITUTE(SUBSTITUTE(LEFT(MAIN!C20, FIND(",",MAIN!C20) -1), "0", ""), "1", ""), "2", ""), "3", ""), "4", ""), "5", ""), "6", ""), "7", ""), "8", ""), "9", "")), PROPER(SUBSTITUTE(SUBSTITUTE(SUBSTITUTE(SUBSTITUTE(SUBSTITUTE(SUBSTITUTE(SUBSTITUTE(SUBSTITUTE(SUBSTITUTE(SUBSTITUTE(MAIN!C20, "0", ""), "1", ""), "2", ""), "3", ""), "4", ""), "5", ""), "6", ""), "7", ""), "8", ""), "9", ""))))</f>
        <v>--</v>
      </c>
      <c r="D20" t="str">
        <f>IF(ISBLANK(MAIN!D20), "--", IF(ISNUMBER(MATCH(SUBSTITUTE(LEFT(MAIN!D20, IFERROR(FIND(",", MAIN!D20)-1, LEN(MAIN!D20))), " ", ""), lookup_values!$B$2:$B$51, 0)), UPPER(SUBSTITUTE(LEFT(MAIN!D20, IFERROR(FIND(",", MAIN!D20)-1, LEN(MAIN!D20))), " ", "")), IF(ISNA(VLOOKUP(SUBSTITUTE(LEFT(MAIN!D20, IFERROR(FIND(",", MAIN!D20)-1, LEN(MAIN!D20))), " ", ""), lookup_values!$A$2:$B$51, 2, FALSE)), "--", VLOOKUP(SUBSTITUTE(LEFT(MAIN!D20, IFERROR(FIND(",", MAIN!D20)-1, LEN(MAIN!D20))), " ", ""), lookup_values!$A$2:$B$51, 2, FALSE))))</f>
        <v>--</v>
      </c>
      <c r="E20" t="str">
        <f>IF(CLEAN_DATA!D20&lt;&gt;"--","US",IF(ISBLANK(MAIN!E20), "--", IF(ISNUMBER(MATCH(SUBSTITUTE(LEFT(MAIN!E20, IFERROR(FIND(",", MAIN!E20)-1, LEN(MAIN!E20))), " ", ""), lookup_values!$E$2:$E$197, 0)), UPPER(SUBSTITUTE(LEFT(MAIN!E20, IFERROR(FIND(",", MAIN!E20)-1, LEN(MAIN!E20))), " ", "")), IF(ISNA(VLOOKUP(SUBSTITUTE(LEFT(MAIN!E20, IFERROR(FIND(",", MAIN!E20)-1, LEN(MAIN!E20))), " ", ""), lookup_values!$D$2:$E$197, 2, FALSE)), "--", VLOOKUP(SUBSTITUTE(LEFT(MAIN!E20, IFERROR(FIND(",", MAIN!E20)-1, LEN(MAIN!E20))), " ", ""), lookup_values!$D$2:$E$197, 2, FALSE)))))</f>
        <v>--</v>
      </c>
      <c r="F20" t="str">
        <f>IF(ISBLANK(MAIN!F20), "", IF(AND(ISNUMBER(VALUE(TRIM(MAIN!F20))), LEN(TRIM(MAIN!F20))=4), VALUE(TRIM(MAIN!F20)), ""))</f>
        <v/>
      </c>
      <c r="G20">
        <f>IF(ISBLANK(MAIN!G20), 0, IF(ISNUMBER(VALUE(TRIM(MAIN!G20))), VALUE(TRIM(MAIN!G20)), 0))</f>
        <v>0</v>
      </c>
      <c r="H20">
        <f>IF(ISBLANK(MAIN!H20), 0, IF(ISNUMBER(VALUE(TRIM(MAIN!H20))), VALUE(TRIM(MAIN!H20)), 0))</f>
        <v>0</v>
      </c>
      <c r="I20">
        <f>IF(ISBLANK(MAIN!I20), 0, IF(ISNUMBER(VALUE(TRIM(MAIN!I20))), VALUE(TRIM(MAIN!I20)), 0))</f>
        <v>0</v>
      </c>
      <c r="J20">
        <f>IF(ISBLANK(MAIN!J20), 0, IF(ISNUMBER(VALUE(TRIM(MAIN!J20))), VALUE(TRIM(MAIN!J20)), 0))</f>
        <v>0</v>
      </c>
      <c r="K20" cm="1">
        <f t="array" ref="K20">IFERROR(
    VALUE(
        IFERROR(
            UPPER(
                IF(MAX(IFERROR(SEARCH("WD",MAIN!G20:J20), 0))&gt;0, "WD",
                IF(MAX(IFERROR(SEARCH("NS",MAIN!G20:J20), 0))&gt;0, "NS",
                IF(MAX(IFERROR(SEARCH("NC",MAIN!G20:J20), 0))&gt;0, "NC",
                IF(MAX(IFERROR(SEARCH("DQ",MAIN!G20:J20), 0))&gt;0, "DQ",
                IF(ISNUMBER(SEARCH("WD",MAIN!K20)), "WD",
                IF(ISNUMBER(SEARCH("NS",MAIN!K20)), "NS",
                IF(ISNUMBER(SEARCH("NC",MAIN!K20)), "NC",
                IF(ISNUMBER(SEARCH("DQ",MAIN!K20)), "DQ",
                IF(ISNUMBER(SEARCH("A",MAIN!K20)), 0,
                IF(OR(MAIN!K20=0,MAIN!K20=""), 0, --TRIM(MAIN!K20)))))))))))),
            0
        )
    ),
    IFERROR(
        UPPER(
            IF(MAX(IFERROR(SEARCH("WD",MAIN!G20:J20), 0))&gt;0, "WD",
            IF(MAX(IFERROR(SEARCH("NS",MAIN!G20:J20), 0))&gt;0, "NS",
            IF(MAX(IFERROR(SEARCH("NC",MAIN!G20:J20), 0))&gt;0, "NC",
            IF(MAX(IFERROR(SEARCH("DQ",MAIN!G20:J20), 0))&gt;0, "DQ",
            IF(ISNUMBER(SEARCH("WD",MAIN!K20)), "WD",
            IF(ISNUMBER(SEARCH("NS",MAIN!K20)), "NS",
            IF(ISNUMBER(SEARCH("NC",MAIN!K20)), "NC",
            IF(ISNUMBER(SEARCH("DQ",MAIN!K20)), "DQ",
            IF(ISNUMBER(SEARCH("A",MAIN!K20)), 0,
            IF(OR(MAIN!K20=0,MAIN!K20=""), 0, --TRIM(MAIN!K20)))))))))))),
        0
    )
)</f>
        <v>0</v>
      </c>
    </row>
    <row r="21" spans="1:11" x14ac:dyDescent="0.25">
      <c r="A21" t="str">
        <f>IF(ISBLANK(MAIN!A21), "--", IFERROR(PROPER(SUBSTITUTE(SUBSTITUTE(SUBSTITUTE(SUBSTITUTE(SUBSTITUTE(SUBSTITUTE(SUBSTITUTE(SUBSTITUTE(SUBSTITUTE(SUBSTITUTE(LEFT(MAIN!A21, FIND(",",MAIN!A21) -1), "0", ""), "1", ""), "2", ""), "3", ""), "4", ""), "5", ""), "6", ""), "7", ""), "8", ""), "9", "")), PROPER(SUBSTITUTE(SUBSTITUTE(SUBSTITUTE(SUBSTITUTE(SUBSTITUTE(SUBSTITUTE(SUBSTITUTE(SUBSTITUTE(SUBSTITUTE(SUBSTITUTE(MAIN!A21, "0", ""), "1", ""), "2", ""), "3", ""), "4", ""), "5", ""), "6", ""), "7", ""), "8", ""), "9", ""))))</f>
        <v>--</v>
      </c>
      <c r="B21" t="str">
        <f>IF(ISBLANK(MAIN!B21), "--", IFERROR(PROPER(SUBSTITUTE(SUBSTITUTE(SUBSTITUTE(SUBSTITUTE(SUBSTITUTE(SUBSTITUTE(SUBSTITUTE(SUBSTITUTE(SUBSTITUTE(SUBSTITUTE(LEFT(MAIN!B21, FIND(",",MAIN!B21) -1), "0", ""), "1", ""), "2", ""), "3", ""), "4", ""), "5", ""), "6", ""), "7", ""), "8", ""), "9", "")), PROPER(SUBSTITUTE(SUBSTITUTE(SUBSTITUTE(SUBSTITUTE(SUBSTITUTE(SUBSTITUTE(SUBSTITUTE(SUBSTITUTE(SUBSTITUTE(SUBSTITUTE(MAIN!B21, "0", ""), "1", ""), "2", ""), "3", ""), "4", ""), "5", ""), "6", ""), "7", ""), "8", ""), "9", ""))))</f>
        <v>--</v>
      </c>
      <c r="C21" t="str">
        <f>IF(ISBLANK(MAIN!C21), "--", IFERROR(PROPER(SUBSTITUTE(SUBSTITUTE(SUBSTITUTE(SUBSTITUTE(SUBSTITUTE(SUBSTITUTE(SUBSTITUTE(SUBSTITUTE(SUBSTITUTE(SUBSTITUTE(LEFT(MAIN!C21, FIND(",",MAIN!C21) -1), "0", ""), "1", ""), "2", ""), "3", ""), "4", ""), "5", ""), "6", ""), "7", ""), "8", ""), "9", "")), PROPER(SUBSTITUTE(SUBSTITUTE(SUBSTITUTE(SUBSTITUTE(SUBSTITUTE(SUBSTITUTE(SUBSTITUTE(SUBSTITUTE(SUBSTITUTE(SUBSTITUTE(MAIN!C21, "0", ""), "1", ""), "2", ""), "3", ""), "4", ""), "5", ""), "6", ""), "7", ""), "8", ""), "9", ""))))</f>
        <v>--</v>
      </c>
      <c r="D21" t="str">
        <f>IF(ISBLANK(MAIN!D21), "--", IF(ISNUMBER(MATCH(SUBSTITUTE(LEFT(MAIN!D21, IFERROR(FIND(",", MAIN!D21)-1, LEN(MAIN!D21))), " ", ""), lookup_values!$B$2:$B$51, 0)), UPPER(SUBSTITUTE(LEFT(MAIN!D21, IFERROR(FIND(",", MAIN!D21)-1, LEN(MAIN!D21))), " ", "")), IF(ISNA(VLOOKUP(SUBSTITUTE(LEFT(MAIN!D21, IFERROR(FIND(",", MAIN!D21)-1, LEN(MAIN!D21))), " ", ""), lookup_values!$A$2:$B$51, 2, FALSE)), "--", VLOOKUP(SUBSTITUTE(LEFT(MAIN!D21, IFERROR(FIND(",", MAIN!D21)-1, LEN(MAIN!D21))), " ", ""), lookup_values!$A$2:$B$51, 2, FALSE))))</f>
        <v>--</v>
      </c>
      <c r="E21" t="str">
        <f>IF(CLEAN_DATA!D21&lt;&gt;"--","US",IF(ISBLANK(MAIN!E21), "--", IF(ISNUMBER(MATCH(SUBSTITUTE(LEFT(MAIN!E21, IFERROR(FIND(",", MAIN!E21)-1, LEN(MAIN!E21))), " ", ""), lookup_values!$E$2:$E$197, 0)), UPPER(SUBSTITUTE(LEFT(MAIN!E21, IFERROR(FIND(",", MAIN!E21)-1, LEN(MAIN!E21))), " ", "")), IF(ISNA(VLOOKUP(SUBSTITUTE(LEFT(MAIN!E21, IFERROR(FIND(",", MAIN!E21)-1, LEN(MAIN!E21))), " ", ""), lookup_values!$D$2:$E$197, 2, FALSE)), "--", VLOOKUP(SUBSTITUTE(LEFT(MAIN!E21, IFERROR(FIND(",", MAIN!E21)-1, LEN(MAIN!E21))), " ", ""), lookup_values!$D$2:$E$197, 2, FALSE)))))</f>
        <v>--</v>
      </c>
      <c r="F21" t="str">
        <f>IF(ISBLANK(MAIN!F21), "", IF(AND(ISNUMBER(VALUE(TRIM(MAIN!F21))), LEN(TRIM(MAIN!F21))=4), VALUE(TRIM(MAIN!F21)), ""))</f>
        <v/>
      </c>
      <c r="G21">
        <f>IF(ISBLANK(MAIN!G21), 0, IF(ISNUMBER(VALUE(TRIM(MAIN!G21))), VALUE(TRIM(MAIN!G21)), 0))</f>
        <v>0</v>
      </c>
      <c r="H21">
        <f>IF(ISBLANK(MAIN!H21), 0, IF(ISNUMBER(VALUE(TRIM(MAIN!H21))), VALUE(TRIM(MAIN!H21)), 0))</f>
        <v>0</v>
      </c>
      <c r="I21">
        <f>IF(ISBLANK(MAIN!I21), 0, IF(ISNUMBER(VALUE(TRIM(MAIN!I21))), VALUE(TRIM(MAIN!I21)), 0))</f>
        <v>0</v>
      </c>
      <c r="J21">
        <f>IF(ISBLANK(MAIN!J21), 0, IF(ISNUMBER(VALUE(TRIM(MAIN!J21))), VALUE(TRIM(MAIN!J21)), 0))</f>
        <v>0</v>
      </c>
      <c r="K21" cm="1">
        <f t="array" ref="K21">IFERROR(
    VALUE(
        IFERROR(
            UPPER(
                IF(MAX(IFERROR(SEARCH("WD",MAIN!G21:J21), 0))&gt;0, "WD",
                IF(MAX(IFERROR(SEARCH("NS",MAIN!G21:J21), 0))&gt;0, "NS",
                IF(MAX(IFERROR(SEARCH("NC",MAIN!G21:J21), 0))&gt;0, "NC",
                IF(MAX(IFERROR(SEARCH("DQ",MAIN!G21:J21), 0))&gt;0, "DQ",
                IF(ISNUMBER(SEARCH("WD",MAIN!K21)), "WD",
                IF(ISNUMBER(SEARCH("NS",MAIN!K21)), "NS",
                IF(ISNUMBER(SEARCH("NC",MAIN!K21)), "NC",
                IF(ISNUMBER(SEARCH("DQ",MAIN!K21)), "DQ",
                IF(ISNUMBER(SEARCH("A",MAIN!K21)), 0,
                IF(OR(MAIN!K21=0,MAIN!K21=""), 0, --TRIM(MAIN!K21)))))))))))),
            0
        )
    ),
    IFERROR(
        UPPER(
            IF(MAX(IFERROR(SEARCH("WD",MAIN!G21:J21), 0))&gt;0, "WD",
            IF(MAX(IFERROR(SEARCH("NS",MAIN!G21:J21), 0))&gt;0, "NS",
            IF(MAX(IFERROR(SEARCH("NC",MAIN!G21:J21), 0))&gt;0, "NC",
            IF(MAX(IFERROR(SEARCH("DQ",MAIN!G21:J21), 0))&gt;0, "DQ",
            IF(ISNUMBER(SEARCH("WD",MAIN!K21)), "WD",
            IF(ISNUMBER(SEARCH("NS",MAIN!K21)), "NS",
            IF(ISNUMBER(SEARCH("NC",MAIN!K21)), "NC",
            IF(ISNUMBER(SEARCH("DQ",MAIN!K21)), "DQ",
            IF(ISNUMBER(SEARCH("A",MAIN!K21)), 0,
            IF(OR(MAIN!K21=0,MAIN!K21=""), 0, --TRIM(MAIN!K21)))))))))))),
        0
    )
)</f>
        <v>0</v>
      </c>
    </row>
    <row r="22" spans="1:11" x14ac:dyDescent="0.25">
      <c r="A22" t="str">
        <f>IF(ISBLANK(MAIN!A22), "--", IFERROR(PROPER(SUBSTITUTE(SUBSTITUTE(SUBSTITUTE(SUBSTITUTE(SUBSTITUTE(SUBSTITUTE(SUBSTITUTE(SUBSTITUTE(SUBSTITUTE(SUBSTITUTE(LEFT(MAIN!A22, FIND(",",MAIN!A22) -1), "0", ""), "1", ""), "2", ""), "3", ""), "4", ""), "5", ""), "6", ""), "7", ""), "8", ""), "9", "")), PROPER(SUBSTITUTE(SUBSTITUTE(SUBSTITUTE(SUBSTITUTE(SUBSTITUTE(SUBSTITUTE(SUBSTITUTE(SUBSTITUTE(SUBSTITUTE(SUBSTITUTE(MAIN!A22, "0", ""), "1", ""), "2", ""), "3", ""), "4", ""), "5", ""), "6", ""), "7", ""), "8", ""), "9", ""))))</f>
        <v>--</v>
      </c>
      <c r="B22" t="str">
        <f>IF(ISBLANK(MAIN!B22), "--", IFERROR(PROPER(SUBSTITUTE(SUBSTITUTE(SUBSTITUTE(SUBSTITUTE(SUBSTITUTE(SUBSTITUTE(SUBSTITUTE(SUBSTITUTE(SUBSTITUTE(SUBSTITUTE(LEFT(MAIN!B22, FIND(",",MAIN!B22) -1), "0", ""), "1", ""), "2", ""), "3", ""), "4", ""), "5", ""), "6", ""), "7", ""), "8", ""), "9", "")), PROPER(SUBSTITUTE(SUBSTITUTE(SUBSTITUTE(SUBSTITUTE(SUBSTITUTE(SUBSTITUTE(SUBSTITUTE(SUBSTITUTE(SUBSTITUTE(SUBSTITUTE(MAIN!B22, "0", ""), "1", ""), "2", ""), "3", ""), "4", ""), "5", ""), "6", ""), "7", ""), "8", ""), "9", ""))))</f>
        <v>--</v>
      </c>
      <c r="C22" t="str">
        <f>IF(ISBLANK(MAIN!C22), "--", IFERROR(PROPER(SUBSTITUTE(SUBSTITUTE(SUBSTITUTE(SUBSTITUTE(SUBSTITUTE(SUBSTITUTE(SUBSTITUTE(SUBSTITUTE(SUBSTITUTE(SUBSTITUTE(LEFT(MAIN!C22, FIND(",",MAIN!C22) -1), "0", ""), "1", ""), "2", ""), "3", ""), "4", ""), "5", ""), "6", ""), "7", ""), "8", ""), "9", "")), PROPER(SUBSTITUTE(SUBSTITUTE(SUBSTITUTE(SUBSTITUTE(SUBSTITUTE(SUBSTITUTE(SUBSTITUTE(SUBSTITUTE(SUBSTITUTE(SUBSTITUTE(MAIN!C22, "0", ""), "1", ""), "2", ""), "3", ""), "4", ""), "5", ""), "6", ""), "7", ""), "8", ""), "9", ""))))</f>
        <v>--</v>
      </c>
      <c r="D22" t="str">
        <f>IF(ISBLANK(MAIN!D22), "--", IF(ISNUMBER(MATCH(SUBSTITUTE(LEFT(MAIN!D22, IFERROR(FIND(",", MAIN!D22)-1, LEN(MAIN!D22))), " ", ""), lookup_values!$B$2:$B$51, 0)), UPPER(SUBSTITUTE(LEFT(MAIN!D22, IFERROR(FIND(",", MAIN!D22)-1, LEN(MAIN!D22))), " ", "")), IF(ISNA(VLOOKUP(SUBSTITUTE(LEFT(MAIN!D22, IFERROR(FIND(",", MAIN!D22)-1, LEN(MAIN!D22))), " ", ""), lookup_values!$A$2:$B$51, 2, FALSE)), "--", VLOOKUP(SUBSTITUTE(LEFT(MAIN!D22, IFERROR(FIND(",", MAIN!D22)-1, LEN(MAIN!D22))), " ", ""), lookup_values!$A$2:$B$51, 2, FALSE))))</f>
        <v>--</v>
      </c>
      <c r="E22" t="str">
        <f>IF(CLEAN_DATA!D22&lt;&gt;"--","US",IF(ISBLANK(MAIN!E22), "--", IF(ISNUMBER(MATCH(SUBSTITUTE(LEFT(MAIN!E22, IFERROR(FIND(",", MAIN!E22)-1, LEN(MAIN!E22))), " ", ""), lookup_values!$E$2:$E$197, 0)), UPPER(SUBSTITUTE(LEFT(MAIN!E22, IFERROR(FIND(",", MAIN!E22)-1, LEN(MAIN!E22))), " ", "")), IF(ISNA(VLOOKUP(SUBSTITUTE(LEFT(MAIN!E22, IFERROR(FIND(",", MAIN!E22)-1, LEN(MAIN!E22))), " ", ""), lookup_values!$D$2:$E$197, 2, FALSE)), "--", VLOOKUP(SUBSTITUTE(LEFT(MAIN!E22, IFERROR(FIND(",", MAIN!E22)-1, LEN(MAIN!E22))), " ", ""), lookup_values!$D$2:$E$197, 2, FALSE)))))</f>
        <v>--</v>
      </c>
      <c r="F22" t="str">
        <f>IF(ISBLANK(MAIN!F22), "", IF(AND(ISNUMBER(VALUE(TRIM(MAIN!F22))), LEN(TRIM(MAIN!F22))=4), VALUE(TRIM(MAIN!F22)), ""))</f>
        <v/>
      </c>
      <c r="G22">
        <f>IF(ISBLANK(MAIN!G22), 0, IF(ISNUMBER(VALUE(TRIM(MAIN!G22))), VALUE(TRIM(MAIN!G22)), 0))</f>
        <v>0</v>
      </c>
      <c r="H22">
        <f>IF(ISBLANK(MAIN!H22), 0, IF(ISNUMBER(VALUE(TRIM(MAIN!H22))), VALUE(TRIM(MAIN!H22)), 0))</f>
        <v>0</v>
      </c>
      <c r="I22">
        <f>IF(ISBLANK(MAIN!I22), 0, IF(ISNUMBER(VALUE(TRIM(MAIN!I22))), VALUE(TRIM(MAIN!I22)), 0))</f>
        <v>0</v>
      </c>
      <c r="J22">
        <f>IF(ISBLANK(MAIN!J22), 0, IF(ISNUMBER(VALUE(TRIM(MAIN!J22))), VALUE(TRIM(MAIN!J22)), 0))</f>
        <v>0</v>
      </c>
      <c r="K22" cm="1">
        <f t="array" ref="K22">IFERROR(
    VALUE(
        IFERROR(
            UPPER(
                IF(MAX(IFERROR(SEARCH("WD",MAIN!G22:J22), 0))&gt;0, "WD",
                IF(MAX(IFERROR(SEARCH("NS",MAIN!G22:J22), 0))&gt;0, "NS",
                IF(MAX(IFERROR(SEARCH("NC",MAIN!G22:J22), 0))&gt;0, "NC",
                IF(MAX(IFERROR(SEARCH("DQ",MAIN!G22:J22), 0))&gt;0, "DQ",
                IF(ISNUMBER(SEARCH("WD",MAIN!K22)), "WD",
                IF(ISNUMBER(SEARCH("NS",MAIN!K22)), "NS",
                IF(ISNUMBER(SEARCH("NC",MAIN!K22)), "NC",
                IF(ISNUMBER(SEARCH("DQ",MAIN!K22)), "DQ",
                IF(ISNUMBER(SEARCH("A",MAIN!K22)), 0,
                IF(OR(MAIN!K22=0,MAIN!K22=""), 0, --TRIM(MAIN!K22)))))))))))),
            0
        )
    ),
    IFERROR(
        UPPER(
            IF(MAX(IFERROR(SEARCH("WD",MAIN!G22:J22), 0))&gt;0, "WD",
            IF(MAX(IFERROR(SEARCH("NS",MAIN!G22:J22), 0))&gt;0, "NS",
            IF(MAX(IFERROR(SEARCH("NC",MAIN!G22:J22), 0))&gt;0, "NC",
            IF(MAX(IFERROR(SEARCH("DQ",MAIN!G22:J22), 0))&gt;0, "DQ",
            IF(ISNUMBER(SEARCH("WD",MAIN!K22)), "WD",
            IF(ISNUMBER(SEARCH("NS",MAIN!K22)), "NS",
            IF(ISNUMBER(SEARCH("NC",MAIN!K22)), "NC",
            IF(ISNUMBER(SEARCH("DQ",MAIN!K22)), "DQ",
            IF(ISNUMBER(SEARCH("A",MAIN!K22)), 0,
            IF(OR(MAIN!K22=0,MAIN!K22=""), 0, --TRIM(MAIN!K22)))))))))))),
        0
    )
)</f>
        <v>0</v>
      </c>
    </row>
    <row r="23" spans="1:11" x14ac:dyDescent="0.25">
      <c r="A23" t="str">
        <f>IF(ISBLANK(MAIN!A23), "--", IFERROR(PROPER(SUBSTITUTE(SUBSTITUTE(SUBSTITUTE(SUBSTITUTE(SUBSTITUTE(SUBSTITUTE(SUBSTITUTE(SUBSTITUTE(SUBSTITUTE(SUBSTITUTE(LEFT(MAIN!A23, FIND(",",MAIN!A23) -1), "0", ""), "1", ""), "2", ""), "3", ""), "4", ""), "5", ""), "6", ""), "7", ""), "8", ""), "9", "")), PROPER(SUBSTITUTE(SUBSTITUTE(SUBSTITUTE(SUBSTITUTE(SUBSTITUTE(SUBSTITUTE(SUBSTITUTE(SUBSTITUTE(SUBSTITUTE(SUBSTITUTE(MAIN!A23, "0", ""), "1", ""), "2", ""), "3", ""), "4", ""), "5", ""), "6", ""), "7", ""), "8", ""), "9", ""))))</f>
        <v>--</v>
      </c>
      <c r="B23" t="str">
        <f>IF(ISBLANK(MAIN!B23), "--", IFERROR(PROPER(SUBSTITUTE(SUBSTITUTE(SUBSTITUTE(SUBSTITUTE(SUBSTITUTE(SUBSTITUTE(SUBSTITUTE(SUBSTITUTE(SUBSTITUTE(SUBSTITUTE(LEFT(MAIN!B23, FIND(",",MAIN!B23) -1), "0", ""), "1", ""), "2", ""), "3", ""), "4", ""), "5", ""), "6", ""), "7", ""), "8", ""), "9", "")), PROPER(SUBSTITUTE(SUBSTITUTE(SUBSTITUTE(SUBSTITUTE(SUBSTITUTE(SUBSTITUTE(SUBSTITUTE(SUBSTITUTE(SUBSTITUTE(SUBSTITUTE(MAIN!B23, "0", ""), "1", ""), "2", ""), "3", ""), "4", ""), "5", ""), "6", ""), "7", ""), "8", ""), "9", ""))))</f>
        <v>--</v>
      </c>
      <c r="C23" t="str">
        <f>IF(ISBLANK(MAIN!C23), "--", IFERROR(PROPER(SUBSTITUTE(SUBSTITUTE(SUBSTITUTE(SUBSTITUTE(SUBSTITUTE(SUBSTITUTE(SUBSTITUTE(SUBSTITUTE(SUBSTITUTE(SUBSTITUTE(LEFT(MAIN!C23, FIND(",",MAIN!C23) -1), "0", ""), "1", ""), "2", ""), "3", ""), "4", ""), "5", ""), "6", ""), "7", ""), "8", ""), "9", "")), PROPER(SUBSTITUTE(SUBSTITUTE(SUBSTITUTE(SUBSTITUTE(SUBSTITUTE(SUBSTITUTE(SUBSTITUTE(SUBSTITUTE(SUBSTITUTE(SUBSTITUTE(MAIN!C23, "0", ""), "1", ""), "2", ""), "3", ""), "4", ""), "5", ""), "6", ""), "7", ""), "8", ""), "9", ""))))</f>
        <v>--</v>
      </c>
      <c r="D23" t="str">
        <f>IF(ISBLANK(MAIN!D23), "--", IF(ISNUMBER(MATCH(SUBSTITUTE(LEFT(MAIN!D23, IFERROR(FIND(",", MAIN!D23)-1, LEN(MAIN!D23))), " ", ""), lookup_values!$B$2:$B$51, 0)), UPPER(SUBSTITUTE(LEFT(MAIN!D23, IFERROR(FIND(",", MAIN!D23)-1, LEN(MAIN!D23))), " ", "")), IF(ISNA(VLOOKUP(SUBSTITUTE(LEFT(MAIN!D23, IFERROR(FIND(",", MAIN!D23)-1, LEN(MAIN!D23))), " ", ""), lookup_values!$A$2:$B$51, 2, FALSE)), "--", VLOOKUP(SUBSTITUTE(LEFT(MAIN!D23, IFERROR(FIND(",", MAIN!D23)-1, LEN(MAIN!D23))), " ", ""), lookup_values!$A$2:$B$51, 2, FALSE))))</f>
        <v>--</v>
      </c>
      <c r="E23" t="str">
        <f>IF(CLEAN_DATA!D23&lt;&gt;"--","US",IF(ISBLANK(MAIN!E23), "--", IF(ISNUMBER(MATCH(SUBSTITUTE(LEFT(MAIN!E23, IFERROR(FIND(",", MAIN!E23)-1, LEN(MAIN!E23))), " ", ""), lookup_values!$E$2:$E$197, 0)), UPPER(SUBSTITUTE(LEFT(MAIN!E23, IFERROR(FIND(",", MAIN!E23)-1, LEN(MAIN!E23))), " ", "")), IF(ISNA(VLOOKUP(SUBSTITUTE(LEFT(MAIN!E23, IFERROR(FIND(",", MAIN!E23)-1, LEN(MAIN!E23))), " ", ""), lookup_values!$D$2:$E$197, 2, FALSE)), "--", VLOOKUP(SUBSTITUTE(LEFT(MAIN!E23, IFERROR(FIND(",", MAIN!E23)-1, LEN(MAIN!E23))), " ", ""), lookup_values!$D$2:$E$197, 2, FALSE)))))</f>
        <v>--</v>
      </c>
      <c r="F23" t="str">
        <f>IF(ISBLANK(MAIN!F23), "", IF(AND(ISNUMBER(VALUE(TRIM(MAIN!F23))), LEN(TRIM(MAIN!F23))=4), VALUE(TRIM(MAIN!F23)), ""))</f>
        <v/>
      </c>
      <c r="G23">
        <f>IF(ISBLANK(MAIN!G23), 0, IF(ISNUMBER(VALUE(TRIM(MAIN!G23))), VALUE(TRIM(MAIN!G23)), 0))</f>
        <v>0</v>
      </c>
      <c r="H23">
        <f>IF(ISBLANK(MAIN!H23), 0, IF(ISNUMBER(VALUE(TRIM(MAIN!H23))), VALUE(TRIM(MAIN!H23)), 0))</f>
        <v>0</v>
      </c>
      <c r="I23">
        <f>IF(ISBLANK(MAIN!I23), 0, IF(ISNUMBER(VALUE(TRIM(MAIN!I23))), VALUE(TRIM(MAIN!I23)), 0))</f>
        <v>0</v>
      </c>
      <c r="J23">
        <f>IF(ISBLANK(MAIN!J23), 0, IF(ISNUMBER(VALUE(TRIM(MAIN!J23))), VALUE(TRIM(MAIN!J23)), 0))</f>
        <v>0</v>
      </c>
      <c r="K23" cm="1">
        <f t="array" ref="K23">IFERROR(
    VALUE(
        IFERROR(
            UPPER(
                IF(MAX(IFERROR(SEARCH("WD",MAIN!G23:J23), 0))&gt;0, "WD",
                IF(MAX(IFERROR(SEARCH("NS",MAIN!G23:J23), 0))&gt;0, "NS",
                IF(MAX(IFERROR(SEARCH("NC",MAIN!G23:J23), 0))&gt;0, "NC",
                IF(MAX(IFERROR(SEARCH("DQ",MAIN!G23:J23), 0))&gt;0, "DQ",
                IF(ISNUMBER(SEARCH("WD",MAIN!K23)), "WD",
                IF(ISNUMBER(SEARCH("NS",MAIN!K23)), "NS",
                IF(ISNUMBER(SEARCH("NC",MAIN!K23)), "NC",
                IF(ISNUMBER(SEARCH("DQ",MAIN!K23)), "DQ",
                IF(ISNUMBER(SEARCH("A",MAIN!K23)), 0,
                IF(OR(MAIN!K23=0,MAIN!K23=""), 0, --TRIM(MAIN!K23)))))))))))),
            0
        )
    ),
    IFERROR(
        UPPER(
            IF(MAX(IFERROR(SEARCH("WD",MAIN!G23:J23), 0))&gt;0, "WD",
            IF(MAX(IFERROR(SEARCH("NS",MAIN!G23:J23), 0))&gt;0, "NS",
            IF(MAX(IFERROR(SEARCH("NC",MAIN!G23:J23), 0))&gt;0, "NC",
            IF(MAX(IFERROR(SEARCH("DQ",MAIN!G23:J23), 0))&gt;0, "DQ",
            IF(ISNUMBER(SEARCH("WD",MAIN!K23)), "WD",
            IF(ISNUMBER(SEARCH("NS",MAIN!K23)), "NS",
            IF(ISNUMBER(SEARCH("NC",MAIN!K23)), "NC",
            IF(ISNUMBER(SEARCH("DQ",MAIN!K23)), "DQ",
            IF(ISNUMBER(SEARCH("A",MAIN!K23)), 0,
            IF(OR(MAIN!K23=0,MAIN!K23=""), 0, --TRIM(MAIN!K23)))))))))))),
        0
    )
)</f>
        <v>0</v>
      </c>
    </row>
    <row r="24" spans="1:11" x14ac:dyDescent="0.25">
      <c r="A24" t="str">
        <f>IF(ISBLANK(MAIN!A24), "--", IFERROR(PROPER(SUBSTITUTE(SUBSTITUTE(SUBSTITUTE(SUBSTITUTE(SUBSTITUTE(SUBSTITUTE(SUBSTITUTE(SUBSTITUTE(SUBSTITUTE(SUBSTITUTE(LEFT(MAIN!A24, FIND(",",MAIN!A24) -1), "0", ""), "1", ""), "2", ""), "3", ""), "4", ""), "5", ""), "6", ""), "7", ""), "8", ""), "9", "")), PROPER(SUBSTITUTE(SUBSTITUTE(SUBSTITUTE(SUBSTITUTE(SUBSTITUTE(SUBSTITUTE(SUBSTITUTE(SUBSTITUTE(SUBSTITUTE(SUBSTITUTE(MAIN!A24, "0", ""), "1", ""), "2", ""), "3", ""), "4", ""), "5", ""), "6", ""), "7", ""), "8", ""), "9", ""))))</f>
        <v>--</v>
      </c>
      <c r="B24" t="str">
        <f>IF(ISBLANK(MAIN!B24), "--", IFERROR(PROPER(SUBSTITUTE(SUBSTITUTE(SUBSTITUTE(SUBSTITUTE(SUBSTITUTE(SUBSTITUTE(SUBSTITUTE(SUBSTITUTE(SUBSTITUTE(SUBSTITUTE(LEFT(MAIN!B24, FIND(",",MAIN!B24) -1), "0", ""), "1", ""), "2", ""), "3", ""), "4", ""), "5", ""), "6", ""), "7", ""), "8", ""), "9", "")), PROPER(SUBSTITUTE(SUBSTITUTE(SUBSTITUTE(SUBSTITUTE(SUBSTITUTE(SUBSTITUTE(SUBSTITUTE(SUBSTITUTE(SUBSTITUTE(SUBSTITUTE(MAIN!B24, "0", ""), "1", ""), "2", ""), "3", ""), "4", ""), "5", ""), "6", ""), "7", ""), "8", ""), "9", ""))))</f>
        <v>--</v>
      </c>
      <c r="C24" t="str">
        <f>IF(ISBLANK(MAIN!C24), "--", IFERROR(PROPER(SUBSTITUTE(SUBSTITUTE(SUBSTITUTE(SUBSTITUTE(SUBSTITUTE(SUBSTITUTE(SUBSTITUTE(SUBSTITUTE(SUBSTITUTE(SUBSTITUTE(LEFT(MAIN!C24, FIND(",",MAIN!C24) -1), "0", ""), "1", ""), "2", ""), "3", ""), "4", ""), "5", ""), "6", ""), "7", ""), "8", ""), "9", "")), PROPER(SUBSTITUTE(SUBSTITUTE(SUBSTITUTE(SUBSTITUTE(SUBSTITUTE(SUBSTITUTE(SUBSTITUTE(SUBSTITUTE(SUBSTITUTE(SUBSTITUTE(MAIN!C24, "0", ""), "1", ""), "2", ""), "3", ""), "4", ""), "5", ""), "6", ""), "7", ""), "8", ""), "9", ""))))</f>
        <v>--</v>
      </c>
      <c r="D24" t="str">
        <f>IF(ISBLANK(MAIN!D24), "--", IF(ISNUMBER(MATCH(SUBSTITUTE(LEFT(MAIN!D24, IFERROR(FIND(",", MAIN!D24)-1, LEN(MAIN!D24))), " ", ""), lookup_values!$B$2:$B$51, 0)), UPPER(SUBSTITUTE(LEFT(MAIN!D24, IFERROR(FIND(",", MAIN!D24)-1, LEN(MAIN!D24))), " ", "")), IF(ISNA(VLOOKUP(SUBSTITUTE(LEFT(MAIN!D24, IFERROR(FIND(",", MAIN!D24)-1, LEN(MAIN!D24))), " ", ""), lookup_values!$A$2:$B$51, 2, FALSE)), "--", VLOOKUP(SUBSTITUTE(LEFT(MAIN!D24, IFERROR(FIND(",", MAIN!D24)-1, LEN(MAIN!D24))), " ", ""), lookup_values!$A$2:$B$51, 2, FALSE))))</f>
        <v>--</v>
      </c>
      <c r="E24" t="str">
        <f>IF(CLEAN_DATA!D24&lt;&gt;"--","US",IF(ISBLANK(MAIN!E24), "--", IF(ISNUMBER(MATCH(SUBSTITUTE(LEFT(MAIN!E24, IFERROR(FIND(",", MAIN!E24)-1, LEN(MAIN!E24))), " ", ""), lookup_values!$E$2:$E$197, 0)), UPPER(SUBSTITUTE(LEFT(MAIN!E24, IFERROR(FIND(",", MAIN!E24)-1, LEN(MAIN!E24))), " ", "")), IF(ISNA(VLOOKUP(SUBSTITUTE(LEFT(MAIN!E24, IFERROR(FIND(",", MAIN!E24)-1, LEN(MAIN!E24))), " ", ""), lookup_values!$D$2:$E$197, 2, FALSE)), "--", VLOOKUP(SUBSTITUTE(LEFT(MAIN!E24, IFERROR(FIND(",", MAIN!E24)-1, LEN(MAIN!E24))), " ", ""), lookup_values!$D$2:$E$197, 2, FALSE)))))</f>
        <v>--</v>
      </c>
      <c r="F24" t="str">
        <f>IF(ISBLANK(MAIN!F24), "", IF(AND(ISNUMBER(VALUE(TRIM(MAIN!F24))), LEN(TRIM(MAIN!F24))=4), VALUE(TRIM(MAIN!F24)), ""))</f>
        <v/>
      </c>
      <c r="G24">
        <f>IF(ISBLANK(MAIN!G24), 0, IF(ISNUMBER(VALUE(TRIM(MAIN!G24))), VALUE(TRIM(MAIN!G24)), 0))</f>
        <v>0</v>
      </c>
      <c r="H24">
        <f>IF(ISBLANK(MAIN!H24), 0, IF(ISNUMBER(VALUE(TRIM(MAIN!H24))), VALUE(TRIM(MAIN!H24)), 0))</f>
        <v>0</v>
      </c>
      <c r="I24">
        <f>IF(ISBLANK(MAIN!I24), 0, IF(ISNUMBER(VALUE(TRIM(MAIN!I24))), VALUE(TRIM(MAIN!I24)), 0))</f>
        <v>0</v>
      </c>
      <c r="J24">
        <f>IF(ISBLANK(MAIN!J24), 0, IF(ISNUMBER(VALUE(TRIM(MAIN!J24))), VALUE(TRIM(MAIN!J24)), 0))</f>
        <v>0</v>
      </c>
      <c r="K24" cm="1">
        <f t="array" ref="K24">IFERROR(
    VALUE(
        IFERROR(
            UPPER(
                IF(MAX(IFERROR(SEARCH("WD",MAIN!G24:J24), 0))&gt;0, "WD",
                IF(MAX(IFERROR(SEARCH("NS",MAIN!G24:J24), 0))&gt;0, "NS",
                IF(MAX(IFERROR(SEARCH("NC",MAIN!G24:J24), 0))&gt;0, "NC",
                IF(MAX(IFERROR(SEARCH("DQ",MAIN!G24:J24), 0))&gt;0, "DQ",
                IF(ISNUMBER(SEARCH("WD",MAIN!K24)), "WD",
                IF(ISNUMBER(SEARCH("NS",MAIN!K24)), "NS",
                IF(ISNUMBER(SEARCH("NC",MAIN!K24)), "NC",
                IF(ISNUMBER(SEARCH("DQ",MAIN!K24)), "DQ",
                IF(ISNUMBER(SEARCH("A",MAIN!K24)), 0,
                IF(OR(MAIN!K24=0,MAIN!K24=""), 0, --TRIM(MAIN!K24)))))))))))),
            0
        )
    ),
    IFERROR(
        UPPER(
            IF(MAX(IFERROR(SEARCH("WD",MAIN!G24:J24), 0))&gt;0, "WD",
            IF(MAX(IFERROR(SEARCH("NS",MAIN!G24:J24), 0))&gt;0, "NS",
            IF(MAX(IFERROR(SEARCH("NC",MAIN!G24:J24), 0))&gt;0, "NC",
            IF(MAX(IFERROR(SEARCH("DQ",MAIN!G24:J24), 0))&gt;0, "DQ",
            IF(ISNUMBER(SEARCH("WD",MAIN!K24)), "WD",
            IF(ISNUMBER(SEARCH("NS",MAIN!K24)), "NS",
            IF(ISNUMBER(SEARCH("NC",MAIN!K24)), "NC",
            IF(ISNUMBER(SEARCH("DQ",MAIN!K24)), "DQ",
            IF(ISNUMBER(SEARCH("A",MAIN!K24)), 0,
            IF(OR(MAIN!K24=0,MAIN!K24=""), 0, --TRIM(MAIN!K24)))))))))))),
        0
    )
)</f>
        <v>0</v>
      </c>
    </row>
    <row r="25" spans="1:11" x14ac:dyDescent="0.25">
      <c r="A25" t="str">
        <f>IF(ISBLANK(MAIN!A25), "--", IFERROR(PROPER(SUBSTITUTE(SUBSTITUTE(SUBSTITUTE(SUBSTITUTE(SUBSTITUTE(SUBSTITUTE(SUBSTITUTE(SUBSTITUTE(SUBSTITUTE(SUBSTITUTE(LEFT(MAIN!A25, FIND(",",MAIN!A25) -1), "0", ""), "1", ""), "2", ""), "3", ""), "4", ""), "5", ""), "6", ""), "7", ""), "8", ""), "9", "")), PROPER(SUBSTITUTE(SUBSTITUTE(SUBSTITUTE(SUBSTITUTE(SUBSTITUTE(SUBSTITUTE(SUBSTITUTE(SUBSTITUTE(SUBSTITUTE(SUBSTITUTE(MAIN!A25, "0", ""), "1", ""), "2", ""), "3", ""), "4", ""), "5", ""), "6", ""), "7", ""), "8", ""), "9", ""))))</f>
        <v>--</v>
      </c>
      <c r="B25" t="str">
        <f>IF(ISBLANK(MAIN!B25), "--", IFERROR(PROPER(SUBSTITUTE(SUBSTITUTE(SUBSTITUTE(SUBSTITUTE(SUBSTITUTE(SUBSTITUTE(SUBSTITUTE(SUBSTITUTE(SUBSTITUTE(SUBSTITUTE(LEFT(MAIN!B25, FIND(",",MAIN!B25) -1), "0", ""), "1", ""), "2", ""), "3", ""), "4", ""), "5", ""), "6", ""), "7", ""), "8", ""), "9", "")), PROPER(SUBSTITUTE(SUBSTITUTE(SUBSTITUTE(SUBSTITUTE(SUBSTITUTE(SUBSTITUTE(SUBSTITUTE(SUBSTITUTE(SUBSTITUTE(SUBSTITUTE(MAIN!B25, "0", ""), "1", ""), "2", ""), "3", ""), "4", ""), "5", ""), "6", ""), "7", ""), "8", ""), "9", ""))))</f>
        <v>--</v>
      </c>
      <c r="C25" t="str">
        <f>IF(ISBLANK(MAIN!C25), "--", IFERROR(PROPER(SUBSTITUTE(SUBSTITUTE(SUBSTITUTE(SUBSTITUTE(SUBSTITUTE(SUBSTITUTE(SUBSTITUTE(SUBSTITUTE(SUBSTITUTE(SUBSTITUTE(LEFT(MAIN!C25, FIND(",",MAIN!C25) -1), "0", ""), "1", ""), "2", ""), "3", ""), "4", ""), "5", ""), "6", ""), "7", ""), "8", ""), "9", "")), PROPER(SUBSTITUTE(SUBSTITUTE(SUBSTITUTE(SUBSTITUTE(SUBSTITUTE(SUBSTITUTE(SUBSTITUTE(SUBSTITUTE(SUBSTITUTE(SUBSTITUTE(MAIN!C25, "0", ""), "1", ""), "2", ""), "3", ""), "4", ""), "5", ""), "6", ""), "7", ""), "8", ""), "9", ""))))</f>
        <v>--</v>
      </c>
      <c r="D25" t="str">
        <f>IF(ISBLANK(MAIN!D25), "--", IF(ISNUMBER(MATCH(SUBSTITUTE(LEFT(MAIN!D25, IFERROR(FIND(",", MAIN!D25)-1, LEN(MAIN!D25))), " ", ""), lookup_values!$B$2:$B$51, 0)), UPPER(SUBSTITUTE(LEFT(MAIN!D25, IFERROR(FIND(",", MAIN!D25)-1, LEN(MAIN!D25))), " ", "")), IF(ISNA(VLOOKUP(SUBSTITUTE(LEFT(MAIN!D25, IFERROR(FIND(",", MAIN!D25)-1, LEN(MAIN!D25))), " ", ""), lookup_values!$A$2:$B$51, 2, FALSE)), "--", VLOOKUP(SUBSTITUTE(LEFT(MAIN!D25, IFERROR(FIND(",", MAIN!D25)-1, LEN(MAIN!D25))), " ", ""), lookup_values!$A$2:$B$51, 2, FALSE))))</f>
        <v>--</v>
      </c>
      <c r="E25" t="str">
        <f>IF(CLEAN_DATA!D25&lt;&gt;"--","US",IF(ISBLANK(MAIN!E25), "--", IF(ISNUMBER(MATCH(SUBSTITUTE(LEFT(MAIN!E25, IFERROR(FIND(",", MAIN!E25)-1, LEN(MAIN!E25))), " ", ""), lookup_values!$E$2:$E$197, 0)), UPPER(SUBSTITUTE(LEFT(MAIN!E25, IFERROR(FIND(",", MAIN!E25)-1, LEN(MAIN!E25))), " ", "")), IF(ISNA(VLOOKUP(SUBSTITUTE(LEFT(MAIN!E25, IFERROR(FIND(",", MAIN!E25)-1, LEN(MAIN!E25))), " ", ""), lookup_values!$D$2:$E$197, 2, FALSE)), "--", VLOOKUP(SUBSTITUTE(LEFT(MAIN!E25, IFERROR(FIND(",", MAIN!E25)-1, LEN(MAIN!E25))), " ", ""), lookup_values!$D$2:$E$197, 2, FALSE)))))</f>
        <v>--</v>
      </c>
      <c r="F25" t="str">
        <f>IF(ISBLANK(MAIN!F25), "", IF(AND(ISNUMBER(VALUE(TRIM(MAIN!F25))), LEN(TRIM(MAIN!F25))=4), VALUE(TRIM(MAIN!F25)), ""))</f>
        <v/>
      </c>
      <c r="G25">
        <f>IF(ISBLANK(MAIN!G25), 0, IF(ISNUMBER(VALUE(TRIM(MAIN!G25))), VALUE(TRIM(MAIN!G25)), 0))</f>
        <v>0</v>
      </c>
      <c r="H25">
        <f>IF(ISBLANK(MAIN!H25), 0, IF(ISNUMBER(VALUE(TRIM(MAIN!H25))), VALUE(TRIM(MAIN!H25)), 0))</f>
        <v>0</v>
      </c>
      <c r="I25">
        <f>IF(ISBLANK(MAIN!I25), 0, IF(ISNUMBER(VALUE(TRIM(MAIN!I25))), VALUE(TRIM(MAIN!I25)), 0))</f>
        <v>0</v>
      </c>
      <c r="J25">
        <f>IF(ISBLANK(MAIN!J25), 0, IF(ISNUMBER(VALUE(TRIM(MAIN!J25))), VALUE(TRIM(MAIN!J25)), 0))</f>
        <v>0</v>
      </c>
      <c r="K25" cm="1">
        <f t="array" ref="K25">IFERROR(
    VALUE(
        IFERROR(
            UPPER(
                IF(MAX(IFERROR(SEARCH("WD",MAIN!G25:J25), 0))&gt;0, "WD",
                IF(MAX(IFERROR(SEARCH("NS",MAIN!G25:J25), 0))&gt;0, "NS",
                IF(MAX(IFERROR(SEARCH("NC",MAIN!G25:J25), 0))&gt;0, "NC",
                IF(MAX(IFERROR(SEARCH("DQ",MAIN!G25:J25), 0))&gt;0, "DQ",
                IF(ISNUMBER(SEARCH("WD",MAIN!K25)), "WD",
                IF(ISNUMBER(SEARCH("NS",MAIN!K25)), "NS",
                IF(ISNUMBER(SEARCH("NC",MAIN!K25)), "NC",
                IF(ISNUMBER(SEARCH("DQ",MAIN!K25)), "DQ",
                IF(ISNUMBER(SEARCH("A",MAIN!K25)), 0,
                IF(OR(MAIN!K25=0,MAIN!K25=""), 0, --TRIM(MAIN!K25)))))))))))),
            0
        )
    ),
    IFERROR(
        UPPER(
            IF(MAX(IFERROR(SEARCH("WD",MAIN!G25:J25), 0))&gt;0, "WD",
            IF(MAX(IFERROR(SEARCH("NS",MAIN!G25:J25), 0))&gt;0, "NS",
            IF(MAX(IFERROR(SEARCH("NC",MAIN!G25:J25), 0))&gt;0, "NC",
            IF(MAX(IFERROR(SEARCH("DQ",MAIN!G25:J25), 0))&gt;0, "DQ",
            IF(ISNUMBER(SEARCH("WD",MAIN!K25)), "WD",
            IF(ISNUMBER(SEARCH("NS",MAIN!K25)), "NS",
            IF(ISNUMBER(SEARCH("NC",MAIN!K25)), "NC",
            IF(ISNUMBER(SEARCH("DQ",MAIN!K25)), "DQ",
            IF(ISNUMBER(SEARCH("A",MAIN!K25)), 0,
            IF(OR(MAIN!K25=0,MAIN!K25=""), 0, --TRIM(MAIN!K25)))))))))))),
        0
    )
)</f>
        <v>0</v>
      </c>
    </row>
    <row r="26" spans="1:11" x14ac:dyDescent="0.25">
      <c r="A26" t="str">
        <f>IF(ISBLANK(MAIN!A26), "--", IFERROR(PROPER(SUBSTITUTE(SUBSTITUTE(SUBSTITUTE(SUBSTITUTE(SUBSTITUTE(SUBSTITUTE(SUBSTITUTE(SUBSTITUTE(SUBSTITUTE(SUBSTITUTE(LEFT(MAIN!A26, FIND(",",MAIN!A26) -1), "0", ""), "1", ""), "2", ""), "3", ""), "4", ""), "5", ""), "6", ""), "7", ""), "8", ""), "9", "")), PROPER(SUBSTITUTE(SUBSTITUTE(SUBSTITUTE(SUBSTITUTE(SUBSTITUTE(SUBSTITUTE(SUBSTITUTE(SUBSTITUTE(SUBSTITUTE(SUBSTITUTE(MAIN!A26, "0", ""), "1", ""), "2", ""), "3", ""), "4", ""), "5", ""), "6", ""), "7", ""), "8", ""), "9", ""))))</f>
        <v>--</v>
      </c>
      <c r="B26" t="str">
        <f>IF(ISBLANK(MAIN!B26), "--", IFERROR(PROPER(SUBSTITUTE(SUBSTITUTE(SUBSTITUTE(SUBSTITUTE(SUBSTITUTE(SUBSTITUTE(SUBSTITUTE(SUBSTITUTE(SUBSTITUTE(SUBSTITUTE(LEFT(MAIN!B26, FIND(",",MAIN!B26) -1), "0", ""), "1", ""), "2", ""), "3", ""), "4", ""), "5", ""), "6", ""), "7", ""), "8", ""), "9", "")), PROPER(SUBSTITUTE(SUBSTITUTE(SUBSTITUTE(SUBSTITUTE(SUBSTITUTE(SUBSTITUTE(SUBSTITUTE(SUBSTITUTE(SUBSTITUTE(SUBSTITUTE(MAIN!B26, "0", ""), "1", ""), "2", ""), "3", ""), "4", ""), "5", ""), "6", ""), "7", ""), "8", ""), "9", ""))))</f>
        <v>--</v>
      </c>
      <c r="C26" t="str">
        <f>IF(ISBLANK(MAIN!C26), "--", IFERROR(PROPER(SUBSTITUTE(SUBSTITUTE(SUBSTITUTE(SUBSTITUTE(SUBSTITUTE(SUBSTITUTE(SUBSTITUTE(SUBSTITUTE(SUBSTITUTE(SUBSTITUTE(LEFT(MAIN!C26, FIND(",",MAIN!C26) -1), "0", ""), "1", ""), "2", ""), "3", ""), "4", ""), "5", ""), "6", ""), "7", ""), "8", ""), "9", "")), PROPER(SUBSTITUTE(SUBSTITUTE(SUBSTITUTE(SUBSTITUTE(SUBSTITUTE(SUBSTITUTE(SUBSTITUTE(SUBSTITUTE(SUBSTITUTE(SUBSTITUTE(MAIN!C26, "0", ""), "1", ""), "2", ""), "3", ""), "4", ""), "5", ""), "6", ""), "7", ""), "8", ""), "9", ""))))</f>
        <v>--</v>
      </c>
      <c r="D26" t="str">
        <f>IF(ISBLANK(MAIN!D26), "--", IF(ISNUMBER(MATCH(SUBSTITUTE(LEFT(MAIN!D26, IFERROR(FIND(",", MAIN!D26)-1, LEN(MAIN!D26))), " ", ""), lookup_values!$B$2:$B$51, 0)), UPPER(SUBSTITUTE(LEFT(MAIN!D26, IFERROR(FIND(",", MAIN!D26)-1, LEN(MAIN!D26))), " ", "")), IF(ISNA(VLOOKUP(SUBSTITUTE(LEFT(MAIN!D26, IFERROR(FIND(",", MAIN!D26)-1, LEN(MAIN!D26))), " ", ""), lookup_values!$A$2:$B$51, 2, FALSE)), "--", VLOOKUP(SUBSTITUTE(LEFT(MAIN!D26, IFERROR(FIND(",", MAIN!D26)-1, LEN(MAIN!D26))), " ", ""), lookup_values!$A$2:$B$51, 2, FALSE))))</f>
        <v>--</v>
      </c>
      <c r="E26" t="str">
        <f>IF(CLEAN_DATA!D26&lt;&gt;"--","US",IF(ISBLANK(MAIN!E26), "--", IF(ISNUMBER(MATCH(SUBSTITUTE(LEFT(MAIN!E26, IFERROR(FIND(",", MAIN!E26)-1, LEN(MAIN!E26))), " ", ""), lookup_values!$E$2:$E$197, 0)), UPPER(SUBSTITUTE(LEFT(MAIN!E26, IFERROR(FIND(",", MAIN!E26)-1, LEN(MAIN!E26))), " ", "")), IF(ISNA(VLOOKUP(SUBSTITUTE(LEFT(MAIN!E26, IFERROR(FIND(",", MAIN!E26)-1, LEN(MAIN!E26))), " ", ""), lookup_values!$D$2:$E$197, 2, FALSE)), "--", VLOOKUP(SUBSTITUTE(LEFT(MAIN!E26, IFERROR(FIND(",", MAIN!E26)-1, LEN(MAIN!E26))), " ", ""), lookup_values!$D$2:$E$197, 2, FALSE)))))</f>
        <v>--</v>
      </c>
      <c r="F26" t="str">
        <f>IF(ISBLANK(MAIN!F26), "", IF(AND(ISNUMBER(VALUE(TRIM(MAIN!F26))), LEN(TRIM(MAIN!F26))=4), VALUE(TRIM(MAIN!F26)), ""))</f>
        <v/>
      </c>
      <c r="G26">
        <f>IF(ISBLANK(MAIN!G26), 0, IF(ISNUMBER(VALUE(TRIM(MAIN!G26))), VALUE(TRIM(MAIN!G26)), 0))</f>
        <v>0</v>
      </c>
      <c r="H26">
        <f>IF(ISBLANK(MAIN!H26), 0, IF(ISNUMBER(VALUE(TRIM(MAIN!H26))), VALUE(TRIM(MAIN!H26)), 0))</f>
        <v>0</v>
      </c>
      <c r="I26">
        <f>IF(ISBLANK(MAIN!I26), 0, IF(ISNUMBER(VALUE(TRIM(MAIN!I26))), VALUE(TRIM(MAIN!I26)), 0))</f>
        <v>0</v>
      </c>
      <c r="J26">
        <f>IF(ISBLANK(MAIN!J26), 0, IF(ISNUMBER(VALUE(TRIM(MAIN!J26))), VALUE(TRIM(MAIN!J26)), 0))</f>
        <v>0</v>
      </c>
      <c r="K26" cm="1">
        <f t="array" ref="K26">IFERROR(
    VALUE(
        IFERROR(
            UPPER(
                IF(MAX(IFERROR(SEARCH("WD",MAIN!G26:J26), 0))&gt;0, "WD",
                IF(MAX(IFERROR(SEARCH("NS",MAIN!G26:J26), 0))&gt;0, "NS",
                IF(MAX(IFERROR(SEARCH("NC",MAIN!G26:J26), 0))&gt;0, "NC",
                IF(MAX(IFERROR(SEARCH("DQ",MAIN!G26:J26), 0))&gt;0, "DQ",
                IF(ISNUMBER(SEARCH("WD",MAIN!K26)), "WD",
                IF(ISNUMBER(SEARCH("NS",MAIN!K26)), "NS",
                IF(ISNUMBER(SEARCH("NC",MAIN!K26)), "NC",
                IF(ISNUMBER(SEARCH("DQ",MAIN!K26)), "DQ",
                IF(ISNUMBER(SEARCH("A",MAIN!K26)), 0,
                IF(OR(MAIN!K26=0,MAIN!K26=""), 0, --TRIM(MAIN!K26)))))))))))),
            0
        )
    ),
    IFERROR(
        UPPER(
            IF(MAX(IFERROR(SEARCH("WD",MAIN!G26:J26), 0))&gt;0, "WD",
            IF(MAX(IFERROR(SEARCH("NS",MAIN!G26:J26), 0))&gt;0, "NS",
            IF(MAX(IFERROR(SEARCH("NC",MAIN!G26:J26), 0))&gt;0, "NC",
            IF(MAX(IFERROR(SEARCH("DQ",MAIN!G26:J26), 0))&gt;0, "DQ",
            IF(ISNUMBER(SEARCH("WD",MAIN!K26)), "WD",
            IF(ISNUMBER(SEARCH("NS",MAIN!K26)), "NS",
            IF(ISNUMBER(SEARCH("NC",MAIN!K26)), "NC",
            IF(ISNUMBER(SEARCH("DQ",MAIN!K26)), "DQ",
            IF(ISNUMBER(SEARCH("A",MAIN!K26)), 0,
            IF(OR(MAIN!K26=0,MAIN!K26=""), 0, --TRIM(MAIN!K26)))))))))))),
        0
    )
)</f>
        <v>0</v>
      </c>
    </row>
    <row r="27" spans="1:11" x14ac:dyDescent="0.25">
      <c r="A27" t="str">
        <f>IF(ISBLANK(MAIN!A27), "--", IFERROR(PROPER(SUBSTITUTE(SUBSTITUTE(SUBSTITUTE(SUBSTITUTE(SUBSTITUTE(SUBSTITUTE(SUBSTITUTE(SUBSTITUTE(SUBSTITUTE(SUBSTITUTE(LEFT(MAIN!A27, FIND(",",MAIN!A27) -1), "0", ""), "1", ""), "2", ""), "3", ""), "4", ""), "5", ""), "6", ""), "7", ""), "8", ""), "9", "")), PROPER(SUBSTITUTE(SUBSTITUTE(SUBSTITUTE(SUBSTITUTE(SUBSTITUTE(SUBSTITUTE(SUBSTITUTE(SUBSTITUTE(SUBSTITUTE(SUBSTITUTE(MAIN!A27, "0", ""), "1", ""), "2", ""), "3", ""), "4", ""), "5", ""), "6", ""), "7", ""), "8", ""), "9", ""))))</f>
        <v>--</v>
      </c>
      <c r="B27" t="str">
        <f>IF(ISBLANK(MAIN!B27), "--", IFERROR(PROPER(SUBSTITUTE(SUBSTITUTE(SUBSTITUTE(SUBSTITUTE(SUBSTITUTE(SUBSTITUTE(SUBSTITUTE(SUBSTITUTE(SUBSTITUTE(SUBSTITUTE(LEFT(MAIN!B27, FIND(",",MAIN!B27) -1), "0", ""), "1", ""), "2", ""), "3", ""), "4", ""), "5", ""), "6", ""), "7", ""), "8", ""), "9", "")), PROPER(SUBSTITUTE(SUBSTITUTE(SUBSTITUTE(SUBSTITUTE(SUBSTITUTE(SUBSTITUTE(SUBSTITUTE(SUBSTITUTE(SUBSTITUTE(SUBSTITUTE(MAIN!B27, "0", ""), "1", ""), "2", ""), "3", ""), "4", ""), "5", ""), "6", ""), "7", ""), "8", ""), "9", ""))))</f>
        <v>--</v>
      </c>
      <c r="C27" t="str">
        <f>IF(ISBLANK(MAIN!C27), "--", IFERROR(PROPER(SUBSTITUTE(SUBSTITUTE(SUBSTITUTE(SUBSTITUTE(SUBSTITUTE(SUBSTITUTE(SUBSTITUTE(SUBSTITUTE(SUBSTITUTE(SUBSTITUTE(LEFT(MAIN!C27, FIND(",",MAIN!C27) -1), "0", ""), "1", ""), "2", ""), "3", ""), "4", ""), "5", ""), "6", ""), "7", ""), "8", ""), "9", "")), PROPER(SUBSTITUTE(SUBSTITUTE(SUBSTITUTE(SUBSTITUTE(SUBSTITUTE(SUBSTITUTE(SUBSTITUTE(SUBSTITUTE(SUBSTITUTE(SUBSTITUTE(MAIN!C27, "0", ""), "1", ""), "2", ""), "3", ""), "4", ""), "5", ""), "6", ""), "7", ""), "8", ""), "9", ""))))</f>
        <v>--</v>
      </c>
      <c r="D27" t="str">
        <f>IF(ISBLANK(MAIN!D27), "--", IF(ISNUMBER(MATCH(SUBSTITUTE(LEFT(MAIN!D27, IFERROR(FIND(",", MAIN!D27)-1, LEN(MAIN!D27))), " ", ""), lookup_values!$B$2:$B$51, 0)), UPPER(SUBSTITUTE(LEFT(MAIN!D27, IFERROR(FIND(",", MAIN!D27)-1, LEN(MAIN!D27))), " ", "")), IF(ISNA(VLOOKUP(SUBSTITUTE(LEFT(MAIN!D27, IFERROR(FIND(",", MAIN!D27)-1, LEN(MAIN!D27))), " ", ""), lookup_values!$A$2:$B$51, 2, FALSE)), "--", VLOOKUP(SUBSTITUTE(LEFT(MAIN!D27, IFERROR(FIND(",", MAIN!D27)-1, LEN(MAIN!D27))), " ", ""), lookup_values!$A$2:$B$51, 2, FALSE))))</f>
        <v>--</v>
      </c>
      <c r="E27" t="str">
        <f>IF(CLEAN_DATA!D27&lt;&gt;"--","US",IF(ISBLANK(MAIN!E27), "--", IF(ISNUMBER(MATCH(SUBSTITUTE(LEFT(MAIN!E27, IFERROR(FIND(",", MAIN!E27)-1, LEN(MAIN!E27))), " ", ""), lookup_values!$E$2:$E$197, 0)), UPPER(SUBSTITUTE(LEFT(MAIN!E27, IFERROR(FIND(",", MAIN!E27)-1, LEN(MAIN!E27))), " ", "")), IF(ISNA(VLOOKUP(SUBSTITUTE(LEFT(MAIN!E27, IFERROR(FIND(",", MAIN!E27)-1, LEN(MAIN!E27))), " ", ""), lookup_values!$D$2:$E$197, 2, FALSE)), "--", VLOOKUP(SUBSTITUTE(LEFT(MAIN!E27, IFERROR(FIND(",", MAIN!E27)-1, LEN(MAIN!E27))), " ", ""), lookup_values!$D$2:$E$197, 2, FALSE)))))</f>
        <v>--</v>
      </c>
      <c r="F27" t="str">
        <f>IF(ISBLANK(MAIN!F27), "", IF(AND(ISNUMBER(VALUE(TRIM(MAIN!F27))), LEN(TRIM(MAIN!F27))=4), VALUE(TRIM(MAIN!F27)), ""))</f>
        <v/>
      </c>
      <c r="G27">
        <f>IF(ISBLANK(MAIN!G27), 0, IF(ISNUMBER(VALUE(TRIM(MAIN!G27))), VALUE(TRIM(MAIN!G27)), 0))</f>
        <v>0</v>
      </c>
      <c r="H27">
        <f>IF(ISBLANK(MAIN!H27), 0, IF(ISNUMBER(VALUE(TRIM(MAIN!H27))), VALUE(TRIM(MAIN!H27)), 0))</f>
        <v>0</v>
      </c>
      <c r="I27">
        <f>IF(ISBLANK(MAIN!I27), 0, IF(ISNUMBER(VALUE(TRIM(MAIN!I27))), VALUE(TRIM(MAIN!I27)), 0))</f>
        <v>0</v>
      </c>
      <c r="J27">
        <f>IF(ISBLANK(MAIN!J27), 0, IF(ISNUMBER(VALUE(TRIM(MAIN!J27))), VALUE(TRIM(MAIN!J27)), 0))</f>
        <v>0</v>
      </c>
      <c r="K27" cm="1">
        <f t="array" ref="K27">IFERROR(
    VALUE(
        IFERROR(
            UPPER(
                IF(MAX(IFERROR(SEARCH("WD",MAIN!G27:J27), 0))&gt;0, "WD",
                IF(MAX(IFERROR(SEARCH("NS",MAIN!G27:J27), 0))&gt;0, "NS",
                IF(MAX(IFERROR(SEARCH("NC",MAIN!G27:J27), 0))&gt;0, "NC",
                IF(MAX(IFERROR(SEARCH("DQ",MAIN!G27:J27), 0))&gt;0, "DQ",
                IF(ISNUMBER(SEARCH("WD",MAIN!K27)), "WD",
                IF(ISNUMBER(SEARCH("NS",MAIN!K27)), "NS",
                IF(ISNUMBER(SEARCH("NC",MAIN!K27)), "NC",
                IF(ISNUMBER(SEARCH("DQ",MAIN!K27)), "DQ",
                IF(ISNUMBER(SEARCH("A",MAIN!K27)), 0,
                IF(OR(MAIN!K27=0,MAIN!K27=""), 0, --TRIM(MAIN!K27)))))))))))),
            0
        )
    ),
    IFERROR(
        UPPER(
            IF(MAX(IFERROR(SEARCH("WD",MAIN!G27:J27), 0))&gt;0, "WD",
            IF(MAX(IFERROR(SEARCH("NS",MAIN!G27:J27), 0))&gt;0, "NS",
            IF(MAX(IFERROR(SEARCH("NC",MAIN!G27:J27), 0))&gt;0, "NC",
            IF(MAX(IFERROR(SEARCH("DQ",MAIN!G27:J27), 0))&gt;0, "DQ",
            IF(ISNUMBER(SEARCH("WD",MAIN!K27)), "WD",
            IF(ISNUMBER(SEARCH("NS",MAIN!K27)), "NS",
            IF(ISNUMBER(SEARCH("NC",MAIN!K27)), "NC",
            IF(ISNUMBER(SEARCH("DQ",MAIN!K27)), "DQ",
            IF(ISNUMBER(SEARCH("A",MAIN!K27)), 0,
            IF(OR(MAIN!K27=0,MAIN!K27=""), 0, --TRIM(MAIN!K27)))))))))))),
        0
    )
)</f>
        <v>0</v>
      </c>
    </row>
    <row r="28" spans="1:11" x14ac:dyDescent="0.25">
      <c r="A28" t="str">
        <f>IF(ISBLANK(MAIN!A28), "--", IFERROR(PROPER(SUBSTITUTE(SUBSTITUTE(SUBSTITUTE(SUBSTITUTE(SUBSTITUTE(SUBSTITUTE(SUBSTITUTE(SUBSTITUTE(SUBSTITUTE(SUBSTITUTE(LEFT(MAIN!A28, FIND(",",MAIN!A28) -1), "0", ""), "1", ""), "2", ""), "3", ""), "4", ""), "5", ""), "6", ""), "7", ""), "8", ""), "9", "")), PROPER(SUBSTITUTE(SUBSTITUTE(SUBSTITUTE(SUBSTITUTE(SUBSTITUTE(SUBSTITUTE(SUBSTITUTE(SUBSTITUTE(SUBSTITUTE(SUBSTITUTE(MAIN!A28, "0", ""), "1", ""), "2", ""), "3", ""), "4", ""), "5", ""), "6", ""), "7", ""), "8", ""), "9", ""))))</f>
        <v>--</v>
      </c>
      <c r="B28" t="str">
        <f>IF(ISBLANK(MAIN!B28), "--", IFERROR(PROPER(SUBSTITUTE(SUBSTITUTE(SUBSTITUTE(SUBSTITUTE(SUBSTITUTE(SUBSTITUTE(SUBSTITUTE(SUBSTITUTE(SUBSTITUTE(SUBSTITUTE(LEFT(MAIN!B28, FIND(",",MAIN!B28) -1), "0", ""), "1", ""), "2", ""), "3", ""), "4", ""), "5", ""), "6", ""), "7", ""), "8", ""), "9", "")), PROPER(SUBSTITUTE(SUBSTITUTE(SUBSTITUTE(SUBSTITUTE(SUBSTITUTE(SUBSTITUTE(SUBSTITUTE(SUBSTITUTE(SUBSTITUTE(SUBSTITUTE(MAIN!B28, "0", ""), "1", ""), "2", ""), "3", ""), "4", ""), "5", ""), "6", ""), "7", ""), "8", ""), "9", ""))))</f>
        <v>--</v>
      </c>
      <c r="C28" t="str">
        <f>IF(ISBLANK(MAIN!C28), "--", IFERROR(PROPER(SUBSTITUTE(SUBSTITUTE(SUBSTITUTE(SUBSTITUTE(SUBSTITUTE(SUBSTITUTE(SUBSTITUTE(SUBSTITUTE(SUBSTITUTE(SUBSTITUTE(LEFT(MAIN!C28, FIND(",",MAIN!C28) -1), "0", ""), "1", ""), "2", ""), "3", ""), "4", ""), "5", ""), "6", ""), "7", ""), "8", ""), "9", "")), PROPER(SUBSTITUTE(SUBSTITUTE(SUBSTITUTE(SUBSTITUTE(SUBSTITUTE(SUBSTITUTE(SUBSTITUTE(SUBSTITUTE(SUBSTITUTE(SUBSTITUTE(MAIN!C28, "0", ""), "1", ""), "2", ""), "3", ""), "4", ""), "5", ""), "6", ""), "7", ""), "8", ""), "9", ""))))</f>
        <v>--</v>
      </c>
      <c r="D28" t="str">
        <f>IF(ISBLANK(MAIN!D28), "--", IF(ISNUMBER(MATCH(SUBSTITUTE(LEFT(MAIN!D28, IFERROR(FIND(",", MAIN!D28)-1, LEN(MAIN!D28))), " ", ""), lookup_values!$B$2:$B$51, 0)), UPPER(SUBSTITUTE(LEFT(MAIN!D28, IFERROR(FIND(",", MAIN!D28)-1, LEN(MAIN!D28))), " ", "")), IF(ISNA(VLOOKUP(SUBSTITUTE(LEFT(MAIN!D28, IFERROR(FIND(",", MAIN!D28)-1, LEN(MAIN!D28))), " ", ""), lookup_values!$A$2:$B$51, 2, FALSE)), "--", VLOOKUP(SUBSTITUTE(LEFT(MAIN!D28, IFERROR(FIND(",", MAIN!D28)-1, LEN(MAIN!D28))), " ", ""), lookup_values!$A$2:$B$51, 2, FALSE))))</f>
        <v>--</v>
      </c>
      <c r="E28" t="str">
        <f>IF(CLEAN_DATA!D28&lt;&gt;"--","US",IF(ISBLANK(MAIN!E28), "--", IF(ISNUMBER(MATCH(SUBSTITUTE(LEFT(MAIN!E28, IFERROR(FIND(",", MAIN!E28)-1, LEN(MAIN!E28))), " ", ""), lookup_values!$E$2:$E$197, 0)), UPPER(SUBSTITUTE(LEFT(MAIN!E28, IFERROR(FIND(",", MAIN!E28)-1, LEN(MAIN!E28))), " ", "")), IF(ISNA(VLOOKUP(SUBSTITUTE(LEFT(MAIN!E28, IFERROR(FIND(",", MAIN!E28)-1, LEN(MAIN!E28))), " ", ""), lookup_values!$D$2:$E$197, 2, FALSE)), "--", VLOOKUP(SUBSTITUTE(LEFT(MAIN!E28, IFERROR(FIND(",", MAIN!E28)-1, LEN(MAIN!E28))), " ", ""), lookup_values!$D$2:$E$197, 2, FALSE)))))</f>
        <v>--</v>
      </c>
      <c r="F28" t="str">
        <f>IF(ISBLANK(MAIN!F28), "", IF(AND(ISNUMBER(VALUE(TRIM(MAIN!F28))), LEN(TRIM(MAIN!F28))=4), VALUE(TRIM(MAIN!F28)), ""))</f>
        <v/>
      </c>
      <c r="G28">
        <f>IF(ISBLANK(MAIN!G28), 0, IF(ISNUMBER(VALUE(TRIM(MAIN!G28))), VALUE(TRIM(MAIN!G28)), 0))</f>
        <v>0</v>
      </c>
      <c r="H28">
        <f>IF(ISBLANK(MAIN!H28), 0, IF(ISNUMBER(VALUE(TRIM(MAIN!H28))), VALUE(TRIM(MAIN!H28)), 0))</f>
        <v>0</v>
      </c>
      <c r="I28">
        <f>IF(ISBLANK(MAIN!I28), 0, IF(ISNUMBER(VALUE(TRIM(MAIN!I28))), VALUE(TRIM(MAIN!I28)), 0))</f>
        <v>0</v>
      </c>
      <c r="J28">
        <f>IF(ISBLANK(MAIN!J28), 0, IF(ISNUMBER(VALUE(TRIM(MAIN!J28))), VALUE(TRIM(MAIN!J28)), 0))</f>
        <v>0</v>
      </c>
      <c r="K28" cm="1">
        <f t="array" ref="K28">IFERROR(
    VALUE(
        IFERROR(
            UPPER(
                IF(MAX(IFERROR(SEARCH("WD",MAIN!G28:J28), 0))&gt;0, "WD",
                IF(MAX(IFERROR(SEARCH("NS",MAIN!G28:J28), 0))&gt;0, "NS",
                IF(MAX(IFERROR(SEARCH("NC",MAIN!G28:J28), 0))&gt;0, "NC",
                IF(MAX(IFERROR(SEARCH("DQ",MAIN!G28:J28), 0))&gt;0, "DQ",
                IF(ISNUMBER(SEARCH("WD",MAIN!K28)), "WD",
                IF(ISNUMBER(SEARCH("NS",MAIN!K28)), "NS",
                IF(ISNUMBER(SEARCH("NC",MAIN!K28)), "NC",
                IF(ISNUMBER(SEARCH("DQ",MAIN!K28)), "DQ",
                IF(ISNUMBER(SEARCH("A",MAIN!K28)), 0,
                IF(OR(MAIN!K28=0,MAIN!K28=""), 0, --TRIM(MAIN!K28)))))))))))),
            0
        )
    ),
    IFERROR(
        UPPER(
            IF(MAX(IFERROR(SEARCH("WD",MAIN!G28:J28), 0))&gt;0, "WD",
            IF(MAX(IFERROR(SEARCH("NS",MAIN!G28:J28), 0))&gt;0, "NS",
            IF(MAX(IFERROR(SEARCH("NC",MAIN!G28:J28), 0))&gt;0, "NC",
            IF(MAX(IFERROR(SEARCH("DQ",MAIN!G28:J28), 0))&gt;0, "DQ",
            IF(ISNUMBER(SEARCH("WD",MAIN!K28)), "WD",
            IF(ISNUMBER(SEARCH("NS",MAIN!K28)), "NS",
            IF(ISNUMBER(SEARCH("NC",MAIN!K28)), "NC",
            IF(ISNUMBER(SEARCH("DQ",MAIN!K28)), "DQ",
            IF(ISNUMBER(SEARCH("A",MAIN!K28)), 0,
            IF(OR(MAIN!K28=0,MAIN!K28=""), 0, --TRIM(MAIN!K28)))))))))))),
        0
    )
)</f>
        <v>0</v>
      </c>
    </row>
    <row r="29" spans="1:11" x14ac:dyDescent="0.25">
      <c r="A29" t="str">
        <f>IF(ISBLANK(MAIN!A29), "--", IFERROR(PROPER(SUBSTITUTE(SUBSTITUTE(SUBSTITUTE(SUBSTITUTE(SUBSTITUTE(SUBSTITUTE(SUBSTITUTE(SUBSTITUTE(SUBSTITUTE(SUBSTITUTE(LEFT(MAIN!A29, FIND(",",MAIN!A29) -1), "0", ""), "1", ""), "2", ""), "3", ""), "4", ""), "5", ""), "6", ""), "7", ""), "8", ""), "9", "")), PROPER(SUBSTITUTE(SUBSTITUTE(SUBSTITUTE(SUBSTITUTE(SUBSTITUTE(SUBSTITUTE(SUBSTITUTE(SUBSTITUTE(SUBSTITUTE(SUBSTITUTE(MAIN!A29, "0", ""), "1", ""), "2", ""), "3", ""), "4", ""), "5", ""), "6", ""), "7", ""), "8", ""), "9", ""))))</f>
        <v>--</v>
      </c>
      <c r="B29" t="str">
        <f>IF(ISBLANK(MAIN!B29), "--", IFERROR(PROPER(SUBSTITUTE(SUBSTITUTE(SUBSTITUTE(SUBSTITUTE(SUBSTITUTE(SUBSTITUTE(SUBSTITUTE(SUBSTITUTE(SUBSTITUTE(SUBSTITUTE(LEFT(MAIN!B29, FIND(",",MAIN!B29) -1), "0", ""), "1", ""), "2", ""), "3", ""), "4", ""), "5", ""), "6", ""), "7", ""), "8", ""), "9", "")), PROPER(SUBSTITUTE(SUBSTITUTE(SUBSTITUTE(SUBSTITUTE(SUBSTITUTE(SUBSTITUTE(SUBSTITUTE(SUBSTITUTE(SUBSTITUTE(SUBSTITUTE(MAIN!B29, "0", ""), "1", ""), "2", ""), "3", ""), "4", ""), "5", ""), "6", ""), "7", ""), "8", ""), "9", ""))))</f>
        <v>--</v>
      </c>
      <c r="C29" t="str">
        <f>IF(ISBLANK(MAIN!C29), "--", IFERROR(PROPER(SUBSTITUTE(SUBSTITUTE(SUBSTITUTE(SUBSTITUTE(SUBSTITUTE(SUBSTITUTE(SUBSTITUTE(SUBSTITUTE(SUBSTITUTE(SUBSTITUTE(LEFT(MAIN!C29, FIND(",",MAIN!C29) -1), "0", ""), "1", ""), "2", ""), "3", ""), "4", ""), "5", ""), "6", ""), "7", ""), "8", ""), "9", "")), PROPER(SUBSTITUTE(SUBSTITUTE(SUBSTITUTE(SUBSTITUTE(SUBSTITUTE(SUBSTITUTE(SUBSTITUTE(SUBSTITUTE(SUBSTITUTE(SUBSTITUTE(MAIN!C29, "0", ""), "1", ""), "2", ""), "3", ""), "4", ""), "5", ""), "6", ""), "7", ""), "8", ""), "9", ""))))</f>
        <v>--</v>
      </c>
      <c r="D29" t="str">
        <f>IF(ISBLANK(MAIN!D29), "--", IF(ISNUMBER(MATCH(SUBSTITUTE(LEFT(MAIN!D29, IFERROR(FIND(",", MAIN!D29)-1, LEN(MAIN!D29))), " ", ""), lookup_values!$B$2:$B$51, 0)), UPPER(SUBSTITUTE(LEFT(MAIN!D29, IFERROR(FIND(",", MAIN!D29)-1, LEN(MAIN!D29))), " ", "")), IF(ISNA(VLOOKUP(SUBSTITUTE(LEFT(MAIN!D29, IFERROR(FIND(",", MAIN!D29)-1, LEN(MAIN!D29))), " ", ""), lookup_values!$A$2:$B$51, 2, FALSE)), "--", VLOOKUP(SUBSTITUTE(LEFT(MAIN!D29, IFERROR(FIND(",", MAIN!D29)-1, LEN(MAIN!D29))), " ", ""), lookup_values!$A$2:$B$51, 2, FALSE))))</f>
        <v>--</v>
      </c>
      <c r="E29" t="str">
        <f>IF(CLEAN_DATA!D29&lt;&gt;"--","US",IF(ISBLANK(MAIN!E29), "--", IF(ISNUMBER(MATCH(SUBSTITUTE(LEFT(MAIN!E29, IFERROR(FIND(",", MAIN!E29)-1, LEN(MAIN!E29))), " ", ""), lookup_values!$E$2:$E$197, 0)), UPPER(SUBSTITUTE(LEFT(MAIN!E29, IFERROR(FIND(",", MAIN!E29)-1, LEN(MAIN!E29))), " ", "")), IF(ISNA(VLOOKUP(SUBSTITUTE(LEFT(MAIN!E29, IFERROR(FIND(",", MAIN!E29)-1, LEN(MAIN!E29))), " ", ""), lookup_values!$D$2:$E$197, 2, FALSE)), "--", VLOOKUP(SUBSTITUTE(LEFT(MAIN!E29, IFERROR(FIND(",", MAIN!E29)-1, LEN(MAIN!E29))), " ", ""), lookup_values!$D$2:$E$197, 2, FALSE)))))</f>
        <v>--</v>
      </c>
      <c r="F29" t="str">
        <f>IF(ISBLANK(MAIN!F29), "", IF(AND(ISNUMBER(VALUE(TRIM(MAIN!F29))), LEN(TRIM(MAIN!F29))=4), VALUE(TRIM(MAIN!F29)), ""))</f>
        <v/>
      </c>
      <c r="G29">
        <f>IF(ISBLANK(MAIN!G29), 0, IF(ISNUMBER(VALUE(TRIM(MAIN!G29))), VALUE(TRIM(MAIN!G29)), 0))</f>
        <v>0</v>
      </c>
      <c r="H29">
        <f>IF(ISBLANK(MAIN!H29), 0, IF(ISNUMBER(VALUE(TRIM(MAIN!H29))), VALUE(TRIM(MAIN!H29)), 0))</f>
        <v>0</v>
      </c>
      <c r="I29">
        <f>IF(ISBLANK(MAIN!I29), 0, IF(ISNUMBER(VALUE(TRIM(MAIN!I29))), VALUE(TRIM(MAIN!I29)), 0))</f>
        <v>0</v>
      </c>
      <c r="J29">
        <f>IF(ISBLANK(MAIN!J29), 0, IF(ISNUMBER(VALUE(TRIM(MAIN!J29))), VALUE(TRIM(MAIN!J29)), 0))</f>
        <v>0</v>
      </c>
      <c r="K29" cm="1">
        <f t="array" ref="K29">IFERROR(
    VALUE(
        IFERROR(
            UPPER(
                IF(MAX(IFERROR(SEARCH("WD",MAIN!G29:J29), 0))&gt;0, "WD",
                IF(MAX(IFERROR(SEARCH("NS",MAIN!G29:J29), 0))&gt;0, "NS",
                IF(MAX(IFERROR(SEARCH("NC",MAIN!G29:J29), 0))&gt;0, "NC",
                IF(MAX(IFERROR(SEARCH("DQ",MAIN!G29:J29), 0))&gt;0, "DQ",
                IF(ISNUMBER(SEARCH("WD",MAIN!K29)), "WD",
                IF(ISNUMBER(SEARCH("NS",MAIN!K29)), "NS",
                IF(ISNUMBER(SEARCH("NC",MAIN!K29)), "NC",
                IF(ISNUMBER(SEARCH("DQ",MAIN!K29)), "DQ",
                IF(ISNUMBER(SEARCH("A",MAIN!K29)), 0,
                IF(OR(MAIN!K29=0,MAIN!K29=""), 0, --TRIM(MAIN!K29)))))))))))),
            0
        )
    ),
    IFERROR(
        UPPER(
            IF(MAX(IFERROR(SEARCH("WD",MAIN!G29:J29), 0))&gt;0, "WD",
            IF(MAX(IFERROR(SEARCH("NS",MAIN!G29:J29), 0))&gt;0, "NS",
            IF(MAX(IFERROR(SEARCH("NC",MAIN!G29:J29), 0))&gt;0, "NC",
            IF(MAX(IFERROR(SEARCH("DQ",MAIN!G29:J29), 0))&gt;0, "DQ",
            IF(ISNUMBER(SEARCH("WD",MAIN!K29)), "WD",
            IF(ISNUMBER(SEARCH("NS",MAIN!K29)), "NS",
            IF(ISNUMBER(SEARCH("NC",MAIN!K29)), "NC",
            IF(ISNUMBER(SEARCH("DQ",MAIN!K29)), "DQ",
            IF(ISNUMBER(SEARCH("A",MAIN!K29)), 0,
            IF(OR(MAIN!K29=0,MAIN!K29=""), 0, --TRIM(MAIN!K29)))))))))))),
        0
    )
)</f>
        <v>0</v>
      </c>
    </row>
    <row r="30" spans="1:11" x14ac:dyDescent="0.25">
      <c r="A30" t="str">
        <f>IF(ISBLANK(MAIN!A30), "--", IFERROR(PROPER(SUBSTITUTE(SUBSTITUTE(SUBSTITUTE(SUBSTITUTE(SUBSTITUTE(SUBSTITUTE(SUBSTITUTE(SUBSTITUTE(SUBSTITUTE(SUBSTITUTE(LEFT(MAIN!A30, FIND(",",MAIN!A30) -1), "0", ""), "1", ""), "2", ""), "3", ""), "4", ""), "5", ""), "6", ""), "7", ""), "8", ""), "9", "")), PROPER(SUBSTITUTE(SUBSTITUTE(SUBSTITUTE(SUBSTITUTE(SUBSTITUTE(SUBSTITUTE(SUBSTITUTE(SUBSTITUTE(SUBSTITUTE(SUBSTITUTE(MAIN!A30, "0", ""), "1", ""), "2", ""), "3", ""), "4", ""), "5", ""), "6", ""), "7", ""), "8", ""), "9", ""))))</f>
        <v>--</v>
      </c>
      <c r="B30" t="str">
        <f>IF(ISBLANK(MAIN!B30), "--", IFERROR(PROPER(SUBSTITUTE(SUBSTITUTE(SUBSTITUTE(SUBSTITUTE(SUBSTITUTE(SUBSTITUTE(SUBSTITUTE(SUBSTITUTE(SUBSTITUTE(SUBSTITUTE(LEFT(MAIN!B30, FIND(",",MAIN!B30) -1), "0", ""), "1", ""), "2", ""), "3", ""), "4", ""), "5", ""), "6", ""), "7", ""), "8", ""), "9", "")), PROPER(SUBSTITUTE(SUBSTITUTE(SUBSTITUTE(SUBSTITUTE(SUBSTITUTE(SUBSTITUTE(SUBSTITUTE(SUBSTITUTE(SUBSTITUTE(SUBSTITUTE(MAIN!B30, "0", ""), "1", ""), "2", ""), "3", ""), "4", ""), "5", ""), "6", ""), "7", ""), "8", ""), "9", ""))))</f>
        <v>--</v>
      </c>
      <c r="C30" t="str">
        <f>IF(ISBLANK(MAIN!C30), "--", IFERROR(PROPER(SUBSTITUTE(SUBSTITUTE(SUBSTITUTE(SUBSTITUTE(SUBSTITUTE(SUBSTITUTE(SUBSTITUTE(SUBSTITUTE(SUBSTITUTE(SUBSTITUTE(LEFT(MAIN!C30, FIND(",",MAIN!C30) -1), "0", ""), "1", ""), "2", ""), "3", ""), "4", ""), "5", ""), "6", ""), "7", ""), "8", ""), "9", "")), PROPER(SUBSTITUTE(SUBSTITUTE(SUBSTITUTE(SUBSTITUTE(SUBSTITUTE(SUBSTITUTE(SUBSTITUTE(SUBSTITUTE(SUBSTITUTE(SUBSTITUTE(MAIN!C30, "0", ""), "1", ""), "2", ""), "3", ""), "4", ""), "5", ""), "6", ""), "7", ""), "8", ""), "9", ""))))</f>
        <v>--</v>
      </c>
      <c r="D30" t="str">
        <f>IF(ISBLANK(MAIN!D30), "--", IF(ISNUMBER(MATCH(SUBSTITUTE(LEFT(MAIN!D30, IFERROR(FIND(",", MAIN!D30)-1, LEN(MAIN!D30))), " ", ""), lookup_values!$B$2:$B$51, 0)), UPPER(SUBSTITUTE(LEFT(MAIN!D30, IFERROR(FIND(",", MAIN!D30)-1, LEN(MAIN!D30))), " ", "")), IF(ISNA(VLOOKUP(SUBSTITUTE(LEFT(MAIN!D30, IFERROR(FIND(",", MAIN!D30)-1, LEN(MAIN!D30))), " ", ""), lookup_values!$A$2:$B$51, 2, FALSE)), "--", VLOOKUP(SUBSTITUTE(LEFT(MAIN!D30, IFERROR(FIND(",", MAIN!D30)-1, LEN(MAIN!D30))), " ", ""), lookup_values!$A$2:$B$51, 2, FALSE))))</f>
        <v>--</v>
      </c>
      <c r="E30" t="str">
        <f>IF(CLEAN_DATA!D30&lt;&gt;"--","US",IF(ISBLANK(MAIN!E30), "--", IF(ISNUMBER(MATCH(SUBSTITUTE(LEFT(MAIN!E30, IFERROR(FIND(",", MAIN!E30)-1, LEN(MAIN!E30))), " ", ""), lookup_values!$E$2:$E$197, 0)), UPPER(SUBSTITUTE(LEFT(MAIN!E30, IFERROR(FIND(",", MAIN!E30)-1, LEN(MAIN!E30))), " ", "")), IF(ISNA(VLOOKUP(SUBSTITUTE(LEFT(MAIN!E30, IFERROR(FIND(",", MAIN!E30)-1, LEN(MAIN!E30))), " ", ""), lookup_values!$D$2:$E$197, 2, FALSE)), "--", VLOOKUP(SUBSTITUTE(LEFT(MAIN!E30, IFERROR(FIND(",", MAIN!E30)-1, LEN(MAIN!E30))), " ", ""), lookup_values!$D$2:$E$197, 2, FALSE)))))</f>
        <v>--</v>
      </c>
      <c r="F30" t="str">
        <f>IF(ISBLANK(MAIN!F30), "", IF(AND(ISNUMBER(VALUE(TRIM(MAIN!F30))), LEN(TRIM(MAIN!F30))=4), VALUE(TRIM(MAIN!F30)), ""))</f>
        <v/>
      </c>
      <c r="G30">
        <f>IF(ISBLANK(MAIN!G30), 0, IF(ISNUMBER(VALUE(TRIM(MAIN!G30))), VALUE(TRIM(MAIN!G30)), 0))</f>
        <v>0</v>
      </c>
      <c r="H30">
        <f>IF(ISBLANK(MAIN!H30), 0, IF(ISNUMBER(VALUE(TRIM(MAIN!H30))), VALUE(TRIM(MAIN!H30)), 0))</f>
        <v>0</v>
      </c>
      <c r="I30">
        <f>IF(ISBLANK(MAIN!I30), 0, IF(ISNUMBER(VALUE(TRIM(MAIN!I30))), VALUE(TRIM(MAIN!I30)), 0))</f>
        <v>0</v>
      </c>
      <c r="J30">
        <f>IF(ISBLANK(MAIN!J30), 0, IF(ISNUMBER(VALUE(TRIM(MAIN!J30))), VALUE(TRIM(MAIN!J30)), 0))</f>
        <v>0</v>
      </c>
      <c r="K30" cm="1">
        <f t="array" ref="K30">IFERROR(
    VALUE(
        IFERROR(
            UPPER(
                IF(MAX(IFERROR(SEARCH("WD",MAIN!G30:J30), 0))&gt;0, "WD",
                IF(MAX(IFERROR(SEARCH("NS",MAIN!G30:J30), 0))&gt;0, "NS",
                IF(MAX(IFERROR(SEARCH("NC",MAIN!G30:J30), 0))&gt;0, "NC",
                IF(MAX(IFERROR(SEARCH("DQ",MAIN!G30:J30), 0))&gt;0, "DQ",
                IF(ISNUMBER(SEARCH("WD",MAIN!K30)), "WD",
                IF(ISNUMBER(SEARCH("NS",MAIN!K30)), "NS",
                IF(ISNUMBER(SEARCH("NC",MAIN!K30)), "NC",
                IF(ISNUMBER(SEARCH("DQ",MAIN!K30)), "DQ",
                IF(ISNUMBER(SEARCH("A",MAIN!K30)), 0,
                IF(OR(MAIN!K30=0,MAIN!K30=""), 0, --TRIM(MAIN!K30)))))))))))),
            0
        )
    ),
    IFERROR(
        UPPER(
            IF(MAX(IFERROR(SEARCH("WD",MAIN!G30:J30), 0))&gt;0, "WD",
            IF(MAX(IFERROR(SEARCH("NS",MAIN!G30:J30), 0))&gt;0, "NS",
            IF(MAX(IFERROR(SEARCH("NC",MAIN!G30:J30), 0))&gt;0, "NC",
            IF(MAX(IFERROR(SEARCH("DQ",MAIN!G30:J30), 0))&gt;0, "DQ",
            IF(ISNUMBER(SEARCH("WD",MAIN!K30)), "WD",
            IF(ISNUMBER(SEARCH("NS",MAIN!K30)), "NS",
            IF(ISNUMBER(SEARCH("NC",MAIN!K30)), "NC",
            IF(ISNUMBER(SEARCH("DQ",MAIN!K30)), "DQ",
            IF(ISNUMBER(SEARCH("A",MAIN!K30)), 0,
            IF(OR(MAIN!K30=0,MAIN!K30=""), 0, --TRIM(MAIN!K30)))))))))))),
        0
    )
)</f>
        <v>0</v>
      </c>
    </row>
    <row r="31" spans="1:11" x14ac:dyDescent="0.25">
      <c r="A31" t="str">
        <f>IF(ISBLANK(MAIN!A31), "--", IFERROR(PROPER(SUBSTITUTE(SUBSTITUTE(SUBSTITUTE(SUBSTITUTE(SUBSTITUTE(SUBSTITUTE(SUBSTITUTE(SUBSTITUTE(SUBSTITUTE(SUBSTITUTE(LEFT(MAIN!A31, FIND(",",MAIN!A31) -1), "0", ""), "1", ""), "2", ""), "3", ""), "4", ""), "5", ""), "6", ""), "7", ""), "8", ""), "9", "")), PROPER(SUBSTITUTE(SUBSTITUTE(SUBSTITUTE(SUBSTITUTE(SUBSTITUTE(SUBSTITUTE(SUBSTITUTE(SUBSTITUTE(SUBSTITUTE(SUBSTITUTE(MAIN!A31, "0", ""), "1", ""), "2", ""), "3", ""), "4", ""), "5", ""), "6", ""), "7", ""), "8", ""), "9", ""))))</f>
        <v>--</v>
      </c>
      <c r="B31" t="str">
        <f>IF(ISBLANK(MAIN!B31), "--", IFERROR(PROPER(SUBSTITUTE(SUBSTITUTE(SUBSTITUTE(SUBSTITUTE(SUBSTITUTE(SUBSTITUTE(SUBSTITUTE(SUBSTITUTE(SUBSTITUTE(SUBSTITUTE(LEFT(MAIN!B31, FIND(",",MAIN!B31) -1), "0", ""), "1", ""), "2", ""), "3", ""), "4", ""), "5", ""), "6", ""), "7", ""), "8", ""), "9", "")), PROPER(SUBSTITUTE(SUBSTITUTE(SUBSTITUTE(SUBSTITUTE(SUBSTITUTE(SUBSTITUTE(SUBSTITUTE(SUBSTITUTE(SUBSTITUTE(SUBSTITUTE(MAIN!B31, "0", ""), "1", ""), "2", ""), "3", ""), "4", ""), "5", ""), "6", ""), "7", ""), "8", ""), "9", ""))))</f>
        <v>--</v>
      </c>
      <c r="C31" t="str">
        <f>IF(ISBLANK(MAIN!C31), "--", IFERROR(PROPER(SUBSTITUTE(SUBSTITUTE(SUBSTITUTE(SUBSTITUTE(SUBSTITUTE(SUBSTITUTE(SUBSTITUTE(SUBSTITUTE(SUBSTITUTE(SUBSTITUTE(LEFT(MAIN!C31, FIND(",",MAIN!C31) -1), "0", ""), "1", ""), "2", ""), "3", ""), "4", ""), "5", ""), "6", ""), "7", ""), "8", ""), "9", "")), PROPER(SUBSTITUTE(SUBSTITUTE(SUBSTITUTE(SUBSTITUTE(SUBSTITUTE(SUBSTITUTE(SUBSTITUTE(SUBSTITUTE(SUBSTITUTE(SUBSTITUTE(MAIN!C31, "0", ""), "1", ""), "2", ""), "3", ""), "4", ""), "5", ""), "6", ""), "7", ""), "8", ""), "9", ""))))</f>
        <v>--</v>
      </c>
      <c r="D31" t="str">
        <f>IF(ISBLANK(MAIN!D31), "--", IF(ISNUMBER(MATCH(SUBSTITUTE(LEFT(MAIN!D31, IFERROR(FIND(",", MAIN!D31)-1, LEN(MAIN!D31))), " ", ""), lookup_values!$B$2:$B$51, 0)), UPPER(SUBSTITUTE(LEFT(MAIN!D31, IFERROR(FIND(",", MAIN!D31)-1, LEN(MAIN!D31))), " ", "")), IF(ISNA(VLOOKUP(SUBSTITUTE(LEFT(MAIN!D31, IFERROR(FIND(",", MAIN!D31)-1, LEN(MAIN!D31))), " ", ""), lookup_values!$A$2:$B$51, 2, FALSE)), "--", VLOOKUP(SUBSTITUTE(LEFT(MAIN!D31, IFERROR(FIND(",", MAIN!D31)-1, LEN(MAIN!D31))), " ", ""), lookup_values!$A$2:$B$51, 2, FALSE))))</f>
        <v>--</v>
      </c>
      <c r="E31" t="str">
        <f>IF(CLEAN_DATA!D31&lt;&gt;"--","US",IF(ISBLANK(MAIN!E31), "--", IF(ISNUMBER(MATCH(SUBSTITUTE(LEFT(MAIN!E31, IFERROR(FIND(",", MAIN!E31)-1, LEN(MAIN!E31))), " ", ""), lookup_values!$E$2:$E$197, 0)), UPPER(SUBSTITUTE(LEFT(MAIN!E31, IFERROR(FIND(",", MAIN!E31)-1, LEN(MAIN!E31))), " ", "")), IF(ISNA(VLOOKUP(SUBSTITUTE(LEFT(MAIN!E31, IFERROR(FIND(",", MAIN!E31)-1, LEN(MAIN!E31))), " ", ""), lookup_values!$D$2:$E$197, 2, FALSE)), "--", VLOOKUP(SUBSTITUTE(LEFT(MAIN!E31, IFERROR(FIND(",", MAIN!E31)-1, LEN(MAIN!E31))), " ", ""), lookup_values!$D$2:$E$197, 2, FALSE)))))</f>
        <v>--</v>
      </c>
      <c r="F31" t="str">
        <f>IF(ISBLANK(MAIN!F31), "", IF(AND(ISNUMBER(VALUE(TRIM(MAIN!F31))), LEN(TRIM(MAIN!F31))=4), VALUE(TRIM(MAIN!F31)), ""))</f>
        <v/>
      </c>
      <c r="G31">
        <f>IF(ISBLANK(MAIN!G31), 0, IF(ISNUMBER(VALUE(TRIM(MAIN!G31))), VALUE(TRIM(MAIN!G31)), 0))</f>
        <v>0</v>
      </c>
      <c r="H31">
        <f>IF(ISBLANK(MAIN!H31), 0, IF(ISNUMBER(VALUE(TRIM(MAIN!H31))), VALUE(TRIM(MAIN!H31)), 0))</f>
        <v>0</v>
      </c>
      <c r="I31">
        <f>IF(ISBLANK(MAIN!I31), 0, IF(ISNUMBER(VALUE(TRIM(MAIN!I31))), VALUE(TRIM(MAIN!I31)), 0))</f>
        <v>0</v>
      </c>
      <c r="J31">
        <f>IF(ISBLANK(MAIN!J31), 0, IF(ISNUMBER(VALUE(TRIM(MAIN!J31))), VALUE(TRIM(MAIN!J31)), 0))</f>
        <v>0</v>
      </c>
      <c r="K31" cm="1">
        <f t="array" ref="K31">IFERROR(
    VALUE(
        IFERROR(
            UPPER(
                IF(MAX(IFERROR(SEARCH("WD",MAIN!G31:J31), 0))&gt;0, "WD",
                IF(MAX(IFERROR(SEARCH("NS",MAIN!G31:J31), 0))&gt;0, "NS",
                IF(MAX(IFERROR(SEARCH("NC",MAIN!G31:J31), 0))&gt;0, "NC",
                IF(MAX(IFERROR(SEARCH("DQ",MAIN!G31:J31), 0))&gt;0, "DQ",
                IF(ISNUMBER(SEARCH("WD",MAIN!K31)), "WD",
                IF(ISNUMBER(SEARCH("NS",MAIN!K31)), "NS",
                IF(ISNUMBER(SEARCH("NC",MAIN!K31)), "NC",
                IF(ISNUMBER(SEARCH("DQ",MAIN!K31)), "DQ",
                IF(ISNUMBER(SEARCH("A",MAIN!K31)), 0,
                IF(OR(MAIN!K31=0,MAIN!K31=""), 0, --TRIM(MAIN!K31)))))))))))),
            0
        )
    ),
    IFERROR(
        UPPER(
            IF(MAX(IFERROR(SEARCH("WD",MAIN!G31:J31), 0))&gt;0, "WD",
            IF(MAX(IFERROR(SEARCH("NS",MAIN!G31:J31), 0))&gt;0, "NS",
            IF(MAX(IFERROR(SEARCH("NC",MAIN!G31:J31), 0))&gt;0, "NC",
            IF(MAX(IFERROR(SEARCH("DQ",MAIN!G31:J31), 0))&gt;0, "DQ",
            IF(ISNUMBER(SEARCH("WD",MAIN!K31)), "WD",
            IF(ISNUMBER(SEARCH("NS",MAIN!K31)), "NS",
            IF(ISNUMBER(SEARCH("NC",MAIN!K31)), "NC",
            IF(ISNUMBER(SEARCH("DQ",MAIN!K31)), "DQ",
            IF(ISNUMBER(SEARCH("A",MAIN!K31)), 0,
            IF(OR(MAIN!K31=0,MAIN!K31=""), 0, --TRIM(MAIN!K31)))))))))))),
        0
    )
)</f>
        <v>0</v>
      </c>
    </row>
    <row r="32" spans="1:11" x14ac:dyDescent="0.25">
      <c r="A32" t="str">
        <f>IF(ISBLANK(MAIN!A32), "--", IFERROR(PROPER(SUBSTITUTE(SUBSTITUTE(SUBSTITUTE(SUBSTITUTE(SUBSTITUTE(SUBSTITUTE(SUBSTITUTE(SUBSTITUTE(SUBSTITUTE(SUBSTITUTE(LEFT(MAIN!A32, FIND(",",MAIN!A32) -1), "0", ""), "1", ""), "2", ""), "3", ""), "4", ""), "5", ""), "6", ""), "7", ""), "8", ""), "9", "")), PROPER(SUBSTITUTE(SUBSTITUTE(SUBSTITUTE(SUBSTITUTE(SUBSTITUTE(SUBSTITUTE(SUBSTITUTE(SUBSTITUTE(SUBSTITUTE(SUBSTITUTE(MAIN!A32, "0", ""), "1", ""), "2", ""), "3", ""), "4", ""), "5", ""), "6", ""), "7", ""), "8", ""), "9", ""))))</f>
        <v>--</v>
      </c>
      <c r="B32" t="str">
        <f>IF(ISBLANK(MAIN!B32), "--", IFERROR(PROPER(SUBSTITUTE(SUBSTITUTE(SUBSTITUTE(SUBSTITUTE(SUBSTITUTE(SUBSTITUTE(SUBSTITUTE(SUBSTITUTE(SUBSTITUTE(SUBSTITUTE(LEFT(MAIN!B32, FIND(",",MAIN!B32) -1), "0", ""), "1", ""), "2", ""), "3", ""), "4", ""), "5", ""), "6", ""), "7", ""), "8", ""), "9", "")), PROPER(SUBSTITUTE(SUBSTITUTE(SUBSTITUTE(SUBSTITUTE(SUBSTITUTE(SUBSTITUTE(SUBSTITUTE(SUBSTITUTE(SUBSTITUTE(SUBSTITUTE(MAIN!B32, "0", ""), "1", ""), "2", ""), "3", ""), "4", ""), "5", ""), "6", ""), "7", ""), "8", ""), "9", ""))))</f>
        <v>--</v>
      </c>
      <c r="C32" t="str">
        <f>IF(ISBLANK(MAIN!C32), "--", IFERROR(PROPER(SUBSTITUTE(SUBSTITUTE(SUBSTITUTE(SUBSTITUTE(SUBSTITUTE(SUBSTITUTE(SUBSTITUTE(SUBSTITUTE(SUBSTITUTE(SUBSTITUTE(LEFT(MAIN!C32, FIND(",",MAIN!C32) -1), "0", ""), "1", ""), "2", ""), "3", ""), "4", ""), "5", ""), "6", ""), "7", ""), "8", ""), "9", "")), PROPER(SUBSTITUTE(SUBSTITUTE(SUBSTITUTE(SUBSTITUTE(SUBSTITUTE(SUBSTITUTE(SUBSTITUTE(SUBSTITUTE(SUBSTITUTE(SUBSTITUTE(MAIN!C32, "0", ""), "1", ""), "2", ""), "3", ""), "4", ""), "5", ""), "6", ""), "7", ""), "8", ""), "9", ""))))</f>
        <v>--</v>
      </c>
      <c r="D32" t="str">
        <f>IF(ISBLANK(MAIN!D32), "--", IF(ISNUMBER(MATCH(SUBSTITUTE(LEFT(MAIN!D32, IFERROR(FIND(",", MAIN!D32)-1, LEN(MAIN!D32))), " ", ""), lookup_values!$B$2:$B$51, 0)), UPPER(SUBSTITUTE(LEFT(MAIN!D32, IFERROR(FIND(",", MAIN!D32)-1, LEN(MAIN!D32))), " ", "")), IF(ISNA(VLOOKUP(SUBSTITUTE(LEFT(MAIN!D32, IFERROR(FIND(",", MAIN!D32)-1, LEN(MAIN!D32))), " ", ""), lookup_values!$A$2:$B$51, 2, FALSE)), "--", VLOOKUP(SUBSTITUTE(LEFT(MAIN!D32, IFERROR(FIND(",", MAIN!D32)-1, LEN(MAIN!D32))), " ", ""), lookup_values!$A$2:$B$51, 2, FALSE))))</f>
        <v>--</v>
      </c>
      <c r="E32" t="str">
        <f>IF(CLEAN_DATA!D32&lt;&gt;"--","US",IF(ISBLANK(MAIN!E32), "--", IF(ISNUMBER(MATCH(SUBSTITUTE(LEFT(MAIN!E32, IFERROR(FIND(",", MAIN!E32)-1, LEN(MAIN!E32))), " ", ""), lookup_values!$E$2:$E$197, 0)), UPPER(SUBSTITUTE(LEFT(MAIN!E32, IFERROR(FIND(",", MAIN!E32)-1, LEN(MAIN!E32))), " ", "")), IF(ISNA(VLOOKUP(SUBSTITUTE(LEFT(MAIN!E32, IFERROR(FIND(",", MAIN!E32)-1, LEN(MAIN!E32))), " ", ""), lookup_values!$D$2:$E$197, 2, FALSE)), "--", VLOOKUP(SUBSTITUTE(LEFT(MAIN!E32, IFERROR(FIND(",", MAIN!E32)-1, LEN(MAIN!E32))), " ", ""), lookup_values!$D$2:$E$197, 2, FALSE)))))</f>
        <v>--</v>
      </c>
      <c r="F32" t="str">
        <f>IF(ISBLANK(MAIN!F32), "", IF(AND(ISNUMBER(VALUE(TRIM(MAIN!F32))), LEN(TRIM(MAIN!F32))=4), VALUE(TRIM(MAIN!F32)), ""))</f>
        <v/>
      </c>
      <c r="G32">
        <f>IF(ISBLANK(MAIN!G32), 0, IF(ISNUMBER(VALUE(TRIM(MAIN!G32))), VALUE(TRIM(MAIN!G32)), 0))</f>
        <v>0</v>
      </c>
      <c r="H32">
        <f>IF(ISBLANK(MAIN!H32), 0, IF(ISNUMBER(VALUE(TRIM(MAIN!H32))), VALUE(TRIM(MAIN!H32)), 0))</f>
        <v>0</v>
      </c>
      <c r="I32">
        <f>IF(ISBLANK(MAIN!I32), 0, IF(ISNUMBER(VALUE(TRIM(MAIN!I32))), VALUE(TRIM(MAIN!I32)), 0))</f>
        <v>0</v>
      </c>
      <c r="J32">
        <f>IF(ISBLANK(MAIN!J32), 0, IF(ISNUMBER(VALUE(TRIM(MAIN!J32))), VALUE(TRIM(MAIN!J32)), 0))</f>
        <v>0</v>
      </c>
      <c r="K32" cm="1">
        <f t="array" ref="K32">IFERROR(
    VALUE(
        IFERROR(
            UPPER(
                IF(MAX(IFERROR(SEARCH("WD",MAIN!G32:J32), 0))&gt;0, "WD",
                IF(MAX(IFERROR(SEARCH("NS",MAIN!G32:J32), 0))&gt;0, "NS",
                IF(MAX(IFERROR(SEARCH("NC",MAIN!G32:J32), 0))&gt;0, "NC",
                IF(MAX(IFERROR(SEARCH("DQ",MAIN!G32:J32), 0))&gt;0, "DQ",
                IF(ISNUMBER(SEARCH("WD",MAIN!K32)), "WD",
                IF(ISNUMBER(SEARCH("NS",MAIN!K32)), "NS",
                IF(ISNUMBER(SEARCH("NC",MAIN!K32)), "NC",
                IF(ISNUMBER(SEARCH("DQ",MAIN!K32)), "DQ",
                IF(ISNUMBER(SEARCH("A",MAIN!K32)), 0,
                IF(OR(MAIN!K32=0,MAIN!K32=""), 0, --TRIM(MAIN!K32)))))))))))),
            0
        )
    ),
    IFERROR(
        UPPER(
            IF(MAX(IFERROR(SEARCH("WD",MAIN!G32:J32), 0))&gt;0, "WD",
            IF(MAX(IFERROR(SEARCH("NS",MAIN!G32:J32), 0))&gt;0, "NS",
            IF(MAX(IFERROR(SEARCH("NC",MAIN!G32:J32), 0))&gt;0, "NC",
            IF(MAX(IFERROR(SEARCH("DQ",MAIN!G32:J32), 0))&gt;0, "DQ",
            IF(ISNUMBER(SEARCH("WD",MAIN!K32)), "WD",
            IF(ISNUMBER(SEARCH("NS",MAIN!K32)), "NS",
            IF(ISNUMBER(SEARCH("NC",MAIN!K32)), "NC",
            IF(ISNUMBER(SEARCH("DQ",MAIN!K32)), "DQ",
            IF(ISNUMBER(SEARCH("A",MAIN!K32)), 0,
            IF(OR(MAIN!K32=0,MAIN!K32=""), 0, --TRIM(MAIN!K32)))))))))))),
        0
    )
)</f>
        <v>0</v>
      </c>
    </row>
    <row r="33" spans="1:11" x14ac:dyDescent="0.25">
      <c r="A33" t="str">
        <f>IF(ISBLANK(MAIN!A33), "--", IFERROR(PROPER(SUBSTITUTE(SUBSTITUTE(SUBSTITUTE(SUBSTITUTE(SUBSTITUTE(SUBSTITUTE(SUBSTITUTE(SUBSTITUTE(SUBSTITUTE(SUBSTITUTE(LEFT(MAIN!A33, FIND(",",MAIN!A33) -1), "0", ""), "1", ""), "2", ""), "3", ""), "4", ""), "5", ""), "6", ""), "7", ""), "8", ""), "9", "")), PROPER(SUBSTITUTE(SUBSTITUTE(SUBSTITUTE(SUBSTITUTE(SUBSTITUTE(SUBSTITUTE(SUBSTITUTE(SUBSTITUTE(SUBSTITUTE(SUBSTITUTE(MAIN!A33, "0", ""), "1", ""), "2", ""), "3", ""), "4", ""), "5", ""), "6", ""), "7", ""), "8", ""), "9", ""))))</f>
        <v>--</v>
      </c>
      <c r="B33" t="str">
        <f>IF(ISBLANK(MAIN!B33), "--", IFERROR(PROPER(SUBSTITUTE(SUBSTITUTE(SUBSTITUTE(SUBSTITUTE(SUBSTITUTE(SUBSTITUTE(SUBSTITUTE(SUBSTITUTE(SUBSTITUTE(SUBSTITUTE(LEFT(MAIN!B33, FIND(",",MAIN!B33) -1), "0", ""), "1", ""), "2", ""), "3", ""), "4", ""), "5", ""), "6", ""), "7", ""), "8", ""), "9", "")), PROPER(SUBSTITUTE(SUBSTITUTE(SUBSTITUTE(SUBSTITUTE(SUBSTITUTE(SUBSTITUTE(SUBSTITUTE(SUBSTITUTE(SUBSTITUTE(SUBSTITUTE(MAIN!B33, "0", ""), "1", ""), "2", ""), "3", ""), "4", ""), "5", ""), "6", ""), "7", ""), "8", ""), "9", ""))))</f>
        <v>--</v>
      </c>
      <c r="C33" t="str">
        <f>IF(ISBLANK(MAIN!C33), "--", IFERROR(PROPER(SUBSTITUTE(SUBSTITUTE(SUBSTITUTE(SUBSTITUTE(SUBSTITUTE(SUBSTITUTE(SUBSTITUTE(SUBSTITUTE(SUBSTITUTE(SUBSTITUTE(LEFT(MAIN!C33, FIND(",",MAIN!C33) -1), "0", ""), "1", ""), "2", ""), "3", ""), "4", ""), "5", ""), "6", ""), "7", ""), "8", ""), "9", "")), PROPER(SUBSTITUTE(SUBSTITUTE(SUBSTITUTE(SUBSTITUTE(SUBSTITUTE(SUBSTITUTE(SUBSTITUTE(SUBSTITUTE(SUBSTITUTE(SUBSTITUTE(MAIN!C33, "0", ""), "1", ""), "2", ""), "3", ""), "4", ""), "5", ""), "6", ""), "7", ""), "8", ""), "9", ""))))</f>
        <v>--</v>
      </c>
      <c r="D33" t="str">
        <f>IF(ISBLANK(MAIN!D33), "--", IF(ISNUMBER(MATCH(SUBSTITUTE(LEFT(MAIN!D33, IFERROR(FIND(",", MAIN!D33)-1, LEN(MAIN!D33))), " ", ""), lookup_values!$B$2:$B$51, 0)), UPPER(SUBSTITUTE(LEFT(MAIN!D33, IFERROR(FIND(",", MAIN!D33)-1, LEN(MAIN!D33))), " ", "")), IF(ISNA(VLOOKUP(SUBSTITUTE(LEFT(MAIN!D33, IFERROR(FIND(",", MAIN!D33)-1, LEN(MAIN!D33))), " ", ""), lookup_values!$A$2:$B$51, 2, FALSE)), "--", VLOOKUP(SUBSTITUTE(LEFT(MAIN!D33, IFERROR(FIND(",", MAIN!D33)-1, LEN(MAIN!D33))), " ", ""), lookup_values!$A$2:$B$51, 2, FALSE))))</f>
        <v>--</v>
      </c>
      <c r="E33" t="str">
        <f>IF(CLEAN_DATA!D33&lt;&gt;"--","US",IF(ISBLANK(MAIN!E33), "--", IF(ISNUMBER(MATCH(SUBSTITUTE(LEFT(MAIN!E33, IFERROR(FIND(",", MAIN!E33)-1, LEN(MAIN!E33))), " ", ""), lookup_values!$E$2:$E$197, 0)), UPPER(SUBSTITUTE(LEFT(MAIN!E33, IFERROR(FIND(",", MAIN!E33)-1, LEN(MAIN!E33))), " ", "")), IF(ISNA(VLOOKUP(SUBSTITUTE(LEFT(MAIN!E33, IFERROR(FIND(",", MAIN!E33)-1, LEN(MAIN!E33))), " ", ""), lookup_values!$D$2:$E$197, 2, FALSE)), "--", VLOOKUP(SUBSTITUTE(LEFT(MAIN!E33, IFERROR(FIND(",", MAIN!E33)-1, LEN(MAIN!E33))), " ", ""), lookup_values!$D$2:$E$197, 2, FALSE)))))</f>
        <v>--</v>
      </c>
      <c r="F33" t="str">
        <f>IF(ISBLANK(MAIN!F33), "", IF(AND(ISNUMBER(VALUE(TRIM(MAIN!F33))), LEN(TRIM(MAIN!F33))=4), VALUE(TRIM(MAIN!F33)), ""))</f>
        <v/>
      </c>
      <c r="G33">
        <f>IF(ISBLANK(MAIN!G33), 0, IF(ISNUMBER(VALUE(TRIM(MAIN!G33))), VALUE(TRIM(MAIN!G33)), 0))</f>
        <v>0</v>
      </c>
      <c r="H33">
        <f>IF(ISBLANK(MAIN!H33), 0, IF(ISNUMBER(VALUE(TRIM(MAIN!H33))), VALUE(TRIM(MAIN!H33)), 0))</f>
        <v>0</v>
      </c>
      <c r="I33">
        <f>IF(ISBLANK(MAIN!I33), 0, IF(ISNUMBER(VALUE(TRIM(MAIN!I33))), VALUE(TRIM(MAIN!I33)), 0))</f>
        <v>0</v>
      </c>
      <c r="J33">
        <f>IF(ISBLANK(MAIN!J33), 0, IF(ISNUMBER(VALUE(TRIM(MAIN!J33))), VALUE(TRIM(MAIN!J33)), 0))</f>
        <v>0</v>
      </c>
      <c r="K33" cm="1">
        <f t="array" ref="K33">IFERROR(
    VALUE(
        IFERROR(
            UPPER(
                IF(MAX(IFERROR(SEARCH("WD",MAIN!G33:J33), 0))&gt;0, "WD",
                IF(MAX(IFERROR(SEARCH("NS",MAIN!G33:J33), 0))&gt;0, "NS",
                IF(MAX(IFERROR(SEARCH("NC",MAIN!G33:J33), 0))&gt;0, "NC",
                IF(MAX(IFERROR(SEARCH("DQ",MAIN!G33:J33), 0))&gt;0, "DQ",
                IF(ISNUMBER(SEARCH("WD",MAIN!K33)), "WD",
                IF(ISNUMBER(SEARCH("NS",MAIN!K33)), "NS",
                IF(ISNUMBER(SEARCH("NC",MAIN!K33)), "NC",
                IF(ISNUMBER(SEARCH("DQ",MAIN!K33)), "DQ",
                IF(ISNUMBER(SEARCH("A",MAIN!K33)), 0,
                IF(OR(MAIN!K33=0,MAIN!K33=""), 0, --TRIM(MAIN!K33)))))))))))),
            0
        )
    ),
    IFERROR(
        UPPER(
            IF(MAX(IFERROR(SEARCH("WD",MAIN!G33:J33), 0))&gt;0, "WD",
            IF(MAX(IFERROR(SEARCH("NS",MAIN!G33:J33), 0))&gt;0, "NS",
            IF(MAX(IFERROR(SEARCH("NC",MAIN!G33:J33), 0))&gt;0, "NC",
            IF(MAX(IFERROR(SEARCH("DQ",MAIN!G33:J33), 0))&gt;0, "DQ",
            IF(ISNUMBER(SEARCH("WD",MAIN!K33)), "WD",
            IF(ISNUMBER(SEARCH("NS",MAIN!K33)), "NS",
            IF(ISNUMBER(SEARCH("NC",MAIN!K33)), "NC",
            IF(ISNUMBER(SEARCH("DQ",MAIN!K33)), "DQ",
            IF(ISNUMBER(SEARCH("A",MAIN!K33)), 0,
            IF(OR(MAIN!K33=0,MAIN!K33=""), 0, --TRIM(MAIN!K33)))))))))))),
        0
    )
)</f>
        <v>0</v>
      </c>
    </row>
    <row r="34" spans="1:11" x14ac:dyDescent="0.25">
      <c r="A34" t="str">
        <f>IF(ISBLANK(MAIN!A34), "--", IFERROR(PROPER(SUBSTITUTE(SUBSTITUTE(SUBSTITUTE(SUBSTITUTE(SUBSTITUTE(SUBSTITUTE(SUBSTITUTE(SUBSTITUTE(SUBSTITUTE(SUBSTITUTE(LEFT(MAIN!A34, FIND(",",MAIN!A34) -1), "0", ""), "1", ""), "2", ""), "3", ""), "4", ""), "5", ""), "6", ""), "7", ""), "8", ""), "9", "")), PROPER(SUBSTITUTE(SUBSTITUTE(SUBSTITUTE(SUBSTITUTE(SUBSTITUTE(SUBSTITUTE(SUBSTITUTE(SUBSTITUTE(SUBSTITUTE(SUBSTITUTE(MAIN!A34, "0", ""), "1", ""), "2", ""), "3", ""), "4", ""), "5", ""), "6", ""), "7", ""), "8", ""), "9", ""))))</f>
        <v>--</v>
      </c>
      <c r="B34" t="str">
        <f>IF(ISBLANK(MAIN!B34), "--", IFERROR(PROPER(SUBSTITUTE(SUBSTITUTE(SUBSTITUTE(SUBSTITUTE(SUBSTITUTE(SUBSTITUTE(SUBSTITUTE(SUBSTITUTE(SUBSTITUTE(SUBSTITUTE(LEFT(MAIN!B34, FIND(",",MAIN!B34) -1), "0", ""), "1", ""), "2", ""), "3", ""), "4", ""), "5", ""), "6", ""), "7", ""), "8", ""), "9", "")), PROPER(SUBSTITUTE(SUBSTITUTE(SUBSTITUTE(SUBSTITUTE(SUBSTITUTE(SUBSTITUTE(SUBSTITUTE(SUBSTITUTE(SUBSTITUTE(SUBSTITUTE(MAIN!B34, "0", ""), "1", ""), "2", ""), "3", ""), "4", ""), "5", ""), "6", ""), "7", ""), "8", ""), "9", ""))))</f>
        <v>--</v>
      </c>
      <c r="C34" t="str">
        <f>IF(ISBLANK(MAIN!C34), "--", IFERROR(PROPER(SUBSTITUTE(SUBSTITUTE(SUBSTITUTE(SUBSTITUTE(SUBSTITUTE(SUBSTITUTE(SUBSTITUTE(SUBSTITUTE(SUBSTITUTE(SUBSTITUTE(LEFT(MAIN!C34, FIND(",",MAIN!C34) -1), "0", ""), "1", ""), "2", ""), "3", ""), "4", ""), "5", ""), "6", ""), "7", ""), "8", ""), "9", "")), PROPER(SUBSTITUTE(SUBSTITUTE(SUBSTITUTE(SUBSTITUTE(SUBSTITUTE(SUBSTITUTE(SUBSTITUTE(SUBSTITUTE(SUBSTITUTE(SUBSTITUTE(MAIN!C34, "0", ""), "1", ""), "2", ""), "3", ""), "4", ""), "5", ""), "6", ""), "7", ""), "8", ""), "9", ""))))</f>
        <v>--</v>
      </c>
      <c r="D34" t="str">
        <f>IF(ISBLANK(MAIN!D34), "--", IF(ISNUMBER(MATCH(SUBSTITUTE(LEFT(MAIN!D34, IFERROR(FIND(",", MAIN!D34)-1, LEN(MAIN!D34))), " ", ""), lookup_values!$B$2:$B$51, 0)), UPPER(SUBSTITUTE(LEFT(MAIN!D34, IFERROR(FIND(",", MAIN!D34)-1, LEN(MAIN!D34))), " ", "")), IF(ISNA(VLOOKUP(SUBSTITUTE(LEFT(MAIN!D34, IFERROR(FIND(",", MAIN!D34)-1, LEN(MAIN!D34))), " ", ""), lookup_values!$A$2:$B$51, 2, FALSE)), "--", VLOOKUP(SUBSTITUTE(LEFT(MAIN!D34, IFERROR(FIND(",", MAIN!D34)-1, LEN(MAIN!D34))), " ", ""), lookup_values!$A$2:$B$51, 2, FALSE))))</f>
        <v>--</v>
      </c>
      <c r="E34" t="str">
        <f>IF(CLEAN_DATA!D34&lt;&gt;"--","US",IF(ISBLANK(MAIN!E34), "--", IF(ISNUMBER(MATCH(SUBSTITUTE(LEFT(MAIN!E34, IFERROR(FIND(",", MAIN!E34)-1, LEN(MAIN!E34))), " ", ""), lookup_values!$E$2:$E$197, 0)), UPPER(SUBSTITUTE(LEFT(MAIN!E34, IFERROR(FIND(",", MAIN!E34)-1, LEN(MAIN!E34))), " ", "")), IF(ISNA(VLOOKUP(SUBSTITUTE(LEFT(MAIN!E34, IFERROR(FIND(",", MAIN!E34)-1, LEN(MAIN!E34))), " ", ""), lookup_values!$D$2:$E$197, 2, FALSE)), "--", VLOOKUP(SUBSTITUTE(LEFT(MAIN!E34, IFERROR(FIND(",", MAIN!E34)-1, LEN(MAIN!E34))), " ", ""), lookup_values!$D$2:$E$197, 2, FALSE)))))</f>
        <v>--</v>
      </c>
      <c r="F34" t="str">
        <f>IF(ISBLANK(MAIN!F34), "", IF(AND(ISNUMBER(VALUE(TRIM(MAIN!F34))), LEN(TRIM(MAIN!F34))=4), VALUE(TRIM(MAIN!F34)), ""))</f>
        <v/>
      </c>
      <c r="G34">
        <f>IF(ISBLANK(MAIN!G34), 0, IF(ISNUMBER(VALUE(TRIM(MAIN!G34))), VALUE(TRIM(MAIN!G34)), 0))</f>
        <v>0</v>
      </c>
      <c r="H34">
        <f>IF(ISBLANK(MAIN!H34), 0, IF(ISNUMBER(VALUE(TRIM(MAIN!H34))), VALUE(TRIM(MAIN!H34)), 0))</f>
        <v>0</v>
      </c>
      <c r="I34">
        <f>IF(ISBLANK(MAIN!I34), 0, IF(ISNUMBER(VALUE(TRIM(MAIN!I34))), VALUE(TRIM(MAIN!I34)), 0))</f>
        <v>0</v>
      </c>
      <c r="J34">
        <f>IF(ISBLANK(MAIN!J34), 0, IF(ISNUMBER(VALUE(TRIM(MAIN!J34))), VALUE(TRIM(MAIN!J34)), 0))</f>
        <v>0</v>
      </c>
      <c r="K34" cm="1">
        <f t="array" ref="K34">IFERROR(
    VALUE(
        IFERROR(
            UPPER(
                IF(MAX(IFERROR(SEARCH("WD",MAIN!G34:J34), 0))&gt;0, "WD",
                IF(MAX(IFERROR(SEARCH("NS",MAIN!G34:J34), 0))&gt;0, "NS",
                IF(MAX(IFERROR(SEARCH("NC",MAIN!G34:J34), 0))&gt;0, "NC",
                IF(MAX(IFERROR(SEARCH("DQ",MAIN!G34:J34), 0))&gt;0, "DQ",
                IF(ISNUMBER(SEARCH("WD",MAIN!K34)), "WD",
                IF(ISNUMBER(SEARCH("NS",MAIN!K34)), "NS",
                IF(ISNUMBER(SEARCH("NC",MAIN!K34)), "NC",
                IF(ISNUMBER(SEARCH("DQ",MAIN!K34)), "DQ",
                IF(ISNUMBER(SEARCH("A",MAIN!K34)), 0,
                IF(OR(MAIN!K34=0,MAIN!K34=""), 0, --TRIM(MAIN!K34)))))))))))),
            0
        )
    ),
    IFERROR(
        UPPER(
            IF(MAX(IFERROR(SEARCH("WD",MAIN!G34:J34), 0))&gt;0, "WD",
            IF(MAX(IFERROR(SEARCH("NS",MAIN!G34:J34), 0))&gt;0, "NS",
            IF(MAX(IFERROR(SEARCH("NC",MAIN!G34:J34), 0))&gt;0, "NC",
            IF(MAX(IFERROR(SEARCH("DQ",MAIN!G34:J34), 0))&gt;0, "DQ",
            IF(ISNUMBER(SEARCH("WD",MAIN!K34)), "WD",
            IF(ISNUMBER(SEARCH("NS",MAIN!K34)), "NS",
            IF(ISNUMBER(SEARCH("NC",MAIN!K34)), "NC",
            IF(ISNUMBER(SEARCH("DQ",MAIN!K34)), "DQ",
            IF(ISNUMBER(SEARCH("A",MAIN!K34)), 0,
            IF(OR(MAIN!K34=0,MAIN!K34=""), 0, --TRIM(MAIN!K34)))))))))))),
        0
    )
)</f>
        <v>0</v>
      </c>
    </row>
    <row r="35" spans="1:11" x14ac:dyDescent="0.25">
      <c r="A35" t="str">
        <f>IF(ISBLANK(MAIN!A35), "--", IFERROR(PROPER(SUBSTITUTE(SUBSTITUTE(SUBSTITUTE(SUBSTITUTE(SUBSTITUTE(SUBSTITUTE(SUBSTITUTE(SUBSTITUTE(SUBSTITUTE(SUBSTITUTE(LEFT(MAIN!A35, FIND(",",MAIN!A35) -1), "0", ""), "1", ""), "2", ""), "3", ""), "4", ""), "5", ""), "6", ""), "7", ""), "8", ""), "9", "")), PROPER(SUBSTITUTE(SUBSTITUTE(SUBSTITUTE(SUBSTITUTE(SUBSTITUTE(SUBSTITUTE(SUBSTITUTE(SUBSTITUTE(SUBSTITUTE(SUBSTITUTE(MAIN!A35, "0", ""), "1", ""), "2", ""), "3", ""), "4", ""), "5", ""), "6", ""), "7", ""), "8", ""), "9", ""))))</f>
        <v>--</v>
      </c>
      <c r="B35" t="str">
        <f>IF(ISBLANK(MAIN!B35), "--", IFERROR(PROPER(SUBSTITUTE(SUBSTITUTE(SUBSTITUTE(SUBSTITUTE(SUBSTITUTE(SUBSTITUTE(SUBSTITUTE(SUBSTITUTE(SUBSTITUTE(SUBSTITUTE(LEFT(MAIN!B35, FIND(",",MAIN!B35) -1), "0", ""), "1", ""), "2", ""), "3", ""), "4", ""), "5", ""), "6", ""), "7", ""), "8", ""), "9", "")), PROPER(SUBSTITUTE(SUBSTITUTE(SUBSTITUTE(SUBSTITUTE(SUBSTITUTE(SUBSTITUTE(SUBSTITUTE(SUBSTITUTE(SUBSTITUTE(SUBSTITUTE(MAIN!B35, "0", ""), "1", ""), "2", ""), "3", ""), "4", ""), "5", ""), "6", ""), "7", ""), "8", ""), "9", ""))))</f>
        <v>--</v>
      </c>
      <c r="C35" t="str">
        <f>IF(ISBLANK(MAIN!C35), "--", IFERROR(PROPER(SUBSTITUTE(SUBSTITUTE(SUBSTITUTE(SUBSTITUTE(SUBSTITUTE(SUBSTITUTE(SUBSTITUTE(SUBSTITUTE(SUBSTITUTE(SUBSTITUTE(LEFT(MAIN!C35, FIND(",",MAIN!C35) -1), "0", ""), "1", ""), "2", ""), "3", ""), "4", ""), "5", ""), "6", ""), "7", ""), "8", ""), "9", "")), PROPER(SUBSTITUTE(SUBSTITUTE(SUBSTITUTE(SUBSTITUTE(SUBSTITUTE(SUBSTITUTE(SUBSTITUTE(SUBSTITUTE(SUBSTITUTE(SUBSTITUTE(MAIN!C35, "0", ""), "1", ""), "2", ""), "3", ""), "4", ""), "5", ""), "6", ""), "7", ""), "8", ""), "9", ""))))</f>
        <v>--</v>
      </c>
      <c r="D35" t="str">
        <f>IF(ISBLANK(MAIN!D35), "--", IF(ISNUMBER(MATCH(SUBSTITUTE(LEFT(MAIN!D35, IFERROR(FIND(",", MAIN!D35)-1, LEN(MAIN!D35))), " ", ""), lookup_values!$B$2:$B$51, 0)), UPPER(SUBSTITUTE(LEFT(MAIN!D35, IFERROR(FIND(",", MAIN!D35)-1, LEN(MAIN!D35))), " ", "")), IF(ISNA(VLOOKUP(SUBSTITUTE(LEFT(MAIN!D35, IFERROR(FIND(",", MAIN!D35)-1, LEN(MAIN!D35))), " ", ""), lookup_values!$A$2:$B$51, 2, FALSE)), "--", VLOOKUP(SUBSTITUTE(LEFT(MAIN!D35, IFERROR(FIND(",", MAIN!D35)-1, LEN(MAIN!D35))), " ", ""), lookup_values!$A$2:$B$51, 2, FALSE))))</f>
        <v>--</v>
      </c>
      <c r="E35" t="str">
        <f>IF(CLEAN_DATA!D35&lt;&gt;"--","US",IF(ISBLANK(MAIN!E35), "--", IF(ISNUMBER(MATCH(SUBSTITUTE(LEFT(MAIN!E35, IFERROR(FIND(",", MAIN!E35)-1, LEN(MAIN!E35))), " ", ""), lookup_values!$E$2:$E$197, 0)), UPPER(SUBSTITUTE(LEFT(MAIN!E35, IFERROR(FIND(",", MAIN!E35)-1, LEN(MAIN!E35))), " ", "")), IF(ISNA(VLOOKUP(SUBSTITUTE(LEFT(MAIN!E35, IFERROR(FIND(",", MAIN!E35)-1, LEN(MAIN!E35))), " ", ""), lookup_values!$D$2:$E$197, 2, FALSE)), "--", VLOOKUP(SUBSTITUTE(LEFT(MAIN!E35, IFERROR(FIND(",", MAIN!E35)-1, LEN(MAIN!E35))), " ", ""), lookup_values!$D$2:$E$197, 2, FALSE)))))</f>
        <v>--</v>
      </c>
      <c r="F35" t="str">
        <f>IF(ISBLANK(MAIN!F35), "", IF(AND(ISNUMBER(VALUE(TRIM(MAIN!F35))), LEN(TRIM(MAIN!F35))=4), VALUE(TRIM(MAIN!F35)), ""))</f>
        <v/>
      </c>
      <c r="G35">
        <f>IF(ISBLANK(MAIN!G35), 0, IF(ISNUMBER(VALUE(TRIM(MAIN!G35))), VALUE(TRIM(MAIN!G35)), 0))</f>
        <v>0</v>
      </c>
      <c r="H35">
        <f>IF(ISBLANK(MAIN!H35), 0, IF(ISNUMBER(VALUE(TRIM(MAIN!H35))), VALUE(TRIM(MAIN!H35)), 0))</f>
        <v>0</v>
      </c>
      <c r="I35">
        <f>IF(ISBLANK(MAIN!I35), 0, IF(ISNUMBER(VALUE(TRIM(MAIN!I35))), VALUE(TRIM(MAIN!I35)), 0))</f>
        <v>0</v>
      </c>
      <c r="J35">
        <f>IF(ISBLANK(MAIN!J35), 0, IF(ISNUMBER(VALUE(TRIM(MAIN!J35))), VALUE(TRIM(MAIN!J35)), 0))</f>
        <v>0</v>
      </c>
      <c r="K35" cm="1">
        <f t="array" ref="K35">IFERROR(
    VALUE(
        IFERROR(
            UPPER(
                IF(MAX(IFERROR(SEARCH("WD",MAIN!G35:J35), 0))&gt;0, "WD",
                IF(MAX(IFERROR(SEARCH("NS",MAIN!G35:J35), 0))&gt;0, "NS",
                IF(MAX(IFERROR(SEARCH("NC",MAIN!G35:J35), 0))&gt;0, "NC",
                IF(MAX(IFERROR(SEARCH("DQ",MAIN!G35:J35), 0))&gt;0, "DQ",
                IF(ISNUMBER(SEARCH("WD",MAIN!K35)), "WD",
                IF(ISNUMBER(SEARCH("NS",MAIN!K35)), "NS",
                IF(ISNUMBER(SEARCH("NC",MAIN!K35)), "NC",
                IF(ISNUMBER(SEARCH("DQ",MAIN!K35)), "DQ",
                IF(ISNUMBER(SEARCH("A",MAIN!K35)), 0,
                IF(OR(MAIN!K35=0,MAIN!K35=""), 0, --TRIM(MAIN!K35)))))))))))),
            0
        )
    ),
    IFERROR(
        UPPER(
            IF(MAX(IFERROR(SEARCH("WD",MAIN!G35:J35), 0))&gt;0, "WD",
            IF(MAX(IFERROR(SEARCH("NS",MAIN!G35:J35), 0))&gt;0, "NS",
            IF(MAX(IFERROR(SEARCH("NC",MAIN!G35:J35), 0))&gt;0, "NC",
            IF(MAX(IFERROR(SEARCH("DQ",MAIN!G35:J35), 0))&gt;0, "DQ",
            IF(ISNUMBER(SEARCH("WD",MAIN!K35)), "WD",
            IF(ISNUMBER(SEARCH("NS",MAIN!K35)), "NS",
            IF(ISNUMBER(SEARCH("NC",MAIN!K35)), "NC",
            IF(ISNUMBER(SEARCH("DQ",MAIN!K35)), "DQ",
            IF(ISNUMBER(SEARCH("A",MAIN!K35)), 0,
            IF(OR(MAIN!K35=0,MAIN!K35=""), 0, --TRIM(MAIN!K35)))))))))))),
        0
    )
)</f>
        <v>0</v>
      </c>
    </row>
    <row r="36" spans="1:11" x14ac:dyDescent="0.25">
      <c r="A36" t="str">
        <f>IF(ISBLANK(MAIN!A36), "--", IFERROR(PROPER(SUBSTITUTE(SUBSTITUTE(SUBSTITUTE(SUBSTITUTE(SUBSTITUTE(SUBSTITUTE(SUBSTITUTE(SUBSTITUTE(SUBSTITUTE(SUBSTITUTE(LEFT(MAIN!A36, FIND(",",MAIN!A36) -1), "0", ""), "1", ""), "2", ""), "3", ""), "4", ""), "5", ""), "6", ""), "7", ""), "8", ""), "9", "")), PROPER(SUBSTITUTE(SUBSTITUTE(SUBSTITUTE(SUBSTITUTE(SUBSTITUTE(SUBSTITUTE(SUBSTITUTE(SUBSTITUTE(SUBSTITUTE(SUBSTITUTE(MAIN!A36, "0", ""), "1", ""), "2", ""), "3", ""), "4", ""), "5", ""), "6", ""), "7", ""), "8", ""), "9", ""))))</f>
        <v>--</v>
      </c>
      <c r="B36" t="str">
        <f>IF(ISBLANK(MAIN!B36), "--", IFERROR(PROPER(SUBSTITUTE(SUBSTITUTE(SUBSTITUTE(SUBSTITUTE(SUBSTITUTE(SUBSTITUTE(SUBSTITUTE(SUBSTITUTE(SUBSTITUTE(SUBSTITUTE(LEFT(MAIN!B36, FIND(",",MAIN!B36) -1), "0", ""), "1", ""), "2", ""), "3", ""), "4", ""), "5", ""), "6", ""), "7", ""), "8", ""), "9", "")), PROPER(SUBSTITUTE(SUBSTITUTE(SUBSTITUTE(SUBSTITUTE(SUBSTITUTE(SUBSTITUTE(SUBSTITUTE(SUBSTITUTE(SUBSTITUTE(SUBSTITUTE(MAIN!B36, "0", ""), "1", ""), "2", ""), "3", ""), "4", ""), "5", ""), "6", ""), "7", ""), "8", ""), "9", ""))))</f>
        <v>--</v>
      </c>
      <c r="C36" t="str">
        <f>IF(ISBLANK(MAIN!C36), "--", IFERROR(PROPER(SUBSTITUTE(SUBSTITUTE(SUBSTITUTE(SUBSTITUTE(SUBSTITUTE(SUBSTITUTE(SUBSTITUTE(SUBSTITUTE(SUBSTITUTE(SUBSTITUTE(LEFT(MAIN!C36, FIND(",",MAIN!C36) -1), "0", ""), "1", ""), "2", ""), "3", ""), "4", ""), "5", ""), "6", ""), "7", ""), "8", ""), "9", "")), PROPER(SUBSTITUTE(SUBSTITUTE(SUBSTITUTE(SUBSTITUTE(SUBSTITUTE(SUBSTITUTE(SUBSTITUTE(SUBSTITUTE(SUBSTITUTE(SUBSTITUTE(MAIN!C36, "0", ""), "1", ""), "2", ""), "3", ""), "4", ""), "5", ""), "6", ""), "7", ""), "8", ""), "9", ""))))</f>
        <v>--</v>
      </c>
      <c r="D36" t="str">
        <f>IF(ISBLANK(MAIN!D36), "--", IF(ISNUMBER(MATCH(SUBSTITUTE(LEFT(MAIN!D36, IFERROR(FIND(",", MAIN!D36)-1, LEN(MAIN!D36))), " ", ""), lookup_values!$B$2:$B$51, 0)), UPPER(SUBSTITUTE(LEFT(MAIN!D36, IFERROR(FIND(",", MAIN!D36)-1, LEN(MAIN!D36))), " ", "")), IF(ISNA(VLOOKUP(SUBSTITUTE(LEFT(MAIN!D36, IFERROR(FIND(",", MAIN!D36)-1, LEN(MAIN!D36))), " ", ""), lookup_values!$A$2:$B$51, 2, FALSE)), "--", VLOOKUP(SUBSTITUTE(LEFT(MAIN!D36, IFERROR(FIND(",", MAIN!D36)-1, LEN(MAIN!D36))), " ", ""), lookup_values!$A$2:$B$51, 2, FALSE))))</f>
        <v>--</v>
      </c>
      <c r="E36" t="str">
        <f>IF(CLEAN_DATA!D36&lt;&gt;"--","US",IF(ISBLANK(MAIN!E36), "--", IF(ISNUMBER(MATCH(SUBSTITUTE(LEFT(MAIN!E36, IFERROR(FIND(",", MAIN!E36)-1, LEN(MAIN!E36))), " ", ""), lookup_values!$E$2:$E$197, 0)), UPPER(SUBSTITUTE(LEFT(MAIN!E36, IFERROR(FIND(",", MAIN!E36)-1, LEN(MAIN!E36))), " ", "")), IF(ISNA(VLOOKUP(SUBSTITUTE(LEFT(MAIN!E36, IFERROR(FIND(",", MAIN!E36)-1, LEN(MAIN!E36))), " ", ""), lookup_values!$D$2:$E$197, 2, FALSE)), "--", VLOOKUP(SUBSTITUTE(LEFT(MAIN!E36, IFERROR(FIND(",", MAIN!E36)-1, LEN(MAIN!E36))), " ", ""), lookup_values!$D$2:$E$197, 2, FALSE)))))</f>
        <v>--</v>
      </c>
      <c r="F36" t="str">
        <f>IF(ISBLANK(MAIN!F36), "", IF(AND(ISNUMBER(VALUE(TRIM(MAIN!F36))), LEN(TRIM(MAIN!F36))=4), VALUE(TRIM(MAIN!F36)), ""))</f>
        <v/>
      </c>
      <c r="G36">
        <f>IF(ISBLANK(MAIN!G36), 0, IF(ISNUMBER(VALUE(TRIM(MAIN!G36))), VALUE(TRIM(MAIN!G36)), 0))</f>
        <v>0</v>
      </c>
      <c r="H36">
        <f>IF(ISBLANK(MAIN!H36), 0, IF(ISNUMBER(VALUE(TRIM(MAIN!H36))), VALUE(TRIM(MAIN!H36)), 0))</f>
        <v>0</v>
      </c>
      <c r="I36">
        <f>IF(ISBLANK(MAIN!I36), 0, IF(ISNUMBER(VALUE(TRIM(MAIN!I36))), VALUE(TRIM(MAIN!I36)), 0))</f>
        <v>0</v>
      </c>
      <c r="J36">
        <f>IF(ISBLANK(MAIN!J36), 0, IF(ISNUMBER(VALUE(TRIM(MAIN!J36))), VALUE(TRIM(MAIN!J36)), 0))</f>
        <v>0</v>
      </c>
      <c r="K36" cm="1">
        <f t="array" ref="K36">IFERROR(
    VALUE(
        IFERROR(
            UPPER(
                IF(MAX(IFERROR(SEARCH("WD",MAIN!G36:J36), 0))&gt;0, "WD",
                IF(MAX(IFERROR(SEARCH("NS",MAIN!G36:J36), 0))&gt;0, "NS",
                IF(MAX(IFERROR(SEARCH("NC",MAIN!G36:J36), 0))&gt;0, "NC",
                IF(MAX(IFERROR(SEARCH("DQ",MAIN!G36:J36), 0))&gt;0, "DQ",
                IF(ISNUMBER(SEARCH("WD",MAIN!K36)), "WD",
                IF(ISNUMBER(SEARCH("NS",MAIN!K36)), "NS",
                IF(ISNUMBER(SEARCH("NC",MAIN!K36)), "NC",
                IF(ISNUMBER(SEARCH("DQ",MAIN!K36)), "DQ",
                IF(ISNUMBER(SEARCH("A",MAIN!K36)), 0,
                IF(OR(MAIN!K36=0,MAIN!K36=""), 0, --TRIM(MAIN!K36)))))))))))),
            0
        )
    ),
    IFERROR(
        UPPER(
            IF(MAX(IFERROR(SEARCH("WD",MAIN!G36:J36), 0))&gt;0, "WD",
            IF(MAX(IFERROR(SEARCH("NS",MAIN!G36:J36), 0))&gt;0, "NS",
            IF(MAX(IFERROR(SEARCH("NC",MAIN!G36:J36), 0))&gt;0, "NC",
            IF(MAX(IFERROR(SEARCH("DQ",MAIN!G36:J36), 0))&gt;0, "DQ",
            IF(ISNUMBER(SEARCH("WD",MAIN!K36)), "WD",
            IF(ISNUMBER(SEARCH("NS",MAIN!K36)), "NS",
            IF(ISNUMBER(SEARCH("NC",MAIN!K36)), "NC",
            IF(ISNUMBER(SEARCH("DQ",MAIN!K36)), "DQ",
            IF(ISNUMBER(SEARCH("A",MAIN!K36)), 0,
            IF(OR(MAIN!K36=0,MAIN!K36=""), 0, --TRIM(MAIN!K36)))))))))))),
        0
    )
)</f>
        <v>0</v>
      </c>
    </row>
    <row r="37" spans="1:11" x14ac:dyDescent="0.25">
      <c r="A37" t="str">
        <f>IF(ISBLANK(MAIN!A37), "--", IFERROR(PROPER(SUBSTITUTE(SUBSTITUTE(SUBSTITUTE(SUBSTITUTE(SUBSTITUTE(SUBSTITUTE(SUBSTITUTE(SUBSTITUTE(SUBSTITUTE(SUBSTITUTE(LEFT(MAIN!A37, FIND(",",MAIN!A37) -1), "0", ""), "1", ""), "2", ""), "3", ""), "4", ""), "5", ""), "6", ""), "7", ""), "8", ""), "9", "")), PROPER(SUBSTITUTE(SUBSTITUTE(SUBSTITUTE(SUBSTITUTE(SUBSTITUTE(SUBSTITUTE(SUBSTITUTE(SUBSTITUTE(SUBSTITUTE(SUBSTITUTE(MAIN!A37, "0", ""), "1", ""), "2", ""), "3", ""), "4", ""), "5", ""), "6", ""), "7", ""), "8", ""), "9", ""))))</f>
        <v>--</v>
      </c>
      <c r="B37" t="str">
        <f>IF(ISBLANK(MAIN!B37), "--", IFERROR(PROPER(SUBSTITUTE(SUBSTITUTE(SUBSTITUTE(SUBSTITUTE(SUBSTITUTE(SUBSTITUTE(SUBSTITUTE(SUBSTITUTE(SUBSTITUTE(SUBSTITUTE(LEFT(MAIN!B37, FIND(",",MAIN!B37) -1), "0", ""), "1", ""), "2", ""), "3", ""), "4", ""), "5", ""), "6", ""), "7", ""), "8", ""), "9", "")), PROPER(SUBSTITUTE(SUBSTITUTE(SUBSTITUTE(SUBSTITUTE(SUBSTITUTE(SUBSTITUTE(SUBSTITUTE(SUBSTITUTE(SUBSTITUTE(SUBSTITUTE(MAIN!B37, "0", ""), "1", ""), "2", ""), "3", ""), "4", ""), "5", ""), "6", ""), "7", ""), "8", ""), "9", ""))))</f>
        <v>--</v>
      </c>
      <c r="C37" t="str">
        <f>IF(ISBLANK(MAIN!C37), "--", IFERROR(PROPER(SUBSTITUTE(SUBSTITUTE(SUBSTITUTE(SUBSTITUTE(SUBSTITUTE(SUBSTITUTE(SUBSTITUTE(SUBSTITUTE(SUBSTITUTE(SUBSTITUTE(LEFT(MAIN!C37, FIND(",",MAIN!C37) -1), "0", ""), "1", ""), "2", ""), "3", ""), "4", ""), "5", ""), "6", ""), "7", ""), "8", ""), "9", "")), PROPER(SUBSTITUTE(SUBSTITUTE(SUBSTITUTE(SUBSTITUTE(SUBSTITUTE(SUBSTITUTE(SUBSTITUTE(SUBSTITUTE(SUBSTITUTE(SUBSTITUTE(MAIN!C37, "0", ""), "1", ""), "2", ""), "3", ""), "4", ""), "5", ""), "6", ""), "7", ""), "8", ""), "9", ""))))</f>
        <v>--</v>
      </c>
      <c r="D37" t="str">
        <f>IF(ISBLANK(MAIN!D37), "--", IF(ISNUMBER(MATCH(SUBSTITUTE(LEFT(MAIN!D37, IFERROR(FIND(",", MAIN!D37)-1, LEN(MAIN!D37))), " ", ""), lookup_values!$B$2:$B$51, 0)), UPPER(SUBSTITUTE(LEFT(MAIN!D37, IFERROR(FIND(",", MAIN!D37)-1, LEN(MAIN!D37))), " ", "")), IF(ISNA(VLOOKUP(SUBSTITUTE(LEFT(MAIN!D37, IFERROR(FIND(",", MAIN!D37)-1, LEN(MAIN!D37))), " ", ""), lookup_values!$A$2:$B$51, 2, FALSE)), "--", VLOOKUP(SUBSTITUTE(LEFT(MAIN!D37, IFERROR(FIND(",", MAIN!D37)-1, LEN(MAIN!D37))), " ", ""), lookup_values!$A$2:$B$51, 2, FALSE))))</f>
        <v>--</v>
      </c>
      <c r="E37" t="str">
        <f>IF(CLEAN_DATA!D37&lt;&gt;"--","US",IF(ISBLANK(MAIN!E37), "--", IF(ISNUMBER(MATCH(SUBSTITUTE(LEFT(MAIN!E37, IFERROR(FIND(",", MAIN!E37)-1, LEN(MAIN!E37))), " ", ""), lookup_values!$E$2:$E$197, 0)), UPPER(SUBSTITUTE(LEFT(MAIN!E37, IFERROR(FIND(",", MAIN!E37)-1, LEN(MAIN!E37))), " ", "")), IF(ISNA(VLOOKUP(SUBSTITUTE(LEFT(MAIN!E37, IFERROR(FIND(",", MAIN!E37)-1, LEN(MAIN!E37))), " ", ""), lookup_values!$D$2:$E$197, 2, FALSE)), "--", VLOOKUP(SUBSTITUTE(LEFT(MAIN!E37, IFERROR(FIND(",", MAIN!E37)-1, LEN(MAIN!E37))), " ", ""), lookup_values!$D$2:$E$197, 2, FALSE)))))</f>
        <v>--</v>
      </c>
      <c r="F37" t="str">
        <f>IF(ISBLANK(MAIN!F37), "", IF(AND(ISNUMBER(VALUE(TRIM(MAIN!F37))), LEN(TRIM(MAIN!F37))=4), VALUE(TRIM(MAIN!F37)), ""))</f>
        <v/>
      </c>
      <c r="G37">
        <f>IF(ISBLANK(MAIN!G37), 0, IF(ISNUMBER(VALUE(TRIM(MAIN!G37))), VALUE(TRIM(MAIN!G37)), 0))</f>
        <v>0</v>
      </c>
      <c r="H37">
        <f>IF(ISBLANK(MAIN!H37), 0, IF(ISNUMBER(VALUE(TRIM(MAIN!H37))), VALUE(TRIM(MAIN!H37)), 0))</f>
        <v>0</v>
      </c>
      <c r="I37">
        <f>IF(ISBLANK(MAIN!I37), 0, IF(ISNUMBER(VALUE(TRIM(MAIN!I37))), VALUE(TRIM(MAIN!I37)), 0))</f>
        <v>0</v>
      </c>
      <c r="J37">
        <f>IF(ISBLANK(MAIN!J37), 0, IF(ISNUMBER(VALUE(TRIM(MAIN!J37))), VALUE(TRIM(MAIN!J37)), 0))</f>
        <v>0</v>
      </c>
      <c r="K37" cm="1">
        <f t="array" ref="K37">IFERROR(
    VALUE(
        IFERROR(
            UPPER(
                IF(MAX(IFERROR(SEARCH("WD",MAIN!G37:J37), 0))&gt;0, "WD",
                IF(MAX(IFERROR(SEARCH("NS",MAIN!G37:J37), 0))&gt;0, "NS",
                IF(MAX(IFERROR(SEARCH("NC",MAIN!G37:J37), 0))&gt;0, "NC",
                IF(MAX(IFERROR(SEARCH("DQ",MAIN!G37:J37), 0))&gt;0, "DQ",
                IF(ISNUMBER(SEARCH("WD",MAIN!K37)), "WD",
                IF(ISNUMBER(SEARCH("NS",MAIN!K37)), "NS",
                IF(ISNUMBER(SEARCH("NC",MAIN!K37)), "NC",
                IF(ISNUMBER(SEARCH("DQ",MAIN!K37)), "DQ",
                IF(ISNUMBER(SEARCH("A",MAIN!K37)), 0,
                IF(OR(MAIN!K37=0,MAIN!K37=""), 0, --TRIM(MAIN!K37)))))))))))),
            0
        )
    ),
    IFERROR(
        UPPER(
            IF(MAX(IFERROR(SEARCH("WD",MAIN!G37:J37), 0))&gt;0, "WD",
            IF(MAX(IFERROR(SEARCH("NS",MAIN!G37:J37), 0))&gt;0, "NS",
            IF(MAX(IFERROR(SEARCH("NC",MAIN!G37:J37), 0))&gt;0, "NC",
            IF(MAX(IFERROR(SEARCH("DQ",MAIN!G37:J37), 0))&gt;0, "DQ",
            IF(ISNUMBER(SEARCH("WD",MAIN!K37)), "WD",
            IF(ISNUMBER(SEARCH("NS",MAIN!K37)), "NS",
            IF(ISNUMBER(SEARCH("NC",MAIN!K37)), "NC",
            IF(ISNUMBER(SEARCH("DQ",MAIN!K37)), "DQ",
            IF(ISNUMBER(SEARCH("A",MAIN!K37)), 0,
            IF(OR(MAIN!K37=0,MAIN!K37=""), 0, --TRIM(MAIN!K37)))))))))))),
        0
    )
)</f>
        <v>0</v>
      </c>
    </row>
    <row r="38" spans="1:11" x14ac:dyDescent="0.25">
      <c r="A38" t="str">
        <f>IF(ISBLANK(MAIN!A38), "--", IFERROR(PROPER(SUBSTITUTE(SUBSTITUTE(SUBSTITUTE(SUBSTITUTE(SUBSTITUTE(SUBSTITUTE(SUBSTITUTE(SUBSTITUTE(SUBSTITUTE(SUBSTITUTE(LEFT(MAIN!A38, FIND(",",MAIN!A38) -1), "0", ""), "1", ""), "2", ""), "3", ""), "4", ""), "5", ""), "6", ""), "7", ""), "8", ""), "9", "")), PROPER(SUBSTITUTE(SUBSTITUTE(SUBSTITUTE(SUBSTITUTE(SUBSTITUTE(SUBSTITUTE(SUBSTITUTE(SUBSTITUTE(SUBSTITUTE(SUBSTITUTE(MAIN!A38, "0", ""), "1", ""), "2", ""), "3", ""), "4", ""), "5", ""), "6", ""), "7", ""), "8", ""), "9", ""))))</f>
        <v>--</v>
      </c>
      <c r="B38" t="str">
        <f>IF(ISBLANK(MAIN!B38), "--", IFERROR(PROPER(SUBSTITUTE(SUBSTITUTE(SUBSTITUTE(SUBSTITUTE(SUBSTITUTE(SUBSTITUTE(SUBSTITUTE(SUBSTITUTE(SUBSTITUTE(SUBSTITUTE(LEFT(MAIN!B38, FIND(",",MAIN!B38) -1), "0", ""), "1", ""), "2", ""), "3", ""), "4", ""), "5", ""), "6", ""), "7", ""), "8", ""), "9", "")), PROPER(SUBSTITUTE(SUBSTITUTE(SUBSTITUTE(SUBSTITUTE(SUBSTITUTE(SUBSTITUTE(SUBSTITUTE(SUBSTITUTE(SUBSTITUTE(SUBSTITUTE(MAIN!B38, "0", ""), "1", ""), "2", ""), "3", ""), "4", ""), "5", ""), "6", ""), "7", ""), "8", ""), "9", ""))))</f>
        <v>--</v>
      </c>
      <c r="C38" t="str">
        <f>IF(ISBLANK(MAIN!C38), "--", IFERROR(PROPER(SUBSTITUTE(SUBSTITUTE(SUBSTITUTE(SUBSTITUTE(SUBSTITUTE(SUBSTITUTE(SUBSTITUTE(SUBSTITUTE(SUBSTITUTE(SUBSTITUTE(LEFT(MAIN!C38, FIND(",",MAIN!C38) -1), "0", ""), "1", ""), "2", ""), "3", ""), "4", ""), "5", ""), "6", ""), "7", ""), "8", ""), "9", "")), PROPER(SUBSTITUTE(SUBSTITUTE(SUBSTITUTE(SUBSTITUTE(SUBSTITUTE(SUBSTITUTE(SUBSTITUTE(SUBSTITUTE(SUBSTITUTE(SUBSTITUTE(MAIN!C38, "0", ""), "1", ""), "2", ""), "3", ""), "4", ""), "5", ""), "6", ""), "7", ""), "8", ""), "9", ""))))</f>
        <v>--</v>
      </c>
      <c r="D38" t="str">
        <f>IF(ISBLANK(MAIN!D38), "--", IF(ISNUMBER(MATCH(SUBSTITUTE(LEFT(MAIN!D38, IFERROR(FIND(",", MAIN!D38)-1, LEN(MAIN!D38))), " ", ""), lookup_values!$B$2:$B$51, 0)), UPPER(SUBSTITUTE(LEFT(MAIN!D38, IFERROR(FIND(",", MAIN!D38)-1, LEN(MAIN!D38))), " ", "")), IF(ISNA(VLOOKUP(SUBSTITUTE(LEFT(MAIN!D38, IFERROR(FIND(",", MAIN!D38)-1, LEN(MAIN!D38))), " ", ""), lookup_values!$A$2:$B$51, 2, FALSE)), "--", VLOOKUP(SUBSTITUTE(LEFT(MAIN!D38, IFERROR(FIND(",", MAIN!D38)-1, LEN(MAIN!D38))), " ", ""), lookup_values!$A$2:$B$51, 2, FALSE))))</f>
        <v>--</v>
      </c>
      <c r="E38" t="str">
        <f>IF(CLEAN_DATA!D38&lt;&gt;"--","US",IF(ISBLANK(MAIN!E38), "--", IF(ISNUMBER(MATCH(SUBSTITUTE(LEFT(MAIN!E38, IFERROR(FIND(",", MAIN!E38)-1, LEN(MAIN!E38))), " ", ""), lookup_values!$E$2:$E$197, 0)), UPPER(SUBSTITUTE(LEFT(MAIN!E38, IFERROR(FIND(",", MAIN!E38)-1, LEN(MAIN!E38))), " ", "")), IF(ISNA(VLOOKUP(SUBSTITUTE(LEFT(MAIN!E38, IFERROR(FIND(",", MAIN!E38)-1, LEN(MAIN!E38))), " ", ""), lookup_values!$D$2:$E$197, 2, FALSE)), "--", VLOOKUP(SUBSTITUTE(LEFT(MAIN!E38, IFERROR(FIND(",", MAIN!E38)-1, LEN(MAIN!E38))), " ", ""), lookup_values!$D$2:$E$197, 2, FALSE)))))</f>
        <v>--</v>
      </c>
      <c r="F38" t="str">
        <f>IF(ISBLANK(MAIN!F38), "", IF(AND(ISNUMBER(VALUE(TRIM(MAIN!F38))), LEN(TRIM(MAIN!F38))=4), VALUE(TRIM(MAIN!F38)), ""))</f>
        <v/>
      </c>
      <c r="G38">
        <f>IF(ISBLANK(MAIN!G38), 0, IF(ISNUMBER(VALUE(TRIM(MAIN!G38))), VALUE(TRIM(MAIN!G38)), 0))</f>
        <v>0</v>
      </c>
      <c r="H38">
        <f>IF(ISBLANK(MAIN!H38), 0, IF(ISNUMBER(VALUE(TRIM(MAIN!H38))), VALUE(TRIM(MAIN!H38)), 0))</f>
        <v>0</v>
      </c>
      <c r="I38">
        <f>IF(ISBLANK(MAIN!I38), 0, IF(ISNUMBER(VALUE(TRIM(MAIN!I38))), VALUE(TRIM(MAIN!I38)), 0))</f>
        <v>0</v>
      </c>
      <c r="J38">
        <f>IF(ISBLANK(MAIN!J38), 0, IF(ISNUMBER(VALUE(TRIM(MAIN!J38))), VALUE(TRIM(MAIN!J38)), 0))</f>
        <v>0</v>
      </c>
      <c r="K38" cm="1">
        <f t="array" ref="K38">IFERROR(
    VALUE(
        IFERROR(
            UPPER(
                IF(MAX(IFERROR(SEARCH("WD",MAIN!G38:J38), 0))&gt;0, "WD",
                IF(MAX(IFERROR(SEARCH("NS",MAIN!G38:J38), 0))&gt;0, "NS",
                IF(MAX(IFERROR(SEARCH("NC",MAIN!G38:J38), 0))&gt;0, "NC",
                IF(MAX(IFERROR(SEARCH("DQ",MAIN!G38:J38), 0))&gt;0, "DQ",
                IF(ISNUMBER(SEARCH("WD",MAIN!K38)), "WD",
                IF(ISNUMBER(SEARCH("NS",MAIN!K38)), "NS",
                IF(ISNUMBER(SEARCH("NC",MAIN!K38)), "NC",
                IF(ISNUMBER(SEARCH("DQ",MAIN!K38)), "DQ",
                IF(ISNUMBER(SEARCH("A",MAIN!K38)), 0,
                IF(OR(MAIN!K38=0,MAIN!K38=""), 0, --TRIM(MAIN!K38)))))))))))),
            0
        )
    ),
    IFERROR(
        UPPER(
            IF(MAX(IFERROR(SEARCH("WD",MAIN!G38:J38), 0))&gt;0, "WD",
            IF(MAX(IFERROR(SEARCH("NS",MAIN!G38:J38), 0))&gt;0, "NS",
            IF(MAX(IFERROR(SEARCH("NC",MAIN!G38:J38), 0))&gt;0, "NC",
            IF(MAX(IFERROR(SEARCH("DQ",MAIN!G38:J38), 0))&gt;0, "DQ",
            IF(ISNUMBER(SEARCH("WD",MAIN!K38)), "WD",
            IF(ISNUMBER(SEARCH("NS",MAIN!K38)), "NS",
            IF(ISNUMBER(SEARCH("NC",MAIN!K38)), "NC",
            IF(ISNUMBER(SEARCH("DQ",MAIN!K38)), "DQ",
            IF(ISNUMBER(SEARCH("A",MAIN!K38)), 0,
            IF(OR(MAIN!K38=0,MAIN!K38=""), 0, --TRIM(MAIN!K38)))))))))))),
        0
    )
)</f>
        <v>0</v>
      </c>
    </row>
    <row r="39" spans="1:11" x14ac:dyDescent="0.25">
      <c r="A39" t="str">
        <f>IF(ISBLANK(MAIN!A39), "--", IFERROR(PROPER(SUBSTITUTE(SUBSTITUTE(SUBSTITUTE(SUBSTITUTE(SUBSTITUTE(SUBSTITUTE(SUBSTITUTE(SUBSTITUTE(SUBSTITUTE(SUBSTITUTE(LEFT(MAIN!A39, FIND(",",MAIN!A39) -1), "0", ""), "1", ""), "2", ""), "3", ""), "4", ""), "5", ""), "6", ""), "7", ""), "8", ""), "9", "")), PROPER(SUBSTITUTE(SUBSTITUTE(SUBSTITUTE(SUBSTITUTE(SUBSTITUTE(SUBSTITUTE(SUBSTITUTE(SUBSTITUTE(SUBSTITUTE(SUBSTITUTE(MAIN!A39, "0", ""), "1", ""), "2", ""), "3", ""), "4", ""), "5", ""), "6", ""), "7", ""), "8", ""), "9", ""))))</f>
        <v>--</v>
      </c>
      <c r="B39" t="str">
        <f>IF(ISBLANK(MAIN!B39), "--", IFERROR(PROPER(SUBSTITUTE(SUBSTITUTE(SUBSTITUTE(SUBSTITUTE(SUBSTITUTE(SUBSTITUTE(SUBSTITUTE(SUBSTITUTE(SUBSTITUTE(SUBSTITUTE(LEFT(MAIN!B39, FIND(",",MAIN!B39) -1), "0", ""), "1", ""), "2", ""), "3", ""), "4", ""), "5", ""), "6", ""), "7", ""), "8", ""), "9", "")), PROPER(SUBSTITUTE(SUBSTITUTE(SUBSTITUTE(SUBSTITUTE(SUBSTITUTE(SUBSTITUTE(SUBSTITUTE(SUBSTITUTE(SUBSTITUTE(SUBSTITUTE(MAIN!B39, "0", ""), "1", ""), "2", ""), "3", ""), "4", ""), "5", ""), "6", ""), "7", ""), "8", ""), "9", ""))))</f>
        <v>--</v>
      </c>
      <c r="C39" t="str">
        <f>IF(ISBLANK(MAIN!C39), "--", IFERROR(PROPER(SUBSTITUTE(SUBSTITUTE(SUBSTITUTE(SUBSTITUTE(SUBSTITUTE(SUBSTITUTE(SUBSTITUTE(SUBSTITUTE(SUBSTITUTE(SUBSTITUTE(LEFT(MAIN!C39, FIND(",",MAIN!C39) -1), "0", ""), "1", ""), "2", ""), "3", ""), "4", ""), "5", ""), "6", ""), "7", ""), "8", ""), "9", "")), PROPER(SUBSTITUTE(SUBSTITUTE(SUBSTITUTE(SUBSTITUTE(SUBSTITUTE(SUBSTITUTE(SUBSTITUTE(SUBSTITUTE(SUBSTITUTE(SUBSTITUTE(MAIN!C39, "0", ""), "1", ""), "2", ""), "3", ""), "4", ""), "5", ""), "6", ""), "7", ""), "8", ""), "9", ""))))</f>
        <v>--</v>
      </c>
      <c r="D39" t="str">
        <f>IF(ISBLANK(MAIN!D39), "--", IF(ISNUMBER(MATCH(SUBSTITUTE(LEFT(MAIN!D39, IFERROR(FIND(",", MAIN!D39)-1, LEN(MAIN!D39))), " ", ""), lookup_values!$B$2:$B$51, 0)), UPPER(SUBSTITUTE(LEFT(MAIN!D39, IFERROR(FIND(",", MAIN!D39)-1, LEN(MAIN!D39))), " ", "")), IF(ISNA(VLOOKUP(SUBSTITUTE(LEFT(MAIN!D39, IFERROR(FIND(",", MAIN!D39)-1, LEN(MAIN!D39))), " ", ""), lookup_values!$A$2:$B$51, 2, FALSE)), "--", VLOOKUP(SUBSTITUTE(LEFT(MAIN!D39, IFERROR(FIND(",", MAIN!D39)-1, LEN(MAIN!D39))), " ", ""), lookup_values!$A$2:$B$51, 2, FALSE))))</f>
        <v>--</v>
      </c>
      <c r="E39" t="str">
        <f>IF(CLEAN_DATA!D39&lt;&gt;"--","US",IF(ISBLANK(MAIN!E39), "--", IF(ISNUMBER(MATCH(SUBSTITUTE(LEFT(MAIN!E39, IFERROR(FIND(",", MAIN!E39)-1, LEN(MAIN!E39))), " ", ""), lookup_values!$E$2:$E$197, 0)), UPPER(SUBSTITUTE(LEFT(MAIN!E39, IFERROR(FIND(",", MAIN!E39)-1, LEN(MAIN!E39))), " ", "")), IF(ISNA(VLOOKUP(SUBSTITUTE(LEFT(MAIN!E39, IFERROR(FIND(",", MAIN!E39)-1, LEN(MAIN!E39))), " ", ""), lookup_values!$D$2:$E$197, 2, FALSE)), "--", VLOOKUP(SUBSTITUTE(LEFT(MAIN!E39, IFERROR(FIND(",", MAIN!E39)-1, LEN(MAIN!E39))), " ", ""), lookup_values!$D$2:$E$197, 2, FALSE)))))</f>
        <v>--</v>
      </c>
      <c r="F39" t="str">
        <f>IF(ISBLANK(MAIN!F39), "", IF(AND(ISNUMBER(VALUE(TRIM(MAIN!F39))), LEN(TRIM(MAIN!F39))=4), VALUE(TRIM(MAIN!F39)), ""))</f>
        <v/>
      </c>
      <c r="G39">
        <f>IF(ISBLANK(MAIN!G39), 0, IF(ISNUMBER(VALUE(TRIM(MAIN!G39))), VALUE(TRIM(MAIN!G39)), 0))</f>
        <v>0</v>
      </c>
      <c r="H39">
        <f>IF(ISBLANK(MAIN!H39), 0, IF(ISNUMBER(VALUE(TRIM(MAIN!H39))), VALUE(TRIM(MAIN!H39)), 0))</f>
        <v>0</v>
      </c>
      <c r="I39">
        <f>IF(ISBLANK(MAIN!I39), 0, IF(ISNUMBER(VALUE(TRIM(MAIN!I39))), VALUE(TRIM(MAIN!I39)), 0))</f>
        <v>0</v>
      </c>
      <c r="J39">
        <f>IF(ISBLANK(MAIN!J39), 0, IF(ISNUMBER(VALUE(TRIM(MAIN!J39))), VALUE(TRIM(MAIN!J39)), 0))</f>
        <v>0</v>
      </c>
      <c r="K39" cm="1">
        <f t="array" ref="K39">IFERROR(
    VALUE(
        IFERROR(
            UPPER(
                IF(MAX(IFERROR(SEARCH("WD",MAIN!G39:J39), 0))&gt;0, "WD",
                IF(MAX(IFERROR(SEARCH("NS",MAIN!G39:J39), 0))&gt;0, "NS",
                IF(MAX(IFERROR(SEARCH("NC",MAIN!G39:J39), 0))&gt;0, "NC",
                IF(MAX(IFERROR(SEARCH("DQ",MAIN!G39:J39), 0))&gt;0, "DQ",
                IF(ISNUMBER(SEARCH("WD",MAIN!K39)), "WD",
                IF(ISNUMBER(SEARCH("NS",MAIN!K39)), "NS",
                IF(ISNUMBER(SEARCH("NC",MAIN!K39)), "NC",
                IF(ISNUMBER(SEARCH("DQ",MAIN!K39)), "DQ",
                IF(ISNUMBER(SEARCH("A",MAIN!K39)), 0,
                IF(OR(MAIN!K39=0,MAIN!K39=""), 0, --TRIM(MAIN!K39)))))))))))),
            0
        )
    ),
    IFERROR(
        UPPER(
            IF(MAX(IFERROR(SEARCH("WD",MAIN!G39:J39), 0))&gt;0, "WD",
            IF(MAX(IFERROR(SEARCH("NS",MAIN!G39:J39), 0))&gt;0, "NS",
            IF(MAX(IFERROR(SEARCH("NC",MAIN!G39:J39), 0))&gt;0, "NC",
            IF(MAX(IFERROR(SEARCH("DQ",MAIN!G39:J39), 0))&gt;0, "DQ",
            IF(ISNUMBER(SEARCH("WD",MAIN!K39)), "WD",
            IF(ISNUMBER(SEARCH("NS",MAIN!K39)), "NS",
            IF(ISNUMBER(SEARCH("NC",MAIN!K39)), "NC",
            IF(ISNUMBER(SEARCH("DQ",MAIN!K39)), "DQ",
            IF(ISNUMBER(SEARCH("A",MAIN!K39)), 0,
            IF(OR(MAIN!K39=0,MAIN!K39=""), 0, --TRIM(MAIN!K39)))))))))))),
        0
    )
)</f>
        <v>0</v>
      </c>
    </row>
    <row r="40" spans="1:11" x14ac:dyDescent="0.25">
      <c r="A40" t="str">
        <f>IF(ISBLANK(MAIN!A40), "--", IFERROR(PROPER(SUBSTITUTE(SUBSTITUTE(SUBSTITUTE(SUBSTITUTE(SUBSTITUTE(SUBSTITUTE(SUBSTITUTE(SUBSTITUTE(SUBSTITUTE(SUBSTITUTE(LEFT(MAIN!A40, FIND(",",MAIN!A40) -1), "0", ""), "1", ""), "2", ""), "3", ""), "4", ""), "5", ""), "6", ""), "7", ""), "8", ""), "9", "")), PROPER(SUBSTITUTE(SUBSTITUTE(SUBSTITUTE(SUBSTITUTE(SUBSTITUTE(SUBSTITUTE(SUBSTITUTE(SUBSTITUTE(SUBSTITUTE(SUBSTITUTE(MAIN!A40, "0", ""), "1", ""), "2", ""), "3", ""), "4", ""), "5", ""), "6", ""), "7", ""), "8", ""), "9", ""))))</f>
        <v>--</v>
      </c>
      <c r="B40" t="str">
        <f>IF(ISBLANK(MAIN!B40), "--", IFERROR(PROPER(SUBSTITUTE(SUBSTITUTE(SUBSTITUTE(SUBSTITUTE(SUBSTITUTE(SUBSTITUTE(SUBSTITUTE(SUBSTITUTE(SUBSTITUTE(SUBSTITUTE(LEFT(MAIN!B40, FIND(",",MAIN!B40) -1), "0", ""), "1", ""), "2", ""), "3", ""), "4", ""), "5", ""), "6", ""), "7", ""), "8", ""), "9", "")), PROPER(SUBSTITUTE(SUBSTITUTE(SUBSTITUTE(SUBSTITUTE(SUBSTITUTE(SUBSTITUTE(SUBSTITUTE(SUBSTITUTE(SUBSTITUTE(SUBSTITUTE(MAIN!B40, "0", ""), "1", ""), "2", ""), "3", ""), "4", ""), "5", ""), "6", ""), "7", ""), "8", ""), "9", ""))))</f>
        <v>--</v>
      </c>
      <c r="C40" t="str">
        <f>IF(ISBLANK(MAIN!C40), "--", IFERROR(PROPER(SUBSTITUTE(SUBSTITUTE(SUBSTITUTE(SUBSTITUTE(SUBSTITUTE(SUBSTITUTE(SUBSTITUTE(SUBSTITUTE(SUBSTITUTE(SUBSTITUTE(LEFT(MAIN!C40, FIND(",",MAIN!C40) -1), "0", ""), "1", ""), "2", ""), "3", ""), "4", ""), "5", ""), "6", ""), "7", ""), "8", ""), "9", "")), PROPER(SUBSTITUTE(SUBSTITUTE(SUBSTITUTE(SUBSTITUTE(SUBSTITUTE(SUBSTITUTE(SUBSTITUTE(SUBSTITUTE(SUBSTITUTE(SUBSTITUTE(MAIN!C40, "0", ""), "1", ""), "2", ""), "3", ""), "4", ""), "5", ""), "6", ""), "7", ""), "8", ""), "9", ""))))</f>
        <v>--</v>
      </c>
      <c r="D40" t="str">
        <f>IF(ISBLANK(MAIN!D40), "--", IF(ISNUMBER(MATCH(SUBSTITUTE(LEFT(MAIN!D40, IFERROR(FIND(",", MAIN!D40)-1, LEN(MAIN!D40))), " ", ""), lookup_values!$B$2:$B$51, 0)), UPPER(SUBSTITUTE(LEFT(MAIN!D40, IFERROR(FIND(",", MAIN!D40)-1, LEN(MAIN!D40))), " ", "")), IF(ISNA(VLOOKUP(SUBSTITUTE(LEFT(MAIN!D40, IFERROR(FIND(",", MAIN!D40)-1, LEN(MAIN!D40))), " ", ""), lookup_values!$A$2:$B$51, 2, FALSE)), "--", VLOOKUP(SUBSTITUTE(LEFT(MAIN!D40, IFERROR(FIND(",", MAIN!D40)-1, LEN(MAIN!D40))), " ", ""), lookup_values!$A$2:$B$51, 2, FALSE))))</f>
        <v>--</v>
      </c>
      <c r="E40" t="str">
        <f>IF(CLEAN_DATA!D40&lt;&gt;"--","US",IF(ISBLANK(MAIN!E40), "--", IF(ISNUMBER(MATCH(SUBSTITUTE(LEFT(MAIN!E40, IFERROR(FIND(",", MAIN!E40)-1, LEN(MAIN!E40))), " ", ""), lookup_values!$E$2:$E$197, 0)), UPPER(SUBSTITUTE(LEFT(MAIN!E40, IFERROR(FIND(",", MAIN!E40)-1, LEN(MAIN!E40))), " ", "")), IF(ISNA(VLOOKUP(SUBSTITUTE(LEFT(MAIN!E40, IFERROR(FIND(",", MAIN!E40)-1, LEN(MAIN!E40))), " ", ""), lookup_values!$D$2:$E$197, 2, FALSE)), "--", VLOOKUP(SUBSTITUTE(LEFT(MAIN!E40, IFERROR(FIND(",", MAIN!E40)-1, LEN(MAIN!E40))), " ", ""), lookup_values!$D$2:$E$197, 2, FALSE)))))</f>
        <v>--</v>
      </c>
      <c r="F40" t="str">
        <f>IF(ISBLANK(MAIN!F40), "", IF(AND(ISNUMBER(VALUE(TRIM(MAIN!F40))), LEN(TRIM(MAIN!F40))=4), VALUE(TRIM(MAIN!F40)), ""))</f>
        <v/>
      </c>
      <c r="G40">
        <f>IF(ISBLANK(MAIN!G40), 0, IF(ISNUMBER(VALUE(TRIM(MAIN!G40))), VALUE(TRIM(MAIN!G40)), 0))</f>
        <v>0</v>
      </c>
      <c r="H40">
        <f>IF(ISBLANK(MAIN!H40), 0, IF(ISNUMBER(VALUE(TRIM(MAIN!H40))), VALUE(TRIM(MAIN!H40)), 0))</f>
        <v>0</v>
      </c>
      <c r="I40">
        <f>IF(ISBLANK(MAIN!I40), 0, IF(ISNUMBER(VALUE(TRIM(MAIN!I40))), VALUE(TRIM(MAIN!I40)), 0))</f>
        <v>0</v>
      </c>
      <c r="J40">
        <f>IF(ISBLANK(MAIN!J40), 0, IF(ISNUMBER(VALUE(TRIM(MAIN!J40))), VALUE(TRIM(MAIN!J40)), 0))</f>
        <v>0</v>
      </c>
      <c r="K40" cm="1">
        <f t="array" ref="K40">IFERROR(
    VALUE(
        IFERROR(
            UPPER(
                IF(MAX(IFERROR(SEARCH("WD",MAIN!G40:J40), 0))&gt;0, "WD",
                IF(MAX(IFERROR(SEARCH("NS",MAIN!G40:J40), 0))&gt;0, "NS",
                IF(MAX(IFERROR(SEARCH("NC",MAIN!G40:J40), 0))&gt;0, "NC",
                IF(MAX(IFERROR(SEARCH("DQ",MAIN!G40:J40), 0))&gt;0, "DQ",
                IF(ISNUMBER(SEARCH("WD",MAIN!K40)), "WD",
                IF(ISNUMBER(SEARCH("NS",MAIN!K40)), "NS",
                IF(ISNUMBER(SEARCH("NC",MAIN!K40)), "NC",
                IF(ISNUMBER(SEARCH("DQ",MAIN!K40)), "DQ",
                IF(ISNUMBER(SEARCH("A",MAIN!K40)), 0,
                IF(OR(MAIN!K40=0,MAIN!K40=""), 0, --TRIM(MAIN!K40)))))))))))),
            0
        )
    ),
    IFERROR(
        UPPER(
            IF(MAX(IFERROR(SEARCH("WD",MAIN!G40:J40), 0))&gt;0, "WD",
            IF(MAX(IFERROR(SEARCH("NS",MAIN!G40:J40), 0))&gt;0, "NS",
            IF(MAX(IFERROR(SEARCH("NC",MAIN!G40:J40), 0))&gt;0, "NC",
            IF(MAX(IFERROR(SEARCH("DQ",MAIN!G40:J40), 0))&gt;0, "DQ",
            IF(ISNUMBER(SEARCH("WD",MAIN!K40)), "WD",
            IF(ISNUMBER(SEARCH("NS",MAIN!K40)), "NS",
            IF(ISNUMBER(SEARCH("NC",MAIN!K40)), "NC",
            IF(ISNUMBER(SEARCH("DQ",MAIN!K40)), "DQ",
            IF(ISNUMBER(SEARCH("A",MAIN!K40)), 0,
            IF(OR(MAIN!K40=0,MAIN!K40=""), 0, --TRIM(MAIN!K40)))))))))))),
        0
    )
)</f>
        <v>0</v>
      </c>
    </row>
    <row r="41" spans="1:11" x14ac:dyDescent="0.25">
      <c r="A41" t="str">
        <f>IF(ISBLANK(MAIN!A41), "--", IFERROR(PROPER(SUBSTITUTE(SUBSTITUTE(SUBSTITUTE(SUBSTITUTE(SUBSTITUTE(SUBSTITUTE(SUBSTITUTE(SUBSTITUTE(SUBSTITUTE(SUBSTITUTE(LEFT(MAIN!A41, FIND(",",MAIN!A41) -1), "0", ""), "1", ""), "2", ""), "3", ""), "4", ""), "5", ""), "6", ""), "7", ""), "8", ""), "9", "")), PROPER(SUBSTITUTE(SUBSTITUTE(SUBSTITUTE(SUBSTITUTE(SUBSTITUTE(SUBSTITUTE(SUBSTITUTE(SUBSTITUTE(SUBSTITUTE(SUBSTITUTE(MAIN!A41, "0", ""), "1", ""), "2", ""), "3", ""), "4", ""), "5", ""), "6", ""), "7", ""), "8", ""), "9", ""))))</f>
        <v>--</v>
      </c>
      <c r="B41" t="str">
        <f>IF(ISBLANK(MAIN!B41), "--", IFERROR(PROPER(SUBSTITUTE(SUBSTITUTE(SUBSTITUTE(SUBSTITUTE(SUBSTITUTE(SUBSTITUTE(SUBSTITUTE(SUBSTITUTE(SUBSTITUTE(SUBSTITUTE(LEFT(MAIN!B41, FIND(",",MAIN!B41) -1), "0", ""), "1", ""), "2", ""), "3", ""), "4", ""), "5", ""), "6", ""), "7", ""), "8", ""), "9", "")), PROPER(SUBSTITUTE(SUBSTITUTE(SUBSTITUTE(SUBSTITUTE(SUBSTITUTE(SUBSTITUTE(SUBSTITUTE(SUBSTITUTE(SUBSTITUTE(SUBSTITUTE(MAIN!B41, "0", ""), "1", ""), "2", ""), "3", ""), "4", ""), "5", ""), "6", ""), "7", ""), "8", ""), "9", ""))))</f>
        <v>--</v>
      </c>
      <c r="C41" t="str">
        <f>IF(ISBLANK(MAIN!C41), "--", IFERROR(PROPER(SUBSTITUTE(SUBSTITUTE(SUBSTITUTE(SUBSTITUTE(SUBSTITUTE(SUBSTITUTE(SUBSTITUTE(SUBSTITUTE(SUBSTITUTE(SUBSTITUTE(LEFT(MAIN!C41, FIND(",",MAIN!C41) -1), "0", ""), "1", ""), "2", ""), "3", ""), "4", ""), "5", ""), "6", ""), "7", ""), "8", ""), "9", "")), PROPER(SUBSTITUTE(SUBSTITUTE(SUBSTITUTE(SUBSTITUTE(SUBSTITUTE(SUBSTITUTE(SUBSTITUTE(SUBSTITUTE(SUBSTITUTE(SUBSTITUTE(MAIN!C41, "0", ""), "1", ""), "2", ""), "3", ""), "4", ""), "5", ""), "6", ""), "7", ""), "8", ""), "9", ""))))</f>
        <v>--</v>
      </c>
      <c r="D41" t="str">
        <f>IF(ISBLANK(MAIN!D41), "--", IF(ISNUMBER(MATCH(SUBSTITUTE(LEFT(MAIN!D41, IFERROR(FIND(",", MAIN!D41)-1, LEN(MAIN!D41))), " ", ""), lookup_values!$B$2:$B$51, 0)), UPPER(SUBSTITUTE(LEFT(MAIN!D41, IFERROR(FIND(",", MAIN!D41)-1, LEN(MAIN!D41))), " ", "")), IF(ISNA(VLOOKUP(SUBSTITUTE(LEFT(MAIN!D41, IFERROR(FIND(",", MAIN!D41)-1, LEN(MAIN!D41))), " ", ""), lookup_values!$A$2:$B$51, 2, FALSE)), "--", VLOOKUP(SUBSTITUTE(LEFT(MAIN!D41, IFERROR(FIND(",", MAIN!D41)-1, LEN(MAIN!D41))), " ", ""), lookup_values!$A$2:$B$51, 2, FALSE))))</f>
        <v>--</v>
      </c>
      <c r="E41" t="str">
        <f>IF(CLEAN_DATA!D41&lt;&gt;"--","US",IF(ISBLANK(MAIN!E41), "--", IF(ISNUMBER(MATCH(SUBSTITUTE(LEFT(MAIN!E41, IFERROR(FIND(",", MAIN!E41)-1, LEN(MAIN!E41))), " ", ""), lookup_values!$E$2:$E$197, 0)), UPPER(SUBSTITUTE(LEFT(MAIN!E41, IFERROR(FIND(",", MAIN!E41)-1, LEN(MAIN!E41))), " ", "")), IF(ISNA(VLOOKUP(SUBSTITUTE(LEFT(MAIN!E41, IFERROR(FIND(",", MAIN!E41)-1, LEN(MAIN!E41))), " ", ""), lookup_values!$D$2:$E$197, 2, FALSE)), "--", VLOOKUP(SUBSTITUTE(LEFT(MAIN!E41, IFERROR(FIND(",", MAIN!E41)-1, LEN(MAIN!E41))), " ", ""), lookup_values!$D$2:$E$197, 2, FALSE)))))</f>
        <v>--</v>
      </c>
      <c r="F41" t="str">
        <f>IF(ISBLANK(MAIN!F41), "", IF(AND(ISNUMBER(VALUE(TRIM(MAIN!F41))), LEN(TRIM(MAIN!F41))=4), VALUE(TRIM(MAIN!F41)), ""))</f>
        <v/>
      </c>
      <c r="G41">
        <f>IF(ISBLANK(MAIN!G41), 0, IF(ISNUMBER(VALUE(TRIM(MAIN!G41))), VALUE(TRIM(MAIN!G41)), 0))</f>
        <v>0</v>
      </c>
      <c r="H41">
        <f>IF(ISBLANK(MAIN!H41), 0, IF(ISNUMBER(VALUE(TRIM(MAIN!H41))), VALUE(TRIM(MAIN!H41)), 0))</f>
        <v>0</v>
      </c>
      <c r="I41">
        <f>IF(ISBLANK(MAIN!I41), 0, IF(ISNUMBER(VALUE(TRIM(MAIN!I41))), VALUE(TRIM(MAIN!I41)), 0))</f>
        <v>0</v>
      </c>
      <c r="J41">
        <f>IF(ISBLANK(MAIN!J41), 0, IF(ISNUMBER(VALUE(TRIM(MAIN!J41))), VALUE(TRIM(MAIN!J41)), 0))</f>
        <v>0</v>
      </c>
      <c r="K41" cm="1">
        <f t="array" ref="K41">IFERROR(
    VALUE(
        IFERROR(
            UPPER(
                IF(MAX(IFERROR(SEARCH("WD",MAIN!G41:J41), 0))&gt;0, "WD",
                IF(MAX(IFERROR(SEARCH("NS",MAIN!G41:J41), 0))&gt;0, "NS",
                IF(MAX(IFERROR(SEARCH("NC",MAIN!G41:J41), 0))&gt;0, "NC",
                IF(MAX(IFERROR(SEARCH("DQ",MAIN!G41:J41), 0))&gt;0, "DQ",
                IF(ISNUMBER(SEARCH("WD",MAIN!K41)), "WD",
                IF(ISNUMBER(SEARCH("NS",MAIN!K41)), "NS",
                IF(ISNUMBER(SEARCH("NC",MAIN!K41)), "NC",
                IF(ISNUMBER(SEARCH("DQ",MAIN!K41)), "DQ",
                IF(ISNUMBER(SEARCH("A",MAIN!K41)), 0,
                IF(OR(MAIN!K41=0,MAIN!K41=""), 0, --TRIM(MAIN!K41)))))))))))),
            0
        )
    ),
    IFERROR(
        UPPER(
            IF(MAX(IFERROR(SEARCH("WD",MAIN!G41:J41), 0))&gt;0, "WD",
            IF(MAX(IFERROR(SEARCH("NS",MAIN!G41:J41), 0))&gt;0, "NS",
            IF(MAX(IFERROR(SEARCH("NC",MAIN!G41:J41), 0))&gt;0, "NC",
            IF(MAX(IFERROR(SEARCH("DQ",MAIN!G41:J41), 0))&gt;0, "DQ",
            IF(ISNUMBER(SEARCH("WD",MAIN!K41)), "WD",
            IF(ISNUMBER(SEARCH("NS",MAIN!K41)), "NS",
            IF(ISNUMBER(SEARCH("NC",MAIN!K41)), "NC",
            IF(ISNUMBER(SEARCH("DQ",MAIN!K41)), "DQ",
            IF(ISNUMBER(SEARCH("A",MAIN!K41)), 0,
            IF(OR(MAIN!K41=0,MAIN!K41=""), 0, --TRIM(MAIN!K41)))))))))))),
        0
    )
)</f>
        <v>0</v>
      </c>
    </row>
    <row r="42" spans="1:11" x14ac:dyDescent="0.25">
      <c r="A42" t="str">
        <f>IF(ISBLANK(MAIN!A42), "--", IFERROR(PROPER(SUBSTITUTE(SUBSTITUTE(SUBSTITUTE(SUBSTITUTE(SUBSTITUTE(SUBSTITUTE(SUBSTITUTE(SUBSTITUTE(SUBSTITUTE(SUBSTITUTE(LEFT(MAIN!A42, FIND(",",MAIN!A42) -1), "0", ""), "1", ""), "2", ""), "3", ""), "4", ""), "5", ""), "6", ""), "7", ""), "8", ""), "9", "")), PROPER(SUBSTITUTE(SUBSTITUTE(SUBSTITUTE(SUBSTITUTE(SUBSTITUTE(SUBSTITUTE(SUBSTITUTE(SUBSTITUTE(SUBSTITUTE(SUBSTITUTE(MAIN!A42, "0", ""), "1", ""), "2", ""), "3", ""), "4", ""), "5", ""), "6", ""), "7", ""), "8", ""), "9", ""))))</f>
        <v>--</v>
      </c>
      <c r="B42" t="str">
        <f>IF(ISBLANK(MAIN!B42), "--", IFERROR(PROPER(SUBSTITUTE(SUBSTITUTE(SUBSTITUTE(SUBSTITUTE(SUBSTITUTE(SUBSTITUTE(SUBSTITUTE(SUBSTITUTE(SUBSTITUTE(SUBSTITUTE(LEFT(MAIN!B42, FIND(",",MAIN!B42) -1), "0", ""), "1", ""), "2", ""), "3", ""), "4", ""), "5", ""), "6", ""), "7", ""), "8", ""), "9", "")), PROPER(SUBSTITUTE(SUBSTITUTE(SUBSTITUTE(SUBSTITUTE(SUBSTITUTE(SUBSTITUTE(SUBSTITUTE(SUBSTITUTE(SUBSTITUTE(SUBSTITUTE(MAIN!B42, "0", ""), "1", ""), "2", ""), "3", ""), "4", ""), "5", ""), "6", ""), "7", ""), "8", ""), "9", ""))))</f>
        <v>--</v>
      </c>
      <c r="C42" t="str">
        <f>IF(ISBLANK(MAIN!C42), "--", IFERROR(PROPER(SUBSTITUTE(SUBSTITUTE(SUBSTITUTE(SUBSTITUTE(SUBSTITUTE(SUBSTITUTE(SUBSTITUTE(SUBSTITUTE(SUBSTITUTE(SUBSTITUTE(LEFT(MAIN!C42, FIND(",",MAIN!C42) -1), "0", ""), "1", ""), "2", ""), "3", ""), "4", ""), "5", ""), "6", ""), "7", ""), "8", ""), "9", "")), PROPER(SUBSTITUTE(SUBSTITUTE(SUBSTITUTE(SUBSTITUTE(SUBSTITUTE(SUBSTITUTE(SUBSTITUTE(SUBSTITUTE(SUBSTITUTE(SUBSTITUTE(MAIN!C42, "0", ""), "1", ""), "2", ""), "3", ""), "4", ""), "5", ""), "6", ""), "7", ""), "8", ""), "9", ""))))</f>
        <v>--</v>
      </c>
      <c r="D42" t="str">
        <f>IF(ISBLANK(MAIN!D42), "--", IF(ISNUMBER(MATCH(SUBSTITUTE(LEFT(MAIN!D42, IFERROR(FIND(",", MAIN!D42)-1, LEN(MAIN!D42))), " ", ""), lookup_values!$B$2:$B$51, 0)), UPPER(SUBSTITUTE(LEFT(MAIN!D42, IFERROR(FIND(",", MAIN!D42)-1, LEN(MAIN!D42))), " ", "")), IF(ISNA(VLOOKUP(SUBSTITUTE(LEFT(MAIN!D42, IFERROR(FIND(",", MAIN!D42)-1, LEN(MAIN!D42))), " ", ""), lookup_values!$A$2:$B$51, 2, FALSE)), "--", VLOOKUP(SUBSTITUTE(LEFT(MAIN!D42, IFERROR(FIND(",", MAIN!D42)-1, LEN(MAIN!D42))), " ", ""), lookup_values!$A$2:$B$51, 2, FALSE))))</f>
        <v>--</v>
      </c>
      <c r="E42" t="str">
        <f>IF(CLEAN_DATA!D42&lt;&gt;"--","US",IF(ISBLANK(MAIN!E42), "--", IF(ISNUMBER(MATCH(SUBSTITUTE(LEFT(MAIN!E42, IFERROR(FIND(",", MAIN!E42)-1, LEN(MAIN!E42))), " ", ""), lookup_values!$E$2:$E$197, 0)), UPPER(SUBSTITUTE(LEFT(MAIN!E42, IFERROR(FIND(",", MAIN!E42)-1, LEN(MAIN!E42))), " ", "")), IF(ISNA(VLOOKUP(SUBSTITUTE(LEFT(MAIN!E42, IFERROR(FIND(",", MAIN!E42)-1, LEN(MAIN!E42))), " ", ""), lookup_values!$D$2:$E$197, 2, FALSE)), "--", VLOOKUP(SUBSTITUTE(LEFT(MAIN!E42, IFERROR(FIND(",", MAIN!E42)-1, LEN(MAIN!E42))), " ", ""), lookup_values!$D$2:$E$197, 2, FALSE)))))</f>
        <v>--</v>
      </c>
      <c r="F42" t="str">
        <f>IF(ISBLANK(MAIN!F42), "", IF(AND(ISNUMBER(VALUE(TRIM(MAIN!F42))), LEN(TRIM(MAIN!F42))=4), VALUE(TRIM(MAIN!F42)), ""))</f>
        <v/>
      </c>
      <c r="G42">
        <f>IF(ISBLANK(MAIN!G42), 0, IF(ISNUMBER(VALUE(TRIM(MAIN!G42))), VALUE(TRIM(MAIN!G42)), 0))</f>
        <v>0</v>
      </c>
      <c r="H42">
        <f>IF(ISBLANK(MAIN!H42), 0, IF(ISNUMBER(VALUE(TRIM(MAIN!H42))), VALUE(TRIM(MAIN!H42)), 0))</f>
        <v>0</v>
      </c>
      <c r="I42">
        <f>IF(ISBLANK(MAIN!I42), 0, IF(ISNUMBER(VALUE(TRIM(MAIN!I42))), VALUE(TRIM(MAIN!I42)), 0))</f>
        <v>0</v>
      </c>
      <c r="J42">
        <f>IF(ISBLANK(MAIN!J42), 0, IF(ISNUMBER(VALUE(TRIM(MAIN!J42))), VALUE(TRIM(MAIN!J42)), 0))</f>
        <v>0</v>
      </c>
      <c r="K42" cm="1">
        <f t="array" ref="K42">IFERROR(
    VALUE(
        IFERROR(
            UPPER(
                IF(MAX(IFERROR(SEARCH("WD",MAIN!G42:J42), 0))&gt;0, "WD",
                IF(MAX(IFERROR(SEARCH("NS",MAIN!G42:J42), 0))&gt;0, "NS",
                IF(MAX(IFERROR(SEARCH("NC",MAIN!G42:J42), 0))&gt;0, "NC",
                IF(MAX(IFERROR(SEARCH("DQ",MAIN!G42:J42), 0))&gt;0, "DQ",
                IF(ISNUMBER(SEARCH("WD",MAIN!K42)), "WD",
                IF(ISNUMBER(SEARCH("NS",MAIN!K42)), "NS",
                IF(ISNUMBER(SEARCH("NC",MAIN!K42)), "NC",
                IF(ISNUMBER(SEARCH("DQ",MAIN!K42)), "DQ",
                IF(ISNUMBER(SEARCH("A",MAIN!K42)), 0,
                IF(OR(MAIN!K42=0,MAIN!K42=""), 0, --TRIM(MAIN!K42)))))))))))),
            0
        )
    ),
    IFERROR(
        UPPER(
            IF(MAX(IFERROR(SEARCH("WD",MAIN!G42:J42), 0))&gt;0, "WD",
            IF(MAX(IFERROR(SEARCH("NS",MAIN!G42:J42), 0))&gt;0, "NS",
            IF(MAX(IFERROR(SEARCH("NC",MAIN!G42:J42), 0))&gt;0, "NC",
            IF(MAX(IFERROR(SEARCH("DQ",MAIN!G42:J42), 0))&gt;0, "DQ",
            IF(ISNUMBER(SEARCH("WD",MAIN!K42)), "WD",
            IF(ISNUMBER(SEARCH("NS",MAIN!K42)), "NS",
            IF(ISNUMBER(SEARCH("NC",MAIN!K42)), "NC",
            IF(ISNUMBER(SEARCH("DQ",MAIN!K42)), "DQ",
            IF(ISNUMBER(SEARCH("A",MAIN!K42)), 0,
            IF(OR(MAIN!K42=0,MAIN!K42=""), 0, --TRIM(MAIN!K42)))))))))))),
        0
    )
)</f>
        <v>0</v>
      </c>
    </row>
    <row r="43" spans="1:11" x14ac:dyDescent="0.25">
      <c r="A43" t="str">
        <f>IF(ISBLANK(MAIN!A43), "--", IFERROR(PROPER(SUBSTITUTE(SUBSTITUTE(SUBSTITUTE(SUBSTITUTE(SUBSTITUTE(SUBSTITUTE(SUBSTITUTE(SUBSTITUTE(SUBSTITUTE(SUBSTITUTE(LEFT(MAIN!A43, FIND(",",MAIN!A43) -1), "0", ""), "1", ""), "2", ""), "3", ""), "4", ""), "5", ""), "6", ""), "7", ""), "8", ""), "9", "")), PROPER(SUBSTITUTE(SUBSTITUTE(SUBSTITUTE(SUBSTITUTE(SUBSTITUTE(SUBSTITUTE(SUBSTITUTE(SUBSTITUTE(SUBSTITUTE(SUBSTITUTE(MAIN!A43, "0", ""), "1", ""), "2", ""), "3", ""), "4", ""), "5", ""), "6", ""), "7", ""), "8", ""), "9", ""))))</f>
        <v>--</v>
      </c>
      <c r="B43" t="str">
        <f>IF(ISBLANK(MAIN!B43), "--", IFERROR(PROPER(SUBSTITUTE(SUBSTITUTE(SUBSTITUTE(SUBSTITUTE(SUBSTITUTE(SUBSTITUTE(SUBSTITUTE(SUBSTITUTE(SUBSTITUTE(SUBSTITUTE(LEFT(MAIN!B43, FIND(",",MAIN!B43) -1), "0", ""), "1", ""), "2", ""), "3", ""), "4", ""), "5", ""), "6", ""), "7", ""), "8", ""), "9", "")), PROPER(SUBSTITUTE(SUBSTITUTE(SUBSTITUTE(SUBSTITUTE(SUBSTITUTE(SUBSTITUTE(SUBSTITUTE(SUBSTITUTE(SUBSTITUTE(SUBSTITUTE(MAIN!B43, "0", ""), "1", ""), "2", ""), "3", ""), "4", ""), "5", ""), "6", ""), "7", ""), "8", ""), "9", ""))))</f>
        <v>--</v>
      </c>
      <c r="C43" t="str">
        <f>IF(ISBLANK(MAIN!C43), "--", IFERROR(PROPER(SUBSTITUTE(SUBSTITUTE(SUBSTITUTE(SUBSTITUTE(SUBSTITUTE(SUBSTITUTE(SUBSTITUTE(SUBSTITUTE(SUBSTITUTE(SUBSTITUTE(LEFT(MAIN!C43, FIND(",",MAIN!C43) -1), "0", ""), "1", ""), "2", ""), "3", ""), "4", ""), "5", ""), "6", ""), "7", ""), "8", ""), "9", "")), PROPER(SUBSTITUTE(SUBSTITUTE(SUBSTITUTE(SUBSTITUTE(SUBSTITUTE(SUBSTITUTE(SUBSTITUTE(SUBSTITUTE(SUBSTITUTE(SUBSTITUTE(MAIN!C43, "0", ""), "1", ""), "2", ""), "3", ""), "4", ""), "5", ""), "6", ""), "7", ""), "8", ""), "9", ""))))</f>
        <v>--</v>
      </c>
      <c r="D43" t="str">
        <f>IF(ISBLANK(MAIN!D43), "--", IF(ISNUMBER(MATCH(SUBSTITUTE(LEFT(MAIN!D43, IFERROR(FIND(",", MAIN!D43)-1, LEN(MAIN!D43))), " ", ""), lookup_values!$B$2:$B$51, 0)), UPPER(SUBSTITUTE(LEFT(MAIN!D43, IFERROR(FIND(",", MAIN!D43)-1, LEN(MAIN!D43))), " ", "")), IF(ISNA(VLOOKUP(SUBSTITUTE(LEFT(MAIN!D43, IFERROR(FIND(",", MAIN!D43)-1, LEN(MAIN!D43))), " ", ""), lookup_values!$A$2:$B$51, 2, FALSE)), "--", VLOOKUP(SUBSTITUTE(LEFT(MAIN!D43, IFERROR(FIND(",", MAIN!D43)-1, LEN(MAIN!D43))), " ", ""), lookup_values!$A$2:$B$51, 2, FALSE))))</f>
        <v>--</v>
      </c>
      <c r="E43" t="str">
        <f>IF(CLEAN_DATA!D43&lt;&gt;"--","US",IF(ISBLANK(MAIN!E43), "--", IF(ISNUMBER(MATCH(SUBSTITUTE(LEFT(MAIN!E43, IFERROR(FIND(",", MAIN!E43)-1, LEN(MAIN!E43))), " ", ""), lookup_values!$E$2:$E$197, 0)), UPPER(SUBSTITUTE(LEFT(MAIN!E43, IFERROR(FIND(",", MAIN!E43)-1, LEN(MAIN!E43))), " ", "")), IF(ISNA(VLOOKUP(SUBSTITUTE(LEFT(MAIN!E43, IFERROR(FIND(",", MAIN!E43)-1, LEN(MAIN!E43))), " ", ""), lookup_values!$D$2:$E$197, 2, FALSE)), "--", VLOOKUP(SUBSTITUTE(LEFT(MAIN!E43, IFERROR(FIND(",", MAIN!E43)-1, LEN(MAIN!E43))), " ", ""), lookup_values!$D$2:$E$197, 2, FALSE)))))</f>
        <v>--</v>
      </c>
      <c r="F43" t="str">
        <f>IF(ISBLANK(MAIN!F43), "", IF(AND(ISNUMBER(VALUE(TRIM(MAIN!F43))), LEN(TRIM(MAIN!F43))=4), VALUE(TRIM(MAIN!F43)), ""))</f>
        <v/>
      </c>
      <c r="G43">
        <f>IF(ISBLANK(MAIN!G43), 0, IF(ISNUMBER(VALUE(TRIM(MAIN!G43))), VALUE(TRIM(MAIN!G43)), 0))</f>
        <v>0</v>
      </c>
      <c r="H43">
        <f>IF(ISBLANK(MAIN!H43), 0, IF(ISNUMBER(VALUE(TRIM(MAIN!H43))), VALUE(TRIM(MAIN!H43)), 0))</f>
        <v>0</v>
      </c>
      <c r="I43">
        <f>IF(ISBLANK(MAIN!I43), 0, IF(ISNUMBER(VALUE(TRIM(MAIN!I43))), VALUE(TRIM(MAIN!I43)), 0))</f>
        <v>0</v>
      </c>
      <c r="J43">
        <f>IF(ISBLANK(MAIN!J43), 0, IF(ISNUMBER(VALUE(TRIM(MAIN!J43))), VALUE(TRIM(MAIN!J43)), 0))</f>
        <v>0</v>
      </c>
      <c r="K43" cm="1">
        <f t="array" ref="K43">IFERROR(
    VALUE(
        IFERROR(
            UPPER(
                IF(MAX(IFERROR(SEARCH("WD",MAIN!G43:J43), 0))&gt;0, "WD",
                IF(MAX(IFERROR(SEARCH("NS",MAIN!G43:J43), 0))&gt;0, "NS",
                IF(MAX(IFERROR(SEARCH("NC",MAIN!G43:J43), 0))&gt;0, "NC",
                IF(MAX(IFERROR(SEARCH("DQ",MAIN!G43:J43), 0))&gt;0, "DQ",
                IF(ISNUMBER(SEARCH("WD",MAIN!K43)), "WD",
                IF(ISNUMBER(SEARCH("NS",MAIN!K43)), "NS",
                IF(ISNUMBER(SEARCH("NC",MAIN!K43)), "NC",
                IF(ISNUMBER(SEARCH("DQ",MAIN!K43)), "DQ",
                IF(ISNUMBER(SEARCH("A",MAIN!K43)), 0,
                IF(OR(MAIN!K43=0,MAIN!K43=""), 0, --TRIM(MAIN!K43)))))))))))),
            0
        )
    ),
    IFERROR(
        UPPER(
            IF(MAX(IFERROR(SEARCH("WD",MAIN!G43:J43), 0))&gt;0, "WD",
            IF(MAX(IFERROR(SEARCH("NS",MAIN!G43:J43), 0))&gt;0, "NS",
            IF(MAX(IFERROR(SEARCH("NC",MAIN!G43:J43), 0))&gt;0, "NC",
            IF(MAX(IFERROR(SEARCH("DQ",MAIN!G43:J43), 0))&gt;0, "DQ",
            IF(ISNUMBER(SEARCH("WD",MAIN!K43)), "WD",
            IF(ISNUMBER(SEARCH("NS",MAIN!K43)), "NS",
            IF(ISNUMBER(SEARCH("NC",MAIN!K43)), "NC",
            IF(ISNUMBER(SEARCH("DQ",MAIN!K43)), "DQ",
            IF(ISNUMBER(SEARCH("A",MAIN!K43)), 0,
            IF(OR(MAIN!K43=0,MAIN!K43=""), 0, --TRIM(MAIN!K43)))))))))))),
        0
    )
)</f>
        <v>0</v>
      </c>
    </row>
    <row r="44" spans="1:11" x14ac:dyDescent="0.25">
      <c r="A44" t="str">
        <f>IF(ISBLANK(MAIN!A44), "--", IFERROR(PROPER(SUBSTITUTE(SUBSTITUTE(SUBSTITUTE(SUBSTITUTE(SUBSTITUTE(SUBSTITUTE(SUBSTITUTE(SUBSTITUTE(SUBSTITUTE(SUBSTITUTE(LEFT(MAIN!A44, FIND(",",MAIN!A44) -1), "0", ""), "1", ""), "2", ""), "3", ""), "4", ""), "5", ""), "6", ""), "7", ""), "8", ""), "9", "")), PROPER(SUBSTITUTE(SUBSTITUTE(SUBSTITUTE(SUBSTITUTE(SUBSTITUTE(SUBSTITUTE(SUBSTITUTE(SUBSTITUTE(SUBSTITUTE(SUBSTITUTE(MAIN!A44, "0", ""), "1", ""), "2", ""), "3", ""), "4", ""), "5", ""), "6", ""), "7", ""), "8", ""), "9", ""))))</f>
        <v>--</v>
      </c>
      <c r="B44" t="str">
        <f>IF(ISBLANK(MAIN!B44), "--", IFERROR(PROPER(SUBSTITUTE(SUBSTITUTE(SUBSTITUTE(SUBSTITUTE(SUBSTITUTE(SUBSTITUTE(SUBSTITUTE(SUBSTITUTE(SUBSTITUTE(SUBSTITUTE(LEFT(MAIN!B44, FIND(",",MAIN!B44) -1), "0", ""), "1", ""), "2", ""), "3", ""), "4", ""), "5", ""), "6", ""), "7", ""), "8", ""), "9", "")), PROPER(SUBSTITUTE(SUBSTITUTE(SUBSTITUTE(SUBSTITUTE(SUBSTITUTE(SUBSTITUTE(SUBSTITUTE(SUBSTITUTE(SUBSTITUTE(SUBSTITUTE(MAIN!B44, "0", ""), "1", ""), "2", ""), "3", ""), "4", ""), "5", ""), "6", ""), "7", ""), "8", ""), "9", ""))))</f>
        <v>--</v>
      </c>
      <c r="C44" t="str">
        <f>IF(ISBLANK(MAIN!C44), "--", IFERROR(PROPER(SUBSTITUTE(SUBSTITUTE(SUBSTITUTE(SUBSTITUTE(SUBSTITUTE(SUBSTITUTE(SUBSTITUTE(SUBSTITUTE(SUBSTITUTE(SUBSTITUTE(LEFT(MAIN!C44, FIND(",",MAIN!C44) -1), "0", ""), "1", ""), "2", ""), "3", ""), "4", ""), "5", ""), "6", ""), "7", ""), "8", ""), "9", "")), PROPER(SUBSTITUTE(SUBSTITUTE(SUBSTITUTE(SUBSTITUTE(SUBSTITUTE(SUBSTITUTE(SUBSTITUTE(SUBSTITUTE(SUBSTITUTE(SUBSTITUTE(MAIN!C44, "0", ""), "1", ""), "2", ""), "3", ""), "4", ""), "5", ""), "6", ""), "7", ""), "8", ""), "9", ""))))</f>
        <v>--</v>
      </c>
      <c r="D44" t="str">
        <f>IF(ISBLANK(MAIN!D44), "--", IF(ISNUMBER(MATCH(SUBSTITUTE(LEFT(MAIN!D44, IFERROR(FIND(",", MAIN!D44)-1, LEN(MAIN!D44))), " ", ""), lookup_values!$B$2:$B$51, 0)), UPPER(SUBSTITUTE(LEFT(MAIN!D44, IFERROR(FIND(",", MAIN!D44)-1, LEN(MAIN!D44))), " ", "")), IF(ISNA(VLOOKUP(SUBSTITUTE(LEFT(MAIN!D44, IFERROR(FIND(",", MAIN!D44)-1, LEN(MAIN!D44))), " ", ""), lookup_values!$A$2:$B$51, 2, FALSE)), "--", VLOOKUP(SUBSTITUTE(LEFT(MAIN!D44, IFERROR(FIND(",", MAIN!D44)-1, LEN(MAIN!D44))), " ", ""), lookup_values!$A$2:$B$51, 2, FALSE))))</f>
        <v>--</v>
      </c>
      <c r="E44" t="str">
        <f>IF(CLEAN_DATA!D44&lt;&gt;"--","US",IF(ISBLANK(MAIN!E44), "--", IF(ISNUMBER(MATCH(SUBSTITUTE(LEFT(MAIN!E44, IFERROR(FIND(",", MAIN!E44)-1, LEN(MAIN!E44))), " ", ""), lookup_values!$E$2:$E$197, 0)), UPPER(SUBSTITUTE(LEFT(MAIN!E44, IFERROR(FIND(",", MAIN!E44)-1, LEN(MAIN!E44))), " ", "")), IF(ISNA(VLOOKUP(SUBSTITUTE(LEFT(MAIN!E44, IFERROR(FIND(",", MAIN!E44)-1, LEN(MAIN!E44))), " ", ""), lookup_values!$D$2:$E$197, 2, FALSE)), "--", VLOOKUP(SUBSTITUTE(LEFT(MAIN!E44, IFERROR(FIND(",", MAIN!E44)-1, LEN(MAIN!E44))), " ", ""), lookup_values!$D$2:$E$197, 2, FALSE)))))</f>
        <v>--</v>
      </c>
      <c r="F44" t="str">
        <f>IF(ISBLANK(MAIN!F44), "", IF(AND(ISNUMBER(VALUE(TRIM(MAIN!F44))), LEN(TRIM(MAIN!F44))=4), VALUE(TRIM(MAIN!F44)), ""))</f>
        <v/>
      </c>
      <c r="G44">
        <f>IF(ISBLANK(MAIN!G44), 0, IF(ISNUMBER(VALUE(TRIM(MAIN!G44))), VALUE(TRIM(MAIN!G44)), 0))</f>
        <v>0</v>
      </c>
      <c r="H44">
        <f>IF(ISBLANK(MAIN!H44), 0, IF(ISNUMBER(VALUE(TRIM(MAIN!H44))), VALUE(TRIM(MAIN!H44)), 0))</f>
        <v>0</v>
      </c>
      <c r="I44">
        <f>IF(ISBLANK(MAIN!I44), 0, IF(ISNUMBER(VALUE(TRIM(MAIN!I44))), VALUE(TRIM(MAIN!I44)), 0))</f>
        <v>0</v>
      </c>
      <c r="J44">
        <f>IF(ISBLANK(MAIN!J44), 0, IF(ISNUMBER(VALUE(TRIM(MAIN!J44))), VALUE(TRIM(MAIN!J44)), 0))</f>
        <v>0</v>
      </c>
      <c r="K44" cm="1">
        <f t="array" ref="K44">IFERROR(
    VALUE(
        IFERROR(
            UPPER(
                IF(MAX(IFERROR(SEARCH("WD",MAIN!G44:J44), 0))&gt;0, "WD",
                IF(MAX(IFERROR(SEARCH("NS",MAIN!G44:J44), 0))&gt;0, "NS",
                IF(MAX(IFERROR(SEARCH("NC",MAIN!G44:J44), 0))&gt;0, "NC",
                IF(MAX(IFERROR(SEARCH("DQ",MAIN!G44:J44), 0))&gt;0, "DQ",
                IF(ISNUMBER(SEARCH("WD",MAIN!K44)), "WD",
                IF(ISNUMBER(SEARCH("NS",MAIN!K44)), "NS",
                IF(ISNUMBER(SEARCH("NC",MAIN!K44)), "NC",
                IF(ISNUMBER(SEARCH("DQ",MAIN!K44)), "DQ",
                IF(ISNUMBER(SEARCH("A",MAIN!K44)), 0,
                IF(OR(MAIN!K44=0,MAIN!K44=""), 0, --TRIM(MAIN!K44)))))))))))),
            0
        )
    ),
    IFERROR(
        UPPER(
            IF(MAX(IFERROR(SEARCH("WD",MAIN!G44:J44), 0))&gt;0, "WD",
            IF(MAX(IFERROR(SEARCH("NS",MAIN!G44:J44), 0))&gt;0, "NS",
            IF(MAX(IFERROR(SEARCH("NC",MAIN!G44:J44), 0))&gt;0, "NC",
            IF(MAX(IFERROR(SEARCH("DQ",MAIN!G44:J44), 0))&gt;0, "DQ",
            IF(ISNUMBER(SEARCH("WD",MAIN!K44)), "WD",
            IF(ISNUMBER(SEARCH("NS",MAIN!K44)), "NS",
            IF(ISNUMBER(SEARCH("NC",MAIN!K44)), "NC",
            IF(ISNUMBER(SEARCH("DQ",MAIN!K44)), "DQ",
            IF(ISNUMBER(SEARCH("A",MAIN!K44)), 0,
            IF(OR(MAIN!K44=0,MAIN!K44=""), 0, --TRIM(MAIN!K44)))))))))))),
        0
    )
)</f>
        <v>0</v>
      </c>
    </row>
    <row r="45" spans="1:11" x14ac:dyDescent="0.25">
      <c r="A45" t="str">
        <f>IF(ISBLANK(MAIN!A45), "--", IFERROR(PROPER(SUBSTITUTE(SUBSTITUTE(SUBSTITUTE(SUBSTITUTE(SUBSTITUTE(SUBSTITUTE(SUBSTITUTE(SUBSTITUTE(SUBSTITUTE(SUBSTITUTE(LEFT(MAIN!A45, FIND(",",MAIN!A45) -1), "0", ""), "1", ""), "2", ""), "3", ""), "4", ""), "5", ""), "6", ""), "7", ""), "8", ""), "9", "")), PROPER(SUBSTITUTE(SUBSTITUTE(SUBSTITUTE(SUBSTITUTE(SUBSTITUTE(SUBSTITUTE(SUBSTITUTE(SUBSTITUTE(SUBSTITUTE(SUBSTITUTE(MAIN!A45, "0", ""), "1", ""), "2", ""), "3", ""), "4", ""), "5", ""), "6", ""), "7", ""), "8", ""), "9", ""))))</f>
        <v>--</v>
      </c>
      <c r="B45" t="str">
        <f>IF(ISBLANK(MAIN!B45), "--", IFERROR(PROPER(SUBSTITUTE(SUBSTITUTE(SUBSTITUTE(SUBSTITUTE(SUBSTITUTE(SUBSTITUTE(SUBSTITUTE(SUBSTITUTE(SUBSTITUTE(SUBSTITUTE(LEFT(MAIN!B45, FIND(",",MAIN!B45) -1), "0", ""), "1", ""), "2", ""), "3", ""), "4", ""), "5", ""), "6", ""), "7", ""), "8", ""), "9", "")), PROPER(SUBSTITUTE(SUBSTITUTE(SUBSTITUTE(SUBSTITUTE(SUBSTITUTE(SUBSTITUTE(SUBSTITUTE(SUBSTITUTE(SUBSTITUTE(SUBSTITUTE(MAIN!B45, "0", ""), "1", ""), "2", ""), "3", ""), "4", ""), "5", ""), "6", ""), "7", ""), "8", ""), "9", ""))))</f>
        <v>--</v>
      </c>
      <c r="C45" t="str">
        <f>IF(ISBLANK(MAIN!C45), "--", IFERROR(PROPER(SUBSTITUTE(SUBSTITUTE(SUBSTITUTE(SUBSTITUTE(SUBSTITUTE(SUBSTITUTE(SUBSTITUTE(SUBSTITUTE(SUBSTITUTE(SUBSTITUTE(LEFT(MAIN!C45, FIND(",",MAIN!C45) -1), "0", ""), "1", ""), "2", ""), "3", ""), "4", ""), "5", ""), "6", ""), "7", ""), "8", ""), "9", "")), PROPER(SUBSTITUTE(SUBSTITUTE(SUBSTITUTE(SUBSTITUTE(SUBSTITUTE(SUBSTITUTE(SUBSTITUTE(SUBSTITUTE(SUBSTITUTE(SUBSTITUTE(MAIN!C45, "0", ""), "1", ""), "2", ""), "3", ""), "4", ""), "5", ""), "6", ""), "7", ""), "8", ""), "9", ""))))</f>
        <v>--</v>
      </c>
      <c r="D45" t="str">
        <f>IF(ISBLANK(MAIN!D45), "--", IF(ISNUMBER(MATCH(SUBSTITUTE(LEFT(MAIN!D45, IFERROR(FIND(",", MAIN!D45)-1, LEN(MAIN!D45))), " ", ""), lookup_values!$B$2:$B$51, 0)), UPPER(SUBSTITUTE(LEFT(MAIN!D45, IFERROR(FIND(",", MAIN!D45)-1, LEN(MAIN!D45))), " ", "")), IF(ISNA(VLOOKUP(SUBSTITUTE(LEFT(MAIN!D45, IFERROR(FIND(",", MAIN!D45)-1, LEN(MAIN!D45))), " ", ""), lookup_values!$A$2:$B$51, 2, FALSE)), "--", VLOOKUP(SUBSTITUTE(LEFT(MAIN!D45, IFERROR(FIND(",", MAIN!D45)-1, LEN(MAIN!D45))), " ", ""), lookup_values!$A$2:$B$51, 2, FALSE))))</f>
        <v>--</v>
      </c>
      <c r="E45" t="str">
        <f>IF(CLEAN_DATA!D45&lt;&gt;"--","US",IF(ISBLANK(MAIN!E45), "--", IF(ISNUMBER(MATCH(SUBSTITUTE(LEFT(MAIN!E45, IFERROR(FIND(",", MAIN!E45)-1, LEN(MAIN!E45))), " ", ""), lookup_values!$E$2:$E$197, 0)), UPPER(SUBSTITUTE(LEFT(MAIN!E45, IFERROR(FIND(",", MAIN!E45)-1, LEN(MAIN!E45))), " ", "")), IF(ISNA(VLOOKUP(SUBSTITUTE(LEFT(MAIN!E45, IFERROR(FIND(",", MAIN!E45)-1, LEN(MAIN!E45))), " ", ""), lookup_values!$D$2:$E$197, 2, FALSE)), "--", VLOOKUP(SUBSTITUTE(LEFT(MAIN!E45, IFERROR(FIND(",", MAIN!E45)-1, LEN(MAIN!E45))), " ", ""), lookup_values!$D$2:$E$197, 2, FALSE)))))</f>
        <v>--</v>
      </c>
      <c r="F45" t="str">
        <f>IF(ISBLANK(MAIN!F45), "", IF(AND(ISNUMBER(VALUE(TRIM(MAIN!F45))), LEN(TRIM(MAIN!F45))=4), VALUE(TRIM(MAIN!F45)), ""))</f>
        <v/>
      </c>
      <c r="G45">
        <f>IF(ISBLANK(MAIN!G45), 0, IF(ISNUMBER(VALUE(TRIM(MAIN!G45))), VALUE(TRIM(MAIN!G45)), 0))</f>
        <v>0</v>
      </c>
      <c r="H45">
        <f>IF(ISBLANK(MAIN!H45), 0, IF(ISNUMBER(VALUE(TRIM(MAIN!H45))), VALUE(TRIM(MAIN!H45)), 0))</f>
        <v>0</v>
      </c>
      <c r="I45">
        <f>IF(ISBLANK(MAIN!I45), 0, IF(ISNUMBER(VALUE(TRIM(MAIN!I45))), VALUE(TRIM(MAIN!I45)), 0))</f>
        <v>0</v>
      </c>
      <c r="J45">
        <f>IF(ISBLANK(MAIN!J45), 0, IF(ISNUMBER(VALUE(TRIM(MAIN!J45))), VALUE(TRIM(MAIN!J45)), 0))</f>
        <v>0</v>
      </c>
      <c r="K45" cm="1">
        <f t="array" ref="K45">IFERROR(
    VALUE(
        IFERROR(
            UPPER(
                IF(MAX(IFERROR(SEARCH("WD",MAIN!G45:J45), 0))&gt;0, "WD",
                IF(MAX(IFERROR(SEARCH("NS",MAIN!G45:J45), 0))&gt;0, "NS",
                IF(MAX(IFERROR(SEARCH("NC",MAIN!G45:J45), 0))&gt;0, "NC",
                IF(MAX(IFERROR(SEARCH("DQ",MAIN!G45:J45), 0))&gt;0, "DQ",
                IF(ISNUMBER(SEARCH("WD",MAIN!K45)), "WD",
                IF(ISNUMBER(SEARCH("NS",MAIN!K45)), "NS",
                IF(ISNUMBER(SEARCH("NC",MAIN!K45)), "NC",
                IF(ISNUMBER(SEARCH("DQ",MAIN!K45)), "DQ",
                IF(ISNUMBER(SEARCH("A",MAIN!K45)), 0,
                IF(OR(MAIN!K45=0,MAIN!K45=""), 0, --TRIM(MAIN!K45)))))))))))),
            0
        )
    ),
    IFERROR(
        UPPER(
            IF(MAX(IFERROR(SEARCH("WD",MAIN!G45:J45), 0))&gt;0, "WD",
            IF(MAX(IFERROR(SEARCH("NS",MAIN!G45:J45), 0))&gt;0, "NS",
            IF(MAX(IFERROR(SEARCH("NC",MAIN!G45:J45), 0))&gt;0, "NC",
            IF(MAX(IFERROR(SEARCH("DQ",MAIN!G45:J45), 0))&gt;0, "DQ",
            IF(ISNUMBER(SEARCH("WD",MAIN!K45)), "WD",
            IF(ISNUMBER(SEARCH("NS",MAIN!K45)), "NS",
            IF(ISNUMBER(SEARCH("NC",MAIN!K45)), "NC",
            IF(ISNUMBER(SEARCH("DQ",MAIN!K45)), "DQ",
            IF(ISNUMBER(SEARCH("A",MAIN!K45)), 0,
            IF(OR(MAIN!K45=0,MAIN!K45=""), 0, --TRIM(MAIN!K45)))))))))))),
        0
    )
)</f>
        <v>0</v>
      </c>
    </row>
    <row r="46" spans="1:11" x14ac:dyDescent="0.25">
      <c r="A46" t="str">
        <f>IF(ISBLANK(MAIN!A46), "--", IFERROR(PROPER(SUBSTITUTE(SUBSTITUTE(SUBSTITUTE(SUBSTITUTE(SUBSTITUTE(SUBSTITUTE(SUBSTITUTE(SUBSTITUTE(SUBSTITUTE(SUBSTITUTE(LEFT(MAIN!A46, FIND(",",MAIN!A46) -1), "0", ""), "1", ""), "2", ""), "3", ""), "4", ""), "5", ""), "6", ""), "7", ""), "8", ""), "9", "")), PROPER(SUBSTITUTE(SUBSTITUTE(SUBSTITUTE(SUBSTITUTE(SUBSTITUTE(SUBSTITUTE(SUBSTITUTE(SUBSTITUTE(SUBSTITUTE(SUBSTITUTE(MAIN!A46, "0", ""), "1", ""), "2", ""), "3", ""), "4", ""), "5", ""), "6", ""), "7", ""), "8", ""), "9", ""))))</f>
        <v>--</v>
      </c>
      <c r="B46" t="str">
        <f>IF(ISBLANK(MAIN!B46), "--", IFERROR(PROPER(SUBSTITUTE(SUBSTITUTE(SUBSTITUTE(SUBSTITUTE(SUBSTITUTE(SUBSTITUTE(SUBSTITUTE(SUBSTITUTE(SUBSTITUTE(SUBSTITUTE(LEFT(MAIN!B46, FIND(",",MAIN!B46) -1), "0", ""), "1", ""), "2", ""), "3", ""), "4", ""), "5", ""), "6", ""), "7", ""), "8", ""), "9", "")), PROPER(SUBSTITUTE(SUBSTITUTE(SUBSTITUTE(SUBSTITUTE(SUBSTITUTE(SUBSTITUTE(SUBSTITUTE(SUBSTITUTE(SUBSTITUTE(SUBSTITUTE(MAIN!B46, "0", ""), "1", ""), "2", ""), "3", ""), "4", ""), "5", ""), "6", ""), "7", ""), "8", ""), "9", ""))))</f>
        <v>--</v>
      </c>
      <c r="C46" t="str">
        <f>IF(ISBLANK(MAIN!C46), "--", IFERROR(PROPER(SUBSTITUTE(SUBSTITUTE(SUBSTITUTE(SUBSTITUTE(SUBSTITUTE(SUBSTITUTE(SUBSTITUTE(SUBSTITUTE(SUBSTITUTE(SUBSTITUTE(LEFT(MAIN!C46, FIND(",",MAIN!C46) -1), "0", ""), "1", ""), "2", ""), "3", ""), "4", ""), "5", ""), "6", ""), "7", ""), "8", ""), "9", "")), PROPER(SUBSTITUTE(SUBSTITUTE(SUBSTITUTE(SUBSTITUTE(SUBSTITUTE(SUBSTITUTE(SUBSTITUTE(SUBSTITUTE(SUBSTITUTE(SUBSTITUTE(MAIN!C46, "0", ""), "1", ""), "2", ""), "3", ""), "4", ""), "5", ""), "6", ""), "7", ""), "8", ""), "9", ""))))</f>
        <v>--</v>
      </c>
      <c r="D46" t="str">
        <f>IF(ISBLANK(MAIN!D46), "--", IF(ISNUMBER(MATCH(SUBSTITUTE(LEFT(MAIN!D46, IFERROR(FIND(",", MAIN!D46)-1, LEN(MAIN!D46))), " ", ""), lookup_values!$B$2:$B$51, 0)), UPPER(SUBSTITUTE(LEFT(MAIN!D46, IFERROR(FIND(",", MAIN!D46)-1, LEN(MAIN!D46))), " ", "")), IF(ISNA(VLOOKUP(SUBSTITUTE(LEFT(MAIN!D46, IFERROR(FIND(",", MAIN!D46)-1, LEN(MAIN!D46))), " ", ""), lookup_values!$A$2:$B$51, 2, FALSE)), "--", VLOOKUP(SUBSTITUTE(LEFT(MAIN!D46, IFERROR(FIND(",", MAIN!D46)-1, LEN(MAIN!D46))), " ", ""), lookup_values!$A$2:$B$51, 2, FALSE))))</f>
        <v>--</v>
      </c>
      <c r="E46" t="str">
        <f>IF(CLEAN_DATA!D46&lt;&gt;"--","US",IF(ISBLANK(MAIN!E46), "--", IF(ISNUMBER(MATCH(SUBSTITUTE(LEFT(MAIN!E46, IFERROR(FIND(",", MAIN!E46)-1, LEN(MAIN!E46))), " ", ""), lookup_values!$E$2:$E$197, 0)), UPPER(SUBSTITUTE(LEFT(MAIN!E46, IFERROR(FIND(",", MAIN!E46)-1, LEN(MAIN!E46))), " ", "")), IF(ISNA(VLOOKUP(SUBSTITUTE(LEFT(MAIN!E46, IFERROR(FIND(",", MAIN!E46)-1, LEN(MAIN!E46))), " ", ""), lookup_values!$D$2:$E$197, 2, FALSE)), "--", VLOOKUP(SUBSTITUTE(LEFT(MAIN!E46, IFERROR(FIND(",", MAIN!E46)-1, LEN(MAIN!E46))), " ", ""), lookup_values!$D$2:$E$197, 2, FALSE)))))</f>
        <v>--</v>
      </c>
      <c r="F46" t="str">
        <f>IF(ISBLANK(MAIN!F46), "", IF(AND(ISNUMBER(VALUE(TRIM(MAIN!F46))), LEN(TRIM(MAIN!F46))=4), VALUE(TRIM(MAIN!F46)), ""))</f>
        <v/>
      </c>
      <c r="G46">
        <f>IF(ISBLANK(MAIN!G46), 0, IF(ISNUMBER(VALUE(TRIM(MAIN!G46))), VALUE(TRIM(MAIN!G46)), 0))</f>
        <v>0</v>
      </c>
      <c r="H46">
        <f>IF(ISBLANK(MAIN!H46), 0, IF(ISNUMBER(VALUE(TRIM(MAIN!H46))), VALUE(TRIM(MAIN!H46)), 0))</f>
        <v>0</v>
      </c>
      <c r="I46">
        <f>IF(ISBLANK(MAIN!I46), 0, IF(ISNUMBER(VALUE(TRIM(MAIN!I46))), VALUE(TRIM(MAIN!I46)), 0))</f>
        <v>0</v>
      </c>
      <c r="J46">
        <f>IF(ISBLANK(MAIN!J46), 0, IF(ISNUMBER(VALUE(TRIM(MAIN!J46))), VALUE(TRIM(MAIN!J46)), 0))</f>
        <v>0</v>
      </c>
      <c r="K46" cm="1">
        <f t="array" ref="K46">IFERROR(
    VALUE(
        IFERROR(
            UPPER(
                IF(MAX(IFERROR(SEARCH("WD",MAIN!G46:J46), 0))&gt;0, "WD",
                IF(MAX(IFERROR(SEARCH("NS",MAIN!G46:J46), 0))&gt;0, "NS",
                IF(MAX(IFERROR(SEARCH("NC",MAIN!G46:J46), 0))&gt;0, "NC",
                IF(MAX(IFERROR(SEARCH("DQ",MAIN!G46:J46), 0))&gt;0, "DQ",
                IF(ISNUMBER(SEARCH("WD",MAIN!K46)), "WD",
                IF(ISNUMBER(SEARCH("NS",MAIN!K46)), "NS",
                IF(ISNUMBER(SEARCH("NC",MAIN!K46)), "NC",
                IF(ISNUMBER(SEARCH("DQ",MAIN!K46)), "DQ",
                IF(ISNUMBER(SEARCH("A",MAIN!K46)), 0,
                IF(OR(MAIN!K46=0,MAIN!K46=""), 0, --TRIM(MAIN!K46)))))))))))),
            0
        )
    ),
    IFERROR(
        UPPER(
            IF(MAX(IFERROR(SEARCH("WD",MAIN!G46:J46), 0))&gt;0, "WD",
            IF(MAX(IFERROR(SEARCH("NS",MAIN!G46:J46), 0))&gt;0, "NS",
            IF(MAX(IFERROR(SEARCH("NC",MAIN!G46:J46), 0))&gt;0, "NC",
            IF(MAX(IFERROR(SEARCH("DQ",MAIN!G46:J46), 0))&gt;0, "DQ",
            IF(ISNUMBER(SEARCH("WD",MAIN!K46)), "WD",
            IF(ISNUMBER(SEARCH("NS",MAIN!K46)), "NS",
            IF(ISNUMBER(SEARCH("NC",MAIN!K46)), "NC",
            IF(ISNUMBER(SEARCH("DQ",MAIN!K46)), "DQ",
            IF(ISNUMBER(SEARCH("A",MAIN!K46)), 0,
            IF(OR(MAIN!K46=0,MAIN!K46=""), 0, --TRIM(MAIN!K46)))))))))))),
        0
    )
)</f>
        <v>0</v>
      </c>
    </row>
    <row r="47" spans="1:11" x14ac:dyDescent="0.25">
      <c r="A47" t="str">
        <f>IF(ISBLANK(MAIN!A47), "--", IFERROR(PROPER(SUBSTITUTE(SUBSTITUTE(SUBSTITUTE(SUBSTITUTE(SUBSTITUTE(SUBSTITUTE(SUBSTITUTE(SUBSTITUTE(SUBSTITUTE(SUBSTITUTE(LEFT(MAIN!A47, FIND(",",MAIN!A47) -1), "0", ""), "1", ""), "2", ""), "3", ""), "4", ""), "5", ""), "6", ""), "7", ""), "8", ""), "9", "")), PROPER(SUBSTITUTE(SUBSTITUTE(SUBSTITUTE(SUBSTITUTE(SUBSTITUTE(SUBSTITUTE(SUBSTITUTE(SUBSTITUTE(SUBSTITUTE(SUBSTITUTE(MAIN!A47, "0", ""), "1", ""), "2", ""), "3", ""), "4", ""), "5", ""), "6", ""), "7", ""), "8", ""), "9", ""))))</f>
        <v>--</v>
      </c>
      <c r="B47" t="str">
        <f>IF(ISBLANK(MAIN!B47), "--", IFERROR(PROPER(SUBSTITUTE(SUBSTITUTE(SUBSTITUTE(SUBSTITUTE(SUBSTITUTE(SUBSTITUTE(SUBSTITUTE(SUBSTITUTE(SUBSTITUTE(SUBSTITUTE(LEFT(MAIN!B47, FIND(",",MAIN!B47) -1), "0", ""), "1", ""), "2", ""), "3", ""), "4", ""), "5", ""), "6", ""), "7", ""), "8", ""), "9", "")), PROPER(SUBSTITUTE(SUBSTITUTE(SUBSTITUTE(SUBSTITUTE(SUBSTITUTE(SUBSTITUTE(SUBSTITUTE(SUBSTITUTE(SUBSTITUTE(SUBSTITUTE(MAIN!B47, "0", ""), "1", ""), "2", ""), "3", ""), "4", ""), "5", ""), "6", ""), "7", ""), "8", ""), "9", ""))))</f>
        <v>--</v>
      </c>
      <c r="C47" t="str">
        <f>IF(ISBLANK(MAIN!C47), "--", IFERROR(PROPER(SUBSTITUTE(SUBSTITUTE(SUBSTITUTE(SUBSTITUTE(SUBSTITUTE(SUBSTITUTE(SUBSTITUTE(SUBSTITUTE(SUBSTITUTE(SUBSTITUTE(LEFT(MAIN!C47, FIND(",",MAIN!C47) -1), "0", ""), "1", ""), "2", ""), "3", ""), "4", ""), "5", ""), "6", ""), "7", ""), "8", ""), "9", "")), PROPER(SUBSTITUTE(SUBSTITUTE(SUBSTITUTE(SUBSTITUTE(SUBSTITUTE(SUBSTITUTE(SUBSTITUTE(SUBSTITUTE(SUBSTITUTE(SUBSTITUTE(MAIN!C47, "0", ""), "1", ""), "2", ""), "3", ""), "4", ""), "5", ""), "6", ""), "7", ""), "8", ""), "9", ""))))</f>
        <v>--</v>
      </c>
      <c r="D47" t="str">
        <f>IF(ISBLANK(MAIN!D47), "--", IF(ISNUMBER(MATCH(SUBSTITUTE(LEFT(MAIN!D47, IFERROR(FIND(",", MAIN!D47)-1, LEN(MAIN!D47))), " ", ""), lookup_values!$B$2:$B$51, 0)), UPPER(SUBSTITUTE(LEFT(MAIN!D47, IFERROR(FIND(",", MAIN!D47)-1, LEN(MAIN!D47))), " ", "")), IF(ISNA(VLOOKUP(SUBSTITUTE(LEFT(MAIN!D47, IFERROR(FIND(",", MAIN!D47)-1, LEN(MAIN!D47))), " ", ""), lookup_values!$A$2:$B$51, 2, FALSE)), "--", VLOOKUP(SUBSTITUTE(LEFT(MAIN!D47, IFERROR(FIND(",", MAIN!D47)-1, LEN(MAIN!D47))), " ", ""), lookup_values!$A$2:$B$51, 2, FALSE))))</f>
        <v>--</v>
      </c>
      <c r="E47" t="str">
        <f>IF(CLEAN_DATA!D47&lt;&gt;"--","US",IF(ISBLANK(MAIN!E47), "--", IF(ISNUMBER(MATCH(SUBSTITUTE(LEFT(MAIN!E47, IFERROR(FIND(",", MAIN!E47)-1, LEN(MAIN!E47))), " ", ""), lookup_values!$E$2:$E$197, 0)), UPPER(SUBSTITUTE(LEFT(MAIN!E47, IFERROR(FIND(",", MAIN!E47)-1, LEN(MAIN!E47))), " ", "")), IF(ISNA(VLOOKUP(SUBSTITUTE(LEFT(MAIN!E47, IFERROR(FIND(",", MAIN!E47)-1, LEN(MAIN!E47))), " ", ""), lookup_values!$D$2:$E$197, 2, FALSE)), "--", VLOOKUP(SUBSTITUTE(LEFT(MAIN!E47, IFERROR(FIND(",", MAIN!E47)-1, LEN(MAIN!E47))), " ", ""), lookup_values!$D$2:$E$197, 2, FALSE)))))</f>
        <v>--</v>
      </c>
      <c r="F47" t="str">
        <f>IF(ISBLANK(MAIN!F47), "", IF(AND(ISNUMBER(VALUE(TRIM(MAIN!F47))), LEN(TRIM(MAIN!F47))=4), VALUE(TRIM(MAIN!F47)), ""))</f>
        <v/>
      </c>
      <c r="G47">
        <f>IF(ISBLANK(MAIN!G47), 0, IF(ISNUMBER(VALUE(TRIM(MAIN!G47))), VALUE(TRIM(MAIN!G47)), 0))</f>
        <v>0</v>
      </c>
      <c r="H47">
        <f>IF(ISBLANK(MAIN!H47), 0, IF(ISNUMBER(VALUE(TRIM(MAIN!H47))), VALUE(TRIM(MAIN!H47)), 0))</f>
        <v>0</v>
      </c>
      <c r="I47">
        <f>IF(ISBLANK(MAIN!I47), 0, IF(ISNUMBER(VALUE(TRIM(MAIN!I47))), VALUE(TRIM(MAIN!I47)), 0))</f>
        <v>0</v>
      </c>
      <c r="J47">
        <f>IF(ISBLANK(MAIN!J47), 0, IF(ISNUMBER(VALUE(TRIM(MAIN!J47))), VALUE(TRIM(MAIN!J47)), 0))</f>
        <v>0</v>
      </c>
      <c r="K47" cm="1">
        <f t="array" ref="K47">IFERROR(
    VALUE(
        IFERROR(
            UPPER(
                IF(MAX(IFERROR(SEARCH("WD",MAIN!G47:J47), 0))&gt;0, "WD",
                IF(MAX(IFERROR(SEARCH("NS",MAIN!G47:J47), 0))&gt;0, "NS",
                IF(MAX(IFERROR(SEARCH("NC",MAIN!G47:J47), 0))&gt;0, "NC",
                IF(MAX(IFERROR(SEARCH("DQ",MAIN!G47:J47), 0))&gt;0, "DQ",
                IF(ISNUMBER(SEARCH("WD",MAIN!K47)), "WD",
                IF(ISNUMBER(SEARCH("NS",MAIN!K47)), "NS",
                IF(ISNUMBER(SEARCH("NC",MAIN!K47)), "NC",
                IF(ISNUMBER(SEARCH("DQ",MAIN!K47)), "DQ",
                IF(ISNUMBER(SEARCH("A",MAIN!K47)), 0,
                IF(OR(MAIN!K47=0,MAIN!K47=""), 0, --TRIM(MAIN!K47)))))))))))),
            0
        )
    ),
    IFERROR(
        UPPER(
            IF(MAX(IFERROR(SEARCH("WD",MAIN!G47:J47), 0))&gt;0, "WD",
            IF(MAX(IFERROR(SEARCH("NS",MAIN!G47:J47), 0))&gt;0, "NS",
            IF(MAX(IFERROR(SEARCH("NC",MAIN!G47:J47), 0))&gt;0, "NC",
            IF(MAX(IFERROR(SEARCH("DQ",MAIN!G47:J47), 0))&gt;0, "DQ",
            IF(ISNUMBER(SEARCH("WD",MAIN!K47)), "WD",
            IF(ISNUMBER(SEARCH("NS",MAIN!K47)), "NS",
            IF(ISNUMBER(SEARCH("NC",MAIN!K47)), "NC",
            IF(ISNUMBER(SEARCH("DQ",MAIN!K47)), "DQ",
            IF(ISNUMBER(SEARCH("A",MAIN!K47)), 0,
            IF(OR(MAIN!K47=0,MAIN!K47=""), 0, --TRIM(MAIN!K47)))))))))))),
        0
    )
)</f>
        <v>0</v>
      </c>
    </row>
    <row r="48" spans="1:11" x14ac:dyDescent="0.25">
      <c r="A48" t="str">
        <f>IF(ISBLANK(MAIN!A48), "--", IFERROR(PROPER(SUBSTITUTE(SUBSTITUTE(SUBSTITUTE(SUBSTITUTE(SUBSTITUTE(SUBSTITUTE(SUBSTITUTE(SUBSTITUTE(SUBSTITUTE(SUBSTITUTE(LEFT(MAIN!A48, FIND(",",MAIN!A48) -1), "0", ""), "1", ""), "2", ""), "3", ""), "4", ""), "5", ""), "6", ""), "7", ""), "8", ""), "9", "")), PROPER(SUBSTITUTE(SUBSTITUTE(SUBSTITUTE(SUBSTITUTE(SUBSTITUTE(SUBSTITUTE(SUBSTITUTE(SUBSTITUTE(SUBSTITUTE(SUBSTITUTE(MAIN!A48, "0", ""), "1", ""), "2", ""), "3", ""), "4", ""), "5", ""), "6", ""), "7", ""), "8", ""), "9", ""))))</f>
        <v>--</v>
      </c>
      <c r="B48" t="str">
        <f>IF(ISBLANK(MAIN!B48), "--", IFERROR(PROPER(SUBSTITUTE(SUBSTITUTE(SUBSTITUTE(SUBSTITUTE(SUBSTITUTE(SUBSTITUTE(SUBSTITUTE(SUBSTITUTE(SUBSTITUTE(SUBSTITUTE(LEFT(MAIN!B48, FIND(",",MAIN!B48) -1), "0", ""), "1", ""), "2", ""), "3", ""), "4", ""), "5", ""), "6", ""), "7", ""), "8", ""), "9", "")), PROPER(SUBSTITUTE(SUBSTITUTE(SUBSTITUTE(SUBSTITUTE(SUBSTITUTE(SUBSTITUTE(SUBSTITUTE(SUBSTITUTE(SUBSTITUTE(SUBSTITUTE(MAIN!B48, "0", ""), "1", ""), "2", ""), "3", ""), "4", ""), "5", ""), "6", ""), "7", ""), "8", ""), "9", ""))))</f>
        <v>--</v>
      </c>
      <c r="C48" t="str">
        <f>IF(ISBLANK(MAIN!C48), "--", IFERROR(PROPER(SUBSTITUTE(SUBSTITUTE(SUBSTITUTE(SUBSTITUTE(SUBSTITUTE(SUBSTITUTE(SUBSTITUTE(SUBSTITUTE(SUBSTITUTE(SUBSTITUTE(LEFT(MAIN!C48, FIND(",",MAIN!C48) -1), "0", ""), "1", ""), "2", ""), "3", ""), "4", ""), "5", ""), "6", ""), "7", ""), "8", ""), "9", "")), PROPER(SUBSTITUTE(SUBSTITUTE(SUBSTITUTE(SUBSTITUTE(SUBSTITUTE(SUBSTITUTE(SUBSTITUTE(SUBSTITUTE(SUBSTITUTE(SUBSTITUTE(MAIN!C48, "0", ""), "1", ""), "2", ""), "3", ""), "4", ""), "5", ""), "6", ""), "7", ""), "8", ""), "9", ""))))</f>
        <v>--</v>
      </c>
      <c r="D48" t="str">
        <f>IF(ISBLANK(MAIN!D48), "--", IF(ISNUMBER(MATCH(SUBSTITUTE(LEFT(MAIN!D48, IFERROR(FIND(",", MAIN!D48)-1, LEN(MAIN!D48))), " ", ""), lookup_values!$B$2:$B$51, 0)), UPPER(SUBSTITUTE(LEFT(MAIN!D48, IFERROR(FIND(",", MAIN!D48)-1, LEN(MAIN!D48))), " ", "")), IF(ISNA(VLOOKUP(SUBSTITUTE(LEFT(MAIN!D48, IFERROR(FIND(",", MAIN!D48)-1, LEN(MAIN!D48))), " ", ""), lookup_values!$A$2:$B$51, 2, FALSE)), "--", VLOOKUP(SUBSTITUTE(LEFT(MAIN!D48, IFERROR(FIND(",", MAIN!D48)-1, LEN(MAIN!D48))), " ", ""), lookup_values!$A$2:$B$51, 2, FALSE))))</f>
        <v>--</v>
      </c>
      <c r="E48" t="str">
        <f>IF(CLEAN_DATA!D48&lt;&gt;"--","US",IF(ISBLANK(MAIN!E48), "--", IF(ISNUMBER(MATCH(SUBSTITUTE(LEFT(MAIN!E48, IFERROR(FIND(",", MAIN!E48)-1, LEN(MAIN!E48))), " ", ""), lookup_values!$E$2:$E$197, 0)), UPPER(SUBSTITUTE(LEFT(MAIN!E48, IFERROR(FIND(",", MAIN!E48)-1, LEN(MAIN!E48))), " ", "")), IF(ISNA(VLOOKUP(SUBSTITUTE(LEFT(MAIN!E48, IFERROR(FIND(",", MAIN!E48)-1, LEN(MAIN!E48))), " ", ""), lookup_values!$D$2:$E$197, 2, FALSE)), "--", VLOOKUP(SUBSTITUTE(LEFT(MAIN!E48, IFERROR(FIND(",", MAIN!E48)-1, LEN(MAIN!E48))), " ", ""), lookup_values!$D$2:$E$197, 2, FALSE)))))</f>
        <v>--</v>
      </c>
      <c r="F48" t="str">
        <f>IF(ISBLANK(MAIN!F48), "", IF(AND(ISNUMBER(VALUE(TRIM(MAIN!F48))), LEN(TRIM(MAIN!F48))=4), VALUE(TRIM(MAIN!F48)), ""))</f>
        <v/>
      </c>
      <c r="G48">
        <f>IF(ISBLANK(MAIN!G48), 0, IF(ISNUMBER(VALUE(TRIM(MAIN!G48))), VALUE(TRIM(MAIN!G48)), 0))</f>
        <v>0</v>
      </c>
      <c r="H48">
        <f>IF(ISBLANK(MAIN!H48), 0, IF(ISNUMBER(VALUE(TRIM(MAIN!H48))), VALUE(TRIM(MAIN!H48)), 0))</f>
        <v>0</v>
      </c>
      <c r="I48">
        <f>IF(ISBLANK(MAIN!I48), 0, IF(ISNUMBER(VALUE(TRIM(MAIN!I48))), VALUE(TRIM(MAIN!I48)), 0))</f>
        <v>0</v>
      </c>
      <c r="J48">
        <f>IF(ISBLANK(MAIN!J48), 0, IF(ISNUMBER(VALUE(TRIM(MAIN!J48))), VALUE(TRIM(MAIN!J48)), 0))</f>
        <v>0</v>
      </c>
      <c r="K48" cm="1">
        <f t="array" ref="K48">IFERROR(
    VALUE(
        IFERROR(
            UPPER(
                IF(MAX(IFERROR(SEARCH("WD",MAIN!G48:J48), 0))&gt;0, "WD",
                IF(MAX(IFERROR(SEARCH("NS",MAIN!G48:J48), 0))&gt;0, "NS",
                IF(MAX(IFERROR(SEARCH("NC",MAIN!G48:J48), 0))&gt;0, "NC",
                IF(MAX(IFERROR(SEARCH("DQ",MAIN!G48:J48), 0))&gt;0, "DQ",
                IF(ISNUMBER(SEARCH("WD",MAIN!K48)), "WD",
                IF(ISNUMBER(SEARCH("NS",MAIN!K48)), "NS",
                IF(ISNUMBER(SEARCH("NC",MAIN!K48)), "NC",
                IF(ISNUMBER(SEARCH("DQ",MAIN!K48)), "DQ",
                IF(ISNUMBER(SEARCH("A",MAIN!K48)), 0,
                IF(OR(MAIN!K48=0,MAIN!K48=""), 0, --TRIM(MAIN!K48)))))))))))),
            0
        )
    ),
    IFERROR(
        UPPER(
            IF(MAX(IFERROR(SEARCH("WD",MAIN!G48:J48), 0))&gt;0, "WD",
            IF(MAX(IFERROR(SEARCH("NS",MAIN!G48:J48), 0))&gt;0, "NS",
            IF(MAX(IFERROR(SEARCH("NC",MAIN!G48:J48), 0))&gt;0, "NC",
            IF(MAX(IFERROR(SEARCH("DQ",MAIN!G48:J48), 0))&gt;0, "DQ",
            IF(ISNUMBER(SEARCH("WD",MAIN!K48)), "WD",
            IF(ISNUMBER(SEARCH("NS",MAIN!K48)), "NS",
            IF(ISNUMBER(SEARCH("NC",MAIN!K48)), "NC",
            IF(ISNUMBER(SEARCH("DQ",MAIN!K48)), "DQ",
            IF(ISNUMBER(SEARCH("A",MAIN!K48)), 0,
            IF(OR(MAIN!K48=0,MAIN!K48=""), 0, --TRIM(MAIN!K48)))))))))))),
        0
    )
)</f>
        <v>0</v>
      </c>
    </row>
    <row r="49" spans="1:11" x14ac:dyDescent="0.25">
      <c r="A49" t="str">
        <f>IF(ISBLANK(MAIN!A49), "--", IFERROR(PROPER(SUBSTITUTE(SUBSTITUTE(SUBSTITUTE(SUBSTITUTE(SUBSTITUTE(SUBSTITUTE(SUBSTITUTE(SUBSTITUTE(SUBSTITUTE(SUBSTITUTE(LEFT(MAIN!A49, FIND(",",MAIN!A49) -1), "0", ""), "1", ""), "2", ""), "3", ""), "4", ""), "5", ""), "6", ""), "7", ""), "8", ""), "9", "")), PROPER(SUBSTITUTE(SUBSTITUTE(SUBSTITUTE(SUBSTITUTE(SUBSTITUTE(SUBSTITUTE(SUBSTITUTE(SUBSTITUTE(SUBSTITUTE(SUBSTITUTE(MAIN!A49, "0", ""), "1", ""), "2", ""), "3", ""), "4", ""), "5", ""), "6", ""), "7", ""), "8", ""), "9", ""))))</f>
        <v>--</v>
      </c>
      <c r="B49" t="str">
        <f>IF(ISBLANK(MAIN!B49), "--", IFERROR(PROPER(SUBSTITUTE(SUBSTITUTE(SUBSTITUTE(SUBSTITUTE(SUBSTITUTE(SUBSTITUTE(SUBSTITUTE(SUBSTITUTE(SUBSTITUTE(SUBSTITUTE(LEFT(MAIN!B49, FIND(",",MAIN!B49) -1), "0", ""), "1", ""), "2", ""), "3", ""), "4", ""), "5", ""), "6", ""), "7", ""), "8", ""), "9", "")), PROPER(SUBSTITUTE(SUBSTITUTE(SUBSTITUTE(SUBSTITUTE(SUBSTITUTE(SUBSTITUTE(SUBSTITUTE(SUBSTITUTE(SUBSTITUTE(SUBSTITUTE(MAIN!B49, "0", ""), "1", ""), "2", ""), "3", ""), "4", ""), "5", ""), "6", ""), "7", ""), "8", ""), "9", ""))))</f>
        <v>--</v>
      </c>
      <c r="C49" t="str">
        <f>IF(ISBLANK(MAIN!C49), "--", IFERROR(PROPER(SUBSTITUTE(SUBSTITUTE(SUBSTITUTE(SUBSTITUTE(SUBSTITUTE(SUBSTITUTE(SUBSTITUTE(SUBSTITUTE(SUBSTITUTE(SUBSTITUTE(LEFT(MAIN!C49, FIND(",",MAIN!C49) -1), "0", ""), "1", ""), "2", ""), "3", ""), "4", ""), "5", ""), "6", ""), "7", ""), "8", ""), "9", "")), PROPER(SUBSTITUTE(SUBSTITUTE(SUBSTITUTE(SUBSTITUTE(SUBSTITUTE(SUBSTITUTE(SUBSTITUTE(SUBSTITUTE(SUBSTITUTE(SUBSTITUTE(MAIN!C49, "0", ""), "1", ""), "2", ""), "3", ""), "4", ""), "5", ""), "6", ""), "7", ""), "8", ""), "9", ""))))</f>
        <v>--</v>
      </c>
      <c r="D49" t="str">
        <f>IF(ISBLANK(MAIN!D49), "--", IF(ISNUMBER(MATCH(SUBSTITUTE(LEFT(MAIN!D49, IFERROR(FIND(",", MAIN!D49)-1, LEN(MAIN!D49))), " ", ""), lookup_values!$B$2:$B$51, 0)), UPPER(SUBSTITUTE(LEFT(MAIN!D49, IFERROR(FIND(",", MAIN!D49)-1, LEN(MAIN!D49))), " ", "")), IF(ISNA(VLOOKUP(SUBSTITUTE(LEFT(MAIN!D49, IFERROR(FIND(",", MAIN!D49)-1, LEN(MAIN!D49))), " ", ""), lookup_values!$A$2:$B$51, 2, FALSE)), "--", VLOOKUP(SUBSTITUTE(LEFT(MAIN!D49, IFERROR(FIND(",", MAIN!D49)-1, LEN(MAIN!D49))), " ", ""), lookup_values!$A$2:$B$51, 2, FALSE))))</f>
        <v>--</v>
      </c>
      <c r="E49" t="str">
        <f>IF(CLEAN_DATA!D49&lt;&gt;"--","US",IF(ISBLANK(MAIN!E49), "--", IF(ISNUMBER(MATCH(SUBSTITUTE(LEFT(MAIN!E49, IFERROR(FIND(",", MAIN!E49)-1, LEN(MAIN!E49))), " ", ""), lookup_values!$E$2:$E$197, 0)), UPPER(SUBSTITUTE(LEFT(MAIN!E49, IFERROR(FIND(",", MAIN!E49)-1, LEN(MAIN!E49))), " ", "")), IF(ISNA(VLOOKUP(SUBSTITUTE(LEFT(MAIN!E49, IFERROR(FIND(",", MAIN!E49)-1, LEN(MAIN!E49))), " ", ""), lookup_values!$D$2:$E$197, 2, FALSE)), "--", VLOOKUP(SUBSTITUTE(LEFT(MAIN!E49, IFERROR(FIND(",", MAIN!E49)-1, LEN(MAIN!E49))), " ", ""), lookup_values!$D$2:$E$197, 2, FALSE)))))</f>
        <v>--</v>
      </c>
      <c r="F49" t="str">
        <f>IF(ISBLANK(MAIN!F49), "", IF(AND(ISNUMBER(VALUE(TRIM(MAIN!F49))), LEN(TRIM(MAIN!F49))=4), VALUE(TRIM(MAIN!F49)), ""))</f>
        <v/>
      </c>
      <c r="G49">
        <f>IF(ISBLANK(MAIN!G49), 0, IF(ISNUMBER(VALUE(TRIM(MAIN!G49))), VALUE(TRIM(MAIN!G49)), 0))</f>
        <v>0</v>
      </c>
      <c r="H49">
        <f>IF(ISBLANK(MAIN!H49), 0, IF(ISNUMBER(VALUE(TRIM(MAIN!H49))), VALUE(TRIM(MAIN!H49)), 0))</f>
        <v>0</v>
      </c>
      <c r="I49">
        <f>IF(ISBLANK(MAIN!I49), 0, IF(ISNUMBER(VALUE(TRIM(MAIN!I49))), VALUE(TRIM(MAIN!I49)), 0))</f>
        <v>0</v>
      </c>
      <c r="J49">
        <f>IF(ISBLANK(MAIN!J49), 0, IF(ISNUMBER(VALUE(TRIM(MAIN!J49))), VALUE(TRIM(MAIN!J49)), 0))</f>
        <v>0</v>
      </c>
      <c r="K49" cm="1">
        <f t="array" ref="K49">IFERROR(
    VALUE(
        IFERROR(
            UPPER(
                IF(MAX(IFERROR(SEARCH("WD",MAIN!G49:J49), 0))&gt;0, "WD",
                IF(MAX(IFERROR(SEARCH("NS",MAIN!G49:J49), 0))&gt;0, "NS",
                IF(MAX(IFERROR(SEARCH("NC",MAIN!G49:J49), 0))&gt;0, "NC",
                IF(MAX(IFERROR(SEARCH("DQ",MAIN!G49:J49), 0))&gt;0, "DQ",
                IF(ISNUMBER(SEARCH("WD",MAIN!K49)), "WD",
                IF(ISNUMBER(SEARCH("NS",MAIN!K49)), "NS",
                IF(ISNUMBER(SEARCH("NC",MAIN!K49)), "NC",
                IF(ISNUMBER(SEARCH("DQ",MAIN!K49)), "DQ",
                IF(ISNUMBER(SEARCH("A",MAIN!K49)), 0,
                IF(OR(MAIN!K49=0,MAIN!K49=""), 0, --TRIM(MAIN!K49)))))))))))),
            0
        )
    ),
    IFERROR(
        UPPER(
            IF(MAX(IFERROR(SEARCH("WD",MAIN!G49:J49), 0))&gt;0, "WD",
            IF(MAX(IFERROR(SEARCH("NS",MAIN!G49:J49), 0))&gt;0, "NS",
            IF(MAX(IFERROR(SEARCH("NC",MAIN!G49:J49), 0))&gt;0, "NC",
            IF(MAX(IFERROR(SEARCH("DQ",MAIN!G49:J49), 0))&gt;0, "DQ",
            IF(ISNUMBER(SEARCH("WD",MAIN!K49)), "WD",
            IF(ISNUMBER(SEARCH("NS",MAIN!K49)), "NS",
            IF(ISNUMBER(SEARCH("NC",MAIN!K49)), "NC",
            IF(ISNUMBER(SEARCH("DQ",MAIN!K49)), "DQ",
            IF(ISNUMBER(SEARCH("A",MAIN!K49)), 0,
            IF(OR(MAIN!K49=0,MAIN!K49=""), 0, --TRIM(MAIN!K49)))))))))))),
        0
    )
)</f>
        <v>0</v>
      </c>
    </row>
    <row r="50" spans="1:11" x14ac:dyDescent="0.25">
      <c r="A50" t="str">
        <f>IF(ISBLANK(MAIN!A50), "--", IFERROR(PROPER(SUBSTITUTE(SUBSTITUTE(SUBSTITUTE(SUBSTITUTE(SUBSTITUTE(SUBSTITUTE(SUBSTITUTE(SUBSTITUTE(SUBSTITUTE(SUBSTITUTE(LEFT(MAIN!A50, FIND(",",MAIN!A50) -1), "0", ""), "1", ""), "2", ""), "3", ""), "4", ""), "5", ""), "6", ""), "7", ""), "8", ""), "9", "")), PROPER(SUBSTITUTE(SUBSTITUTE(SUBSTITUTE(SUBSTITUTE(SUBSTITUTE(SUBSTITUTE(SUBSTITUTE(SUBSTITUTE(SUBSTITUTE(SUBSTITUTE(MAIN!A50, "0", ""), "1", ""), "2", ""), "3", ""), "4", ""), "5", ""), "6", ""), "7", ""), "8", ""), "9", ""))))</f>
        <v>--</v>
      </c>
      <c r="B50" t="str">
        <f>IF(ISBLANK(MAIN!B50), "--", IFERROR(PROPER(SUBSTITUTE(SUBSTITUTE(SUBSTITUTE(SUBSTITUTE(SUBSTITUTE(SUBSTITUTE(SUBSTITUTE(SUBSTITUTE(SUBSTITUTE(SUBSTITUTE(LEFT(MAIN!B50, FIND(",",MAIN!B50) -1), "0", ""), "1", ""), "2", ""), "3", ""), "4", ""), "5", ""), "6", ""), "7", ""), "8", ""), "9", "")), PROPER(SUBSTITUTE(SUBSTITUTE(SUBSTITUTE(SUBSTITUTE(SUBSTITUTE(SUBSTITUTE(SUBSTITUTE(SUBSTITUTE(SUBSTITUTE(SUBSTITUTE(MAIN!B50, "0", ""), "1", ""), "2", ""), "3", ""), "4", ""), "5", ""), "6", ""), "7", ""), "8", ""), "9", ""))))</f>
        <v>--</v>
      </c>
      <c r="C50" t="str">
        <f>IF(ISBLANK(MAIN!C50), "--", IFERROR(PROPER(SUBSTITUTE(SUBSTITUTE(SUBSTITUTE(SUBSTITUTE(SUBSTITUTE(SUBSTITUTE(SUBSTITUTE(SUBSTITUTE(SUBSTITUTE(SUBSTITUTE(LEFT(MAIN!C50, FIND(",",MAIN!C50) -1), "0", ""), "1", ""), "2", ""), "3", ""), "4", ""), "5", ""), "6", ""), "7", ""), "8", ""), "9", "")), PROPER(SUBSTITUTE(SUBSTITUTE(SUBSTITUTE(SUBSTITUTE(SUBSTITUTE(SUBSTITUTE(SUBSTITUTE(SUBSTITUTE(SUBSTITUTE(SUBSTITUTE(MAIN!C50, "0", ""), "1", ""), "2", ""), "3", ""), "4", ""), "5", ""), "6", ""), "7", ""), "8", ""), "9", ""))))</f>
        <v>--</v>
      </c>
      <c r="D50" t="str">
        <f>IF(ISBLANK(MAIN!D50), "--", IF(ISNUMBER(MATCH(SUBSTITUTE(LEFT(MAIN!D50, IFERROR(FIND(",", MAIN!D50)-1, LEN(MAIN!D50))), " ", ""), lookup_values!$B$2:$B$51, 0)), UPPER(SUBSTITUTE(LEFT(MAIN!D50, IFERROR(FIND(",", MAIN!D50)-1, LEN(MAIN!D50))), " ", "")), IF(ISNA(VLOOKUP(SUBSTITUTE(LEFT(MAIN!D50, IFERROR(FIND(",", MAIN!D50)-1, LEN(MAIN!D50))), " ", ""), lookup_values!$A$2:$B$51, 2, FALSE)), "--", VLOOKUP(SUBSTITUTE(LEFT(MAIN!D50, IFERROR(FIND(",", MAIN!D50)-1, LEN(MAIN!D50))), " ", ""), lookup_values!$A$2:$B$51, 2, FALSE))))</f>
        <v>--</v>
      </c>
      <c r="E50" t="str">
        <f>IF(CLEAN_DATA!D50&lt;&gt;"--","US",IF(ISBLANK(MAIN!E50), "--", IF(ISNUMBER(MATCH(SUBSTITUTE(LEFT(MAIN!E50, IFERROR(FIND(",", MAIN!E50)-1, LEN(MAIN!E50))), " ", ""), lookup_values!$E$2:$E$197, 0)), UPPER(SUBSTITUTE(LEFT(MAIN!E50, IFERROR(FIND(",", MAIN!E50)-1, LEN(MAIN!E50))), " ", "")), IF(ISNA(VLOOKUP(SUBSTITUTE(LEFT(MAIN!E50, IFERROR(FIND(",", MAIN!E50)-1, LEN(MAIN!E50))), " ", ""), lookup_values!$D$2:$E$197, 2, FALSE)), "--", VLOOKUP(SUBSTITUTE(LEFT(MAIN!E50, IFERROR(FIND(",", MAIN!E50)-1, LEN(MAIN!E50))), " ", ""), lookup_values!$D$2:$E$197, 2, FALSE)))))</f>
        <v>--</v>
      </c>
      <c r="F50" t="str">
        <f>IF(ISBLANK(MAIN!F50), "", IF(AND(ISNUMBER(VALUE(TRIM(MAIN!F50))), LEN(TRIM(MAIN!F50))=4), VALUE(TRIM(MAIN!F50)), ""))</f>
        <v/>
      </c>
      <c r="G50">
        <f>IF(ISBLANK(MAIN!G50), 0, IF(ISNUMBER(VALUE(TRIM(MAIN!G50))), VALUE(TRIM(MAIN!G50)), 0))</f>
        <v>0</v>
      </c>
      <c r="H50">
        <f>IF(ISBLANK(MAIN!H50), 0, IF(ISNUMBER(VALUE(TRIM(MAIN!H50))), VALUE(TRIM(MAIN!H50)), 0))</f>
        <v>0</v>
      </c>
      <c r="I50">
        <f>IF(ISBLANK(MAIN!I50), 0, IF(ISNUMBER(VALUE(TRIM(MAIN!I50))), VALUE(TRIM(MAIN!I50)), 0))</f>
        <v>0</v>
      </c>
      <c r="J50">
        <f>IF(ISBLANK(MAIN!J50), 0, IF(ISNUMBER(VALUE(TRIM(MAIN!J50))), VALUE(TRIM(MAIN!J50)), 0))</f>
        <v>0</v>
      </c>
      <c r="K50" cm="1">
        <f t="array" ref="K50">IFERROR(
    VALUE(
        IFERROR(
            UPPER(
                IF(MAX(IFERROR(SEARCH("WD",MAIN!G50:J50), 0))&gt;0, "WD",
                IF(MAX(IFERROR(SEARCH("NS",MAIN!G50:J50), 0))&gt;0, "NS",
                IF(MAX(IFERROR(SEARCH("NC",MAIN!G50:J50), 0))&gt;0, "NC",
                IF(MAX(IFERROR(SEARCH("DQ",MAIN!G50:J50), 0))&gt;0, "DQ",
                IF(ISNUMBER(SEARCH("WD",MAIN!K50)), "WD",
                IF(ISNUMBER(SEARCH("NS",MAIN!K50)), "NS",
                IF(ISNUMBER(SEARCH("NC",MAIN!K50)), "NC",
                IF(ISNUMBER(SEARCH("DQ",MAIN!K50)), "DQ",
                IF(ISNUMBER(SEARCH("A",MAIN!K50)), 0,
                IF(OR(MAIN!K50=0,MAIN!K50=""), 0, --TRIM(MAIN!K50)))))))))))),
            0
        )
    ),
    IFERROR(
        UPPER(
            IF(MAX(IFERROR(SEARCH("WD",MAIN!G50:J50), 0))&gt;0, "WD",
            IF(MAX(IFERROR(SEARCH("NS",MAIN!G50:J50), 0))&gt;0, "NS",
            IF(MAX(IFERROR(SEARCH("NC",MAIN!G50:J50), 0))&gt;0, "NC",
            IF(MAX(IFERROR(SEARCH("DQ",MAIN!G50:J50), 0))&gt;0, "DQ",
            IF(ISNUMBER(SEARCH("WD",MAIN!K50)), "WD",
            IF(ISNUMBER(SEARCH("NS",MAIN!K50)), "NS",
            IF(ISNUMBER(SEARCH("NC",MAIN!K50)), "NC",
            IF(ISNUMBER(SEARCH("DQ",MAIN!K50)), "DQ",
            IF(ISNUMBER(SEARCH("A",MAIN!K50)), 0,
            IF(OR(MAIN!K50=0,MAIN!K50=""), 0, --TRIM(MAIN!K50)))))))))))),
        0
    )
)</f>
        <v>0</v>
      </c>
    </row>
    <row r="51" spans="1:11" x14ac:dyDescent="0.25">
      <c r="A51" t="str">
        <f>IF(ISBLANK(MAIN!A51), "--", IFERROR(PROPER(SUBSTITUTE(SUBSTITUTE(SUBSTITUTE(SUBSTITUTE(SUBSTITUTE(SUBSTITUTE(SUBSTITUTE(SUBSTITUTE(SUBSTITUTE(SUBSTITUTE(LEFT(MAIN!A51, FIND(",",MAIN!A51) -1), "0", ""), "1", ""), "2", ""), "3", ""), "4", ""), "5", ""), "6", ""), "7", ""), "8", ""), "9", "")), PROPER(SUBSTITUTE(SUBSTITUTE(SUBSTITUTE(SUBSTITUTE(SUBSTITUTE(SUBSTITUTE(SUBSTITUTE(SUBSTITUTE(SUBSTITUTE(SUBSTITUTE(MAIN!A51, "0", ""), "1", ""), "2", ""), "3", ""), "4", ""), "5", ""), "6", ""), "7", ""), "8", ""), "9", ""))))</f>
        <v>--</v>
      </c>
      <c r="B51" t="str">
        <f>IF(ISBLANK(MAIN!B51), "--", IFERROR(PROPER(SUBSTITUTE(SUBSTITUTE(SUBSTITUTE(SUBSTITUTE(SUBSTITUTE(SUBSTITUTE(SUBSTITUTE(SUBSTITUTE(SUBSTITUTE(SUBSTITUTE(LEFT(MAIN!B51, FIND(",",MAIN!B51) -1), "0", ""), "1", ""), "2", ""), "3", ""), "4", ""), "5", ""), "6", ""), "7", ""), "8", ""), "9", "")), PROPER(SUBSTITUTE(SUBSTITUTE(SUBSTITUTE(SUBSTITUTE(SUBSTITUTE(SUBSTITUTE(SUBSTITUTE(SUBSTITUTE(SUBSTITUTE(SUBSTITUTE(MAIN!B51, "0", ""), "1", ""), "2", ""), "3", ""), "4", ""), "5", ""), "6", ""), "7", ""), "8", ""), "9", ""))))</f>
        <v>--</v>
      </c>
      <c r="C51" t="str">
        <f>IF(ISBLANK(MAIN!C51), "--", IFERROR(PROPER(SUBSTITUTE(SUBSTITUTE(SUBSTITUTE(SUBSTITUTE(SUBSTITUTE(SUBSTITUTE(SUBSTITUTE(SUBSTITUTE(SUBSTITUTE(SUBSTITUTE(LEFT(MAIN!C51, FIND(",",MAIN!C51) -1), "0", ""), "1", ""), "2", ""), "3", ""), "4", ""), "5", ""), "6", ""), "7", ""), "8", ""), "9", "")), PROPER(SUBSTITUTE(SUBSTITUTE(SUBSTITUTE(SUBSTITUTE(SUBSTITUTE(SUBSTITUTE(SUBSTITUTE(SUBSTITUTE(SUBSTITUTE(SUBSTITUTE(MAIN!C51, "0", ""), "1", ""), "2", ""), "3", ""), "4", ""), "5", ""), "6", ""), "7", ""), "8", ""), "9", ""))))</f>
        <v>--</v>
      </c>
      <c r="D51" t="str">
        <f>IF(ISBLANK(MAIN!D51), "--", IF(ISNUMBER(MATCH(SUBSTITUTE(LEFT(MAIN!D51, IFERROR(FIND(",", MAIN!D51)-1, LEN(MAIN!D51))), " ", ""), lookup_values!$B$2:$B$51, 0)), UPPER(SUBSTITUTE(LEFT(MAIN!D51, IFERROR(FIND(",", MAIN!D51)-1, LEN(MAIN!D51))), " ", "")), IF(ISNA(VLOOKUP(SUBSTITUTE(LEFT(MAIN!D51, IFERROR(FIND(",", MAIN!D51)-1, LEN(MAIN!D51))), " ", ""), lookup_values!$A$2:$B$51, 2, FALSE)), "--", VLOOKUP(SUBSTITUTE(LEFT(MAIN!D51, IFERROR(FIND(",", MAIN!D51)-1, LEN(MAIN!D51))), " ", ""), lookup_values!$A$2:$B$51, 2, FALSE))))</f>
        <v>--</v>
      </c>
      <c r="E51" t="str">
        <f>IF(CLEAN_DATA!D51&lt;&gt;"--","US",IF(ISBLANK(MAIN!E51), "--", IF(ISNUMBER(MATCH(SUBSTITUTE(LEFT(MAIN!E51, IFERROR(FIND(",", MAIN!E51)-1, LEN(MAIN!E51))), " ", ""), lookup_values!$E$2:$E$197, 0)), UPPER(SUBSTITUTE(LEFT(MAIN!E51, IFERROR(FIND(",", MAIN!E51)-1, LEN(MAIN!E51))), " ", "")), IF(ISNA(VLOOKUP(SUBSTITUTE(LEFT(MAIN!E51, IFERROR(FIND(",", MAIN!E51)-1, LEN(MAIN!E51))), " ", ""), lookup_values!$D$2:$E$197, 2, FALSE)), "--", VLOOKUP(SUBSTITUTE(LEFT(MAIN!E51, IFERROR(FIND(",", MAIN!E51)-1, LEN(MAIN!E51))), " ", ""), lookup_values!$D$2:$E$197, 2, FALSE)))))</f>
        <v>--</v>
      </c>
      <c r="F51" t="str">
        <f>IF(ISBLANK(MAIN!F51), "", IF(AND(ISNUMBER(VALUE(TRIM(MAIN!F51))), LEN(TRIM(MAIN!F51))=4), VALUE(TRIM(MAIN!F51)), ""))</f>
        <v/>
      </c>
      <c r="G51">
        <f>IF(ISBLANK(MAIN!G51), 0, IF(ISNUMBER(VALUE(TRIM(MAIN!G51))), VALUE(TRIM(MAIN!G51)), 0))</f>
        <v>0</v>
      </c>
      <c r="H51">
        <f>IF(ISBLANK(MAIN!H51), 0, IF(ISNUMBER(VALUE(TRIM(MAIN!H51))), VALUE(TRIM(MAIN!H51)), 0))</f>
        <v>0</v>
      </c>
      <c r="I51">
        <f>IF(ISBLANK(MAIN!I51), 0, IF(ISNUMBER(VALUE(TRIM(MAIN!I51))), VALUE(TRIM(MAIN!I51)), 0))</f>
        <v>0</v>
      </c>
      <c r="J51">
        <f>IF(ISBLANK(MAIN!J51), 0, IF(ISNUMBER(VALUE(TRIM(MAIN!J51))), VALUE(TRIM(MAIN!J51)), 0))</f>
        <v>0</v>
      </c>
      <c r="K51" cm="1">
        <f t="array" ref="K51">IFERROR(
    VALUE(
        IFERROR(
            UPPER(
                IF(MAX(IFERROR(SEARCH("WD",MAIN!G51:J51), 0))&gt;0, "WD",
                IF(MAX(IFERROR(SEARCH("NS",MAIN!G51:J51), 0))&gt;0, "NS",
                IF(MAX(IFERROR(SEARCH("NC",MAIN!G51:J51), 0))&gt;0, "NC",
                IF(MAX(IFERROR(SEARCH("DQ",MAIN!G51:J51), 0))&gt;0, "DQ",
                IF(ISNUMBER(SEARCH("WD",MAIN!K51)), "WD",
                IF(ISNUMBER(SEARCH("NS",MAIN!K51)), "NS",
                IF(ISNUMBER(SEARCH("NC",MAIN!K51)), "NC",
                IF(ISNUMBER(SEARCH("DQ",MAIN!K51)), "DQ",
                IF(ISNUMBER(SEARCH("A",MAIN!K51)), 0,
                IF(OR(MAIN!K51=0,MAIN!K51=""), 0, --TRIM(MAIN!K51)))))))))))),
            0
        )
    ),
    IFERROR(
        UPPER(
            IF(MAX(IFERROR(SEARCH("WD",MAIN!G51:J51), 0))&gt;0, "WD",
            IF(MAX(IFERROR(SEARCH("NS",MAIN!G51:J51), 0))&gt;0, "NS",
            IF(MAX(IFERROR(SEARCH("NC",MAIN!G51:J51), 0))&gt;0, "NC",
            IF(MAX(IFERROR(SEARCH("DQ",MAIN!G51:J51), 0))&gt;0, "DQ",
            IF(ISNUMBER(SEARCH("WD",MAIN!K51)), "WD",
            IF(ISNUMBER(SEARCH("NS",MAIN!K51)), "NS",
            IF(ISNUMBER(SEARCH("NC",MAIN!K51)), "NC",
            IF(ISNUMBER(SEARCH("DQ",MAIN!K51)), "DQ",
            IF(ISNUMBER(SEARCH("A",MAIN!K51)), 0,
            IF(OR(MAIN!K51=0,MAIN!K51=""), 0, --TRIM(MAIN!K51)))))))))))),
        0
    )
)</f>
        <v>0</v>
      </c>
    </row>
    <row r="52" spans="1:11" x14ac:dyDescent="0.25">
      <c r="A52" t="str">
        <f>IF(ISBLANK(MAIN!A52), "--", IFERROR(PROPER(SUBSTITUTE(SUBSTITUTE(SUBSTITUTE(SUBSTITUTE(SUBSTITUTE(SUBSTITUTE(SUBSTITUTE(SUBSTITUTE(SUBSTITUTE(SUBSTITUTE(LEFT(MAIN!A52, FIND(",",MAIN!A52) -1), "0", ""), "1", ""), "2", ""), "3", ""), "4", ""), "5", ""), "6", ""), "7", ""), "8", ""), "9", "")), PROPER(SUBSTITUTE(SUBSTITUTE(SUBSTITUTE(SUBSTITUTE(SUBSTITUTE(SUBSTITUTE(SUBSTITUTE(SUBSTITUTE(SUBSTITUTE(SUBSTITUTE(MAIN!A52, "0", ""), "1", ""), "2", ""), "3", ""), "4", ""), "5", ""), "6", ""), "7", ""), "8", ""), "9", ""))))</f>
        <v>--</v>
      </c>
      <c r="B52" t="str">
        <f>IF(ISBLANK(MAIN!B52), "--", IFERROR(PROPER(SUBSTITUTE(SUBSTITUTE(SUBSTITUTE(SUBSTITUTE(SUBSTITUTE(SUBSTITUTE(SUBSTITUTE(SUBSTITUTE(SUBSTITUTE(SUBSTITUTE(LEFT(MAIN!B52, FIND(",",MAIN!B52) -1), "0", ""), "1", ""), "2", ""), "3", ""), "4", ""), "5", ""), "6", ""), "7", ""), "8", ""), "9", "")), PROPER(SUBSTITUTE(SUBSTITUTE(SUBSTITUTE(SUBSTITUTE(SUBSTITUTE(SUBSTITUTE(SUBSTITUTE(SUBSTITUTE(SUBSTITUTE(SUBSTITUTE(MAIN!B52, "0", ""), "1", ""), "2", ""), "3", ""), "4", ""), "5", ""), "6", ""), "7", ""), "8", ""), "9", ""))))</f>
        <v>--</v>
      </c>
      <c r="C52" t="str">
        <f>IF(ISBLANK(MAIN!C52), "--", IFERROR(PROPER(SUBSTITUTE(SUBSTITUTE(SUBSTITUTE(SUBSTITUTE(SUBSTITUTE(SUBSTITUTE(SUBSTITUTE(SUBSTITUTE(SUBSTITUTE(SUBSTITUTE(LEFT(MAIN!C52, FIND(",",MAIN!C52) -1), "0", ""), "1", ""), "2", ""), "3", ""), "4", ""), "5", ""), "6", ""), "7", ""), "8", ""), "9", "")), PROPER(SUBSTITUTE(SUBSTITUTE(SUBSTITUTE(SUBSTITUTE(SUBSTITUTE(SUBSTITUTE(SUBSTITUTE(SUBSTITUTE(SUBSTITUTE(SUBSTITUTE(MAIN!C52, "0", ""), "1", ""), "2", ""), "3", ""), "4", ""), "5", ""), "6", ""), "7", ""), "8", ""), "9", ""))))</f>
        <v>--</v>
      </c>
      <c r="D52" t="str">
        <f>IF(ISBLANK(MAIN!D52), "--", IF(ISNUMBER(MATCH(SUBSTITUTE(LEFT(MAIN!D52, IFERROR(FIND(",", MAIN!D52)-1, LEN(MAIN!D52))), " ", ""), lookup_values!$B$2:$B$51, 0)), UPPER(SUBSTITUTE(LEFT(MAIN!D52, IFERROR(FIND(",", MAIN!D52)-1, LEN(MAIN!D52))), " ", "")), IF(ISNA(VLOOKUP(SUBSTITUTE(LEFT(MAIN!D52, IFERROR(FIND(",", MAIN!D52)-1, LEN(MAIN!D52))), " ", ""), lookup_values!$A$2:$B$51, 2, FALSE)), "--", VLOOKUP(SUBSTITUTE(LEFT(MAIN!D52, IFERROR(FIND(",", MAIN!D52)-1, LEN(MAIN!D52))), " ", ""), lookup_values!$A$2:$B$51, 2, FALSE))))</f>
        <v>--</v>
      </c>
      <c r="E52" t="str">
        <f>IF(CLEAN_DATA!D52&lt;&gt;"--","US",IF(ISBLANK(MAIN!E52), "--", IF(ISNUMBER(MATCH(SUBSTITUTE(LEFT(MAIN!E52, IFERROR(FIND(",", MAIN!E52)-1, LEN(MAIN!E52))), " ", ""), lookup_values!$E$2:$E$197, 0)), UPPER(SUBSTITUTE(LEFT(MAIN!E52, IFERROR(FIND(",", MAIN!E52)-1, LEN(MAIN!E52))), " ", "")), IF(ISNA(VLOOKUP(SUBSTITUTE(LEFT(MAIN!E52, IFERROR(FIND(",", MAIN!E52)-1, LEN(MAIN!E52))), " ", ""), lookup_values!$D$2:$E$197, 2, FALSE)), "--", VLOOKUP(SUBSTITUTE(LEFT(MAIN!E52, IFERROR(FIND(",", MAIN!E52)-1, LEN(MAIN!E52))), " ", ""), lookup_values!$D$2:$E$197, 2, FALSE)))))</f>
        <v>--</v>
      </c>
      <c r="F52" t="str">
        <f>IF(ISBLANK(MAIN!F52), "", IF(AND(ISNUMBER(VALUE(TRIM(MAIN!F52))), LEN(TRIM(MAIN!F52))=4), VALUE(TRIM(MAIN!F52)), ""))</f>
        <v/>
      </c>
      <c r="G52">
        <f>IF(ISBLANK(MAIN!G52), 0, IF(ISNUMBER(VALUE(TRIM(MAIN!G52))), VALUE(TRIM(MAIN!G52)), 0))</f>
        <v>0</v>
      </c>
      <c r="H52">
        <f>IF(ISBLANK(MAIN!H52), 0, IF(ISNUMBER(VALUE(TRIM(MAIN!H52))), VALUE(TRIM(MAIN!H52)), 0))</f>
        <v>0</v>
      </c>
      <c r="I52">
        <f>IF(ISBLANK(MAIN!I52), 0, IF(ISNUMBER(VALUE(TRIM(MAIN!I52))), VALUE(TRIM(MAIN!I52)), 0))</f>
        <v>0</v>
      </c>
      <c r="J52">
        <f>IF(ISBLANK(MAIN!J52), 0, IF(ISNUMBER(VALUE(TRIM(MAIN!J52))), VALUE(TRIM(MAIN!J52)), 0))</f>
        <v>0</v>
      </c>
      <c r="K52" cm="1">
        <f t="array" ref="K52">IFERROR(
    VALUE(
        IFERROR(
            UPPER(
                IF(MAX(IFERROR(SEARCH("WD",MAIN!G52:J52), 0))&gt;0, "WD",
                IF(MAX(IFERROR(SEARCH("NS",MAIN!G52:J52), 0))&gt;0, "NS",
                IF(MAX(IFERROR(SEARCH("NC",MAIN!G52:J52), 0))&gt;0, "NC",
                IF(MAX(IFERROR(SEARCH("DQ",MAIN!G52:J52), 0))&gt;0, "DQ",
                IF(ISNUMBER(SEARCH("WD",MAIN!K52)), "WD",
                IF(ISNUMBER(SEARCH("NS",MAIN!K52)), "NS",
                IF(ISNUMBER(SEARCH("NC",MAIN!K52)), "NC",
                IF(ISNUMBER(SEARCH("DQ",MAIN!K52)), "DQ",
                IF(ISNUMBER(SEARCH("A",MAIN!K52)), 0,
                IF(OR(MAIN!K52=0,MAIN!K52=""), 0, --TRIM(MAIN!K52)))))))))))),
            0
        )
    ),
    IFERROR(
        UPPER(
            IF(MAX(IFERROR(SEARCH("WD",MAIN!G52:J52), 0))&gt;0, "WD",
            IF(MAX(IFERROR(SEARCH("NS",MAIN!G52:J52), 0))&gt;0, "NS",
            IF(MAX(IFERROR(SEARCH("NC",MAIN!G52:J52), 0))&gt;0, "NC",
            IF(MAX(IFERROR(SEARCH("DQ",MAIN!G52:J52), 0))&gt;0, "DQ",
            IF(ISNUMBER(SEARCH("WD",MAIN!K52)), "WD",
            IF(ISNUMBER(SEARCH("NS",MAIN!K52)), "NS",
            IF(ISNUMBER(SEARCH("NC",MAIN!K52)), "NC",
            IF(ISNUMBER(SEARCH("DQ",MAIN!K52)), "DQ",
            IF(ISNUMBER(SEARCH("A",MAIN!K52)), 0,
            IF(OR(MAIN!K52=0,MAIN!K52=""), 0, --TRIM(MAIN!K52)))))))))))),
        0
    )
)</f>
        <v>0</v>
      </c>
    </row>
    <row r="53" spans="1:11" x14ac:dyDescent="0.25">
      <c r="A53" t="str">
        <f>IF(ISBLANK(MAIN!A53), "--", IFERROR(PROPER(SUBSTITUTE(SUBSTITUTE(SUBSTITUTE(SUBSTITUTE(SUBSTITUTE(SUBSTITUTE(SUBSTITUTE(SUBSTITUTE(SUBSTITUTE(SUBSTITUTE(LEFT(MAIN!A53, FIND(",",MAIN!A53) -1), "0", ""), "1", ""), "2", ""), "3", ""), "4", ""), "5", ""), "6", ""), "7", ""), "8", ""), "9", "")), PROPER(SUBSTITUTE(SUBSTITUTE(SUBSTITUTE(SUBSTITUTE(SUBSTITUTE(SUBSTITUTE(SUBSTITUTE(SUBSTITUTE(SUBSTITUTE(SUBSTITUTE(MAIN!A53, "0", ""), "1", ""), "2", ""), "3", ""), "4", ""), "5", ""), "6", ""), "7", ""), "8", ""), "9", ""))))</f>
        <v>--</v>
      </c>
      <c r="B53" t="str">
        <f>IF(ISBLANK(MAIN!B53), "--", IFERROR(PROPER(SUBSTITUTE(SUBSTITUTE(SUBSTITUTE(SUBSTITUTE(SUBSTITUTE(SUBSTITUTE(SUBSTITUTE(SUBSTITUTE(SUBSTITUTE(SUBSTITUTE(LEFT(MAIN!B53, FIND(",",MAIN!B53) -1), "0", ""), "1", ""), "2", ""), "3", ""), "4", ""), "5", ""), "6", ""), "7", ""), "8", ""), "9", "")), PROPER(SUBSTITUTE(SUBSTITUTE(SUBSTITUTE(SUBSTITUTE(SUBSTITUTE(SUBSTITUTE(SUBSTITUTE(SUBSTITUTE(SUBSTITUTE(SUBSTITUTE(MAIN!B53, "0", ""), "1", ""), "2", ""), "3", ""), "4", ""), "5", ""), "6", ""), "7", ""), "8", ""), "9", ""))))</f>
        <v>--</v>
      </c>
      <c r="C53" t="str">
        <f>IF(ISBLANK(MAIN!C53), "--", IFERROR(PROPER(SUBSTITUTE(SUBSTITUTE(SUBSTITUTE(SUBSTITUTE(SUBSTITUTE(SUBSTITUTE(SUBSTITUTE(SUBSTITUTE(SUBSTITUTE(SUBSTITUTE(LEFT(MAIN!C53, FIND(",",MAIN!C53) -1), "0", ""), "1", ""), "2", ""), "3", ""), "4", ""), "5", ""), "6", ""), "7", ""), "8", ""), "9", "")), PROPER(SUBSTITUTE(SUBSTITUTE(SUBSTITUTE(SUBSTITUTE(SUBSTITUTE(SUBSTITUTE(SUBSTITUTE(SUBSTITUTE(SUBSTITUTE(SUBSTITUTE(MAIN!C53, "0", ""), "1", ""), "2", ""), "3", ""), "4", ""), "5", ""), "6", ""), "7", ""), "8", ""), "9", ""))))</f>
        <v>--</v>
      </c>
      <c r="D53" t="str">
        <f>IF(ISBLANK(MAIN!D53), "--", IF(ISNUMBER(MATCH(SUBSTITUTE(LEFT(MAIN!D53, IFERROR(FIND(",", MAIN!D53)-1, LEN(MAIN!D53))), " ", ""), lookup_values!$B$2:$B$51, 0)), UPPER(SUBSTITUTE(LEFT(MAIN!D53, IFERROR(FIND(",", MAIN!D53)-1, LEN(MAIN!D53))), " ", "")), IF(ISNA(VLOOKUP(SUBSTITUTE(LEFT(MAIN!D53, IFERROR(FIND(",", MAIN!D53)-1, LEN(MAIN!D53))), " ", ""), lookup_values!$A$2:$B$51, 2, FALSE)), "--", VLOOKUP(SUBSTITUTE(LEFT(MAIN!D53, IFERROR(FIND(",", MAIN!D53)-1, LEN(MAIN!D53))), " ", ""), lookup_values!$A$2:$B$51, 2, FALSE))))</f>
        <v>--</v>
      </c>
      <c r="E53" t="str">
        <f>IF(CLEAN_DATA!D53&lt;&gt;"--","US",IF(ISBLANK(MAIN!E53), "--", IF(ISNUMBER(MATCH(SUBSTITUTE(LEFT(MAIN!E53, IFERROR(FIND(",", MAIN!E53)-1, LEN(MAIN!E53))), " ", ""), lookup_values!$E$2:$E$197, 0)), UPPER(SUBSTITUTE(LEFT(MAIN!E53, IFERROR(FIND(",", MAIN!E53)-1, LEN(MAIN!E53))), " ", "")), IF(ISNA(VLOOKUP(SUBSTITUTE(LEFT(MAIN!E53, IFERROR(FIND(",", MAIN!E53)-1, LEN(MAIN!E53))), " ", ""), lookup_values!$D$2:$E$197, 2, FALSE)), "--", VLOOKUP(SUBSTITUTE(LEFT(MAIN!E53, IFERROR(FIND(",", MAIN!E53)-1, LEN(MAIN!E53))), " ", ""), lookup_values!$D$2:$E$197, 2, FALSE)))))</f>
        <v>--</v>
      </c>
      <c r="F53" t="str">
        <f>IF(ISBLANK(MAIN!F53), "", IF(AND(ISNUMBER(VALUE(TRIM(MAIN!F53))), LEN(TRIM(MAIN!F53))=4), VALUE(TRIM(MAIN!F53)), ""))</f>
        <v/>
      </c>
      <c r="G53">
        <f>IF(ISBLANK(MAIN!G53), 0, IF(ISNUMBER(VALUE(TRIM(MAIN!G53))), VALUE(TRIM(MAIN!G53)), 0))</f>
        <v>0</v>
      </c>
      <c r="H53">
        <f>IF(ISBLANK(MAIN!H53), 0, IF(ISNUMBER(VALUE(TRIM(MAIN!H53))), VALUE(TRIM(MAIN!H53)), 0))</f>
        <v>0</v>
      </c>
      <c r="I53">
        <f>IF(ISBLANK(MAIN!I53), 0, IF(ISNUMBER(VALUE(TRIM(MAIN!I53))), VALUE(TRIM(MAIN!I53)), 0))</f>
        <v>0</v>
      </c>
      <c r="J53">
        <f>IF(ISBLANK(MAIN!J53), 0, IF(ISNUMBER(VALUE(TRIM(MAIN!J53))), VALUE(TRIM(MAIN!J53)), 0))</f>
        <v>0</v>
      </c>
      <c r="K53" cm="1">
        <f t="array" ref="K53">IFERROR(
    VALUE(
        IFERROR(
            UPPER(
                IF(MAX(IFERROR(SEARCH("WD",MAIN!G53:J53), 0))&gt;0, "WD",
                IF(MAX(IFERROR(SEARCH("NS",MAIN!G53:J53), 0))&gt;0, "NS",
                IF(MAX(IFERROR(SEARCH("NC",MAIN!G53:J53), 0))&gt;0, "NC",
                IF(MAX(IFERROR(SEARCH("DQ",MAIN!G53:J53), 0))&gt;0, "DQ",
                IF(ISNUMBER(SEARCH("WD",MAIN!K53)), "WD",
                IF(ISNUMBER(SEARCH("NS",MAIN!K53)), "NS",
                IF(ISNUMBER(SEARCH("NC",MAIN!K53)), "NC",
                IF(ISNUMBER(SEARCH("DQ",MAIN!K53)), "DQ",
                IF(ISNUMBER(SEARCH("A",MAIN!K53)), 0,
                IF(OR(MAIN!K53=0,MAIN!K53=""), 0, --TRIM(MAIN!K53)))))))))))),
            0
        )
    ),
    IFERROR(
        UPPER(
            IF(MAX(IFERROR(SEARCH("WD",MAIN!G53:J53), 0))&gt;0, "WD",
            IF(MAX(IFERROR(SEARCH("NS",MAIN!G53:J53), 0))&gt;0, "NS",
            IF(MAX(IFERROR(SEARCH("NC",MAIN!G53:J53), 0))&gt;0, "NC",
            IF(MAX(IFERROR(SEARCH("DQ",MAIN!G53:J53), 0))&gt;0, "DQ",
            IF(ISNUMBER(SEARCH("WD",MAIN!K53)), "WD",
            IF(ISNUMBER(SEARCH("NS",MAIN!K53)), "NS",
            IF(ISNUMBER(SEARCH("NC",MAIN!K53)), "NC",
            IF(ISNUMBER(SEARCH("DQ",MAIN!K53)), "DQ",
            IF(ISNUMBER(SEARCH("A",MAIN!K53)), 0,
            IF(OR(MAIN!K53=0,MAIN!K53=""), 0, --TRIM(MAIN!K53)))))))))))),
        0
    )
)</f>
        <v>0</v>
      </c>
    </row>
    <row r="54" spans="1:11" x14ac:dyDescent="0.25">
      <c r="A54" t="str">
        <f>IF(ISBLANK(MAIN!A54), "--", IFERROR(PROPER(SUBSTITUTE(SUBSTITUTE(SUBSTITUTE(SUBSTITUTE(SUBSTITUTE(SUBSTITUTE(SUBSTITUTE(SUBSTITUTE(SUBSTITUTE(SUBSTITUTE(LEFT(MAIN!A54, FIND(",",MAIN!A54) -1), "0", ""), "1", ""), "2", ""), "3", ""), "4", ""), "5", ""), "6", ""), "7", ""), "8", ""), "9", "")), PROPER(SUBSTITUTE(SUBSTITUTE(SUBSTITUTE(SUBSTITUTE(SUBSTITUTE(SUBSTITUTE(SUBSTITUTE(SUBSTITUTE(SUBSTITUTE(SUBSTITUTE(MAIN!A54, "0", ""), "1", ""), "2", ""), "3", ""), "4", ""), "5", ""), "6", ""), "7", ""), "8", ""), "9", ""))))</f>
        <v>--</v>
      </c>
      <c r="B54" t="str">
        <f>IF(ISBLANK(MAIN!B54), "--", IFERROR(PROPER(SUBSTITUTE(SUBSTITUTE(SUBSTITUTE(SUBSTITUTE(SUBSTITUTE(SUBSTITUTE(SUBSTITUTE(SUBSTITUTE(SUBSTITUTE(SUBSTITUTE(LEFT(MAIN!B54, FIND(",",MAIN!B54) -1), "0", ""), "1", ""), "2", ""), "3", ""), "4", ""), "5", ""), "6", ""), "7", ""), "8", ""), "9", "")), PROPER(SUBSTITUTE(SUBSTITUTE(SUBSTITUTE(SUBSTITUTE(SUBSTITUTE(SUBSTITUTE(SUBSTITUTE(SUBSTITUTE(SUBSTITUTE(SUBSTITUTE(MAIN!B54, "0", ""), "1", ""), "2", ""), "3", ""), "4", ""), "5", ""), "6", ""), "7", ""), "8", ""), "9", ""))))</f>
        <v>--</v>
      </c>
      <c r="C54" t="str">
        <f>IF(ISBLANK(MAIN!C54), "--", IFERROR(PROPER(SUBSTITUTE(SUBSTITUTE(SUBSTITUTE(SUBSTITUTE(SUBSTITUTE(SUBSTITUTE(SUBSTITUTE(SUBSTITUTE(SUBSTITUTE(SUBSTITUTE(LEFT(MAIN!C54, FIND(",",MAIN!C54) -1), "0", ""), "1", ""), "2", ""), "3", ""), "4", ""), "5", ""), "6", ""), "7", ""), "8", ""), "9", "")), PROPER(SUBSTITUTE(SUBSTITUTE(SUBSTITUTE(SUBSTITUTE(SUBSTITUTE(SUBSTITUTE(SUBSTITUTE(SUBSTITUTE(SUBSTITUTE(SUBSTITUTE(MAIN!C54, "0", ""), "1", ""), "2", ""), "3", ""), "4", ""), "5", ""), "6", ""), "7", ""), "8", ""), "9", ""))))</f>
        <v>--</v>
      </c>
      <c r="D54" t="str">
        <f>IF(ISBLANK(MAIN!D54), "--", IF(ISNUMBER(MATCH(SUBSTITUTE(LEFT(MAIN!D54, IFERROR(FIND(",", MAIN!D54)-1, LEN(MAIN!D54))), " ", ""), lookup_values!$B$2:$B$51, 0)), UPPER(SUBSTITUTE(LEFT(MAIN!D54, IFERROR(FIND(",", MAIN!D54)-1, LEN(MAIN!D54))), " ", "")), IF(ISNA(VLOOKUP(SUBSTITUTE(LEFT(MAIN!D54, IFERROR(FIND(",", MAIN!D54)-1, LEN(MAIN!D54))), " ", ""), lookup_values!$A$2:$B$51, 2, FALSE)), "--", VLOOKUP(SUBSTITUTE(LEFT(MAIN!D54, IFERROR(FIND(",", MAIN!D54)-1, LEN(MAIN!D54))), " ", ""), lookup_values!$A$2:$B$51, 2, FALSE))))</f>
        <v>--</v>
      </c>
      <c r="E54" t="str">
        <f>IF(CLEAN_DATA!D54&lt;&gt;"--","US",IF(ISBLANK(MAIN!E54), "--", IF(ISNUMBER(MATCH(SUBSTITUTE(LEFT(MAIN!E54, IFERROR(FIND(",", MAIN!E54)-1, LEN(MAIN!E54))), " ", ""), lookup_values!$E$2:$E$197, 0)), UPPER(SUBSTITUTE(LEFT(MAIN!E54, IFERROR(FIND(",", MAIN!E54)-1, LEN(MAIN!E54))), " ", "")), IF(ISNA(VLOOKUP(SUBSTITUTE(LEFT(MAIN!E54, IFERROR(FIND(",", MAIN!E54)-1, LEN(MAIN!E54))), " ", ""), lookup_values!$D$2:$E$197, 2, FALSE)), "--", VLOOKUP(SUBSTITUTE(LEFT(MAIN!E54, IFERROR(FIND(",", MAIN!E54)-1, LEN(MAIN!E54))), " ", ""), lookup_values!$D$2:$E$197, 2, FALSE)))))</f>
        <v>--</v>
      </c>
      <c r="F54" t="str">
        <f>IF(ISBLANK(MAIN!F54), "", IF(AND(ISNUMBER(VALUE(TRIM(MAIN!F54))), LEN(TRIM(MAIN!F54))=4), VALUE(TRIM(MAIN!F54)), ""))</f>
        <v/>
      </c>
      <c r="G54">
        <f>IF(ISBLANK(MAIN!G54), 0, IF(ISNUMBER(VALUE(TRIM(MAIN!G54))), VALUE(TRIM(MAIN!G54)), 0))</f>
        <v>0</v>
      </c>
      <c r="H54">
        <f>IF(ISBLANK(MAIN!H54), 0, IF(ISNUMBER(VALUE(TRIM(MAIN!H54))), VALUE(TRIM(MAIN!H54)), 0))</f>
        <v>0</v>
      </c>
      <c r="I54">
        <f>IF(ISBLANK(MAIN!I54), 0, IF(ISNUMBER(VALUE(TRIM(MAIN!I54))), VALUE(TRIM(MAIN!I54)), 0))</f>
        <v>0</v>
      </c>
      <c r="J54">
        <f>IF(ISBLANK(MAIN!J54), 0, IF(ISNUMBER(VALUE(TRIM(MAIN!J54))), VALUE(TRIM(MAIN!J54)), 0))</f>
        <v>0</v>
      </c>
      <c r="K54" cm="1">
        <f t="array" ref="K54">IFERROR(
    VALUE(
        IFERROR(
            UPPER(
                IF(MAX(IFERROR(SEARCH("WD",MAIN!G54:J54), 0))&gt;0, "WD",
                IF(MAX(IFERROR(SEARCH("NS",MAIN!G54:J54), 0))&gt;0, "NS",
                IF(MAX(IFERROR(SEARCH("NC",MAIN!G54:J54), 0))&gt;0, "NC",
                IF(MAX(IFERROR(SEARCH("DQ",MAIN!G54:J54), 0))&gt;0, "DQ",
                IF(ISNUMBER(SEARCH("WD",MAIN!K54)), "WD",
                IF(ISNUMBER(SEARCH("NS",MAIN!K54)), "NS",
                IF(ISNUMBER(SEARCH("NC",MAIN!K54)), "NC",
                IF(ISNUMBER(SEARCH("DQ",MAIN!K54)), "DQ",
                IF(ISNUMBER(SEARCH("A",MAIN!K54)), 0,
                IF(OR(MAIN!K54=0,MAIN!K54=""), 0, --TRIM(MAIN!K54)))))))))))),
            0
        )
    ),
    IFERROR(
        UPPER(
            IF(MAX(IFERROR(SEARCH("WD",MAIN!G54:J54), 0))&gt;0, "WD",
            IF(MAX(IFERROR(SEARCH("NS",MAIN!G54:J54), 0))&gt;0, "NS",
            IF(MAX(IFERROR(SEARCH("NC",MAIN!G54:J54), 0))&gt;0, "NC",
            IF(MAX(IFERROR(SEARCH("DQ",MAIN!G54:J54), 0))&gt;0, "DQ",
            IF(ISNUMBER(SEARCH("WD",MAIN!K54)), "WD",
            IF(ISNUMBER(SEARCH("NS",MAIN!K54)), "NS",
            IF(ISNUMBER(SEARCH("NC",MAIN!K54)), "NC",
            IF(ISNUMBER(SEARCH("DQ",MAIN!K54)), "DQ",
            IF(ISNUMBER(SEARCH("A",MAIN!K54)), 0,
            IF(OR(MAIN!K54=0,MAIN!K54=""), 0, --TRIM(MAIN!K54)))))))))))),
        0
    )
)</f>
        <v>0</v>
      </c>
    </row>
    <row r="55" spans="1:11" x14ac:dyDescent="0.25">
      <c r="A55" t="str">
        <f>IF(ISBLANK(MAIN!A55), "--", IFERROR(PROPER(SUBSTITUTE(SUBSTITUTE(SUBSTITUTE(SUBSTITUTE(SUBSTITUTE(SUBSTITUTE(SUBSTITUTE(SUBSTITUTE(SUBSTITUTE(SUBSTITUTE(LEFT(MAIN!A55, FIND(",",MAIN!A55) -1), "0", ""), "1", ""), "2", ""), "3", ""), "4", ""), "5", ""), "6", ""), "7", ""), "8", ""), "9", "")), PROPER(SUBSTITUTE(SUBSTITUTE(SUBSTITUTE(SUBSTITUTE(SUBSTITUTE(SUBSTITUTE(SUBSTITUTE(SUBSTITUTE(SUBSTITUTE(SUBSTITUTE(MAIN!A55, "0", ""), "1", ""), "2", ""), "3", ""), "4", ""), "5", ""), "6", ""), "7", ""), "8", ""), "9", ""))))</f>
        <v>--</v>
      </c>
      <c r="B55" t="str">
        <f>IF(ISBLANK(MAIN!B55), "--", IFERROR(PROPER(SUBSTITUTE(SUBSTITUTE(SUBSTITUTE(SUBSTITUTE(SUBSTITUTE(SUBSTITUTE(SUBSTITUTE(SUBSTITUTE(SUBSTITUTE(SUBSTITUTE(LEFT(MAIN!B55, FIND(",",MAIN!B55) -1), "0", ""), "1", ""), "2", ""), "3", ""), "4", ""), "5", ""), "6", ""), "7", ""), "8", ""), "9", "")), PROPER(SUBSTITUTE(SUBSTITUTE(SUBSTITUTE(SUBSTITUTE(SUBSTITUTE(SUBSTITUTE(SUBSTITUTE(SUBSTITUTE(SUBSTITUTE(SUBSTITUTE(MAIN!B55, "0", ""), "1", ""), "2", ""), "3", ""), "4", ""), "5", ""), "6", ""), "7", ""), "8", ""), "9", ""))))</f>
        <v>--</v>
      </c>
      <c r="C55" t="str">
        <f>IF(ISBLANK(MAIN!C55), "--", IFERROR(PROPER(SUBSTITUTE(SUBSTITUTE(SUBSTITUTE(SUBSTITUTE(SUBSTITUTE(SUBSTITUTE(SUBSTITUTE(SUBSTITUTE(SUBSTITUTE(SUBSTITUTE(LEFT(MAIN!C55, FIND(",",MAIN!C55) -1), "0", ""), "1", ""), "2", ""), "3", ""), "4", ""), "5", ""), "6", ""), "7", ""), "8", ""), "9", "")), PROPER(SUBSTITUTE(SUBSTITUTE(SUBSTITUTE(SUBSTITUTE(SUBSTITUTE(SUBSTITUTE(SUBSTITUTE(SUBSTITUTE(SUBSTITUTE(SUBSTITUTE(MAIN!C55, "0", ""), "1", ""), "2", ""), "3", ""), "4", ""), "5", ""), "6", ""), "7", ""), "8", ""), "9", ""))))</f>
        <v>--</v>
      </c>
      <c r="D55" t="str">
        <f>IF(ISBLANK(MAIN!D55), "--", IF(ISNUMBER(MATCH(SUBSTITUTE(LEFT(MAIN!D55, IFERROR(FIND(",", MAIN!D55)-1, LEN(MAIN!D55))), " ", ""), lookup_values!$B$2:$B$51, 0)), UPPER(SUBSTITUTE(LEFT(MAIN!D55, IFERROR(FIND(",", MAIN!D55)-1, LEN(MAIN!D55))), " ", "")), IF(ISNA(VLOOKUP(SUBSTITUTE(LEFT(MAIN!D55, IFERROR(FIND(",", MAIN!D55)-1, LEN(MAIN!D55))), " ", ""), lookup_values!$A$2:$B$51, 2, FALSE)), "--", VLOOKUP(SUBSTITUTE(LEFT(MAIN!D55, IFERROR(FIND(",", MAIN!D55)-1, LEN(MAIN!D55))), " ", ""), lookup_values!$A$2:$B$51, 2, FALSE))))</f>
        <v>--</v>
      </c>
      <c r="E55" t="str">
        <f>IF(CLEAN_DATA!D55&lt;&gt;"--","US",IF(ISBLANK(MAIN!E55), "--", IF(ISNUMBER(MATCH(SUBSTITUTE(LEFT(MAIN!E55, IFERROR(FIND(",", MAIN!E55)-1, LEN(MAIN!E55))), " ", ""), lookup_values!$E$2:$E$197, 0)), UPPER(SUBSTITUTE(LEFT(MAIN!E55, IFERROR(FIND(",", MAIN!E55)-1, LEN(MAIN!E55))), " ", "")), IF(ISNA(VLOOKUP(SUBSTITUTE(LEFT(MAIN!E55, IFERROR(FIND(",", MAIN!E55)-1, LEN(MAIN!E55))), " ", ""), lookup_values!$D$2:$E$197, 2, FALSE)), "--", VLOOKUP(SUBSTITUTE(LEFT(MAIN!E55, IFERROR(FIND(",", MAIN!E55)-1, LEN(MAIN!E55))), " ", ""), lookup_values!$D$2:$E$197, 2, FALSE)))))</f>
        <v>--</v>
      </c>
      <c r="F55" t="str">
        <f>IF(ISBLANK(MAIN!F55), "", IF(AND(ISNUMBER(VALUE(TRIM(MAIN!F55))), LEN(TRIM(MAIN!F55))=4), VALUE(TRIM(MAIN!F55)), ""))</f>
        <v/>
      </c>
      <c r="G55">
        <f>IF(ISBLANK(MAIN!G55), 0, IF(ISNUMBER(VALUE(TRIM(MAIN!G55))), VALUE(TRIM(MAIN!G55)), 0))</f>
        <v>0</v>
      </c>
      <c r="H55">
        <f>IF(ISBLANK(MAIN!H55), 0, IF(ISNUMBER(VALUE(TRIM(MAIN!H55))), VALUE(TRIM(MAIN!H55)), 0))</f>
        <v>0</v>
      </c>
      <c r="I55">
        <f>IF(ISBLANK(MAIN!I55), 0, IF(ISNUMBER(VALUE(TRIM(MAIN!I55))), VALUE(TRIM(MAIN!I55)), 0))</f>
        <v>0</v>
      </c>
      <c r="J55">
        <f>IF(ISBLANK(MAIN!J55), 0, IF(ISNUMBER(VALUE(TRIM(MAIN!J55))), VALUE(TRIM(MAIN!J55)), 0))</f>
        <v>0</v>
      </c>
      <c r="K55" cm="1">
        <f t="array" ref="K55">IFERROR(
    VALUE(
        IFERROR(
            UPPER(
                IF(MAX(IFERROR(SEARCH("WD",MAIN!G55:J55), 0))&gt;0, "WD",
                IF(MAX(IFERROR(SEARCH("NS",MAIN!G55:J55), 0))&gt;0, "NS",
                IF(MAX(IFERROR(SEARCH("NC",MAIN!G55:J55), 0))&gt;0, "NC",
                IF(MAX(IFERROR(SEARCH("DQ",MAIN!G55:J55), 0))&gt;0, "DQ",
                IF(ISNUMBER(SEARCH("WD",MAIN!K55)), "WD",
                IF(ISNUMBER(SEARCH("NS",MAIN!K55)), "NS",
                IF(ISNUMBER(SEARCH("NC",MAIN!K55)), "NC",
                IF(ISNUMBER(SEARCH("DQ",MAIN!K55)), "DQ",
                IF(ISNUMBER(SEARCH("A",MAIN!K55)), 0,
                IF(OR(MAIN!K55=0,MAIN!K55=""), 0, --TRIM(MAIN!K55)))))))))))),
            0
        )
    ),
    IFERROR(
        UPPER(
            IF(MAX(IFERROR(SEARCH("WD",MAIN!G55:J55), 0))&gt;0, "WD",
            IF(MAX(IFERROR(SEARCH("NS",MAIN!G55:J55), 0))&gt;0, "NS",
            IF(MAX(IFERROR(SEARCH("NC",MAIN!G55:J55), 0))&gt;0, "NC",
            IF(MAX(IFERROR(SEARCH("DQ",MAIN!G55:J55), 0))&gt;0, "DQ",
            IF(ISNUMBER(SEARCH("WD",MAIN!K55)), "WD",
            IF(ISNUMBER(SEARCH("NS",MAIN!K55)), "NS",
            IF(ISNUMBER(SEARCH("NC",MAIN!K55)), "NC",
            IF(ISNUMBER(SEARCH("DQ",MAIN!K55)), "DQ",
            IF(ISNUMBER(SEARCH("A",MAIN!K55)), 0,
            IF(OR(MAIN!K55=0,MAIN!K55=""), 0, --TRIM(MAIN!K55)))))))))))),
        0
    )
)</f>
        <v>0</v>
      </c>
    </row>
    <row r="56" spans="1:11" x14ac:dyDescent="0.25">
      <c r="A56" t="str">
        <f>IF(ISBLANK(MAIN!A56), "--", IFERROR(PROPER(SUBSTITUTE(SUBSTITUTE(SUBSTITUTE(SUBSTITUTE(SUBSTITUTE(SUBSTITUTE(SUBSTITUTE(SUBSTITUTE(SUBSTITUTE(SUBSTITUTE(LEFT(MAIN!A56, FIND(",",MAIN!A56) -1), "0", ""), "1", ""), "2", ""), "3", ""), "4", ""), "5", ""), "6", ""), "7", ""), "8", ""), "9", "")), PROPER(SUBSTITUTE(SUBSTITUTE(SUBSTITUTE(SUBSTITUTE(SUBSTITUTE(SUBSTITUTE(SUBSTITUTE(SUBSTITUTE(SUBSTITUTE(SUBSTITUTE(MAIN!A56, "0", ""), "1", ""), "2", ""), "3", ""), "4", ""), "5", ""), "6", ""), "7", ""), "8", ""), "9", ""))))</f>
        <v>--</v>
      </c>
      <c r="B56" t="str">
        <f>IF(ISBLANK(MAIN!B56), "--", IFERROR(PROPER(SUBSTITUTE(SUBSTITUTE(SUBSTITUTE(SUBSTITUTE(SUBSTITUTE(SUBSTITUTE(SUBSTITUTE(SUBSTITUTE(SUBSTITUTE(SUBSTITUTE(LEFT(MAIN!B56, FIND(",",MAIN!B56) -1), "0", ""), "1", ""), "2", ""), "3", ""), "4", ""), "5", ""), "6", ""), "7", ""), "8", ""), "9", "")), PROPER(SUBSTITUTE(SUBSTITUTE(SUBSTITUTE(SUBSTITUTE(SUBSTITUTE(SUBSTITUTE(SUBSTITUTE(SUBSTITUTE(SUBSTITUTE(SUBSTITUTE(MAIN!B56, "0", ""), "1", ""), "2", ""), "3", ""), "4", ""), "5", ""), "6", ""), "7", ""), "8", ""), "9", ""))))</f>
        <v>--</v>
      </c>
      <c r="C56" t="str">
        <f>IF(ISBLANK(MAIN!C56), "--", IFERROR(PROPER(SUBSTITUTE(SUBSTITUTE(SUBSTITUTE(SUBSTITUTE(SUBSTITUTE(SUBSTITUTE(SUBSTITUTE(SUBSTITUTE(SUBSTITUTE(SUBSTITUTE(LEFT(MAIN!C56, FIND(",",MAIN!C56) -1), "0", ""), "1", ""), "2", ""), "3", ""), "4", ""), "5", ""), "6", ""), "7", ""), "8", ""), "9", "")), PROPER(SUBSTITUTE(SUBSTITUTE(SUBSTITUTE(SUBSTITUTE(SUBSTITUTE(SUBSTITUTE(SUBSTITUTE(SUBSTITUTE(SUBSTITUTE(SUBSTITUTE(MAIN!C56, "0", ""), "1", ""), "2", ""), "3", ""), "4", ""), "5", ""), "6", ""), "7", ""), "8", ""), "9", ""))))</f>
        <v>--</v>
      </c>
      <c r="D56" t="str">
        <f>IF(ISBLANK(MAIN!D56), "--", IF(ISNUMBER(MATCH(SUBSTITUTE(LEFT(MAIN!D56, IFERROR(FIND(",", MAIN!D56)-1, LEN(MAIN!D56))), " ", ""), lookup_values!$B$2:$B$51, 0)), UPPER(SUBSTITUTE(LEFT(MAIN!D56, IFERROR(FIND(",", MAIN!D56)-1, LEN(MAIN!D56))), " ", "")), IF(ISNA(VLOOKUP(SUBSTITUTE(LEFT(MAIN!D56, IFERROR(FIND(",", MAIN!D56)-1, LEN(MAIN!D56))), " ", ""), lookup_values!$A$2:$B$51, 2, FALSE)), "--", VLOOKUP(SUBSTITUTE(LEFT(MAIN!D56, IFERROR(FIND(",", MAIN!D56)-1, LEN(MAIN!D56))), " ", ""), lookup_values!$A$2:$B$51, 2, FALSE))))</f>
        <v>--</v>
      </c>
      <c r="E56" t="str">
        <f>IF(CLEAN_DATA!D56&lt;&gt;"--","US",IF(ISBLANK(MAIN!E56), "--", IF(ISNUMBER(MATCH(SUBSTITUTE(LEFT(MAIN!E56, IFERROR(FIND(",", MAIN!E56)-1, LEN(MAIN!E56))), " ", ""), lookup_values!$E$2:$E$197, 0)), UPPER(SUBSTITUTE(LEFT(MAIN!E56, IFERROR(FIND(",", MAIN!E56)-1, LEN(MAIN!E56))), " ", "")), IF(ISNA(VLOOKUP(SUBSTITUTE(LEFT(MAIN!E56, IFERROR(FIND(",", MAIN!E56)-1, LEN(MAIN!E56))), " ", ""), lookup_values!$D$2:$E$197, 2, FALSE)), "--", VLOOKUP(SUBSTITUTE(LEFT(MAIN!E56, IFERROR(FIND(",", MAIN!E56)-1, LEN(MAIN!E56))), " ", ""), lookup_values!$D$2:$E$197, 2, FALSE)))))</f>
        <v>--</v>
      </c>
      <c r="F56" t="str">
        <f>IF(ISBLANK(MAIN!F56), "", IF(AND(ISNUMBER(VALUE(TRIM(MAIN!F56))), LEN(TRIM(MAIN!F56))=4), VALUE(TRIM(MAIN!F56)), ""))</f>
        <v/>
      </c>
      <c r="G56">
        <f>IF(ISBLANK(MAIN!G56), 0, IF(ISNUMBER(VALUE(TRIM(MAIN!G56))), VALUE(TRIM(MAIN!G56)), 0))</f>
        <v>0</v>
      </c>
      <c r="H56">
        <f>IF(ISBLANK(MAIN!H56), 0, IF(ISNUMBER(VALUE(TRIM(MAIN!H56))), VALUE(TRIM(MAIN!H56)), 0))</f>
        <v>0</v>
      </c>
      <c r="I56">
        <f>IF(ISBLANK(MAIN!I56), 0, IF(ISNUMBER(VALUE(TRIM(MAIN!I56))), VALUE(TRIM(MAIN!I56)), 0))</f>
        <v>0</v>
      </c>
      <c r="J56">
        <f>IF(ISBLANK(MAIN!J56), 0, IF(ISNUMBER(VALUE(TRIM(MAIN!J56))), VALUE(TRIM(MAIN!J56)), 0))</f>
        <v>0</v>
      </c>
      <c r="K56" cm="1">
        <f t="array" ref="K56">IFERROR(
    VALUE(
        IFERROR(
            UPPER(
                IF(MAX(IFERROR(SEARCH("WD",MAIN!G56:J56), 0))&gt;0, "WD",
                IF(MAX(IFERROR(SEARCH("NS",MAIN!G56:J56), 0))&gt;0, "NS",
                IF(MAX(IFERROR(SEARCH("NC",MAIN!G56:J56), 0))&gt;0, "NC",
                IF(MAX(IFERROR(SEARCH("DQ",MAIN!G56:J56), 0))&gt;0, "DQ",
                IF(ISNUMBER(SEARCH("WD",MAIN!K56)), "WD",
                IF(ISNUMBER(SEARCH("NS",MAIN!K56)), "NS",
                IF(ISNUMBER(SEARCH("NC",MAIN!K56)), "NC",
                IF(ISNUMBER(SEARCH("DQ",MAIN!K56)), "DQ",
                IF(ISNUMBER(SEARCH("A",MAIN!K56)), 0,
                IF(OR(MAIN!K56=0,MAIN!K56=""), 0, --TRIM(MAIN!K56)))))))))))),
            0
        )
    ),
    IFERROR(
        UPPER(
            IF(MAX(IFERROR(SEARCH("WD",MAIN!G56:J56), 0))&gt;0, "WD",
            IF(MAX(IFERROR(SEARCH("NS",MAIN!G56:J56), 0))&gt;0, "NS",
            IF(MAX(IFERROR(SEARCH("NC",MAIN!G56:J56), 0))&gt;0, "NC",
            IF(MAX(IFERROR(SEARCH("DQ",MAIN!G56:J56), 0))&gt;0, "DQ",
            IF(ISNUMBER(SEARCH("WD",MAIN!K56)), "WD",
            IF(ISNUMBER(SEARCH("NS",MAIN!K56)), "NS",
            IF(ISNUMBER(SEARCH("NC",MAIN!K56)), "NC",
            IF(ISNUMBER(SEARCH("DQ",MAIN!K56)), "DQ",
            IF(ISNUMBER(SEARCH("A",MAIN!K56)), 0,
            IF(OR(MAIN!K56=0,MAIN!K56=""), 0, --TRIM(MAIN!K56)))))))))))),
        0
    )
)</f>
        <v>0</v>
      </c>
    </row>
    <row r="57" spans="1:11" x14ac:dyDescent="0.25">
      <c r="A57" t="str">
        <f>IF(ISBLANK(MAIN!A57), "--", IFERROR(PROPER(SUBSTITUTE(SUBSTITUTE(SUBSTITUTE(SUBSTITUTE(SUBSTITUTE(SUBSTITUTE(SUBSTITUTE(SUBSTITUTE(SUBSTITUTE(SUBSTITUTE(LEFT(MAIN!A57, FIND(",",MAIN!A57) -1), "0", ""), "1", ""), "2", ""), "3", ""), "4", ""), "5", ""), "6", ""), "7", ""), "8", ""), "9", "")), PROPER(SUBSTITUTE(SUBSTITUTE(SUBSTITUTE(SUBSTITUTE(SUBSTITUTE(SUBSTITUTE(SUBSTITUTE(SUBSTITUTE(SUBSTITUTE(SUBSTITUTE(MAIN!A57, "0", ""), "1", ""), "2", ""), "3", ""), "4", ""), "5", ""), "6", ""), "7", ""), "8", ""), "9", ""))))</f>
        <v>--</v>
      </c>
      <c r="B57" t="str">
        <f>IF(ISBLANK(MAIN!B57), "--", IFERROR(PROPER(SUBSTITUTE(SUBSTITUTE(SUBSTITUTE(SUBSTITUTE(SUBSTITUTE(SUBSTITUTE(SUBSTITUTE(SUBSTITUTE(SUBSTITUTE(SUBSTITUTE(LEFT(MAIN!B57, FIND(",",MAIN!B57) -1), "0", ""), "1", ""), "2", ""), "3", ""), "4", ""), "5", ""), "6", ""), "7", ""), "8", ""), "9", "")), PROPER(SUBSTITUTE(SUBSTITUTE(SUBSTITUTE(SUBSTITUTE(SUBSTITUTE(SUBSTITUTE(SUBSTITUTE(SUBSTITUTE(SUBSTITUTE(SUBSTITUTE(MAIN!B57, "0", ""), "1", ""), "2", ""), "3", ""), "4", ""), "5", ""), "6", ""), "7", ""), "8", ""), "9", ""))))</f>
        <v>--</v>
      </c>
      <c r="C57" t="str">
        <f>IF(ISBLANK(MAIN!C57), "--", IFERROR(PROPER(SUBSTITUTE(SUBSTITUTE(SUBSTITUTE(SUBSTITUTE(SUBSTITUTE(SUBSTITUTE(SUBSTITUTE(SUBSTITUTE(SUBSTITUTE(SUBSTITUTE(LEFT(MAIN!C57, FIND(",",MAIN!C57) -1), "0", ""), "1", ""), "2", ""), "3", ""), "4", ""), "5", ""), "6", ""), "7", ""), "8", ""), "9", "")), PROPER(SUBSTITUTE(SUBSTITUTE(SUBSTITUTE(SUBSTITUTE(SUBSTITUTE(SUBSTITUTE(SUBSTITUTE(SUBSTITUTE(SUBSTITUTE(SUBSTITUTE(MAIN!C57, "0", ""), "1", ""), "2", ""), "3", ""), "4", ""), "5", ""), "6", ""), "7", ""), "8", ""), "9", ""))))</f>
        <v>--</v>
      </c>
      <c r="D57" t="str">
        <f>IF(ISBLANK(MAIN!D57), "--", IF(ISNUMBER(MATCH(SUBSTITUTE(LEFT(MAIN!D57, IFERROR(FIND(",", MAIN!D57)-1, LEN(MAIN!D57))), " ", ""), lookup_values!$B$2:$B$51, 0)), UPPER(SUBSTITUTE(LEFT(MAIN!D57, IFERROR(FIND(",", MAIN!D57)-1, LEN(MAIN!D57))), " ", "")), IF(ISNA(VLOOKUP(SUBSTITUTE(LEFT(MAIN!D57, IFERROR(FIND(",", MAIN!D57)-1, LEN(MAIN!D57))), " ", ""), lookup_values!$A$2:$B$51, 2, FALSE)), "--", VLOOKUP(SUBSTITUTE(LEFT(MAIN!D57, IFERROR(FIND(",", MAIN!D57)-1, LEN(MAIN!D57))), " ", ""), lookup_values!$A$2:$B$51, 2, FALSE))))</f>
        <v>--</v>
      </c>
      <c r="E57" t="str">
        <f>IF(CLEAN_DATA!D57&lt;&gt;"--","US",IF(ISBLANK(MAIN!E57), "--", IF(ISNUMBER(MATCH(SUBSTITUTE(LEFT(MAIN!E57, IFERROR(FIND(",", MAIN!E57)-1, LEN(MAIN!E57))), " ", ""), lookup_values!$E$2:$E$197, 0)), UPPER(SUBSTITUTE(LEFT(MAIN!E57, IFERROR(FIND(",", MAIN!E57)-1, LEN(MAIN!E57))), " ", "")), IF(ISNA(VLOOKUP(SUBSTITUTE(LEFT(MAIN!E57, IFERROR(FIND(",", MAIN!E57)-1, LEN(MAIN!E57))), " ", ""), lookup_values!$D$2:$E$197, 2, FALSE)), "--", VLOOKUP(SUBSTITUTE(LEFT(MAIN!E57, IFERROR(FIND(",", MAIN!E57)-1, LEN(MAIN!E57))), " ", ""), lookup_values!$D$2:$E$197, 2, FALSE)))))</f>
        <v>--</v>
      </c>
      <c r="F57" t="str">
        <f>IF(ISBLANK(MAIN!F57), "", IF(AND(ISNUMBER(VALUE(TRIM(MAIN!F57))), LEN(TRIM(MAIN!F57))=4), VALUE(TRIM(MAIN!F57)), ""))</f>
        <v/>
      </c>
      <c r="G57">
        <f>IF(ISBLANK(MAIN!G57), 0, IF(ISNUMBER(VALUE(TRIM(MAIN!G57))), VALUE(TRIM(MAIN!G57)), 0))</f>
        <v>0</v>
      </c>
      <c r="H57">
        <f>IF(ISBLANK(MAIN!H57), 0, IF(ISNUMBER(VALUE(TRIM(MAIN!H57))), VALUE(TRIM(MAIN!H57)), 0))</f>
        <v>0</v>
      </c>
      <c r="I57">
        <f>IF(ISBLANK(MAIN!I57), 0, IF(ISNUMBER(VALUE(TRIM(MAIN!I57))), VALUE(TRIM(MAIN!I57)), 0))</f>
        <v>0</v>
      </c>
      <c r="J57">
        <f>IF(ISBLANK(MAIN!J57), 0, IF(ISNUMBER(VALUE(TRIM(MAIN!J57))), VALUE(TRIM(MAIN!J57)), 0))</f>
        <v>0</v>
      </c>
      <c r="K57" cm="1">
        <f t="array" ref="K57">IFERROR(
    VALUE(
        IFERROR(
            UPPER(
                IF(MAX(IFERROR(SEARCH("WD",MAIN!G57:J57), 0))&gt;0, "WD",
                IF(MAX(IFERROR(SEARCH("NS",MAIN!G57:J57), 0))&gt;0, "NS",
                IF(MAX(IFERROR(SEARCH("NC",MAIN!G57:J57), 0))&gt;0, "NC",
                IF(MAX(IFERROR(SEARCH("DQ",MAIN!G57:J57), 0))&gt;0, "DQ",
                IF(ISNUMBER(SEARCH("WD",MAIN!K57)), "WD",
                IF(ISNUMBER(SEARCH("NS",MAIN!K57)), "NS",
                IF(ISNUMBER(SEARCH("NC",MAIN!K57)), "NC",
                IF(ISNUMBER(SEARCH("DQ",MAIN!K57)), "DQ",
                IF(ISNUMBER(SEARCH("A",MAIN!K57)), 0,
                IF(OR(MAIN!K57=0,MAIN!K57=""), 0, --TRIM(MAIN!K57)))))))))))),
            0
        )
    ),
    IFERROR(
        UPPER(
            IF(MAX(IFERROR(SEARCH("WD",MAIN!G57:J57), 0))&gt;0, "WD",
            IF(MAX(IFERROR(SEARCH("NS",MAIN!G57:J57), 0))&gt;0, "NS",
            IF(MAX(IFERROR(SEARCH("NC",MAIN!G57:J57), 0))&gt;0, "NC",
            IF(MAX(IFERROR(SEARCH("DQ",MAIN!G57:J57), 0))&gt;0, "DQ",
            IF(ISNUMBER(SEARCH("WD",MAIN!K57)), "WD",
            IF(ISNUMBER(SEARCH("NS",MAIN!K57)), "NS",
            IF(ISNUMBER(SEARCH("NC",MAIN!K57)), "NC",
            IF(ISNUMBER(SEARCH("DQ",MAIN!K57)), "DQ",
            IF(ISNUMBER(SEARCH("A",MAIN!K57)), 0,
            IF(OR(MAIN!K57=0,MAIN!K57=""), 0, --TRIM(MAIN!K57)))))))))))),
        0
    )
)</f>
        <v>0</v>
      </c>
    </row>
    <row r="58" spans="1:11" x14ac:dyDescent="0.25">
      <c r="A58" t="str">
        <f>IF(ISBLANK(MAIN!A58), "--", IFERROR(PROPER(SUBSTITUTE(SUBSTITUTE(SUBSTITUTE(SUBSTITUTE(SUBSTITUTE(SUBSTITUTE(SUBSTITUTE(SUBSTITUTE(SUBSTITUTE(SUBSTITUTE(LEFT(MAIN!A58, FIND(",",MAIN!A58) -1), "0", ""), "1", ""), "2", ""), "3", ""), "4", ""), "5", ""), "6", ""), "7", ""), "8", ""), "9", "")), PROPER(SUBSTITUTE(SUBSTITUTE(SUBSTITUTE(SUBSTITUTE(SUBSTITUTE(SUBSTITUTE(SUBSTITUTE(SUBSTITUTE(SUBSTITUTE(SUBSTITUTE(MAIN!A58, "0", ""), "1", ""), "2", ""), "3", ""), "4", ""), "5", ""), "6", ""), "7", ""), "8", ""), "9", ""))))</f>
        <v>--</v>
      </c>
      <c r="B58" t="str">
        <f>IF(ISBLANK(MAIN!B58), "--", IFERROR(PROPER(SUBSTITUTE(SUBSTITUTE(SUBSTITUTE(SUBSTITUTE(SUBSTITUTE(SUBSTITUTE(SUBSTITUTE(SUBSTITUTE(SUBSTITUTE(SUBSTITUTE(LEFT(MAIN!B58, FIND(",",MAIN!B58) -1), "0", ""), "1", ""), "2", ""), "3", ""), "4", ""), "5", ""), "6", ""), "7", ""), "8", ""), "9", "")), PROPER(SUBSTITUTE(SUBSTITUTE(SUBSTITUTE(SUBSTITUTE(SUBSTITUTE(SUBSTITUTE(SUBSTITUTE(SUBSTITUTE(SUBSTITUTE(SUBSTITUTE(MAIN!B58, "0", ""), "1", ""), "2", ""), "3", ""), "4", ""), "5", ""), "6", ""), "7", ""), "8", ""), "9", ""))))</f>
        <v>--</v>
      </c>
      <c r="C58" t="str">
        <f>IF(ISBLANK(MAIN!C58), "--", IFERROR(PROPER(SUBSTITUTE(SUBSTITUTE(SUBSTITUTE(SUBSTITUTE(SUBSTITUTE(SUBSTITUTE(SUBSTITUTE(SUBSTITUTE(SUBSTITUTE(SUBSTITUTE(LEFT(MAIN!C58, FIND(",",MAIN!C58) -1), "0", ""), "1", ""), "2", ""), "3", ""), "4", ""), "5", ""), "6", ""), "7", ""), "8", ""), "9", "")), PROPER(SUBSTITUTE(SUBSTITUTE(SUBSTITUTE(SUBSTITUTE(SUBSTITUTE(SUBSTITUTE(SUBSTITUTE(SUBSTITUTE(SUBSTITUTE(SUBSTITUTE(MAIN!C58, "0", ""), "1", ""), "2", ""), "3", ""), "4", ""), "5", ""), "6", ""), "7", ""), "8", ""), "9", ""))))</f>
        <v>--</v>
      </c>
      <c r="D58" t="str">
        <f>IF(ISBLANK(MAIN!D58), "--", IF(ISNUMBER(MATCH(SUBSTITUTE(LEFT(MAIN!D58, IFERROR(FIND(",", MAIN!D58)-1, LEN(MAIN!D58))), " ", ""), lookup_values!$B$2:$B$51, 0)), UPPER(SUBSTITUTE(LEFT(MAIN!D58, IFERROR(FIND(",", MAIN!D58)-1, LEN(MAIN!D58))), " ", "")), IF(ISNA(VLOOKUP(SUBSTITUTE(LEFT(MAIN!D58, IFERROR(FIND(",", MAIN!D58)-1, LEN(MAIN!D58))), " ", ""), lookup_values!$A$2:$B$51, 2, FALSE)), "--", VLOOKUP(SUBSTITUTE(LEFT(MAIN!D58, IFERROR(FIND(",", MAIN!D58)-1, LEN(MAIN!D58))), " ", ""), lookup_values!$A$2:$B$51, 2, FALSE))))</f>
        <v>--</v>
      </c>
      <c r="E58" t="str">
        <f>IF(CLEAN_DATA!D58&lt;&gt;"--","US",IF(ISBLANK(MAIN!E58), "--", IF(ISNUMBER(MATCH(SUBSTITUTE(LEFT(MAIN!E58, IFERROR(FIND(",", MAIN!E58)-1, LEN(MAIN!E58))), " ", ""), lookup_values!$E$2:$E$197, 0)), UPPER(SUBSTITUTE(LEFT(MAIN!E58, IFERROR(FIND(",", MAIN!E58)-1, LEN(MAIN!E58))), " ", "")), IF(ISNA(VLOOKUP(SUBSTITUTE(LEFT(MAIN!E58, IFERROR(FIND(",", MAIN!E58)-1, LEN(MAIN!E58))), " ", ""), lookup_values!$D$2:$E$197, 2, FALSE)), "--", VLOOKUP(SUBSTITUTE(LEFT(MAIN!E58, IFERROR(FIND(",", MAIN!E58)-1, LEN(MAIN!E58))), " ", ""), lookup_values!$D$2:$E$197, 2, FALSE)))))</f>
        <v>--</v>
      </c>
      <c r="F58" t="str">
        <f>IF(ISBLANK(MAIN!F58), "", IF(AND(ISNUMBER(VALUE(TRIM(MAIN!F58))), LEN(TRIM(MAIN!F58))=4), VALUE(TRIM(MAIN!F58)), ""))</f>
        <v/>
      </c>
      <c r="G58">
        <f>IF(ISBLANK(MAIN!G58), 0, IF(ISNUMBER(VALUE(TRIM(MAIN!G58))), VALUE(TRIM(MAIN!G58)), 0))</f>
        <v>0</v>
      </c>
      <c r="H58">
        <f>IF(ISBLANK(MAIN!H58), 0, IF(ISNUMBER(VALUE(TRIM(MAIN!H58))), VALUE(TRIM(MAIN!H58)), 0))</f>
        <v>0</v>
      </c>
      <c r="I58">
        <f>IF(ISBLANK(MAIN!I58), 0, IF(ISNUMBER(VALUE(TRIM(MAIN!I58))), VALUE(TRIM(MAIN!I58)), 0))</f>
        <v>0</v>
      </c>
      <c r="J58">
        <f>IF(ISBLANK(MAIN!J58), 0, IF(ISNUMBER(VALUE(TRIM(MAIN!J58))), VALUE(TRIM(MAIN!J58)), 0))</f>
        <v>0</v>
      </c>
      <c r="K58" cm="1">
        <f t="array" ref="K58">IFERROR(
    VALUE(
        IFERROR(
            UPPER(
                IF(MAX(IFERROR(SEARCH("WD",MAIN!G58:J58), 0))&gt;0, "WD",
                IF(MAX(IFERROR(SEARCH("NS",MAIN!G58:J58), 0))&gt;0, "NS",
                IF(MAX(IFERROR(SEARCH("NC",MAIN!G58:J58), 0))&gt;0, "NC",
                IF(MAX(IFERROR(SEARCH("DQ",MAIN!G58:J58), 0))&gt;0, "DQ",
                IF(ISNUMBER(SEARCH("WD",MAIN!K58)), "WD",
                IF(ISNUMBER(SEARCH("NS",MAIN!K58)), "NS",
                IF(ISNUMBER(SEARCH("NC",MAIN!K58)), "NC",
                IF(ISNUMBER(SEARCH("DQ",MAIN!K58)), "DQ",
                IF(ISNUMBER(SEARCH("A",MAIN!K58)), 0,
                IF(OR(MAIN!K58=0,MAIN!K58=""), 0, --TRIM(MAIN!K58)))))))))))),
            0
        )
    ),
    IFERROR(
        UPPER(
            IF(MAX(IFERROR(SEARCH("WD",MAIN!G58:J58), 0))&gt;0, "WD",
            IF(MAX(IFERROR(SEARCH("NS",MAIN!G58:J58), 0))&gt;0, "NS",
            IF(MAX(IFERROR(SEARCH("NC",MAIN!G58:J58), 0))&gt;0, "NC",
            IF(MAX(IFERROR(SEARCH("DQ",MAIN!G58:J58), 0))&gt;0, "DQ",
            IF(ISNUMBER(SEARCH("WD",MAIN!K58)), "WD",
            IF(ISNUMBER(SEARCH("NS",MAIN!K58)), "NS",
            IF(ISNUMBER(SEARCH("NC",MAIN!K58)), "NC",
            IF(ISNUMBER(SEARCH("DQ",MAIN!K58)), "DQ",
            IF(ISNUMBER(SEARCH("A",MAIN!K58)), 0,
            IF(OR(MAIN!K58=0,MAIN!K58=""), 0, --TRIM(MAIN!K58)))))))))))),
        0
    )
)</f>
        <v>0</v>
      </c>
    </row>
    <row r="59" spans="1:11" x14ac:dyDescent="0.25">
      <c r="A59" t="str">
        <f>IF(ISBLANK(MAIN!A59), "--", IFERROR(PROPER(SUBSTITUTE(SUBSTITUTE(SUBSTITUTE(SUBSTITUTE(SUBSTITUTE(SUBSTITUTE(SUBSTITUTE(SUBSTITUTE(SUBSTITUTE(SUBSTITUTE(LEFT(MAIN!A59, FIND(",",MAIN!A59) -1), "0", ""), "1", ""), "2", ""), "3", ""), "4", ""), "5", ""), "6", ""), "7", ""), "8", ""), "9", "")), PROPER(SUBSTITUTE(SUBSTITUTE(SUBSTITUTE(SUBSTITUTE(SUBSTITUTE(SUBSTITUTE(SUBSTITUTE(SUBSTITUTE(SUBSTITUTE(SUBSTITUTE(MAIN!A59, "0", ""), "1", ""), "2", ""), "3", ""), "4", ""), "5", ""), "6", ""), "7", ""), "8", ""), "9", ""))))</f>
        <v>--</v>
      </c>
      <c r="B59" t="str">
        <f>IF(ISBLANK(MAIN!B59), "--", IFERROR(PROPER(SUBSTITUTE(SUBSTITUTE(SUBSTITUTE(SUBSTITUTE(SUBSTITUTE(SUBSTITUTE(SUBSTITUTE(SUBSTITUTE(SUBSTITUTE(SUBSTITUTE(LEFT(MAIN!B59, FIND(",",MAIN!B59) -1), "0", ""), "1", ""), "2", ""), "3", ""), "4", ""), "5", ""), "6", ""), "7", ""), "8", ""), "9", "")), PROPER(SUBSTITUTE(SUBSTITUTE(SUBSTITUTE(SUBSTITUTE(SUBSTITUTE(SUBSTITUTE(SUBSTITUTE(SUBSTITUTE(SUBSTITUTE(SUBSTITUTE(MAIN!B59, "0", ""), "1", ""), "2", ""), "3", ""), "4", ""), "5", ""), "6", ""), "7", ""), "8", ""), "9", ""))))</f>
        <v>--</v>
      </c>
      <c r="C59" t="str">
        <f>IF(ISBLANK(MAIN!C59), "--", IFERROR(PROPER(SUBSTITUTE(SUBSTITUTE(SUBSTITUTE(SUBSTITUTE(SUBSTITUTE(SUBSTITUTE(SUBSTITUTE(SUBSTITUTE(SUBSTITUTE(SUBSTITUTE(LEFT(MAIN!C59, FIND(",",MAIN!C59) -1), "0", ""), "1", ""), "2", ""), "3", ""), "4", ""), "5", ""), "6", ""), "7", ""), "8", ""), "9", "")), PROPER(SUBSTITUTE(SUBSTITUTE(SUBSTITUTE(SUBSTITUTE(SUBSTITUTE(SUBSTITUTE(SUBSTITUTE(SUBSTITUTE(SUBSTITUTE(SUBSTITUTE(MAIN!C59, "0", ""), "1", ""), "2", ""), "3", ""), "4", ""), "5", ""), "6", ""), "7", ""), "8", ""), "9", ""))))</f>
        <v>--</v>
      </c>
      <c r="D59" t="str">
        <f>IF(ISBLANK(MAIN!D59), "--", IF(ISNUMBER(MATCH(SUBSTITUTE(LEFT(MAIN!D59, IFERROR(FIND(",", MAIN!D59)-1, LEN(MAIN!D59))), " ", ""), lookup_values!$B$2:$B$51, 0)), UPPER(SUBSTITUTE(LEFT(MAIN!D59, IFERROR(FIND(",", MAIN!D59)-1, LEN(MAIN!D59))), " ", "")), IF(ISNA(VLOOKUP(SUBSTITUTE(LEFT(MAIN!D59, IFERROR(FIND(",", MAIN!D59)-1, LEN(MAIN!D59))), " ", ""), lookup_values!$A$2:$B$51, 2, FALSE)), "--", VLOOKUP(SUBSTITUTE(LEFT(MAIN!D59, IFERROR(FIND(",", MAIN!D59)-1, LEN(MAIN!D59))), " ", ""), lookup_values!$A$2:$B$51, 2, FALSE))))</f>
        <v>--</v>
      </c>
      <c r="E59" t="str">
        <f>IF(CLEAN_DATA!D59&lt;&gt;"--","US",IF(ISBLANK(MAIN!E59), "--", IF(ISNUMBER(MATCH(SUBSTITUTE(LEFT(MAIN!E59, IFERROR(FIND(",", MAIN!E59)-1, LEN(MAIN!E59))), " ", ""), lookup_values!$E$2:$E$197, 0)), UPPER(SUBSTITUTE(LEFT(MAIN!E59, IFERROR(FIND(",", MAIN!E59)-1, LEN(MAIN!E59))), " ", "")), IF(ISNA(VLOOKUP(SUBSTITUTE(LEFT(MAIN!E59, IFERROR(FIND(",", MAIN!E59)-1, LEN(MAIN!E59))), " ", ""), lookup_values!$D$2:$E$197, 2, FALSE)), "--", VLOOKUP(SUBSTITUTE(LEFT(MAIN!E59, IFERROR(FIND(",", MAIN!E59)-1, LEN(MAIN!E59))), " ", ""), lookup_values!$D$2:$E$197, 2, FALSE)))))</f>
        <v>--</v>
      </c>
      <c r="F59" t="str">
        <f>IF(ISBLANK(MAIN!F59), "", IF(AND(ISNUMBER(VALUE(TRIM(MAIN!F59))), LEN(TRIM(MAIN!F59))=4), VALUE(TRIM(MAIN!F59)), ""))</f>
        <v/>
      </c>
      <c r="G59">
        <f>IF(ISBLANK(MAIN!G59), 0, IF(ISNUMBER(VALUE(TRIM(MAIN!G59))), VALUE(TRIM(MAIN!G59)), 0))</f>
        <v>0</v>
      </c>
      <c r="H59">
        <f>IF(ISBLANK(MAIN!H59), 0, IF(ISNUMBER(VALUE(TRIM(MAIN!H59))), VALUE(TRIM(MAIN!H59)), 0))</f>
        <v>0</v>
      </c>
      <c r="I59">
        <f>IF(ISBLANK(MAIN!I59), 0, IF(ISNUMBER(VALUE(TRIM(MAIN!I59))), VALUE(TRIM(MAIN!I59)), 0))</f>
        <v>0</v>
      </c>
      <c r="J59">
        <f>IF(ISBLANK(MAIN!J59), 0, IF(ISNUMBER(VALUE(TRIM(MAIN!J59))), VALUE(TRIM(MAIN!J59)), 0))</f>
        <v>0</v>
      </c>
      <c r="K59" cm="1">
        <f t="array" ref="K59">IFERROR(
    VALUE(
        IFERROR(
            UPPER(
                IF(MAX(IFERROR(SEARCH("WD",MAIN!G59:J59), 0))&gt;0, "WD",
                IF(MAX(IFERROR(SEARCH("NS",MAIN!G59:J59), 0))&gt;0, "NS",
                IF(MAX(IFERROR(SEARCH("NC",MAIN!G59:J59), 0))&gt;0, "NC",
                IF(MAX(IFERROR(SEARCH("DQ",MAIN!G59:J59), 0))&gt;0, "DQ",
                IF(ISNUMBER(SEARCH("WD",MAIN!K59)), "WD",
                IF(ISNUMBER(SEARCH("NS",MAIN!K59)), "NS",
                IF(ISNUMBER(SEARCH("NC",MAIN!K59)), "NC",
                IF(ISNUMBER(SEARCH("DQ",MAIN!K59)), "DQ",
                IF(ISNUMBER(SEARCH("A",MAIN!K59)), 0,
                IF(OR(MAIN!K59=0,MAIN!K59=""), 0, --TRIM(MAIN!K59)))))))))))),
            0
        )
    ),
    IFERROR(
        UPPER(
            IF(MAX(IFERROR(SEARCH("WD",MAIN!G59:J59), 0))&gt;0, "WD",
            IF(MAX(IFERROR(SEARCH("NS",MAIN!G59:J59), 0))&gt;0, "NS",
            IF(MAX(IFERROR(SEARCH("NC",MAIN!G59:J59), 0))&gt;0, "NC",
            IF(MAX(IFERROR(SEARCH("DQ",MAIN!G59:J59), 0))&gt;0, "DQ",
            IF(ISNUMBER(SEARCH("WD",MAIN!K59)), "WD",
            IF(ISNUMBER(SEARCH("NS",MAIN!K59)), "NS",
            IF(ISNUMBER(SEARCH("NC",MAIN!K59)), "NC",
            IF(ISNUMBER(SEARCH("DQ",MAIN!K59)), "DQ",
            IF(ISNUMBER(SEARCH("A",MAIN!K59)), 0,
            IF(OR(MAIN!K59=0,MAIN!K59=""), 0, --TRIM(MAIN!K59)))))))))))),
        0
    )
)</f>
        <v>0</v>
      </c>
    </row>
    <row r="60" spans="1:11" x14ac:dyDescent="0.25">
      <c r="A60" t="str">
        <f>IF(ISBLANK(MAIN!A60), "--", IFERROR(PROPER(SUBSTITUTE(SUBSTITUTE(SUBSTITUTE(SUBSTITUTE(SUBSTITUTE(SUBSTITUTE(SUBSTITUTE(SUBSTITUTE(SUBSTITUTE(SUBSTITUTE(LEFT(MAIN!A60, FIND(",",MAIN!A60) -1), "0", ""), "1", ""), "2", ""), "3", ""), "4", ""), "5", ""), "6", ""), "7", ""), "8", ""), "9", "")), PROPER(SUBSTITUTE(SUBSTITUTE(SUBSTITUTE(SUBSTITUTE(SUBSTITUTE(SUBSTITUTE(SUBSTITUTE(SUBSTITUTE(SUBSTITUTE(SUBSTITUTE(MAIN!A60, "0", ""), "1", ""), "2", ""), "3", ""), "4", ""), "5", ""), "6", ""), "7", ""), "8", ""), "9", ""))))</f>
        <v>--</v>
      </c>
      <c r="B60" t="str">
        <f>IF(ISBLANK(MAIN!B60), "--", IFERROR(PROPER(SUBSTITUTE(SUBSTITUTE(SUBSTITUTE(SUBSTITUTE(SUBSTITUTE(SUBSTITUTE(SUBSTITUTE(SUBSTITUTE(SUBSTITUTE(SUBSTITUTE(LEFT(MAIN!B60, FIND(",",MAIN!B60) -1), "0", ""), "1", ""), "2", ""), "3", ""), "4", ""), "5", ""), "6", ""), "7", ""), "8", ""), "9", "")), PROPER(SUBSTITUTE(SUBSTITUTE(SUBSTITUTE(SUBSTITUTE(SUBSTITUTE(SUBSTITUTE(SUBSTITUTE(SUBSTITUTE(SUBSTITUTE(SUBSTITUTE(MAIN!B60, "0", ""), "1", ""), "2", ""), "3", ""), "4", ""), "5", ""), "6", ""), "7", ""), "8", ""), "9", ""))))</f>
        <v>--</v>
      </c>
      <c r="C60" t="str">
        <f>IF(ISBLANK(MAIN!C60), "--", IFERROR(PROPER(SUBSTITUTE(SUBSTITUTE(SUBSTITUTE(SUBSTITUTE(SUBSTITUTE(SUBSTITUTE(SUBSTITUTE(SUBSTITUTE(SUBSTITUTE(SUBSTITUTE(LEFT(MAIN!C60, FIND(",",MAIN!C60) -1), "0", ""), "1", ""), "2", ""), "3", ""), "4", ""), "5", ""), "6", ""), "7", ""), "8", ""), "9", "")), PROPER(SUBSTITUTE(SUBSTITUTE(SUBSTITUTE(SUBSTITUTE(SUBSTITUTE(SUBSTITUTE(SUBSTITUTE(SUBSTITUTE(SUBSTITUTE(SUBSTITUTE(MAIN!C60, "0", ""), "1", ""), "2", ""), "3", ""), "4", ""), "5", ""), "6", ""), "7", ""), "8", ""), "9", ""))))</f>
        <v>--</v>
      </c>
      <c r="D60" t="str">
        <f>IF(ISBLANK(MAIN!D60), "--", IF(ISNUMBER(MATCH(SUBSTITUTE(LEFT(MAIN!D60, IFERROR(FIND(",", MAIN!D60)-1, LEN(MAIN!D60))), " ", ""), lookup_values!$B$2:$B$51, 0)), UPPER(SUBSTITUTE(LEFT(MAIN!D60, IFERROR(FIND(",", MAIN!D60)-1, LEN(MAIN!D60))), " ", "")), IF(ISNA(VLOOKUP(SUBSTITUTE(LEFT(MAIN!D60, IFERROR(FIND(",", MAIN!D60)-1, LEN(MAIN!D60))), " ", ""), lookup_values!$A$2:$B$51, 2, FALSE)), "--", VLOOKUP(SUBSTITUTE(LEFT(MAIN!D60, IFERROR(FIND(",", MAIN!D60)-1, LEN(MAIN!D60))), " ", ""), lookup_values!$A$2:$B$51, 2, FALSE))))</f>
        <v>--</v>
      </c>
      <c r="E60" t="str">
        <f>IF(CLEAN_DATA!D60&lt;&gt;"--","US",IF(ISBLANK(MAIN!E60), "--", IF(ISNUMBER(MATCH(SUBSTITUTE(LEFT(MAIN!E60, IFERROR(FIND(",", MAIN!E60)-1, LEN(MAIN!E60))), " ", ""), lookup_values!$E$2:$E$197, 0)), UPPER(SUBSTITUTE(LEFT(MAIN!E60, IFERROR(FIND(",", MAIN!E60)-1, LEN(MAIN!E60))), " ", "")), IF(ISNA(VLOOKUP(SUBSTITUTE(LEFT(MAIN!E60, IFERROR(FIND(",", MAIN!E60)-1, LEN(MAIN!E60))), " ", ""), lookup_values!$D$2:$E$197, 2, FALSE)), "--", VLOOKUP(SUBSTITUTE(LEFT(MAIN!E60, IFERROR(FIND(",", MAIN!E60)-1, LEN(MAIN!E60))), " ", ""), lookup_values!$D$2:$E$197, 2, FALSE)))))</f>
        <v>--</v>
      </c>
      <c r="F60" t="str">
        <f>IF(ISBLANK(MAIN!F60), "", IF(AND(ISNUMBER(VALUE(TRIM(MAIN!F60))), LEN(TRIM(MAIN!F60))=4), VALUE(TRIM(MAIN!F60)), ""))</f>
        <v/>
      </c>
      <c r="G60">
        <f>IF(ISBLANK(MAIN!G60), 0, IF(ISNUMBER(VALUE(TRIM(MAIN!G60))), VALUE(TRIM(MAIN!G60)), 0))</f>
        <v>0</v>
      </c>
      <c r="H60">
        <f>IF(ISBLANK(MAIN!H60), 0, IF(ISNUMBER(VALUE(TRIM(MAIN!H60))), VALUE(TRIM(MAIN!H60)), 0))</f>
        <v>0</v>
      </c>
      <c r="I60">
        <f>IF(ISBLANK(MAIN!I60), 0, IF(ISNUMBER(VALUE(TRIM(MAIN!I60))), VALUE(TRIM(MAIN!I60)), 0))</f>
        <v>0</v>
      </c>
      <c r="J60">
        <f>IF(ISBLANK(MAIN!J60), 0, IF(ISNUMBER(VALUE(TRIM(MAIN!J60))), VALUE(TRIM(MAIN!J60)), 0))</f>
        <v>0</v>
      </c>
      <c r="K60" cm="1">
        <f t="array" ref="K60">IFERROR(
    VALUE(
        IFERROR(
            UPPER(
                IF(MAX(IFERROR(SEARCH("WD",MAIN!G60:J60), 0))&gt;0, "WD",
                IF(MAX(IFERROR(SEARCH("NS",MAIN!G60:J60), 0))&gt;0, "NS",
                IF(MAX(IFERROR(SEARCH("NC",MAIN!G60:J60), 0))&gt;0, "NC",
                IF(MAX(IFERROR(SEARCH("DQ",MAIN!G60:J60), 0))&gt;0, "DQ",
                IF(ISNUMBER(SEARCH("WD",MAIN!K60)), "WD",
                IF(ISNUMBER(SEARCH("NS",MAIN!K60)), "NS",
                IF(ISNUMBER(SEARCH("NC",MAIN!K60)), "NC",
                IF(ISNUMBER(SEARCH("DQ",MAIN!K60)), "DQ",
                IF(ISNUMBER(SEARCH("A",MAIN!K60)), 0,
                IF(OR(MAIN!K60=0,MAIN!K60=""), 0, --TRIM(MAIN!K60)))))))))))),
            0
        )
    ),
    IFERROR(
        UPPER(
            IF(MAX(IFERROR(SEARCH("WD",MAIN!G60:J60), 0))&gt;0, "WD",
            IF(MAX(IFERROR(SEARCH("NS",MAIN!G60:J60), 0))&gt;0, "NS",
            IF(MAX(IFERROR(SEARCH("NC",MAIN!G60:J60), 0))&gt;0, "NC",
            IF(MAX(IFERROR(SEARCH("DQ",MAIN!G60:J60), 0))&gt;0, "DQ",
            IF(ISNUMBER(SEARCH("WD",MAIN!K60)), "WD",
            IF(ISNUMBER(SEARCH("NS",MAIN!K60)), "NS",
            IF(ISNUMBER(SEARCH("NC",MAIN!K60)), "NC",
            IF(ISNUMBER(SEARCH("DQ",MAIN!K60)), "DQ",
            IF(ISNUMBER(SEARCH("A",MAIN!K60)), 0,
            IF(OR(MAIN!K60=0,MAIN!K60=""), 0, --TRIM(MAIN!K60)))))))))))),
        0
    )
)</f>
        <v>0</v>
      </c>
    </row>
    <row r="61" spans="1:11" x14ac:dyDescent="0.25">
      <c r="A61" t="str">
        <f>IF(ISBLANK(MAIN!A61), "--", IFERROR(PROPER(SUBSTITUTE(SUBSTITUTE(SUBSTITUTE(SUBSTITUTE(SUBSTITUTE(SUBSTITUTE(SUBSTITUTE(SUBSTITUTE(SUBSTITUTE(SUBSTITUTE(LEFT(MAIN!A61, FIND(",",MAIN!A61) -1), "0", ""), "1", ""), "2", ""), "3", ""), "4", ""), "5", ""), "6", ""), "7", ""), "8", ""), "9", "")), PROPER(SUBSTITUTE(SUBSTITUTE(SUBSTITUTE(SUBSTITUTE(SUBSTITUTE(SUBSTITUTE(SUBSTITUTE(SUBSTITUTE(SUBSTITUTE(SUBSTITUTE(MAIN!A61, "0", ""), "1", ""), "2", ""), "3", ""), "4", ""), "5", ""), "6", ""), "7", ""), "8", ""), "9", ""))))</f>
        <v>--</v>
      </c>
      <c r="B61" t="str">
        <f>IF(ISBLANK(MAIN!B61), "--", IFERROR(PROPER(SUBSTITUTE(SUBSTITUTE(SUBSTITUTE(SUBSTITUTE(SUBSTITUTE(SUBSTITUTE(SUBSTITUTE(SUBSTITUTE(SUBSTITUTE(SUBSTITUTE(LEFT(MAIN!B61, FIND(",",MAIN!B61) -1), "0", ""), "1", ""), "2", ""), "3", ""), "4", ""), "5", ""), "6", ""), "7", ""), "8", ""), "9", "")), PROPER(SUBSTITUTE(SUBSTITUTE(SUBSTITUTE(SUBSTITUTE(SUBSTITUTE(SUBSTITUTE(SUBSTITUTE(SUBSTITUTE(SUBSTITUTE(SUBSTITUTE(MAIN!B61, "0", ""), "1", ""), "2", ""), "3", ""), "4", ""), "5", ""), "6", ""), "7", ""), "8", ""), "9", ""))))</f>
        <v>--</v>
      </c>
      <c r="C61" t="str">
        <f>IF(ISBLANK(MAIN!C61), "--", IFERROR(PROPER(SUBSTITUTE(SUBSTITUTE(SUBSTITUTE(SUBSTITUTE(SUBSTITUTE(SUBSTITUTE(SUBSTITUTE(SUBSTITUTE(SUBSTITUTE(SUBSTITUTE(LEFT(MAIN!C61, FIND(",",MAIN!C61) -1), "0", ""), "1", ""), "2", ""), "3", ""), "4", ""), "5", ""), "6", ""), "7", ""), "8", ""), "9", "")), PROPER(SUBSTITUTE(SUBSTITUTE(SUBSTITUTE(SUBSTITUTE(SUBSTITUTE(SUBSTITUTE(SUBSTITUTE(SUBSTITUTE(SUBSTITUTE(SUBSTITUTE(MAIN!C61, "0", ""), "1", ""), "2", ""), "3", ""), "4", ""), "5", ""), "6", ""), "7", ""), "8", ""), "9", ""))))</f>
        <v>--</v>
      </c>
      <c r="D61" t="str">
        <f>IF(ISBLANK(MAIN!D61), "--", IF(ISNUMBER(MATCH(SUBSTITUTE(LEFT(MAIN!D61, IFERROR(FIND(",", MAIN!D61)-1, LEN(MAIN!D61))), " ", ""), lookup_values!$B$2:$B$51, 0)), UPPER(SUBSTITUTE(LEFT(MAIN!D61, IFERROR(FIND(",", MAIN!D61)-1, LEN(MAIN!D61))), " ", "")), IF(ISNA(VLOOKUP(SUBSTITUTE(LEFT(MAIN!D61, IFERROR(FIND(",", MAIN!D61)-1, LEN(MAIN!D61))), " ", ""), lookup_values!$A$2:$B$51, 2, FALSE)), "--", VLOOKUP(SUBSTITUTE(LEFT(MAIN!D61, IFERROR(FIND(",", MAIN!D61)-1, LEN(MAIN!D61))), " ", ""), lookup_values!$A$2:$B$51, 2, FALSE))))</f>
        <v>--</v>
      </c>
      <c r="E61" t="str">
        <f>IF(CLEAN_DATA!D61&lt;&gt;"--","US",IF(ISBLANK(MAIN!E61), "--", IF(ISNUMBER(MATCH(SUBSTITUTE(LEFT(MAIN!E61, IFERROR(FIND(",", MAIN!E61)-1, LEN(MAIN!E61))), " ", ""), lookup_values!$E$2:$E$197, 0)), UPPER(SUBSTITUTE(LEFT(MAIN!E61, IFERROR(FIND(",", MAIN!E61)-1, LEN(MAIN!E61))), " ", "")), IF(ISNA(VLOOKUP(SUBSTITUTE(LEFT(MAIN!E61, IFERROR(FIND(",", MAIN!E61)-1, LEN(MAIN!E61))), " ", ""), lookup_values!$D$2:$E$197, 2, FALSE)), "--", VLOOKUP(SUBSTITUTE(LEFT(MAIN!E61, IFERROR(FIND(",", MAIN!E61)-1, LEN(MAIN!E61))), " ", ""), lookup_values!$D$2:$E$197, 2, FALSE)))))</f>
        <v>--</v>
      </c>
      <c r="F61" t="str">
        <f>IF(ISBLANK(MAIN!F61), "", IF(AND(ISNUMBER(VALUE(TRIM(MAIN!F61))), LEN(TRIM(MAIN!F61))=4), VALUE(TRIM(MAIN!F61)), ""))</f>
        <v/>
      </c>
      <c r="G61">
        <f>IF(ISBLANK(MAIN!G61), 0, IF(ISNUMBER(VALUE(TRIM(MAIN!G61))), VALUE(TRIM(MAIN!G61)), 0))</f>
        <v>0</v>
      </c>
      <c r="H61">
        <f>IF(ISBLANK(MAIN!H61), 0, IF(ISNUMBER(VALUE(TRIM(MAIN!H61))), VALUE(TRIM(MAIN!H61)), 0))</f>
        <v>0</v>
      </c>
      <c r="I61">
        <f>IF(ISBLANK(MAIN!I61), 0, IF(ISNUMBER(VALUE(TRIM(MAIN!I61))), VALUE(TRIM(MAIN!I61)), 0))</f>
        <v>0</v>
      </c>
      <c r="J61">
        <f>IF(ISBLANK(MAIN!J61), 0, IF(ISNUMBER(VALUE(TRIM(MAIN!J61))), VALUE(TRIM(MAIN!J61)), 0))</f>
        <v>0</v>
      </c>
      <c r="K61" cm="1">
        <f t="array" ref="K61">IFERROR(
    VALUE(
        IFERROR(
            UPPER(
                IF(MAX(IFERROR(SEARCH("WD",MAIN!G61:J61), 0))&gt;0, "WD",
                IF(MAX(IFERROR(SEARCH("NS",MAIN!G61:J61), 0))&gt;0, "NS",
                IF(MAX(IFERROR(SEARCH("NC",MAIN!G61:J61), 0))&gt;0, "NC",
                IF(MAX(IFERROR(SEARCH("DQ",MAIN!G61:J61), 0))&gt;0, "DQ",
                IF(ISNUMBER(SEARCH("WD",MAIN!K61)), "WD",
                IF(ISNUMBER(SEARCH("NS",MAIN!K61)), "NS",
                IF(ISNUMBER(SEARCH("NC",MAIN!K61)), "NC",
                IF(ISNUMBER(SEARCH("DQ",MAIN!K61)), "DQ",
                IF(ISNUMBER(SEARCH("A",MAIN!K61)), 0,
                IF(OR(MAIN!K61=0,MAIN!K61=""), 0, --TRIM(MAIN!K61)))))))))))),
            0
        )
    ),
    IFERROR(
        UPPER(
            IF(MAX(IFERROR(SEARCH("WD",MAIN!G61:J61), 0))&gt;0, "WD",
            IF(MAX(IFERROR(SEARCH("NS",MAIN!G61:J61), 0))&gt;0, "NS",
            IF(MAX(IFERROR(SEARCH("NC",MAIN!G61:J61), 0))&gt;0, "NC",
            IF(MAX(IFERROR(SEARCH("DQ",MAIN!G61:J61), 0))&gt;0, "DQ",
            IF(ISNUMBER(SEARCH("WD",MAIN!K61)), "WD",
            IF(ISNUMBER(SEARCH("NS",MAIN!K61)), "NS",
            IF(ISNUMBER(SEARCH("NC",MAIN!K61)), "NC",
            IF(ISNUMBER(SEARCH("DQ",MAIN!K61)), "DQ",
            IF(ISNUMBER(SEARCH("A",MAIN!K61)), 0,
            IF(OR(MAIN!K61=0,MAIN!K61=""), 0, --TRIM(MAIN!K61)))))))))))),
        0
    )
)</f>
        <v>0</v>
      </c>
    </row>
    <row r="62" spans="1:11" x14ac:dyDescent="0.25">
      <c r="A62" t="str">
        <f>IF(ISBLANK(MAIN!A62), "--", IFERROR(PROPER(SUBSTITUTE(SUBSTITUTE(SUBSTITUTE(SUBSTITUTE(SUBSTITUTE(SUBSTITUTE(SUBSTITUTE(SUBSTITUTE(SUBSTITUTE(SUBSTITUTE(LEFT(MAIN!A62, FIND(",",MAIN!A62) -1), "0", ""), "1", ""), "2", ""), "3", ""), "4", ""), "5", ""), "6", ""), "7", ""), "8", ""), "9", "")), PROPER(SUBSTITUTE(SUBSTITUTE(SUBSTITUTE(SUBSTITUTE(SUBSTITUTE(SUBSTITUTE(SUBSTITUTE(SUBSTITUTE(SUBSTITUTE(SUBSTITUTE(MAIN!A62, "0", ""), "1", ""), "2", ""), "3", ""), "4", ""), "5", ""), "6", ""), "7", ""), "8", ""), "9", ""))))</f>
        <v>--</v>
      </c>
      <c r="B62" t="str">
        <f>IF(ISBLANK(MAIN!B62), "--", IFERROR(PROPER(SUBSTITUTE(SUBSTITUTE(SUBSTITUTE(SUBSTITUTE(SUBSTITUTE(SUBSTITUTE(SUBSTITUTE(SUBSTITUTE(SUBSTITUTE(SUBSTITUTE(LEFT(MAIN!B62, FIND(",",MAIN!B62) -1), "0", ""), "1", ""), "2", ""), "3", ""), "4", ""), "5", ""), "6", ""), "7", ""), "8", ""), "9", "")), PROPER(SUBSTITUTE(SUBSTITUTE(SUBSTITUTE(SUBSTITUTE(SUBSTITUTE(SUBSTITUTE(SUBSTITUTE(SUBSTITUTE(SUBSTITUTE(SUBSTITUTE(MAIN!B62, "0", ""), "1", ""), "2", ""), "3", ""), "4", ""), "5", ""), "6", ""), "7", ""), "8", ""), "9", ""))))</f>
        <v>--</v>
      </c>
      <c r="C62" t="str">
        <f>IF(ISBLANK(MAIN!C62), "--", IFERROR(PROPER(SUBSTITUTE(SUBSTITUTE(SUBSTITUTE(SUBSTITUTE(SUBSTITUTE(SUBSTITUTE(SUBSTITUTE(SUBSTITUTE(SUBSTITUTE(SUBSTITUTE(LEFT(MAIN!C62, FIND(",",MAIN!C62) -1), "0", ""), "1", ""), "2", ""), "3", ""), "4", ""), "5", ""), "6", ""), "7", ""), "8", ""), "9", "")), PROPER(SUBSTITUTE(SUBSTITUTE(SUBSTITUTE(SUBSTITUTE(SUBSTITUTE(SUBSTITUTE(SUBSTITUTE(SUBSTITUTE(SUBSTITUTE(SUBSTITUTE(MAIN!C62, "0", ""), "1", ""), "2", ""), "3", ""), "4", ""), "5", ""), "6", ""), "7", ""), "8", ""), "9", ""))))</f>
        <v>--</v>
      </c>
      <c r="D62" t="str">
        <f>IF(ISBLANK(MAIN!D62), "--", IF(ISNUMBER(MATCH(SUBSTITUTE(LEFT(MAIN!D62, IFERROR(FIND(",", MAIN!D62)-1, LEN(MAIN!D62))), " ", ""), lookup_values!$B$2:$B$51, 0)), UPPER(SUBSTITUTE(LEFT(MAIN!D62, IFERROR(FIND(",", MAIN!D62)-1, LEN(MAIN!D62))), " ", "")), IF(ISNA(VLOOKUP(SUBSTITUTE(LEFT(MAIN!D62, IFERROR(FIND(",", MAIN!D62)-1, LEN(MAIN!D62))), " ", ""), lookup_values!$A$2:$B$51, 2, FALSE)), "--", VLOOKUP(SUBSTITUTE(LEFT(MAIN!D62, IFERROR(FIND(",", MAIN!D62)-1, LEN(MAIN!D62))), " ", ""), lookup_values!$A$2:$B$51, 2, FALSE))))</f>
        <v>--</v>
      </c>
      <c r="E62" t="str">
        <f>IF(CLEAN_DATA!D62&lt;&gt;"--","US",IF(ISBLANK(MAIN!E62), "--", IF(ISNUMBER(MATCH(SUBSTITUTE(LEFT(MAIN!E62, IFERROR(FIND(",", MAIN!E62)-1, LEN(MAIN!E62))), " ", ""), lookup_values!$E$2:$E$197, 0)), UPPER(SUBSTITUTE(LEFT(MAIN!E62, IFERROR(FIND(",", MAIN!E62)-1, LEN(MAIN!E62))), " ", "")), IF(ISNA(VLOOKUP(SUBSTITUTE(LEFT(MAIN!E62, IFERROR(FIND(",", MAIN!E62)-1, LEN(MAIN!E62))), " ", ""), lookup_values!$D$2:$E$197, 2, FALSE)), "--", VLOOKUP(SUBSTITUTE(LEFT(MAIN!E62, IFERROR(FIND(",", MAIN!E62)-1, LEN(MAIN!E62))), " ", ""), lookup_values!$D$2:$E$197, 2, FALSE)))))</f>
        <v>--</v>
      </c>
      <c r="F62" t="str">
        <f>IF(ISBLANK(MAIN!F62), "", IF(AND(ISNUMBER(VALUE(TRIM(MAIN!F62))), LEN(TRIM(MAIN!F62))=4), VALUE(TRIM(MAIN!F62)), ""))</f>
        <v/>
      </c>
      <c r="G62">
        <f>IF(ISBLANK(MAIN!G62), 0, IF(ISNUMBER(VALUE(TRIM(MAIN!G62))), VALUE(TRIM(MAIN!G62)), 0))</f>
        <v>0</v>
      </c>
      <c r="H62">
        <f>IF(ISBLANK(MAIN!H62), 0, IF(ISNUMBER(VALUE(TRIM(MAIN!H62))), VALUE(TRIM(MAIN!H62)), 0))</f>
        <v>0</v>
      </c>
      <c r="I62">
        <f>IF(ISBLANK(MAIN!I62), 0, IF(ISNUMBER(VALUE(TRIM(MAIN!I62))), VALUE(TRIM(MAIN!I62)), 0))</f>
        <v>0</v>
      </c>
      <c r="J62">
        <f>IF(ISBLANK(MAIN!J62), 0, IF(ISNUMBER(VALUE(TRIM(MAIN!J62))), VALUE(TRIM(MAIN!J62)), 0))</f>
        <v>0</v>
      </c>
      <c r="K62" cm="1">
        <f t="array" ref="K62">IFERROR(
    VALUE(
        IFERROR(
            UPPER(
                IF(MAX(IFERROR(SEARCH("WD",MAIN!G62:J62), 0))&gt;0, "WD",
                IF(MAX(IFERROR(SEARCH("NS",MAIN!G62:J62), 0))&gt;0, "NS",
                IF(MAX(IFERROR(SEARCH("NC",MAIN!G62:J62), 0))&gt;0, "NC",
                IF(MAX(IFERROR(SEARCH("DQ",MAIN!G62:J62), 0))&gt;0, "DQ",
                IF(ISNUMBER(SEARCH("WD",MAIN!K62)), "WD",
                IF(ISNUMBER(SEARCH("NS",MAIN!K62)), "NS",
                IF(ISNUMBER(SEARCH("NC",MAIN!K62)), "NC",
                IF(ISNUMBER(SEARCH("DQ",MAIN!K62)), "DQ",
                IF(ISNUMBER(SEARCH("A",MAIN!K62)), 0,
                IF(OR(MAIN!K62=0,MAIN!K62=""), 0, --TRIM(MAIN!K62)))))))))))),
            0
        )
    ),
    IFERROR(
        UPPER(
            IF(MAX(IFERROR(SEARCH("WD",MAIN!G62:J62), 0))&gt;0, "WD",
            IF(MAX(IFERROR(SEARCH("NS",MAIN!G62:J62), 0))&gt;0, "NS",
            IF(MAX(IFERROR(SEARCH("NC",MAIN!G62:J62), 0))&gt;0, "NC",
            IF(MAX(IFERROR(SEARCH("DQ",MAIN!G62:J62), 0))&gt;0, "DQ",
            IF(ISNUMBER(SEARCH("WD",MAIN!K62)), "WD",
            IF(ISNUMBER(SEARCH("NS",MAIN!K62)), "NS",
            IF(ISNUMBER(SEARCH("NC",MAIN!K62)), "NC",
            IF(ISNUMBER(SEARCH("DQ",MAIN!K62)), "DQ",
            IF(ISNUMBER(SEARCH("A",MAIN!K62)), 0,
            IF(OR(MAIN!K62=0,MAIN!K62=""), 0, --TRIM(MAIN!K62)))))))))))),
        0
    )
)</f>
        <v>0</v>
      </c>
    </row>
    <row r="63" spans="1:11" x14ac:dyDescent="0.25">
      <c r="A63" t="str">
        <f>IF(ISBLANK(MAIN!A63), "--", IFERROR(PROPER(SUBSTITUTE(SUBSTITUTE(SUBSTITUTE(SUBSTITUTE(SUBSTITUTE(SUBSTITUTE(SUBSTITUTE(SUBSTITUTE(SUBSTITUTE(SUBSTITUTE(LEFT(MAIN!A63, FIND(",",MAIN!A63) -1), "0", ""), "1", ""), "2", ""), "3", ""), "4", ""), "5", ""), "6", ""), "7", ""), "8", ""), "9", "")), PROPER(SUBSTITUTE(SUBSTITUTE(SUBSTITUTE(SUBSTITUTE(SUBSTITUTE(SUBSTITUTE(SUBSTITUTE(SUBSTITUTE(SUBSTITUTE(SUBSTITUTE(MAIN!A63, "0", ""), "1", ""), "2", ""), "3", ""), "4", ""), "5", ""), "6", ""), "7", ""), "8", ""), "9", ""))))</f>
        <v>--</v>
      </c>
      <c r="B63" t="str">
        <f>IF(ISBLANK(MAIN!B63), "--", IFERROR(PROPER(SUBSTITUTE(SUBSTITUTE(SUBSTITUTE(SUBSTITUTE(SUBSTITUTE(SUBSTITUTE(SUBSTITUTE(SUBSTITUTE(SUBSTITUTE(SUBSTITUTE(LEFT(MAIN!B63, FIND(",",MAIN!B63) -1), "0", ""), "1", ""), "2", ""), "3", ""), "4", ""), "5", ""), "6", ""), "7", ""), "8", ""), "9", "")), PROPER(SUBSTITUTE(SUBSTITUTE(SUBSTITUTE(SUBSTITUTE(SUBSTITUTE(SUBSTITUTE(SUBSTITUTE(SUBSTITUTE(SUBSTITUTE(SUBSTITUTE(MAIN!B63, "0", ""), "1", ""), "2", ""), "3", ""), "4", ""), "5", ""), "6", ""), "7", ""), "8", ""), "9", ""))))</f>
        <v>--</v>
      </c>
      <c r="C63" t="str">
        <f>IF(ISBLANK(MAIN!C63), "--", IFERROR(PROPER(SUBSTITUTE(SUBSTITUTE(SUBSTITUTE(SUBSTITUTE(SUBSTITUTE(SUBSTITUTE(SUBSTITUTE(SUBSTITUTE(SUBSTITUTE(SUBSTITUTE(LEFT(MAIN!C63, FIND(",",MAIN!C63) -1), "0", ""), "1", ""), "2", ""), "3", ""), "4", ""), "5", ""), "6", ""), "7", ""), "8", ""), "9", "")), PROPER(SUBSTITUTE(SUBSTITUTE(SUBSTITUTE(SUBSTITUTE(SUBSTITUTE(SUBSTITUTE(SUBSTITUTE(SUBSTITUTE(SUBSTITUTE(SUBSTITUTE(MAIN!C63, "0", ""), "1", ""), "2", ""), "3", ""), "4", ""), "5", ""), "6", ""), "7", ""), "8", ""), "9", ""))))</f>
        <v>--</v>
      </c>
      <c r="D63" t="str">
        <f>IF(ISBLANK(MAIN!D63), "--", IF(ISNUMBER(MATCH(SUBSTITUTE(LEFT(MAIN!D63, IFERROR(FIND(",", MAIN!D63)-1, LEN(MAIN!D63))), " ", ""), lookup_values!$B$2:$B$51, 0)), UPPER(SUBSTITUTE(LEFT(MAIN!D63, IFERROR(FIND(",", MAIN!D63)-1, LEN(MAIN!D63))), " ", "")), IF(ISNA(VLOOKUP(SUBSTITUTE(LEFT(MAIN!D63, IFERROR(FIND(",", MAIN!D63)-1, LEN(MAIN!D63))), " ", ""), lookup_values!$A$2:$B$51, 2, FALSE)), "--", VLOOKUP(SUBSTITUTE(LEFT(MAIN!D63, IFERROR(FIND(",", MAIN!D63)-1, LEN(MAIN!D63))), " ", ""), lookup_values!$A$2:$B$51, 2, FALSE))))</f>
        <v>--</v>
      </c>
      <c r="E63" t="str">
        <f>IF(CLEAN_DATA!D63&lt;&gt;"--","US",IF(ISBLANK(MAIN!E63), "--", IF(ISNUMBER(MATCH(SUBSTITUTE(LEFT(MAIN!E63, IFERROR(FIND(",", MAIN!E63)-1, LEN(MAIN!E63))), " ", ""), lookup_values!$E$2:$E$197, 0)), UPPER(SUBSTITUTE(LEFT(MAIN!E63, IFERROR(FIND(",", MAIN!E63)-1, LEN(MAIN!E63))), " ", "")), IF(ISNA(VLOOKUP(SUBSTITUTE(LEFT(MAIN!E63, IFERROR(FIND(",", MAIN!E63)-1, LEN(MAIN!E63))), " ", ""), lookup_values!$D$2:$E$197, 2, FALSE)), "--", VLOOKUP(SUBSTITUTE(LEFT(MAIN!E63, IFERROR(FIND(",", MAIN!E63)-1, LEN(MAIN!E63))), " ", ""), lookup_values!$D$2:$E$197, 2, FALSE)))))</f>
        <v>--</v>
      </c>
      <c r="F63" t="str">
        <f>IF(ISBLANK(MAIN!F63), "", IF(AND(ISNUMBER(VALUE(TRIM(MAIN!F63))), LEN(TRIM(MAIN!F63))=4), VALUE(TRIM(MAIN!F63)), ""))</f>
        <v/>
      </c>
      <c r="G63">
        <f>IF(ISBLANK(MAIN!G63), 0, IF(ISNUMBER(VALUE(TRIM(MAIN!G63))), VALUE(TRIM(MAIN!G63)), 0))</f>
        <v>0</v>
      </c>
      <c r="H63">
        <f>IF(ISBLANK(MAIN!H63), 0, IF(ISNUMBER(VALUE(TRIM(MAIN!H63))), VALUE(TRIM(MAIN!H63)), 0))</f>
        <v>0</v>
      </c>
      <c r="I63">
        <f>IF(ISBLANK(MAIN!I63), 0, IF(ISNUMBER(VALUE(TRIM(MAIN!I63))), VALUE(TRIM(MAIN!I63)), 0))</f>
        <v>0</v>
      </c>
      <c r="J63">
        <f>IF(ISBLANK(MAIN!J63), 0, IF(ISNUMBER(VALUE(TRIM(MAIN!J63))), VALUE(TRIM(MAIN!J63)), 0))</f>
        <v>0</v>
      </c>
      <c r="K63" cm="1">
        <f t="array" ref="K63">IFERROR(
    VALUE(
        IFERROR(
            UPPER(
                IF(MAX(IFERROR(SEARCH("WD",MAIN!G63:J63), 0))&gt;0, "WD",
                IF(MAX(IFERROR(SEARCH("NS",MAIN!G63:J63), 0))&gt;0, "NS",
                IF(MAX(IFERROR(SEARCH("NC",MAIN!G63:J63), 0))&gt;0, "NC",
                IF(MAX(IFERROR(SEARCH("DQ",MAIN!G63:J63), 0))&gt;0, "DQ",
                IF(ISNUMBER(SEARCH("WD",MAIN!K63)), "WD",
                IF(ISNUMBER(SEARCH("NS",MAIN!K63)), "NS",
                IF(ISNUMBER(SEARCH("NC",MAIN!K63)), "NC",
                IF(ISNUMBER(SEARCH("DQ",MAIN!K63)), "DQ",
                IF(ISNUMBER(SEARCH("A",MAIN!K63)), 0,
                IF(OR(MAIN!K63=0,MAIN!K63=""), 0, --TRIM(MAIN!K63)))))))))))),
            0
        )
    ),
    IFERROR(
        UPPER(
            IF(MAX(IFERROR(SEARCH("WD",MAIN!G63:J63), 0))&gt;0, "WD",
            IF(MAX(IFERROR(SEARCH("NS",MAIN!G63:J63), 0))&gt;0, "NS",
            IF(MAX(IFERROR(SEARCH("NC",MAIN!G63:J63), 0))&gt;0, "NC",
            IF(MAX(IFERROR(SEARCH("DQ",MAIN!G63:J63), 0))&gt;0, "DQ",
            IF(ISNUMBER(SEARCH("WD",MAIN!K63)), "WD",
            IF(ISNUMBER(SEARCH("NS",MAIN!K63)), "NS",
            IF(ISNUMBER(SEARCH("NC",MAIN!K63)), "NC",
            IF(ISNUMBER(SEARCH("DQ",MAIN!K63)), "DQ",
            IF(ISNUMBER(SEARCH("A",MAIN!K63)), 0,
            IF(OR(MAIN!K63=0,MAIN!K63=""), 0, --TRIM(MAIN!K63)))))))))))),
        0
    )
)</f>
        <v>0</v>
      </c>
    </row>
    <row r="64" spans="1:11" x14ac:dyDescent="0.25">
      <c r="A64" t="str">
        <f>IF(ISBLANK(MAIN!A64), "--", IFERROR(PROPER(SUBSTITUTE(SUBSTITUTE(SUBSTITUTE(SUBSTITUTE(SUBSTITUTE(SUBSTITUTE(SUBSTITUTE(SUBSTITUTE(SUBSTITUTE(SUBSTITUTE(LEFT(MAIN!A64, FIND(",",MAIN!A64) -1), "0", ""), "1", ""), "2", ""), "3", ""), "4", ""), "5", ""), "6", ""), "7", ""), "8", ""), "9", "")), PROPER(SUBSTITUTE(SUBSTITUTE(SUBSTITUTE(SUBSTITUTE(SUBSTITUTE(SUBSTITUTE(SUBSTITUTE(SUBSTITUTE(SUBSTITUTE(SUBSTITUTE(MAIN!A64, "0", ""), "1", ""), "2", ""), "3", ""), "4", ""), "5", ""), "6", ""), "7", ""), "8", ""), "9", ""))))</f>
        <v>--</v>
      </c>
      <c r="B64" t="str">
        <f>IF(ISBLANK(MAIN!B64), "--", IFERROR(PROPER(SUBSTITUTE(SUBSTITUTE(SUBSTITUTE(SUBSTITUTE(SUBSTITUTE(SUBSTITUTE(SUBSTITUTE(SUBSTITUTE(SUBSTITUTE(SUBSTITUTE(LEFT(MAIN!B64, FIND(",",MAIN!B64) -1), "0", ""), "1", ""), "2", ""), "3", ""), "4", ""), "5", ""), "6", ""), "7", ""), "8", ""), "9", "")), PROPER(SUBSTITUTE(SUBSTITUTE(SUBSTITUTE(SUBSTITUTE(SUBSTITUTE(SUBSTITUTE(SUBSTITUTE(SUBSTITUTE(SUBSTITUTE(SUBSTITUTE(MAIN!B64, "0", ""), "1", ""), "2", ""), "3", ""), "4", ""), "5", ""), "6", ""), "7", ""), "8", ""), "9", ""))))</f>
        <v>--</v>
      </c>
      <c r="C64" t="str">
        <f>IF(ISBLANK(MAIN!C64), "--", IFERROR(PROPER(SUBSTITUTE(SUBSTITUTE(SUBSTITUTE(SUBSTITUTE(SUBSTITUTE(SUBSTITUTE(SUBSTITUTE(SUBSTITUTE(SUBSTITUTE(SUBSTITUTE(LEFT(MAIN!C64, FIND(",",MAIN!C64) -1), "0", ""), "1", ""), "2", ""), "3", ""), "4", ""), "5", ""), "6", ""), "7", ""), "8", ""), "9", "")), PROPER(SUBSTITUTE(SUBSTITUTE(SUBSTITUTE(SUBSTITUTE(SUBSTITUTE(SUBSTITUTE(SUBSTITUTE(SUBSTITUTE(SUBSTITUTE(SUBSTITUTE(MAIN!C64, "0", ""), "1", ""), "2", ""), "3", ""), "4", ""), "5", ""), "6", ""), "7", ""), "8", ""), "9", ""))))</f>
        <v>--</v>
      </c>
      <c r="D64" t="str">
        <f>IF(ISBLANK(MAIN!D64), "--", IF(ISNUMBER(MATCH(SUBSTITUTE(LEFT(MAIN!D64, IFERROR(FIND(",", MAIN!D64)-1, LEN(MAIN!D64))), " ", ""), lookup_values!$B$2:$B$51, 0)), UPPER(SUBSTITUTE(LEFT(MAIN!D64, IFERROR(FIND(",", MAIN!D64)-1, LEN(MAIN!D64))), " ", "")), IF(ISNA(VLOOKUP(SUBSTITUTE(LEFT(MAIN!D64, IFERROR(FIND(",", MAIN!D64)-1, LEN(MAIN!D64))), " ", ""), lookup_values!$A$2:$B$51, 2, FALSE)), "--", VLOOKUP(SUBSTITUTE(LEFT(MAIN!D64, IFERROR(FIND(",", MAIN!D64)-1, LEN(MAIN!D64))), " ", ""), lookup_values!$A$2:$B$51, 2, FALSE))))</f>
        <v>--</v>
      </c>
      <c r="E64" t="str">
        <f>IF(CLEAN_DATA!D64&lt;&gt;"--","US",IF(ISBLANK(MAIN!E64), "--", IF(ISNUMBER(MATCH(SUBSTITUTE(LEFT(MAIN!E64, IFERROR(FIND(",", MAIN!E64)-1, LEN(MAIN!E64))), " ", ""), lookup_values!$E$2:$E$197, 0)), UPPER(SUBSTITUTE(LEFT(MAIN!E64, IFERROR(FIND(",", MAIN!E64)-1, LEN(MAIN!E64))), " ", "")), IF(ISNA(VLOOKUP(SUBSTITUTE(LEFT(MAIN!E64, IFERROR(FIND(",", MAIN!E64)-1, LEN(MAIN!E64))), " ", ""), lookup_values!$D$2:$E$197, 2, FALSE)), "--", VLOOKUP(SUBSTITUTE(LEFT(MAIN!E64, IFERROR(FIND(",", MAIN!E64)-1, LEN(MAIN!E64))), " ", ""), lookup_values!$D$2:$E$197, 2, FALSE)))))</f>
        <v>--</v>
      </c>
      <c r="F64" t="str">
        <f>IF(ISBLANK(MAIN!F64), "", IF(AND(ISNUMBER(VALUE(TRIM(MAIN!F64))), LEN(TRIM(MAIN!F64))=4), VALUE(TRIM(MAIN!F64)), ""))</f>
        <v/>
      </c>
      <c r="G64">
        <f>IF(ISBLANK(MAIN!G64), 0, IF(ISNUMBER(VALUE(TRIM(MAIN!G64))), VALUE(TRIM(MAIN!G64)), 0))</f>
        <v>0</v>
      </c>
      <c r="H64">
        <f>IF(ISBLANK(MAIN!H64), 0, IF(ISNUMBER(VALUE(TRIM(MAIN!H64))), VALUE(TRIM(MAIN!H64)), 0))</f>
        <v>0</v>
      </c>
      <c r="I64">
        <f>IF(ISBLANK(MAIN!I64), 0, IF(ISNUMBER(VALUE(TRIM(MAIN!I64))), VALUE(TRIM(MAIN!I64)), 0))</f>
        <v>0</v>
      </c>
      <c r="J64">
        <f>IF(ISBLANK(MAIN!J64), 0, IF(ISNUMBER(VALUE(TRIM(MAIN!J64))), VALUE(TRIM(MAIN!J64)), 0))</f>
        <v>0</v>
      </c>
      <c r="K64" cm="1">
        <f t="array" ref="K64">IFERROR(
    VALUE(
        IFERROR(
            UPPER(
                IF(MAX(IFERROR(SEARCH("WD",MAIN!G64:J64), 0))&gt;0, "WD",
                IF(MAX(IFERROR(SEARCH("NS",MAIN!G64:J64), 0))&gt;0, "NS",
                IF(MAX(IFERROR(SEARCH("NC",MAIN!G64:J64), 0))&gt;0, "NC",
                IF(MAX(IFERROR(SEARCH("DQ",MAIN!G64:J64), 0))&gt;0, "DQ",
                IF(ISNUMBER(SEARCH("WD",MAIN!K64)), "WD",
                IF(ISNUMBER(SEARCH("NS",MAIN!K64)), "NS",
                IF(ISNUMBER(SEARCH("NC",MAIN!K64)), "NC",
                IF(ISNUMBER(SEARCH("DQ",MAIN!K64)), "DQ",
                IF(ISNUMBER(SEARCH("A",MAIN!K64)), 0,
                IF(OR(MAIN!K64=0,MAIN!K64=""), 0, --TRIM(MAIN!K64)))))))))))),
            0
        )
    ),
    IFERROR(
        UPPER(
            IF(MAX(IFERROR(SEARCH("WD",MAIN!G64:J64), 0))&gt;0, "WD",
            IF(MAX(IFERROR(SEARCH("NS",MAIN!G64:J64), 0))&gt;0, "NS",
            IF(MAX(IFERROR(SEARCH("NC",MAIN!G64:J64), 0))&gt;0, "NC",
            IF(MAX(IFERROR(SEARCH("DQ",MAIN!G64:J64), 0))&gt;0, "DQ",
            IF(ISNUMBER(SEARCH("WD",MAIN!K64)), "WD",
            IF(ISNUMBER(SEARCH("NS",MAIN!K64)), "NS",
            IF(ISNUMBER(SEARCH("NC",MAIN!K64)), "NC",
            IF(ISNUMBER(SEARCH("DQ",MAIN!K64)), "DQ",
            IF(ISNUMBER(SEARCH("A",MAIN!K64)), 0,
            IF(OR(MAIN!K64=0,MAIN!K64=""), 0, --TRIM(MAIN!K64)))))))))))),
        0
    )
)</f>
        <v>0</v>
      </c>
    </row>
    <row r="65" spans="1:11" x14ac:dyDescent="0.25">
      <c r="A65" t="str">
        <f>IF(ISBLANK(MAIN!A65), "--", IFERROR(PROPER(SUBSTITUTE(SUBSTITUTE(SUBSTITUTE(SUBSTITUTE(SUBSTITUTE(SUBSTITUTE(SUBSTITUTE(SUBSTITUTE(SUBSTITUTE(SUBSTITUTE(LEFT(MAIN!A65, FIND(",",MAIN!A65) -1), "0", ""), "1", ""), "2", ""), "3", ""), "4", ""), "5", ""), "6", ""), "7", ""), "8", ""), "9", "")), PROPER(SUBSTITUTE(SUBSTITUTE(SUBSTITUTE(SUBSTITUTE(SUBSTITUTE(SUBSTITUTE(SUBSTITUTE(SUBSTITUTE(SUBSTITUTE(SUBSTITUTE(MAIN!A65, "0", ""), "1", ""), "2", ""), "3", ""), "4", ""), "5", ""), "6", ""), "7", ""), "8", ""), "9", ""))))</f>
        <v>--</v>
      </c>
      <c r="B65" t="str">
        <f>IF(ISBLANK(MAIN!B65), "--", IFERROR(PROPER(SUBSTITUTE(SUBSTITUTE(SUBSTITUTE(SUBSTITUTE(SUBSTITUTE(SUBSTITUTE(SUBSTITUTE(SUBSTITUTE(SUBSTITUTE(SUBSTITUTE(LEFT(MAIN!B65, FIND(",",MAIN!B65) -1), "0", ""), "1", ""), "2", ""), "3", ""), "4", ""), "5", ""), "6", ""), "7", ""), "8", ""), "9", "")), PROPER(SUBSTITUTE(SUBSTITUTE(SUBSTITUTE(SUBSTITUTE(SUBSTITUTE(SUBSTITUTE(SUBSTITUTE(SUBSTITUTE(SUBSTITUTE(SUBSTITUTE(MAIN!B65, "0", ""), "1", ""), "2", ""), "3", ""), "4", ""), "5", ""), "6", ""), "7", ""), "8", ""), "9", ""))))</f>
        <v>--</v>
      </c>
      <c r="C65" t="str">
        <f>IF(ISBLANK(MAIN!C65), "--", IFERROR(PROPER(SUBSTITUTE(SUBSTITUTE(SUBSTITUTE(SUBSTITUTE(SUBSTITUTE(SUBSTITUTE(SUBSTITUTE(SUBSTITUTE(SUBSTITUTE(SUBSTITUTE(LEFT(MAIN!C65, FIND(",",MAIN!C65) -1), "0", ""), "1", ""), "2", ""), "3", ""), "4", ""), "5", ""), "6", ""), "7", ""), "8", ""), "9", "")), PROPER(SUBSTITUTE(SUBSTITUTE(SUBSTITUTE(SUBSTITUTE(SUBSTITUTE(SUBSTITUTE(SUBSTITUTE(SUBSTITUTE(SUBSTITUTE(SUBSTITUTE(MAIN!C65, "0", ""), "1", ""), "2", ""), "3", ""), "4", ""), "5", ""), "6", ""), "7", ""), "8", ""), "9", ""))))</f>
        <v>--</v>
      </c>
      <c r="D65" t="str">
        <f>IF(ISBLANK(MAIN!D65), "--", IF(ISNUMBER(MATCH(SUBSTITUTE(LEFT(MAIN!D65, IFERROR(FIND(",", MAIN!D65)-1, LEN(MAIN!D65))), " ", ""), lookup_values!$B$2:$B$51, 0)), UPPER(SUBSTITUTE(LEFT(MAIN!D65, IFERROR(FIND(",", MAIN!D65)-1, LEN(MAIN!D65))), " ", "")), IF(ISNA(VLOOKUP(SUBSTITUTE(LEFT(MAIN!D65, IFERROR(FIND(",", MAIN!D65)-1, LEN(MAIN!D65))), " ", ""), lookup_values!$A$2:$B$51, 2, FALSE)), "--", VLOOKUP(SUBSTITUTE(LEFT(MAIN!D65, IFERROR(FIND(",", MAIN!D65)-1, LEN(MAIN!D65))), " ", ""), lookup_values!$A$2:$B$51, 2, FALSE))))</f>
        <v>--</v>
      </c>
      <c r="E65" t="str">
        <f>IF(CLEAN_DATA!D65&lt;&gt;"--","US",IF(ISBLANK(MAIN!E65), "--", IF(ISNUMBER(MATCH(SUBSTITUTE(LEFT(MAIN!E65, IFERROR(FIND(",", MAIN!E65)-1, LEN(MAIN!E65))), " ", ""), lookup_values!$E$2:$E$197, 0)), UPPER(SUBSTITUTE(LEFT(MAIN!E65, IFERROR(FIND(",", MAIN!E65)-1, LEN(MAIN!E65))), " ", "")), IF(ISNA(VLOOKUP(SUBSTITUTE(LEFT(MAIN!E65, IFERROR(FIND(",", MAIN!E65)-1, LEN(MAIN!E65))), " ", ""), lookup_values!$D$2:$E$197, 2, FALSE)), "--", VLOOKUP(SUBSTITUTE(LEFT(MAIN!E65, IFERROR(FIND(",", MAIN!E65)-1, LEN(MAIN!E65))), " ", ""), lookup_values!$D$2:$E$197, 2, FALSE)))))</f>
        <v>--</v>
      </c>
      <c r="F65" t="str">
        <f>IF(ISBLANK(MAIN!F65), "", IF(AND(ISNUMBER(VALUE(TRIM(MAIN!F65))), LEN(TRIM(MAIN!F65))=4), VALUE(TRIM(MAIN!F65)), ""))</f>
        <v/>
      </c>
      <c r="G65">
        <f>IF(ISBLANK(MAIN!G65), 0, IF(ISNUMBER(VALUE(TRIM(MAIN!G65))), VALUE(TRIM(MAIN!G65)), 0))</f>
        <v>0</v>
      </c>
      <c r="H65">
        <f>IF(ISBLANK(MAIN!H65), 0, IF(ISNUMBER(VALUE(TRIM(MAIN!H65))), VALUE(TRIM(MAIN!H65)), 0))</f>
        <v>0</v>
      </c>
      <c r="I65">
        <f>IF(ISBLANK(MAIN!I65), 0, IF(ISNUMBER(VALUE(TRIM(MAIN!I65))), VALUE(TRIM(MAIN!I65)), 0))</f>
        <v>0</v>
      </c>
      <c r="J65">
        <f>IF(ISBLANK(MAIN!J65), 0, IF(ISNUMBER(VALUE(TRIM(MAIN!J65))), VALUE(TRIM(MAIN!J65)), 0))</f>
        <v>0</v>
      </c>
      <c r="K65" cm="1">
        <f t="array" ref="K65">IFERROR(
    VALUE(
        IFERROR(
            UPPER(
                IF(MAX(IFERROR(SEARCH("WD",MAIN!G65:J65), 0))&gt;0, "WD",
                IF(MAX(IFERROR(SEARCH("NS",MAIN!G65:J65), 0))&gt;0, "NS",
                IF(MAX(IFERROR(SEARCH("NC",MAIN!G65:J65), 0))&gt;0, "NC",
                IF(MAX(IFERROR(SEARCH("DQ",MAIN!G65:J65), 0))&gt;0, "DQ",
                IF(ISNUMBER(SEARCH("WD",MAIN!K65)), "WD",
                IF(ISNUMBER(SEARCH("NS",MAIN!K65)), "NS",
                IF(ISNUMBER(SEARCH("NC",MAIN!K65)), "NC",
                IF(ISNUMBER(SEARCH("DQ",MAIN!K65)), "DQ",
                IF(ISNUMBER(SEARCH("A",MAIN!K65)), 0,
                IF(OR(MAIN!K65=0,MAIN!K65=""), 0, --TRIM(MAIN!K65)))))))))))),
            0
        )
    ),
    IFERROR(
        UPPER(
            IF(MAX(IFERROR(SEARCH("WD",MAIN!G65:J65), 0))&gt;0, "WD",
            IF(MAX(IFERROR(SEARCH("NS",MAIN!G65:J65), 0))&gt;0, "NS",
            IF(MAX(IFERROR(SEARCH("NC",MAIN!G65:J65), 0))&gt;0, "NC",
            IF(MAX(IFERROR(SEARCH("DQ",MAIN!G65:J65), 0))&gt;0, "DQ",
            IF(ISNUMBER(SEARCH("WD",MAIN!K65)), "WD",
            IF(ISNUMBER(SEARCH("NS",MAIN!K65)), "NS",
            IF(ISNUMBER(SEARCH("NC",MAIN!K65)), "NC",
            IF(ISNUMBER(SEARCH("DQ",MAIN!K65)), "DQ",
            IF(ISNUMBER(SEARCH("A",MAIN!K65)), 0,
            IF(OR(MAIN!K65=0,MAIN!K65=""), 0, --TRIM(MAIN!K65)))))))))))),
        0
    )
)</f>
        <v>0</v>
      </c>
    </row>
    <row r="66" spans="1:11" x14ac:dyDescent="0.25">
      <c r="A66" t="str">
        <f>IF(ISBLANK(MAIN!A66), "--", IFERROR(PROPER(SUBSTITUTE(SUBSTITUTE(SUBSTITUTE(SUBSTITUTE(SUBSTITUTE(SUBSTITUTE(SUBSTITUTE(SUBSTITUTE(SUBSTITUTE(SUBSTITUTE(LEFT(MAIN!A66, FIND(",",MAIN!A66) -1), "0", ""), "1", ""), "2", ""), "3", ""), "4", ""), "5", ""), "6", ""), "7", ""), "8", ""), "9", "")), PROPER(SUBSTITUTE(SUBSTITUTE(SUBSTITUTE(SUBSTITUTE(SUBSTITUTE(SUBSTITUTE(SUBSTITUTE(SUBSTITUTE(SUBSTITUTE(SUBSTITUTE(MAIN!A66, "0", ""), "1", ""), "2", ""), "3", ""), "4", ""), "5", ""), "6", ""), "7", ""), "8", ""), "9", ""))))</f>
        <v>--</v>
      </c>
      <c r="B66" t="str">
        <f>IF(ISBLANK(MAIN!B66), "--", IFERROR(PROPER(SUBSTITUTE(SUBSTITUTE(SUBSTITUTE(SUBSTITUTE(SUBSTITUTE(SUBSTITUTE(SUBSTITUTE(SUBSTITUTE(SUBSTITUTE(SUBSTITUTE(LEFT(MAIN!B66, FIND(",",MAIN!B66) -1), "0", ""), "1", ""), "2", ""), "3", ""), "4", ""), "5", ""), "6", ""), "7", ""), "8", ""), "9", "")), PROPER(SUBSTITUTE(SUBSTITUTE(SUBSTITUTE(SUBSTITUTE(SUBSTITUTE(SUBSTITUTE(SUBSTITUTE(SUBSTITUTE(SUBSTITUTE(SUBSTITUTE(MAIN!B66, "0", ""), "1", ""), "2", ""), "3", ""), "4", ""), "5", ""), "6", ""), "7", ""), "8", ""), "9", ""))))</f>
        <v>--</v>
      </c>
      <c r="C66" t="str">
        <f>IF(ISBLANK(MAIN!C66), "--", IFERROR(PROPER(SUBSTITUTE(SUBSTITUTE(SUBSTITUTE(SUBSTITUTE(SUBSTITUTE(SUBSTITUTE(SUBSTITUTE(SUBSTITUTE(SUBSTITUTE(SUBSTITUTE(LEFT(MAIN!C66, FIND(",",MAIN!C66) -1), "0", ""), "1", ""), "2", ""), "3", ""), "4", ""), "5", ""), "6", ""), "7", ""), "8", ""), "9", "")), PROPER(SUBSTITUTE(SUBSTITUTE(SUBSTITUTE(SUBSTITUTE(SUBSTITUTE(SUBSTITUTE(SUBSTITUTE(SUBSTITUTE(SUBSTITUTE(SUBSTITUTE(MAIN!C66, "0", ""), "1", ""), "2", ""), "3", ""), "4", ""), "5", ""), "6", ""), "7", ""), "8", ""), "9", ""))))</f>
        <v>--</v>
      </c>
      <c r="D66" t="str">
        <f>IF(ISBLANK(MAIN!D66), "--", IF(ISNUMBER(MATCH(SUBSTITUTE(LEFT(MAIN!D66, IFERROR(FIND(",", MAIN!D66)-1, LEN(MAIN!D66))), " ", ""), lookup_values!$B$2:$B$51, 0)), UPPER(SUBSTITUTE(LEFT(MAIN!D66, IFERROR(FIND(",", MAIN!D66)-1, LEN(MAIN!D66))), " ", "")), IF(ISNA(VLOOKUP(SUBSTITUTE(LEFT(MAIN!D66, IFERROR(FIND(",", MAIN!D66)-1, LEN(MAIN!D66))), " ", ""), lookup_values!$A$2:$B$51, 2, FALSE)), "--", VLOOKUP(SUBSTITUTE(LEFT(MAIN!D66, IFERROR(FIND(",", MAIN!D66)-1, LEN(MAIN!D66))), " ", ""), lookup_values!$A$2:$B$51, 2, FALSE))))</f>
        <v>--</v>
      </c>
      <c r="E66" t="str">
        <f>IF(CLEAN_DATA!D66&lt;&gt;"--","US",IF(ISBLANK(MAIN!E66), "--", IF(ISNUMBER(MATCH(SUBSTITUTE(LEFT(MAIN!E66, IFERROR(FIND(",", MAIN!E66)-1, LEN(MAIN!E66))), " ", ""), lookup_values!$E$2:$E$197, 0)), UPPER(SUBSTITUTE(LEFT(MAIN!E66, IFERROR(FIND(",", MAIN!E66)-1, LEN(MAIN!E66))), " ", "")), IF(ISNA(VLOOKUP(SUBSTITUTE(LEFT(MAIN!E66, IFERROR(FIND(",", MAIN!E66)-1, LEN(MAIN!E66))), " ", ""), lookup_values!$D$2:$E$197, 2, FALSE)), "--", VLOOKUP(SUBSTITUTE(LEFT(MAIN!E66, IFERROR(FIND(",", MAIN!E66)-1, LEN(MAIN!E66))), " ", ""), lookup_values!$D$2:$E$197, 2, FALSE)))))</f>
        <v>--</v>
      </c>
      <c r="F66" t="str">
        <f>IF(ISBLANK(MAIN!F66), "", IF(AND(ISNUMBER(VALUE(TRIM(MAIN!F66))), LEN(TRIM(MAIN!F66))=4), VALUE(TRIM(MAIN!F66)), ""))</f>
        <v/>
      </c>
      <c r="G66">
        <f>IF(ISBLANK(MAIN!G66), 0, IF(ISNUMBER(VALUE(TRIM(MAIN!G66))), VALUE(TRIM(MAIN!G66)), 0))</f>
        <v>0</v>
      </c>
      <c r="H66">
        <f>IF(ISBLANK(MAIN!H66), 0, IF(ISNUMBER(VALUE(TRIM(MAIN!H66))), VALUE(TRIM(MAIN!H66)), 0))</f>
        <v>0</v>
      </c>
      <c r="I66">
        <f>IF(ISBLANK(MAIN!I66), 0, IF(ISNUMBER(VALUE(TRIM(MAIN!I66))), VALUE(TRIM(MAIN!I66)), 0))</f>
        <v>0</v>
      </c>
      <c r="J66">
        <f>IF(ISBLANK(MAIN!J66), 0, IF(ISNUMBER(VALUE(TRIM(MAIN!J66))), VALUE(TRIM(MAIN!J66)), 0))</f>
        <v>0</v>
      </c>
      <c r="K66" cm="1">
        <f t="array" ref="K66">IFERROR(
    VALUE(
        IFERROR(
            UPPER(
                IF(MAX(IFERROR(SEARCH("WD",MAIN!G66:J66), 0))&gt;0, "WD",
                IF(MAX(IFERROR(SEARCH("NS",MAIN!G66:J66), 0))&gt;0, "NS",
                IF(MAX(IFERROR(SEARCH("NC",MAIN!G66:J66), 0))&gt;0, "NC",
                IF(MAX(IFERROR(SEARCH("DQ",MAIN!G66:J66), 0))&gt;0, "DQ",
                IF(ISNUMBER(SEARCH("WD",MAIN!K66)), "WD",
                IF(ISNUMBER(SEARCH("NS",MAIN!K66)), "NS",
                IF(ISNUMBER(SEARCH("NC",MAIN!K66)), "NC",
                IF(ISNUMBER(SEARCH("DQ",MAIN!K66)), "DQ",
                IF(ISNUMBER(SEARCH("A",MAIN!K66)), 0,
                IF(OR(MAIN!K66=0,MAIN!K66=""), 0, --TRIM(MAIN!K66)))))))))))),
            0
        )
    ),
    IFERROR(
        UPPER(
            IF(MAX(IFERROR(SEARCH("WD",MAIN!G66:J66), 0))&gt;0, "WD",
            IF(MAX(IFERROR(SEARCH("NS",MAIN!G66:J66), 0))&gt;0, "NS",
            IF(MAX(IFERROR(SEARCH("NC",MAIN!G66:J66), 0))&gt;0, "NC",
            IF(MAX(IFERROR(SEARCH("DQ",MAIN!G66:J66), 0))&gt;0, "DQ",
            IF(ISNUMBER(SEARCH("WD",MAIN!K66)), "WD",
            IF(ISNUMBER(SEARCH("NS",MAIN!K66)), "NS",
            IF(ISNUMBER(SEARCH("NC",MAIN!K66)), "NC",
            IF(ISNUMBER(SEARCH("DQ",MAIN!K66)), "DQ",
            IF(ISNUMBER(SEARCH("A",MAIN!K66)), 0,
            IF(OR(MAIN!K66=0,MAIN!K66=""), 0, --TRIM(MAIN!K66)))))))))))),
        0
    )
)</f>
        <v>0</v>
      </c>
    </row>
    <row r="67" spans="1:11" x14ac:dyDescent="0.25">
      <c r="A67" t="str">
        <f>IF(ISBLANK(MAIN!A67), "--", IFERROR(PROPER(SUBSTITUTE(SUBSTITUTE(SUBSTITUTE(SUBSTITUTE(SUBSTITUTE(SUBSTITUTE(SUBSTITUTE(SUBSTITUTE(SUBSTITUTE(SUBSTITUTE(LEFT(MAIN!A67, FIND(",",MAIN!A67) -1), "0", ""), "1", ""), "2", ""), "3", ""), "4", ""), "5", ""), "6", ""), "7", ""), "8", ""), "9", "")), PROPER(SUBSTITUTE(SUBSTITUTE(SUBSTITUTE(SUBSTITUTE(SUBSTITUTE(SUBSTITUTE(SUBSTITUTE(SUBSTITUTE(SUBSTITUTE(SUBSTITUTE(MAIN!A67, "0", ""), "1", ""), "2", ""), "3", ""), "4", ""), "5", ""), "6", ""), "7", ""), "8", ""), "9", ""))))</f>
        <v>--</v>
      </c>
      <c r="B67" t="str">
        <f>IF(ISBLANK(MAIN!B67), "--", IFERROR(PROPER(SUBSTITUTE(SUBSTITUTE(SUBSTITUTE(SUBSTITUTE(SUBSTITUTE(SUBSTITUTE(SUBSTITUTE(SUBSTITUTE(SUBSTITUTE(SUBSTITUTE(LEFT(MAIN!B67, FIND(",",MAIN!B67) -1), "0", ""), "1", ""), "2", ""), "3", ""), "4", ""), "5", ""), "6", ""), "7", ""), "8", ""), "9", "")), PROPER(SUBSTITUTE(SUBSTITUTE(SUBSTITUTE(SUBSTITUTE(SUBSTITUTE(SUBSTITUTE(SUBSTITUTE(SUBSTITUTE(SUBSTITUTE(SUBSTITUTE(MAIN!B67, "0", ""), "1", ""), "2", ""), "3", ""), "4", ""), "5", ""), "6", ""), "7", ""), "8", ""), "9", ""))))</f>
        <v>--</v>
      </c>
      <c r="C67" t="str">
        <f>IF(ISBLANK(MAIN!C67), "--", IFERROR(PROPER(SUBSTITUTE(SUBSTITUTE(SUBSTITUTE(SUBSTITUTE(SUBSTITUTE(SUBSTITUTE(SUBSTITUTE(SUBSTITUTE(SUBSTITUTE(SUBSTITUTE(LEFT(MAIN!C67, FIND(",",MAIN!C67) -1), "0", ""), "1", ""), "2", ""), "3", ""), "4", ""), "5", ""), "6", ""), "7", ""), "8", ""), "9", "")), PROPER(SUBSTITUTE(SUBSTITUTE(SUBSTITUTE(SUBSTITUTE(SUBSTITUTE(SUBSTITUTE(SUBSTITUTE(SUBSTITUTE(SUBSTITUTE(SUBSTITUTE(MAIN!C67, "0", ""), "1", ""), "2", ""), "3", ""), "4", ""), "5", ""), "6", ""), "7", ""), "8", ""), "9", ""))))</f>
        <v>--</v>
      </c>
      <c r="D67" t="str">
        <f>IF(ISBLANK(MAIN!D67), "--", IF(ISNUMBER(MATCH(SUBSTITUTE(LEFT(MAIN!D67, IFERROR(FIND(",", MAIN!D67)-1, LEN(MAIN!D67))), " ", ""), lookup_values!$B$2:$B$51, 0)), UPPER(SUBSTITUTE(LEFT(MAIN!D67, IFERROR(FIND(",", MAIN!D67)-1, LEN(MAIN!D67))), " ", "")), IF(ISNA(VLOOKUP(SUBSTITUTE(LEFT(MAIN!D67, IFERROR(FIND(",", MAIN!D67)-1, LEN(MAIN!D67))), " ", ""), lookup_values!$A$2:$B$51, 2, FALSE)), "--", VLOOKUP(SUBSTITUTE(LEFT(MAIN!D67, IFERROR(FIND(",", MAIN!D67)-1, LEN(MAIN!D67))), " ", ""), lookup_values!$A$2:$B$51, 2, FALSE))))</f>
        <v>--</v>
      </c>
      <c r="E67" t="str">
        <f>IF(CLEAN_DATA!D67&lt;&gt;"--","US",IF(ISBLANK(MAIN!E67), "--", IF(ISNUMBER(MATCH(SUBSTITUTE(LEFT(MAIN!E67, IFERROR(FIND(",", MAIN!E67)-1, LEN(MAIN!E67))), " ", ""), lookup_values!$E$2:$E$197, 0)), UPPER(SUBSTITUTE(LEFT(MAIN!E67, IFERROR(FIND(",", MAIN!E67)-1, LEN(MAIN!E67))), " ", "")), IF(ISNA(VLOOKUP(SUBSTITUTE(LEFT(MAIN!E67, IFERROR(FIND(",", MAIN!E67)-1, LEN(MAIN!E67))), " ", ""), lookup_values!$D$2:$E$197, 2, FALSE)), "--", VLOOKUP(SUBSTITUTE(LEFT(MAIN!E67, IFERROR(FIND(",", MAIN!E67)-1, LEN(MAIN!E67))), " ", ""), lookup_values!$D$2:$E$197, 2, FALSE)))))</f>
        <v>--</v>
      </c>
      <c r="F67" t="str">
        <f>IF(ISBLANK(MAIN!F67), "", IF(AND(ISNUMBER(VALUE(TRIM(MAIN!F67))), LEN(TRIM(MAIN!F67))=4), VALUE(TRIM(MAIN!F67)), ""))</f>
        <v/>
      </c>
      <c r="G67">
        <f>IF(ISBLANK(MAIN!G67), 0, IF(ISNUMBER(VALUE(TRIM(MAIN!G67))), VALUE(TRIM(MAIN!G67)), 0))</f>
        <v>0</v>
      </c>
      <c r="H67">
        <f>IF(ISBLANK(MAIN!H67), 0, IF(ISNUMBER(VALUE(TRIM(MAIN!H67))), VALUE(TRIM(MAIN!H67)), 0))</f>
        <v>0</v>
      </c>
      <c r="I67">
        <f>IF(ISBLANK(MAIN!I67), 0, IF(ISNUMBER(VALUE(TRIM(MAIN!I67))), VALUE(TRIM(MAIN!I67)), 0))</f>
        <v>0</v>
      </c>
      <c r="J67">
        <f>IF(ISBLANK(MAIN!J67), 0, IF(ISNUMBER(VALUE(TRIM(MAIN!J67))), VALUE(TRIM(MAIN!J67)), 0))</f>
        <v>0</v>
      </c>
      <c r="K67" cm="1">
        <f t="array" ref="K67">IFERROR(
    VALUE(
        IFERROR(
            UPPER(
                IF(MAX(IFERROR(SEARCH("WD",MAIN!G67:J67), 0))&gt;0, "WD",
                IF(MAX(IFERROR(SEARCH("NS",MAIN!G67:J67), 0))&gt;0, "NS",
                IF(MAX(IFERROR(SEARCH("NC",MAIN!G67:J67), 0))&gt;0, "NC",
                IF(MAX(IFERROR(SEARCH("DQ",MAIN!G67:J67), 0))&gt;0, "DQ",
                IF(ISNUMBER(SEARCH("WD",MAIN!K67)), "WD",
                IF(ISNUMBER(SEARCH("NS",MAIN!K67)), "NS",
                IF(ISNUMBER(SEARCH("NC",MAIN!K67)), "NC",
                IF(ISNUMBER(SEARCH("DQ",MAIN!K67)), "DQ",
                IF(ISNUMBER(SEARCH("A",MAIN!K67)), 0,
                IF(OR(MAIN!K67=0,MAIN!K67=""), 0, --TRIM(MAIN!K67)))))))))))),
            0
        )
    ),
    IFERROR(
        UPPER(
            IF(MAX(IFERROR(SEARCH("WD",MAIN!G67:J67), 0))&gt;0, "WD",
            IF(MAX(IFERROR(SEARCH("NS",MAIN!G67:J67), 0))&gt;0, "NS",
            IF(MAX(IFERROR(SEARCH("NC",MAIN!G67:J67), 0))&gt;0, "NC",
            IF(MAX(IFERROR(SEARCH("DQ",MAIN!G67:J67), 0))&gt;0, "DQ",
            IF(ISNUMBER(SEARCH("WD",MAIN!K67)), "WD",
            IF(ISNUMBER(SEARCH("NS",MAIN!K67)), "NS",
            IF(ISNUMBER(SEARCH("NC",MAIN!K67)), "NC",
            IF(ISNUMBER(SEARCH("DQ",MAIN!K67)), "DQ",
            IF(ISNUMBER(SEARCH("A",MAIN!K67)), 0,
            IF(OR(MAIN!K67=0,MAIN!K67=""), 0, --TRIM(MAIN!K67)))))))))))),
        0
    )
)</f>
        <v>0</v>
      </c>
    </row>
    <row r="68" spans="1:11" x14ac:dyDescent="0.25">
      <c r="A68" t="str">
        <f>IF(ISBLANK(MAIN!A68), "--", IFERROR(PROPER(SUBSTITUTE(SUBSTITUTE(SUBSTITUTE(SUBSTITUTE(SUBSTITUTE(SUBSTITUTE(SUBSTITUTE(SUBSTITUTE(SUBSTITUTE(SUBSTITUTE(LEFT(MAIN!A68, FIND(",",MAIN!A68) -1), "0", ""), "1", ""), "2", ""), "3", ""), "4", ""), "5", ""), "6", ""), "7", ""), "8", ""), "9", "")), PROPER(SUBSTITUTE(SUBSTITUTE(SUBSTITUTE(SUBSTITUTE(SUBSTITUTE(SUBSTITUTE(SUBSTITUTE(SUBSTITUTE(SUBSTITUTE(SUBSTITUTE(MAIN!A68, "0", ""), "1", ""), "2", ""), "3", ""), "4", ""), "5", ""), "6", ""), "7", ""), "8", ""), "9", ""))))</f>
        <v>--</v>
      </c>
      <c r="B68" t="str">
        <f>IF(ISBLANK(MAIN!B68), "--", IFERROR(PROPER(SUBSTITUTE(SUBSTITUTE(SUBSTITUTE(SUBSTITUTE(SUBSTITUTE(SUBSTITUTE(SUBSTITUTE(SUBSTITUTE(SUBSTITUTE(SUBSTITUTE(LEFT(MAIN!B68, FIND(",",MAIN!B68) -1), "0", ""), "1", ""), "2", ""), "3", ""), "4", ""), "5", ""), "6", ""), "7", ""), "8", ""), "9", "")), PROPER(SUBSTITUTE(SUBSTITUTE(SUBSTITUTE(SUBSTITUTE(SUBSTITUTE(SUBSTITUTE(SUBSTITUTE(SUBSTITUTE(SUBSTITUTE(SUBSTITUTE(MAIN!B68, "0", ""), "1", ""), "2", ""), "3", ""), "4", ""), "5", ""), "6", ""), "7", ""), "8", ""), "9", ""))))</f>
        <v>--</v>
      </c>
      <c r="C68" t="str">
        <f>IF(ISBLANK(MAIN!C68), "--", IFERROR(PROPER(SUBSTITUTE(SUBSTITUTE(SUBSTITUTE(SUBSTITUTE(SUBSTITUTE(SUBSTITUTE(SUBSTITUTE(SUBSTITUTE(SUBSTITUTE(SUBSTITUTE(LEFT(MAIN!C68, FIND(",",MAIN!C68) -1), "0", ""), "1", ""), "2", ""), "3", ""), "4", ""), "5", ""), "6", ""), "7", ""), "8", ""), "9", "")), PROPER(SUBSTITUTE(SUBSTITUTE(SUBSTITUTE(SUBSTITUTE(SUBSTITUTE(SUBSTITUTE(SUBSTITUTE(SUBSTITUTE(SUBSTITUTE(SUBSTITUTE(MAIN!C68, "0", ""), "1", ""), "2", ""), "3", ""), "4", ""), "5", ""), "6", ""), "7", ""), "8", ""), "9", ""))))</f>
        <v>--</v>
      </c>
      <c r="D68" t="str">
        <f>IF(ISBLANK(MAIN!D68), "--", IF(ISNUMBER(MATCH(SUBSTITUTE(LEFT(MAIN!D68, IFERROR(FIND(",", MAIN!D68)-1, LEN(MAIN!D68))), " ", ""), lookup_values!$B$2:$B$51, 0)), UPPER(SUBSTITUTE(LEFT(MAIN!D68, IFERROR(FIND(",", MAIN!D68)-1, LEN(MAIN!D68))), " ", "")), IF(ISNA(VLOOKUP(SUBSTITUTE(LEFT(MAIN!D68, IFERROR(FIND(",", MAIN!D68)-1, LEN(MAIN!D68))), " ", ""), lookup_values!$A$2:$B$51, 2, FALSE)), "--", VLOOKUP(SUBSTITUTE(LEFT(MAIN!D68, IFERROR(FIND(",", MAIN!D68)-1, LEN(MAIN!D68))), " ", ""), lookup_values!$A$2:$B$51, 2, FALSE))))</f>
        <v>--</v>
      </c>
      <c r="E68" t="str">
        <f>IF(CLEAN_DATA!D68&lt;&gt;"--","US",IF(ISBLANK(MAIN!E68), "--", IF(ISNUMBER(MATCH(SUBSTITUTE(LEFT(MAIN!E68, IFERROR(FIND(",", MAIN!E68)-1, LEN(MAIN!E68))), " ", ""), lookup_values!$E$2:$E$197, 0)), UPPER(SUBSTITUTE(LEFT(MAIN!E68, IFERROR(FIND(",", MAIN!E68)-1, LEN(MAIN!E68))), " ", "")), IF(ISNA(VLOOKUP(SUBSTITUTE(LEFT(MAIN!E68, IFERROR(FIND(",", MAIN!E68)-1, LEN(MAIN!E68))), " ", ""), lookup_values!$D$2:$E$197, 2, FALSE)), "--", VLOOKUP(SUBSTITUTE(LEFT(MAIN!E68, IFERROR(FIND(",", MAIN!E68)-1, LEN(MAIN!E68))), " ", ""), lookup_values!$D$2:$E$197, 2, FALSE)))))</f>
        <v>--</v>
      </c>
      <c r="F68" t="str">
        <f>IF(ISBLANK(MAIN!F68), "", IF(AND(ISNUMBER(VALUE(TRIM(MAIN!F68))), LEN(TRIM(MAIN!F68))=4), VALUE(TRIM(MAIN!F68)), ""))</f>
        <v/>
      </c>
      <c r="G68">
        <f>IF(ISBLANK(MAIN!G68), 0, IF(ISNUMBER(VALUE(TRIM(MAIN!G68))), VALUE(TRIM(MAIN!G68)), 0))</f>
        <v>0</v>
      </c>
      <c r="H68">
        <f>IF(ISBLANK(MAIN!H68), 0, IF(ISNUMBER(VALUE(TRIM(MAIN!H68))), VALUE(TRIM(MAIN!H68)), 0))</f>
        <v>0</v>
      </c>
      <c r="I68">
        <f>IF(ISBLANK(MAIN!I68), 0, IF(ISNUMBER(VALUE(TRIM(MAIN!I68))), VALUE(TRIM(MAIN!I68)), 0))</f>
        <v>0</v>
      </c>
      <c r="J68">
        <f>IF(ISBLANK(MAIN!J68), 0, IF(ISNUMBER(VALUE(TRIM(MAIN!J68))), VALUE(TRIM(MAIN!J68)), 0))</f>
        <v>0</v>
      </c>
      <c r="K68" cm="1">
        <f t="array" ref="K68">IFERROR(
    VALUE(
        IFERROR(
            UPPER(
                IF(MAX(IFERROR(SEARCH("WD",MAIN!G68:J68), 0))&gt;0, "WD",
                IF(MAX(IFERROR(SEARCH("NS",MAIN!G68:J68), 0))&gt;0, "NS",
                IF(MAX(IFERROR(SEARCH("NC",MAIN!G68:J68), 0))&gt;0, "NC",
                IF(MAX(IFERROR(SEARCH("DQ",MAIN!G68:J68), 0))&gt;0, "DQ",
                IF(ISNUMBER(SEARCH("WD",MAIN!K68)), "WD",
                IF(ISNUMBER(SEARCH("NS",MAIN!K68)), "NS",
                IF(ISNUMBER(SEARCH("NC",MAIN!K68)), "NC",
                IF(ISNUMBER(SEARCH("DQ",MAIN!K68)), "DQ",
                IF(ISNUMBER(SEARCH("A",MAIN!K68)), 0,
                IF(OR(MAIN!K68=0,MAIN!K68=""), 0, --TRIM(MAIN!K68)))))))))))),
            0
        )
    ),
    IFERROR(
        UPPER(
            IF(MAX(IFERROR(SEARCH("WD",MAIN!G68:J68), 0))&gt;0, "WD",
            IF(MAX(IFERROR(SEARCH("NS",MAIN!G68:J68), 0))&gt;0, "NS",
            IF(MAX(IFERROR(SEARCH("NC",MAIN!G68:J68), 0))&gt;0, "NC",
            IF(MAX(IFERROR(SEARCH("DQ",MAIN!G68:J68), 0))&gt;0, "DQ",
            IF(ISNUMBER(SEARCH("WD",MAIN!K68)), "WD",
            IF(ISNUMBER(SEARCH("NS",MAIN!K68)), "NS",
            IF(ISNUMBER(SEARCH("NC",MAIN!K68)), "NC",
            IF(ISNUMBER(SEARCH("DQ",MAIN!K68)), "DQ",
            IF(ISNUMBER(SEARCH("A",MAIN!K68)), 0,
            IF(OR(MAIN!K68=0,MAIN!K68=""), 0, --TRIM(MAIN!K68)))))))))))),
        0
    )
)</f>
        <v>0</v>
      </c>
    </row>
    <row r="69" spans="1:11" x14ac:dyDescent="0.25">
      <c r="A69" t="str">
        <f>IF(ISBLANK(MAIN!A69), "--", IFERROR(PROPER(SUBSTITUTE(SUBSTITUTE(SUBSTITUTE(SUBSTITUTE(SUBSTITUTE(SUBSTITUTE(SUBSTITUTE(SUBSTITUTE(SUBSTITUTE(SUBSTITUTE(LEFT(MAIN!A69, FIND(",",MAIN!A69) -1), "0", ""), "1", ""), "2", ""), "3", ""), "4", ""), "5", ""), "6", ""), "7", ""), "8", ""), "9", "")), PROPER(SUBSTITUTE(SUBSTITUTE(SUBSTITUTE(SUBSTITUTE(SUBSTITUTE(SUBSTITUTE(SUBSTITUTE(SUBSTITUTE(SUBSTITUTE(SUBSTITUTE(MAIN!A69, "0", ""), "1", ""), "2", ""), "3", ""), "4", ""), "5", ""), "6", ""), "7", ""), "8", ""), "9", ""))))</f>
        <v>--</v>
      </c>
      <c r="B69" t="str">
        <f>IF(ISBLANK(MAIN!B69), "--", IFERROR(PROPER(SUBSTITUTE(SUBSTITUTE(SUBSTITUTE(SUBSTITUTE(SUBSTITUTE(SUBSTITUTE(SUBSTITUTE(SUBSTITUTE(SUBSTITUTE(SUBSTITUTE(LEFT(MAIN!B69, FIND(",",MAIN!B69) -1), "0", ""), "1", ""), "2", ""), "3", ""), "4", ""), "5", ""), "6", ""), "7", ""), "8", ""), "9", "")), PROPER(SUBSTITUTE(SUBSTITUTE(SUBSTITUTE(SUBSTITUTE(SUBSTITUTE(SUBSTITUTE(SUBSTITUTE(SUBSTITUTE(SUBSTITUTE(SUBSTITUTE(MAIN!B69, "0", ""), "1", ""), "2", ""), "3", ""), "4", ""), "5", ""), "6", ""), "7", ""), "8", ""), "9", ""))))</f>
        <v>--</v>
      </c>
      <c r="C69" t="str">
        <f>IF(ISBLANK(MAIN!C69), "--", IFERROR(PROPER(SUBSTITUTE(SUBSTITUTE(SUBSTITUTE(SUBSTITUTE(SUBSTITUTE(SUBSTITUTE(SUBSTITUTE(SUBSTITUTE(SUBSTITUTE(SUBSTITUTE(LEFT(MAIN!C69, FIND(",",MAIN!C69) -1), "0", ""), "1", ""), "2", ""), "3", ""), "4", ""), "5", ""), "6", ""), "7", ""), "8", ""), "9", "")), PROPER(SUBSTITUTE(SUBSTITUTE(SUBSTITUTE(SUBSTITUTE(SUBSTITUTE(SUBSTITUTE(SUBSTITUTE(SUBSTITUTE(SUBSTITUTE(SUBSTITUTE(MAIN!C69, "0", ""), "1", ""), "2", ""), "3", ""), "4", ""), "5", ""), "6", ""), "7", ""), "8", ""), "9", ""))))</f>
        <v>--</v>
      </c>
      <c r="D69" t="str">
        <f>IF(ISBLANK(MAIN!D69), "--", IF(ISNUMBER(MATCH(SUBSTITUTE(LEFT(MAIN!D69, IFERROR(FIND(",", MAIN!D69)-1, LEN(MAIN!D69))), " ", ""), lookup_values!$B$2:$B$51, 0)), UPPER(SUBSTITUTE(LEFT(MAIN!D69, IFERROR(FIND(",", MAIN!D69)-1, LEN(MAIN!D69))), " ", "")), IF(ISNA(VLOOKUP(SUBSTITUTE(LEFT(MAIN!D69, IFERROR(FIND(",", MAIN!D69)-1, LEN(MAIN!D69))), " ", ""), lookup_values!$A$2:$B$51, 2, FALSE)), "--", VLOOKUP(SUBSTITUTE(LEFT(MAIN!D69, IFERROR(FIND(",", MAIN!D69)-1, LEN(MAIN!D69))), " ", ""), lookup_values!$A$2:$B$51, 2, FALSE))))</f>
        <v>--</v>
      </c>
      <c r="E69" t="str">
        <f>IF(CLEAN_DATA!D69&lt;&gt;"--","US",IF(ISBLANK(MAIN!E69), "--", IF(ISNUMBER(MATCH(SUBSTITUTE(LEFT(MAIN!E69, IFERROR(FIND(",", MAIN!E69)-1, LEN(MAIN!E69))), " ", ""), lookup_values!$E$2:$E$197, 0)), UPPER(SUBSTITUTE(LEFT(MAIN!E69, IFERROR(FIND(",", MAIN!E69)-1, LEN(MAIN!E69))), " ", "")), IF(ISNA(VLOOKUP(SUBSTITUTE(LEFT(MAIN!E69, IFERROR(FIND(",", MAIN!E69)-1, LEN(MAIN!E69))), " ", ""), lookup_values!$D$2:$E$197, 2, FALSE)), "--", VLOOKUP(SUBSTITUTE(LEFT(MAIN!E69, IFERROR(FIND(",", MAIN!E69)-1, LEN(MAIN!E69))), " ", ""), lookup_values!$D$2:$E$197, 2, FALSE)))))</f>
        <v>--</v>
      </c>
      <c r="F69" t="str">
        <f>IF(ISBLANK(MAIN!F69), "", IF(AND(ISNUMBER(VALUE(TRIM(MAIN!F69))), LEN(TRIM(MAIN!F69))=4), VALUE(TRIM(MAIN!F69)), ""))</f>
        <v/>
      </c>
      <c r="G69">
        <f>IF(ISBLANK(MAIN!G69), 0, IF(ISNUMBER(VALUE(TRIM(MAIN!G69))), VALUE(TRIM(MAIN!G69)), 0))</f>
        <v>0</v>
      </c>
      <c r="H69">
        <f>IF(ISBLANK(MAIN!H69), 0, IF(ISNUMBER(VALUE(TRIM(MAIN!H69))), VALUE(TRIM(MAIN!H69)), 0))</f>
        <v>0</v>
      </c>
      <c r="I69">
        <f>IF(ISBLANK(MAIN!I69), 0, IF(ISNUMBER(VALUE(TRIM(MAIN!I69))), VALUE(TRIM(MAIN!I69)), 0))</f>
        <v>0</v>
      </c>
      <c r="J69">
        <f>IF(ISBLANK(MAIN!J69), 0, IF(ISNUMBER(VALUE(TRIM(MAIN!J69))), VALUE(TRIM(MAIN!J69)), 0))</f>
        <v>0</v>
      </c>
      <c r="K69" cm="1">
        <f t="array" ref="K69">IFERROR(
    VALUE(
        IFERROR(
            UPPER(
                IF(MAX(IFERROR(SEARCH("WD",MAIN!G69:J69), 0))&gt;0, "WD",
                IF(MAX(IFERROR(SEARCH("NS",MAIN!G69:J69), 0))&gt;0, "NS",
                IF(MAX(IFERROR(SEARCH("NC",MAIN!G69:J69), 0))&gt;0, "NC",
                IF(MAX(IFERROR(SEARCH("DQ",MAIN!G69:J69), 0))&gt;0, "DQ",
                IF(ISNUMBER(SEARCH("WD",MAIN!K69)), "WD",
                IF(ISNUMBER(SEARCH("NS",MAIN!K69)), "NS",
                IF(ISNUMBER(SEARCH("NC",MAIN!K69)), "NC",
                IF(ISNUMBER(SEARCH("DQ",MAIN!K69)), "DQ",
                IF(ISNUMBER(SEARCH("A",MAIN!K69)), 0,
                IF(OR(MAIN!K69=0,MAIN!K69=""), 0, --TRIM(MAIN!K69)))))))))))),
            0
        )
    ),
    IFERROR(
        UPPER(
            IF(MAX(IFERROR(SEARCH("WD",MAIN!G69:J69), 0))&gt;0, "WD",
            IF(MAX(IFERROR(SEARCH("NS",MAIN!G69:J69), 0))&gt;0, "NS",
            IF(MAX(IFERROR(SEARCH("NC",MAIN!G69:J69), 0))&gt;0, "NC",
            IF(MAX(IFERROR(SEARCH("DQ",MAIN!G69:J69), 0))&gt;0, "DQ",
            IF(ISNUMBER(SEARCH("WD",MAIN!K69)), "WD",
            IF(ISNUMBER(SEARCH("NS",MAIN!K69)), "NS",
            IF(ISNUMBER(SEARCH("NC",MAIN!K69)), "NC",
            IF(ISNUMBER(SEARCH("DQ",MAIN!K69)), "DQ",
            IF(ISNUMBER(SEARCH("A",MAIN!K69)), 0,
            IF(OR(MAIN!K69=0,MAIN!K69=""), 0, --TRIM(MAIN!K69)))))))))))),
        0
    )
)</f>
        <v>0</v>
      </c>
    </row>
    <row r="70" spans="1:11" x14ac:dyDescent="0.25">
      <c r="A70" t="str">
        <f>IF(ISBLANK(MAIN!A70), "--", IFERROR(PROPER(SUBSTITUTE(SUBSTITUTE(SUBSTITUTE(SUBSTITUTE(SUBSTITUTE(SUBSTITUTE(SUBSTITUTE(SUBSTITUTE(SUBSTITUTE(SUBSTITUTE(LEFT(MAIN!A70, FIND(",",MAIN!A70) -1), "0", ""), "1", ""), "2", ""), "3", ""), "4", ""), "5", ""), "6", ""), "7", ""), "8", ""), "9", "")), PROPER(SUBSTITUTE(SUBSTITUTE(SUBSTITUTE(SUBSTITUTE(SUBSTITUTE(SUBSTITUTE(SUBSTITUTE(SUBSTITUTE(SUBSTITUTE(SUBSTITUTE(MAIN!A70, "0", ""), "1", ""), "2", ""), "3", ""), "4", ""), "5", ""), "6", ""), "7", ""), "8", ""), "9", ""))))</f>
        <v>--</v>
      </c>
      <c r="B70" t="str">
        <f>IF(ISBLANK(MAIN!B70), "--", IFERROR(PROPER(SUBSTITUTE(SUBSTITUTE(SUBSTITUTE(SUBSTITUTE(SUBSTITUTE(SUBSTITUTE(SUBSTITUTE(SUBSTITUTE(SUBSTITUTE(SUBSTITUTE(LEFT(MAIN!B70, FIND(",",MAIN!B70) -1), "0", ""), "1", ""), "2", ""), "3", ""), "4", ""), "5", ""), "6", ""), "7", ""), "8", ""), "9", "")), PROPER(SUBSTITUTE(SUBSTITUTE(SUBSTITUTE(SUBSTITUTE(SUBSTITUTE(SUBSTITUTE(SUBSTITUTE(SUBSTITUTE(SUBSTITUTE(SUBSTITUTE(MAIN!B70, "0", ""), "1", ""), "2", ""), "3", ""), "4", ""), "5", ""), "6", ""), "7", ""), "8", ""), "9", ""))))</f>
        <v>--</v>
      </c>
      <c r="C70" t="str">
        <f>IF(ISBLANK(MAIN!C70), "--", IFERROR(PROPER(SUBSTITUTE(SUBSTITUTE(SUBSTITUTE(SUBSTITUTE(SUBSTITUTE(SUBSTITUTE(SUBSTITUTE(SUBSTITUTE(SUBSTITUTE(SUBSTITUTE(LEFT(MAIN!C70, FIND(",",MAIN!C70) -1), "0", ""), "1", ""), "2", ""), "3", ""), "4", ""), "5", ""), "6", ""), "7", ""), "8", ""), "9", "")), PROPER(SUBSTITUTE(SUBSTITUTE(SUBSTITUTE(SUBSTITUTE(SUBSTITUTE(SUBSTITUTE(SUBSTITUTE(SUBSTITUTE(SUBSTITUTE(SUBSTITUTE(MAIN!C70, "0", ""), "1", ""), "2", ""), "3", ""), "4", ""), "5", ""), "6", ""), "7", ""), "8", ""), "9", ""))))</f>
        <v>--</v>
      </c>
      <c r="D70" t="str">
        <f>IF(ISBLANK(MAIN!D70), "--", IF(ISNUMBER(MATCH(SUBSTITUTE(LEFT(MAIN!D70, IFERROR(FIND(",", MAIN!D70)-1, LEN(MAIN!D70))), " ", ""), lookup_values!$B$2:$B$51, 0)), UPPER(SUBSTITUTE(LEFT(MAIN!D70, IFERROR(FIND(",", MAIN!D70)-1, LEN(MAIN!D70))), " ", "")), IF(ISNA(VLOOKUP(SUBSTITUTE(LEFT(MAIN!D70, IFERROR(FIND(",", MAIN!D70)-1, LEN(MAIN!D70))), " ", ""), lookup_values!$A$2:$B$51, 2, FALSE)), "--", VLOOKUP(SUBSTITUTE(LEFT(MAIN!D70, IFERROR(FIND(",", MAIN!D70)-1, LEN(MAIN!D70))), " ", ""), lookup_values!$A$2:$B$51, 2, FALSE))))</f>
        <v>--</v>
      </c>
      <c r="E70" t="str">
        <f>IF(CLEAN_DATA!D70&lt;&gt;"--","US",IF(ISBLANK(MAIN!E70), "--", IF(ISNUMBER(MATCH(SUBSTITUTE(LEFT(MAIN!E70, IFERROR(FIND(",", MAIN!E70)-1, LEN(MAIN!E70))), " ", ""), lookup_values!$E$2:$E$197, 0)), UPPER(SUBSTITUTE(LEFT(MAIN!E70, IFERROR(FIND(",", MAIN!E70)-1, LEN(MAIN!E70))), " ", "")), IF(ISNA(VLOOKUP(SUBSTITUTE(LEFT(MAIN!E70, IFERROR(FIND(",", MAIN!E70)-1, LEN(MAIN!E70))), " ", ""), lookup_values!$D$2:$E$197, 2, FALSE)), "--", VLOOKUP(SUBSTITUTE(LEFT(MAIN!E70, IFERROR(FIND(",", MAIN!E70)-1, LEN(MAIN!E70))), " ", ""), lookup_values!$D$2:$E$197, 2, FALSE)))))</f>
        <v>--</v>
      </c>
      <c r="F70" t="str">
        <f>IF(ISBLANK(MAIN!F70), "", IF(AND(ISNUMBER(VALUE(TRIM(MAIN!F70))), LEN(TRIM(MAIN!F70))=4), VALUE(TRIM(MAIN!F70)), ""))</f>
        <v/>
      </c>
      <c r="G70">
        <f>IF(ISBLANK(MAIN!G70), 0, IF(ISNUMBER(VALUE(TRIM(MAIN!G70))), VALUE(TRIM(MAIN!G70)), 0))</f>
        <v>0</v>
      </c>
      <c r="H70">
        <f>IF(ISBLANK(MAIN!H70), 0, IF(ISNUMBER(VALUE(TRIM(MAIN!H70))), VALUE(TRIM(MAIN!H70)), 0))</f>
        <v>0</v>
      </c>
      <c r="I70">
        <f>IF(ISBLANK(MAIN!I70), 0, IF(ISNUMBER(VALUE(TRIM(MAIN!I70))), VALUE(TRIM(MAIN!I70)), 0))</f>
        <v>0</v>
      </c>
      <c r="J70">
        <f>IF(ISBLANK(MAIN!J70), 0, IF(ISNUMBER(VALUE(TRIM(MAIN!J70))), VALUE(TRIM(MAIN!J70)), 0))</f>
        <v>0</v>
      </c>
      <c r="K70" cm="1">
        <f t="array" ref="K70">IFERROR(
    VALUE(
        IFERROR(
            UPPER(
                IF(MAX(IFERROR(SEARCH("WD",MAIN!G70:J70), 0))&gt;0, "WD",
                IF(MAX(IFERROR(SEARCH("NS",MAIN!G70:J70), 0))&gt;0, "NS",
                IF(MAX(IFERROR(SEARCH("NC",MAIN!G70:J70), 0))&gt;0, "NC",
                IF(MAX(IFERROR(SEARCH("DQ",MAIN!G70:J70), 0))&gt;0, "DQ",
                IF(ISNUMBER(SEARCH("WD",MAIN!K70)), "WD",
                IF(ISNUMBER(SEARCH("NS",MAIN!K70)), "NS",
                IF(ISNUMBER(SEARCH("NC",MAIN!K70)), "NC",
                IF(ISNUMBER(SEARCH("DQ",MAIN!K70)), "DQ",
                IF(ISNUMBER(SEARCH("A",MAIN!K70)), 0,
                IF(OR(MAIN!K70=0,MAIN!K70=""), 0, --TRIM(MAIN!K70)))))))))))),
            0
        )
    ),
    IFERROR(
        UPPER(
            IF(MAX(IFERROR(SEARCH("WD",MAIN!G70:J70), 0))&gt;0, "WD",
            IF(MAX(IFERROR(SEARCH("NS",MAIN!G70:J70), 0))&gt;0, "NS",
            IF(MAX(IFERROR(SEARCH("NC",MAIN!G70:J70), 0))&gt;0, "NC",
            IF(MAX(IFERROR(SEARCH("DQ",MAIN!G70:J70), 0))&gt;0, "DQ",
            IF(ISNUMBER(SEARCH("WD",MAIN!K70)), "WD",
            IF(ISNUMBER(SEARCH("NS",MAIN!K70)), "NS",
            IF(ISNUMBER(SEARCH("NC",MAIN!K70)), "NC",
            IF(ISNUMBER(SEARCH("DQ",MAIN!K70)), "DQ",
            IF(ISNUMBER(SEARCH("A",MAIN!K70)), 0,
            IF(OR(MAIN!K70=0,MAIN!K70=""), 0, --TRIM(MAIN!K70)))))))))))),
        0
    )
)</f>
        <v>0</v>
      </c>
    </row>
    <row r="71" spans="1:11" x14ac:dyDescent="0.25">
      <c r="A71" t="str">
        <f>IF(ISBLANK(MAIN!A71), "--", IFERROR(PROPER(SUBSTITUTE(SUBSTITUTE(SUBSTITUTE(SUBSTITUTE(SUBSTITUTE(SUBSTITUTE(SUBSTITUTE(SUBSTITUTE(SUBSTITUTE(SUBSTITUTE(LEFT(MAIN!A71, FIND(",",MAIN!A71) -1), "0", ""), "1", ""), "2", ""), "3", ""), "4", ""), "5", ""), "6", ""), "7", ""), "8", ""), "9", "")), PROPER(SUBSTITUTE(SUBSTITUTE(SUBSTITUTE(SUBSTITUTE(SUBSTITUTE(SUBSTITUTE(SUBSTITUTE(SUBSTITUTE(SUBSTITUTE(SUBSTITUTE(MAIN!A71, "0", ""), "1", ""), "2", ""), "3", ""), "4", ""), "5", ""), "6", ""), "7", ""), "8", ""), "9", ""))))</f>
        <v>--</v>
      </c>
      <c r="B71" t="str">
        <f>IF(ISBLANK(MAIN!B71), "--", IFERROR(PROPER(SUBSTITUTE(SUBSTITUTE(SUBSTITUTE(SUBSTITUTE(SUBSTITUTE(SUBSTITUTE(SUBSTITUTE(SUBSTITUTE(SUBSTITUTE(SUBSTITUTE(LEFT(MAIN!B71, FIND(",",MAIN!B71) -1), "0", ""), "1", ""), "2", ""), "3", ""), "4", ""), "5", ""), "6", ""), "7", ""), "8", ""), "9", "")), PROPER(SUBSTITUTE(SUBSTITUTE(SUBSTITUTE(SUBSTITUTE(SUBSTITUTE(SUBSTITUTE(SUBSTITUTE(SUBSTITUTE(SUBSTITUTE(SUBSTITUTE(MAIN!B71, "0", ""), "1", ""), "2", ""), "3", ""), "4", ""), "5", ""), "6", ""), "7", ""), "8", ""), "9", ""))))</f>
        <v>--</v>
      </c>
      <c r="C71" t="str">
        <f>IF(ISBLANK(MAIN!C71), "--", IFERROR(PROPER(SUBSTITUTE(SUBSTITUTE(SUBSTITUTE(SUBSTITUTE(SUBSTITUTE(SUBSTITUTE(SUBSTITUTE(SUBSTITUTE(SUBSTITUTE(SUBSTITUTE(LEFT(MAIN!C71, FIND(",",MAIN!C71) -1), "0", ""), "1", ""), "2", ""), "3", ""), "4", ""), "5", ""), "6", ""), "7", ""), "8", ""), "9", "")), PROPER(SUBSTITUTE(SUBSTITUTE(SUBSTITUTE(SUBSTITUTE(SUBSTITUTE(SUBSTITUTE(SUBSTITUTE(SUBSTITUTE(SUBSTITUTE(SUBSTITUTE(MAIN!C71, "0", ""), "1", ""), "2", ""), "3", ""), "4", ""), "5", ""), "6", ""), "7", ""), "8", ""), "9", ""))))</f>
        <v>--</v>
      </c>
      <c r="D71" t="str">
        <f>IF(ISBLANK(MAIN!D71), "--", IF(ISNUMBER(MATCH(SUBSTITUTE(LEFT(MAIN!D71, IFERROR(FIND(",", MAIN!D71)-1, LEN(MAIN!D71))), " ", ""), lookup_values!$B$2:$B$51, 0)), UPPER(SUBSTITUTE(LEFT(MAIN!D71, IFERROR(FIND(",", MAIN!D71)-1, LEN(MAIN!D71))), " ", "")), IF(ISNA(VLOOKUP(SUBSTITUTE(LEFT(MAIN!D71, IFERROR(FIND(",", MAIN!D71)-1, LEN(MAIN!D71))), " ", ""), lookup_values!$A$2:$B$51, 2, FALSE)), "--", VLOOKUP(SUBSTITUTE(LEFT(MAIN!D71, IFERROR(FIND(",", MAIN!D71)-1, LEN(MAIN!D71))), " ", ""), lookup_values!$A$2:$B$51, 2, FALSE))))</f>
        <v>--</v>
      </c>
      <c r="E71" t="str">
        <f>IF(CLEAN_DATA!D71&lt;&gt;"--","US",IF(ISBLANK(MAIN!E71), "--", IF(ISNUMBER(MATCH(SUBSTITUTE(LEFT(MAIN!E71, IFERROR(FIND(",", MAIN!E71)-1, LEN(MAIN!E71))), " ", ""), lookup_values!$E$2:$E$197, 0)), UPPER(SUBSTITUTE(LEFT(MAIN!E71, IFERROR(FIND(",", MAIN!E71)-1, LEN(MAIN!E71))), " ", "")), IF(ISNA(VLOOKUP(SUBSTITUTE(LEFT(MAIN!E71, IFERROR(FIND(",", MAIN!E71)-1, LEN(MAIN!E71))), " ", ""), lookup_values!$D$2:$E$197, 2, FALSE)), "--", VLOOKUP(SUBSTITUTE(LEFT(MAIN!E71, IFERROR(FIND(",", MAIN!E71)-1, LEN(MAIN!E71))), " ", ""), lookup_values!$D$2:$E$197, 2, FALSE)))))</f>
        <v>--</v>
      </c>
      <c r="F71" t="str">
        <f>IF(ISBLANK(MAIN!F71), "", IF(AND(ISNUMBER(VALUE(TRIM(MAIN!F71))), LEN(TRIM(MAIN!F71))=4), VALUE(TRIM(MAIN!F71)), ""))</f>
        <v/>
      </c>
      <c r="G71">
        <f>IF(ISBLANK(MAIN!G71), 0, IF(ISNUMBER(VALUE(TRIM(MAIN!G71))), VALUE(TRIM(MAIN!G71)), 0))</f>
        <v>0</v>
      </c>
      <c r="H71">
        <f>IF(ISBLANK(MAIN!H71), 0, IF(ISNUMBER(VALUE(TRIM(MAIN!H71))), VALUE(TRIM(MAIN!H71)), 0))</f>
        <v>0</v>
      </c>
      <c r="I71">
        <f>IF(ISBLANK(MAIN!I71), 0, IF(ISNUMBER(VALUE(TRIM(MAIN!I71))), VALUE(TRIM(MAIN!I71)), 0))</f>
        <v>0</v>
      </c>
      <c r="J71">
        <f>IF(ISBLANK(MAIN!J71), 0, IF(ISNUMBER(VALUE(TRIM(MAIN!J71))), VALUE(TRIM(MAIN!J71)), 0))</f>
        <v>0</v>
      </c>
      <c r="K71" cm="1">
        <f t="array" ref="K71">IFERROR(
    VALUE(
        IFERROR(
            UPPER(
                IF(MAX(IFERROR(SEARCH("WD",MAIN!G71:J71), 0))&gt;0, "WD",
                IF(MAX(IFERROR(SEARCH("NS",MAIN!G71:J71), 0))&gt;0, "NS",
                IF(MAX(IFERROR(SEARCH("NC",MAIN!G71:J71), 0))&gt;0, "NC",
                IF(MAX(IFERROR(SEARCH("DQ",MAIN!G71:J71), 0))&gt;0, "DQ",
                IF(ISNUMBER(SEARCH("WD",MAIN!K71)), "WD",
                IF(ISNUMBER(SEARCH("NS",MAIN!K71)), "NS",
                IF(ISNUMBER(SEARCH("NC",MAIN!K71)), "NC",
                IF(ISNUMBER(SEARCH("DQ",MAIN!K71)), "DQ",
                IF(ISNUMBER(SEARCH("A",MAIN!K71)), 0,
                IF(OR(MAIN!K71=0,MAIN!K71=""), 0, --TRIM(MAIN!K71)))))))))))),
            0
        )
    ),
    IFERROR(
        UPPER(
            IF(MAX(IFERROR(SEARCH("WD",MAIN!G71:J71), 0))&gt;0, "WD",
            IF(MAX(IFERROR(SEARCH("NS",MAIN!G71:J71), 0))&gt;0, "NS",
            IF(MAX(IFERROR(SEARCH("NC",MAIN!G71:J71), 0))&gt;0, "NC",
            IF(MAX(IFERROR(SEARCH("DQ",MAIN!G71:J71), 0))&gt;0, "DQ",
            IF(ISNUMBER(SEARCH("WD",MAIN!K71)), "WD",
            IF(ISNUMBER(SEARCH("NS",MAIN!K71)), "NS",
            IF(ISNUMBER(SEARCH("NC",MAIN!K71)), "NC",
            IF(ISNUMBER(SEARCH("DQ",MAIN!K71)), "DQ",
            IF(ISNUMBER(SEARCH("A",MAIN!K71)), 0,
            IF(OR(MAIN!K71=0,MAIN!K71=""), 0, --TRIM(MAIN!K71)))))))))))),
        0
    )
)</f>
        <v>0</v>
      </c>
    </row>
    <row r="72" spans="1:11" x14ac:dyDescent="0.25">
      <c r="A72" t="str">
        <f>IF(ISBLANK(MAIN!A72), "--", IFERROR(PROPER(SUBSTITUTE(SUBSTITUTE(SUBSTITUTE(SUBSTITUTE(SUBSTITUTE(SUBSTITUTE(SUBSTITUTE(SUBSTITUTE(SUBSTITUTE(SUBSTITUTE(LEFT(MAIN!A72, FIND(",",MAIN!A72) -1), "0", ""), "1", ""), "2", ""), "3", ""), "4", ""), "5", ""), "6", ""), "7", ""), "8", ""), "9", "")), PROPER(SUBSTITUTE(SUBSTITUTE(SUBSTITUTE(SUBSTITUTE(SUBSTITUTE(SUBSTITUTE(SUBSTITUTE(SUBSTITUTE(SUBSTITUTE(SUBSTITUTE(MAIN!A72, "0", ""), "1", ""), "2", ""), "3", ""), "4", ""), "5", ""), "6", ""), "7", ""), "8", ""), "9", ""))))</f>
        <v>--</v>
      </c>
      <c r="B72" t="str">
        <f>IF(ISBLANK(MAIN!B72), "--", IFERROR(PROPER(SUBSTITUTE(SUBSTITUTE(SUBSTITUTE(SUBSTITUTE(SUBSTITUTE(SUBSTITUTE(SUBSTITUTE(SUBSTITUTE(SUBSTITUTE(SUBSTITUTE(LEFT(MAIN!B72, FIND(",",MAIN!B72) -1), "0", ""), "1", ""), "2", ""), "3", ""), "4", ""), "5", ""), "6", ""), "7", ""), "8", ""), "9", "")), PROPER(SUBSTITUTE(SUBSTITUTE(SUBSTITUTE(SUBSTITUTE(SUBSTITUTE(SUBSTITUTE(SUBSTITUTE(SUBSTITUTE(SUBSTITUTE(SUBSTITUTE(MAIN!B72, "0", ""), "1", ""), "2", ""), "3", ""), "4", ""), "5", ""), "6", ""), "7", ""), "8", ""), "9", ""))))</f>
        <v>--</v>
      </c>
      <c r="C72" t="str">
        <f>IF(ISBLANK(MAIN!C72), "--", IFERROR(PROPER(SUBSTITUTE(SUBSTITUTE(SUBSTITUTE(SUBSTITUTE(SUBSTITUTE(SUBSTITUTE(SUBSTITUTE(SUBSTITUTE(SUBSTITUTE(SUBSTITUTE(LEFT(MAIN!C72, FIND(",",MAIN!C72) -1), "0", ""), "1", ""), "2", ""), "3", ""), "4", ""), "5", ""), "6", ""), "7", ""), "8", ""), "9", "")), PROPER(SUBSTITUTE(SUBSTITUTE(SUBSTITUTE(SUBSTITUTE(SUBSTITUTE(SUBSTITUTE(SUBSTITUTE(SUBSTITUTE(SUBSTITUTE(SUBSTITUTE(MAIN!C72, "0", ""), "1", ""), "2", ""), "3", ""), "4", ""), "5", ""), "6", ""), "7", ""), "8", ""), "9", ""))))</f>
        <v>--</v>
      </c>
      <c r="D72" t="str">
        <f>IF(ISBLANK(MAIN!D72), "--", IF(ISNUMBER(MATCH(SUBSTITUTE(LEFT(MAIN!D72, IFERROR(FIND(",", MAIN!D72)-1, LEN(MAIN!D72))), " ", ""), lookup_values!$B$2:$B$51, 0)), UPPER(SUBSTITUTE(LEFT(MAIN!D72, IFERROR(FIND(",", MAIN!D72)-1, LEN(MAIN!D72))), " ", "")), IF(ISNA(VLOOKUP(SUBSTITUTE(LEFT(MAIN!D72, IFERROR(FIND(",", MAIN!D72)-1, LEN(MAIN!D72))), " ", ""), lookup_values!$A$2:$B$51, 2, FALSE)), "--", VLOOKUP(SUBSTITUTE(LEFT(MAIN!D72, IFERROR(FIND(",", MAIN!D72)-1, LEN(MAIN!D72))), " ", ""), lookup_values!$A$2:$B$51, 2, FALSE))))</f>
        <v>--</v>
      </c>
      <c r="E72" t="str">
        <f>IF(CLEAN_DATA!D72&lt;&gt;"--","US",IF(ISBLANK(MAIN!E72), "--", IF(ISNUMBER(MATCH(SUBSTITUTE(LEFT(MAIN!E72, IFERROR(FIND(",", MAIN!E72)-1, LEN(MAIN!E72))), " ", ""), lookup_values!$E$2:$E$197, 0)), UPPER(SUBSTITUTE(LEFT(MAIN!E72, IFERROR(FIND(",", MAIN!E72)-1, LEN(MAIN!E72))), " ", "")), IF(ISNA(VLOOKUP(SUBSTITUTE(LEFT(MAIN!E72, IFERROR(FIND(",", MAIN!E72)-1, LEN(MAIN!E72))), " ", ""), lookup_values!$D$2:$E$197, 2, FALSE)), "--", VLOOKUP(SUBSTITUTE(LEFT(MAIN!E72, IFERROR(FIND(",", MAIN!E72)-1, LEN(MAIN!E72))), " ", ""), lookup_values!$D$2:$E$197, 2, FALSE)))))</f>
        <v>--</v>
      </c>
      <c r="F72" t="str">
        <f>IF(ISBLANK(MAIN!F72), "", IF(AND(ISNUMBER(VALUE(TRIM(MAIN!F72))), LEN(TRIM(MAIN!F72))=4), VALUE(TRIM(MAIN!F72)), ""))</f>
        <v/>
      </c>
      <c r="G72">
        <f>IF(ISBLANK(MAIN!G72), 0, IF(ISNUMBER(VALUE(TRIM(MAIN!G72))), VALUE(TRIM(MAIN!G72)), 0))</f>
        <v>0</v>
      </c>
      <c r="H72">
        <f>IF(ISBLANK(MAIN!H72), 0, IF(ISNUMBER(VALUE(TRIM(MAIN!H72))), VALUE(TRIM(MAIN!H72)), 0))</f>
        <v>0</v>
      </c>
      <c r="I72">
        <f>IF(ISBLANK(MAIN!I72), 0, IF(ISNUMBER(VALUE(TRIM(MAIN!I72))), VALUE(TRIM(MAIN!I72)), 0))</f>
        <v>0</v>
      </c>
      <c r="J72">
        <f>IF(ISBLANK(MAIN!J72), 0, IF(ISNUMBER(VALUE(TRIM(MAIN!J72))), VALUE(TRIM(MAIN!J72)), 0))</f>
        <v>0</v>
      </c>
      <c r="K72" cm="1">
        <f t="array" ref="K72">IFERROR(
    VALUE(
        IFERROR(
            UPPER(
                IF(MAX(IFERROR(SEARCH("WD",MAIN!G72:J72), 0))&gt;0, "WD",
                IF(MAX(IFERROR(SEARCH("NS",MAIN!G72:J72), 0))&gt;0, "NS",
                IF(MAX(IFERROR(SEARCH("NC",MAIN!G72:J72), 0))&gt;0, "NC",
                IF(MAX(IFERROR(SEARCH("DQ",MAIN!G72:J72), 0))&gt;0, "DQ",
                IF(ISNUMBER(SEARCH("WD",MAIN!K72)), "WD",
                IF(ISNUMBER(SEARCH("NS",MAIN!K72)), "NS",
                IF(ISNUMBER(SEARCH("NC",MAIN!K72)), "NC",
                IF(ISNUMBER(SEARCH("DQ",MAIN!K72)), "DQ",
                IF(ISNUMBER(SEARCH("A",MAIN!K72)), 0,
                IF(OR(MAIN!K72=0,MAIN!K72=""), 0, --TRIM(MAIN!K72)))))))))))),
            0
        )
    ),
    IFERROR(
        UPPER(
            IF(MAX(IFERROR(SEARCH("WD",MAIN!G72:J72), 0))&gt;0, "WD",
            IF(MAX(IFERROR(SEARCH("NS",MAIN!G72:J72), 0))&gt;0, "NS",
            IF(MAX(IFERROR(SEARCH("NC",MAIN!G72:J72), 0))&gt;0, "NC",
            IF(MAX(IFERROR(SEARCH("DQ",MAIN!G72:J72), 0))&gt;0, "DQ",
            IF(ISNUMBER(SEARCH("WD",MAIN!K72)), "WD",
            IF(ISNUMBER(SEARCH("NS",MAIN!K72)), "NS",
            IF(ISNUMBER(SEARCH("NC",MAIN!K72)), "NC",
            IF(ISNUMBER(SEARCH("DQ",MAIN!K72)), "DQ",
            IF(ISNUMBER(SEARCH("A",MAIN!K72)), 0,
            IF(OR(MAIN!K72=0,MAIN!K72=""), 0, --TRIM(MAIN!K72)))))))))))),
        0
    )
)</f>
        <v>0</v>
      </c>
    </row>
    <row r="73" spans="1:11" x14ac:dyDescent="0.25">
      <c r="A73" t="str">
        <f>IF(ISBLANK(MAIN!A73), "--", IFERROR(PROPER(SUBSTITUTE(SUBSTITUTE(SUBSTITUTE(SUBSTITUTE(SUBSTITUTE(SUBSTITUTE(SUBSTITUTE(SUBSTITUTE(SUBSTITUTE(SUBSTITUTE(LEFT(MAIN!A73, FIND(",",MAIN!A73) -1), "0", ""), "1", ""), "2", ""), "3", ""), "4", ""), "5", ""), "6", ""), "7", ""), "8", ""), "9", "")), PROPER(SUBSTITUTE(SUBSTITUTE(SUBSTITUTE(SUBSTITUTE(SUBSTITUTE(SUBSTITUTE(SUBSTITUTE(SUBSTITUTE(SUBSTITUTE(SUBSTITUTE(MAIN!A73, "0", ""), "1", ""), "2", ""), "3", ""), "4", ""), "5", ""), "6", ""), "7", ""), "8", ""), "9", ""))))</f>
        <v>--</v>
      </c>
      <c r="B73" t="str">
        <f>IF(ISBLANK(MAIN!B73), "--", IFERROR(PROPER(SUBSTITUTE(SUBSTITUTE(SUBSTITUTE(SUBSTITUTE(SUBSTITUTE(SUBSTITUTE(SUBSTITUTE(SUBSTITUTE(SUBSTITUTE(SUBSTITUTE(LEFT(MAIN!B73, FIND(",",MAIN!B73) -1), "0", ""), "1", ""), "2", ""), "3", ""), "4", ""), "5", ""), "6", ""), "7", ""), "8", ""), "9", "")), PROPER(SUBSTITUTE(SUBSTITUTE(SUBSTITUTE(SUBSTITUTE(SUBSTITUTE(SUBSTITUTE(SUBSTITUTE(SUBSTITUTE(SUBSTITUTE(SUBSTITUTE(MAIN!B73, "0", ""), "1", ""), "2", ""), "3", ""), "4", ""), "5", ""), "6", ""), "7", ""), "8", ""), "9", ""))))</f>
        <v>--</v>
      </c>
      <c r="C73" t="str">
        <f>IF(ISBLANK(MAIN!C73), "--", IFERROR(PROPER(SUBSTITUTE(SUBSTITUTE(SUBSTITUTE(SUBSTITUTE(SUBSTITUTE(SUBSTITUTE(SUBSTITUTE(SUBSTITUTE(SUBSTITUTE(SUBSTITUTE(LEFT(MAIN!C73, FIND(",",MAIN!C73) -1), "0", ""), "1", ""), "2", ""), "3", ""), "4", ""), "5", ""), "6", ""), "7", ""), "8", ""), "9", "")), PROPER(SUBSTITUTE(SUBSTITUTE(SUBSTITUTE(SUBSTITUTE(SUBSTITUTE(SUBSTITUTE(SUBSTITUTE(SUBSTITUTE(SUBSTITUTE(SUBSTITUTE(MAIN!C73, "0", ""), "1", ""), "2", ""), "3", ""), "4", ""), "5", ""), "6", ""), "7", ""), "8", ""), "9", ""))))</f>
        <v>--</v>
      </c>
      <c r="D73" t="str">
        <f>IF(ISBLANK(MAIN!D73), "--", IF(ISNUMBER(MATCH(SUBSTITUTE(LEFT(MAIN!D73, IFERROR(FIND(",", MAIN!D73)-1, LEN(MAIN!D73))), " ", ""), lookup_values!$B$2:$B$51, 0)), UPPER(SUBSTITUTE(LEFT(MAIN!D73, IFERROR(FIND(",", MAIN!D73)-1, LEN(MAIN!D73))), " ", "")), IF(ISNA(VLOOKUP(SUBSTITUTE(LEFT(MAIN!D73, IFERROR(FIND(",", MAIN!D73)-1, LEN(MAIN!D73))), " ", ""), lookup_values!$A$2:$B$51, 2, FALSE)), "--", VLOOKUP(SUBSTITUTE(LEFT(MAIN!D73, IFERROR(FIND(",", MAIN!D73)-1, LEN(MAIN!D73))), " ", ""), lookup_values!$A$2:$B$51, 2, FALSE))))</f>
        <v>--</v>
      </c>
      <c r="E73" t="str">
        <f>IF(CLEAN_DATA!D73&lt;&gt;"--","US",IF(ISBLANK(MAIN!E73), "--", IF(ISNUMBER(MATCH(SUBSTITUTE(LEFT(MAIN!E73, IFERROR(FIND(",", MAIN!E73)-1, LEN(MAIN!E73))), " ", ""), lookup_values!$E$2:$E$197, 0)), UPPER(SUBSTITUTE(LEFT(MAIN!E73, IFERROR(FIND(",", MAIN!E73)-1, LEN(MAIN!E73))), " ", "")), IF(ISNA(VLOOKUP(SUBSTITUTE(LEFT(MAIN!E73, IFERROR(FIND(",", MAIN!E73)-1, LEN(MAIN!E73))), " ", ""), lookup_values!$D$2:$E$197, 2, FALSE)), "--", VLOOKUP(SUBSTITUTE(LEFT(MAIN!E73, IFERROR(FIND(",", MAIN!E73)-1, LEN(MAIN!E73))), " ", ""), lookup_values!$D$2:$E$197, 2, FALSE)))))</f>
        <v>--</v>
      </c>
      <c r="F73" t="str">
        <f>IF(ISBLANK(MAIN!F73), "", IF(AND(ISNUMBER(VALUE(TRIM(MAIN!F73))), LEN(TRIM(MAIN!F73))=4), VALUE(TRIM(MAIN!F73)), ""))</f>
        <v/>
      </c>
      <c r="G73">
        <f>IF(ISBLANK(MAIN!G73), 0, IF(ISNUMBER(VALUE(TRIM(MAIN!G73))), VALUE(TRIM(MAIN!G73)), 0))</f>
        <v>0</v>
      </c>
      <c r="H73">
        <f>IF(ISBLANK(MAIN!H73), 0, IF(ISNUMBER(VALUE(TRIM(MAIN!H73))), VALUE(TRIM(MAIN!H73)), 0))</f>
        <v>0</v>
      </c>
      <c r="I73">
        <f>IF(ISBLANK(MAIN!I73), 0, IF(ISNUMBER(VALUE(TRIM(MAIN!I73))), VALUE(TRIM(MAIN!I73)), 0))</f>
        <v>0</v>
      </c>
      <c r="J73">
        <f>IF(ISBLANK(MAIN!J73), 0, IF(ISNUMBER(VALUE(TRIM(MAIN!J73))), VALUE(TRIM(MAIN!J73)), 0))</f>
        <v>0</v>
      </c>
      <c r="K73" cm="1">
        <f t="array" ref="K73">IFERROR(
    VALUE(
        IFERROR(
            UPPER(
                IF(MAX(IFERROR(SEARCH("WD",MAIN!G73:J73), 0))&gt;0, "WD",
                IF(MAX(IFERROR(SEARCH("NS",MAIN!G73:J73), 0))&gt;0, "NS",
                IF(MAX(IFERROR(SEARCH("NC",MAIN!G73:J73), 0))&gt;0, "NC",
                IF(MAX(IFERROR(SEARCH("DQ",MAIN!G73:J73), 0))&gt;0, "DQ",
                IF(ISNUMBER(SEARCH("WD",MAIN!K73)), "WD",
                IF(ISNUMBER(SEARCH("NS",MAIN!K73)), "NS",
                IF(ISNUMBER(SEARCH("NC",MAIN!K73)), "NC",
                IF(ISNUMBER(SEARCH("DQ",MAIN!K73)), "DQ",
                IF(ISNUMBER(SEARCH("A",MAIN!K73)), 0,
                IF(OR(MAIN!K73=0,MAIN!K73=""), 0, --TRIM(MAIN!K73)))))))))))),
            0
        )
    ),
    IFERROR(
        UPPER(
            IF(MAX(IFERROR(SEARCH("WD",MAIN!G73:J73), 0))&gt;0, "WD",
            IF(MAX(IFERROR(SEARCH("NS",MAIN!G73:J73), 0))&gt;0, "NS",
            IF(MAX(IFERROR(SEARCH("NC",MAIN!G73:J73), 0))&gt;0, "NC",
            IF(MAX(IFERROR(SEARCH("DQ",MAIN!G73:J73), 0))&gt;0, "DQ",
            IF(ISNUMBER(SEARCH("WD",MAIN!K73)), "WD",
            IF(ISNUMBER(SEARCH("NS",MAIN!K73)), "NS",
            IF(ISNUMBER(SEARCH("NC",MAIN!K73)), "NC",
            IF(ISNUMBER(SEARCH("DQ",MAIN!K73)), "DQ",
            IF(ISNUMBER(SEARCH("A",MAIN!K73)), 0,
            IF(OR(MAIN!K73=0,MAIN!K73=""), 0, --TRIM(MAIN!K73)))))))))))),
        0
    )
)</f>
        <v>0</v>
      </c>
    </row>
    <row r="74" spans="1:11" x14ac:dyDescent="0.25">
      <c r="A74" t="str">
        <f>IF(ISBLANK(MAIN!A74), "--", IFERROR(PROPER(SUBSTITUTE(SUBSTITUTE(SUBSTITUTE(SUBSTITUTE(SUBSTITUTE(SUBSTITUTE(SUBSTITUTE(SUBSTITUTE(SUBSTITUTE(SUBSTITUTE(LEFT(MAIN!A74, FIND(",",MAIN!A74) -1), "0", ""), "1", ""), "2", ""), "3", ""), "4", ""), "5", ""), "6", ""), "7", ""), "8", ""), "9", "")), PROPER(SUBSTITUTE(SUBSTITUTE(SUBSTITUTE(SUBSTITUTE(SUBSTITUTE(SUBSTITUTE(SUBSTITUTE(SUBSTITUTE(SUBSTITUTE(SUBSTITUTE(MAIN!A74, "0", ""), "1", ""), "2", ""), "3", ""), "4", ""), "5", ""), "6", ""), "7", ""), "8", ""), "9", ""))))</f>
        <v>--</v>
      </c>
      <c r="B74" t="str">
        <f>IF(ISBLANK(MAIN!B74), "--", IFERROR(PROPER(SUBSTITUTE(SUBSTITUTE(SUBSTITUTE(SUBSTITUTE(SUBSTITUTE(SUBSTITUTE(SUBSTITUTE(SUBSTITUTE(SUBSTITUTE(SUBSTITUTE(LEFT(MAIN!B74, FIND(",",MAIN!B74) -1), "0", ""), "1", ""), "2", ""), "3", ""), "4", ""), "5", ""), "6", ""), "7", ""), "8", ""), "9", "")), PROPER(SUBSTITUTE(SUBSTITUTE(SUBSTITUTE(SUBSTITUTE(SUBSTITUTE(SUBSTITUTE(SUBSTITUTE(SUBSTITUTE(SUBSTITUTE(SUBSTITUTE(MAIN!B74, "0", ""), "1", ""), "2", ""), "3", ""), "4", ""), "5", ""), "6", ""), "7", ""), "8", ""), "9", ""))))</f>
        <v>--</v>
      </c>
      <c r="C74" t="str">
        <f>IF(ISBLANK(MAIN!C74), "--", IFERROR(PROPER(SUBSTITUTE(SUBSTITUTE(SUBSTITUTE(SUBSTITUTE(SUBSTITUTE(SUBSTITUTE(SUBSTITUTE(SUBSTITUTE(SUBSTITUTE(SUBSTITUTE(LEFT(MAIN!C74, FIND(",",MAIN!C74) -1), "0", ""), "1", ""), "2", ""), "3", ""), "4", ""), "5", ""), "6", ""), "7", ""), "8", ""), "9", "")), PROPER(SUBSTITUTE(SUBSTITUTE(SUBSTITUTE(SUBSTITUTE(SUBSTITUTE(SUBSTITUTE(SUBSTITUTE(SUBSTITUTE(SUBSTITUTE(SUBSTITUTE(MAIN!C74, "0", ""), "1", ""), "2", ""), "3", ""), "4", ""), "5", ""), "6", ""), "7", ""), "8", ""), "9", ""))))</f>
        <v>--</v>
      </c>
      <c r="D74" t="str">
        <f>IF(ISBLANK(MAIN!D74), "--", IF(ISNUMBER(MATCH(SUBSTITUTE(LEFT(MAIN!D74, IFERROR(FIND(",", MAIN!D74)-1, LEN(MAIN!D74))), " ", ""), lookup_values!$B$2:$B$51, 0)), UPPER(SUBSTITUTE(LEFT(MAIN!D74, IFERROR(FIND(",", MAIN!D74)-1, LEN(MAIN!D74))), " ", "")), IF(ISNA(VLOOKUP(SUBSTITUTE(LEFT(MAIN!D74, IFERROR(FIND(",", MAIN!D74)-1, LEN(MAIN!D74))), " ", ""), lookup_values!$A$2:$B$51, 2, FALSE)), "--", VLOOKUP(SUBSTITUTE(LEFT(MAIN!D74, IFERROR(FIND(",", MAIN!D74)-1, LEN(MAIN!D74))), " ", ""), lookup_values!$A$2:$B$51, 2, FALSE))))</f>
        <v>--</v>
      </c>
      <c r="E74" t="str">
        <f>IF(CLEAN_DATA!D74&lt;&gt;"--","US",IF(ISBLANK(MAIN!E74), "--", IF(ISNUMBER(MATCH(SUBSTITUTE(LEFT(MAIN!E74, IFERROR(FIND(",", MAIN!E74)-1, LEN(MAIN!E74))), " ", ""), lookup_values!$E$2:$E$197, 0)), UPPER(SUBSTITUTE(LEFT(MAIN!E74, IFERROR(FIND(",", MAIN!E74)-1, LEN(MAIN!E74))), " ", "")), IF(ISNA(VLOOKUP(SUBSTITUTE(LEFT(MAIN!E74, IFERROR(FIND(",", MAIN!E74)-1, LEN(MAIN!E74))), " ", ""), lookup_values!$D$2:$E$197, 2, FALSE)), "--", VLOOKUP(SUBSTITUTE(LEFT(MAIN!E74, IFERROR(FIND(",", MAIN!E74)-1, LEN(MAIN!E74))), " ", ""), lookup_values!$D$2:$E$197, 2, FALSE)))))</f>
        <v>--</v>
      </c>
      <c r="F74" t="str">
        <f>IF(ISBLANK(MAIN!F74), "", IF(AND(ISNUMBER(VALUE(TRIM(MAIN!F74))), LEN(TRIM(MAIN!F74))=4), VALUE(TRIM(MAIN!F74)), ""))</f>
        <v/>
      </c>
      <c r="G74">
        <f>IF(ISBLANK(MAIN!G74), 0, IF(ISNUMBER(VALUE(TRIM(MAIN!G74))), VALUE(TRIM(MAIN!G74)), 0))</f>
        <v>0</v>
      </c>
      <c r="H74">
        <f>IF(ISBLANK(MAIN!H74), 0, IF(ISNUMBER(VALUE(TRIM(MAIN!H74))), VALUE(TRIM(MAIN!H74)), 0))</f>
        <v>0</v>
      </c>
      <c r="I74">
        <f>IF(ISBLANK(MAIN!I74), 0, IF(ISNUMBER(VALUE(TRIM(MAIN!I74))), VALUE(TRIM(MAIN!I74)), 0))</f>
        <v>0</v>
      </c>
      <c r="J74">
        <f>IF(ISBLANK(MAIN!J74), 0, IF(ISNUMBER(VALUE(TRIM(MAIN!J74))), VALUE(TRIM(MAIN!J74)), 0))</f>
        <v>0</v>
      </c>
      <c r="K74" cm="1">
        <f t="array" ref="K74">IFERROR(
    VALUE(
        IFERROR(
            UPPER(
                IF(MAX(IFERROR(SEARCH("WD",MAIN!G74:J74), 0))&gt;0, "WD",
                IF(MAX(IFERROR(SEARCH("NS",MAIN!G74:J74), 0))&gt;0, "NS",
                IF(MAX(IFERROR(SEARCH("NC",MAIN!G74:J74), 0))&gt;0, "NC",
                IF(MAX(IFERROR(SEARCH("DQ",MAIN!G74:J74), 0))&gt;0, "DQ",
                IF(ISNUMBER(SEARCH("WD",MAIN!K74)), "WD",
                IF(ISNUMBER(SEARCH("NS",MAIN!K74)), "NS",
                IF(ISNUMBER(SEARCH("NC",MAIN!K74)), "NC",
                IF(ISNUMBER(SEARCH("DQ",MAIN!K74)), "DQ",
                IF(ISNUMBER(SEARCH("A",MAIN!K74)), 0,
                IF(OR(MAIN!K74=0,MAIN!K74=""), 0, --TRIM(MAIN!K74)))))))))))),
            0
        )
    ),
    IFERROR(
        UPPER(
            IF(MAX(IFERROR(SEARCH("WD",MAIN!G74:J74), 0))&gt;0, "WD",
            IF(MAX(IFERROR(SEARCH("NS",MAIN!G74:J74), 0))&gt;0, "NS",
            IF(MAX(IFERROR(SEARCH("NC",MAIN!G74:J74), 0))&gt;0, "NC",
            IF(MAX(IFERROR(SEARCH("DQ",MAIN!G74:J74), 0))&gt;0, "DQ",
            IF(ISNUMBER(SEARCH("WD",MAIN!K74)), "WD",
            IF(ISNUMBER(SEARCH("NS",MAIN!K74)), "NS",
            IF(ISNUMBER(SEARCH("NC",MAIN!K74)), "NC",
            IF(ISNUMBER(SEARCH("DQ",MAIN!K74)), "DQ",
            IF(ISNUMBER(SEARCH("A",MAIN!K74)), 0,
            IF(OR(MAIN!K74=0,MAIN!K74=""), 0, --TRIM(MAIN!K74)))))))))))),
        0
    )
)</f>
        <v>0</v>
      </c>
    </row>
    <row r="75" spans="1:11" x14ac:dyDescent="0.25">
      <c r="A75" t="str">
        <f>IF(ISBLANK(MAIN!A75), "--", IFERROR(PROPER(SUBSTITUTE(SUBSTITUTE(SUBSTITUTE(SUBSTITUTE(SUBSTITUTE(SUBSTITUTE(SUBSTITUTE(SUBSTITUTE(SUBSTITUTE(SUBSTITUTE(LEFT(MAIN!A75, FIND(",",MAIN!A75) -1), "0", ""), "1", ""), "2", ""), "3", ""), "4", ""), "5", ""), "6", ""), "7", ""), "8", ""), "9", "")), PROPER(SUBSTITUTE(SUBSTITUTE(SUBSTITUTE(SUBSTITUTE(SUBSTITUTE(SUBSTITUTE(SUBSTITUTE(SUBSTITUTE(SUBSTITUTE(SUBSTITUTE(MAIN!A75, "0", ""), "1", ""), "2", ""), "3", ""), "4", ""), "5", ""), "6", ""), "7", ""), "8", ""), "9", ""))))</f>
        <v>--</v>
      </c>
      <c r="B75" t="str">
        <f>IF(ISBLANK(MAIN!B75), "--", IFERROR(PROPER(SUBSTITUTE(SUBSTITUTE(SUBSTITUTE(SUBSTITUTE(SUBSTITUTE(SUBSTITUTE(SUBSTITUTE(SUBSTITUTE(SUBSTITUTE(SUBSTITUTE(LEFT(MAIN!B75, FIND(",",MAIN!B75) -1), "0", ""), "1", ""), "2", ""), "3", ""), "4", ""), "5", ""), "6", ""), "7", ""), "8", ""), "9", "")), PROPER(SUBSTITUTE(SUBSTITUTE(SUBSTITUTE(SUBSTITUTE(SUBSTITUTE(SUBSTITUTE(SUBSTITUTE(SUBSTITUTE(SUBSTITUTE(SUBSTITUTE(MAIN!B75, "0", ""), "1", ""), "2", ""), "3", ""), "4", ""), "5", ""), "6", ""), "7", ""), "8", ""), "9", ""))))</f>
        <v>--</v>
      </c>
      <c r="C75" t="str">
        <f>IF(ISBLANK(MAIN!C75), "--", IFERROR(PROPER(SUBSTITUTE(SUBSTITUTE(SUBSTITUTE(SUBSTITUTE(SUBSTITUTE(SUBSTITUTE(SUBSTITUTE(SUBSTITUTE(SUBSTITUTE(SUBSTITUTE(LEFT(MAIN!C75, FIND(",",MAIN!C75) -1), "0", ""), "1", ""), "2", ""), "3", ""), "4", ""), "5", ""), "6", ""), "7", ""), "8", ""), "9", "")), PROPER(SUBSTITUTE(SUBSTITUTE(SUBSTITUTE(SUBSTITUTE(SUBSTITUTE(SUBSTITUTE(SUBSTITUTE(SUBSTITUTE(SUBSTITUTE(SUBSTITUTE(MAIN!C75, "0", ""), "1", ""), "2", ""), "3", ""), "4", ""), "5", ""), "6", ""), "7", ""), "8", ""), "9", ""))))</f>
        <v>--</v>
      </c>
      <c r="D75" t="str">
        <f>IF(ISBLANK(MAIN!D75), "--", IF(ISNUMBER(MATCH(SUBSTITUTE(LEFT(MAIN!D75, IFERROR(FIND(",", MAIN!D75)-1, LEN(MAIN!D75))), " ", ""), lookup_values!$B$2:$B$51, 0)), UPPER(SUBSTITUTE(LEFT(MAIN!D75, IFERROR(FIND(",", MAIN!D75)-1, LEN(MAIN!D75))), " ", "")), IF(ISNA(VLOOKUP(SUBSTITUTE(LEFT(MAIN!D75, IFERROR(FIND(",", MAIN!D75)-1, LEN(MAIN!D75))), " ", ""), lookup_values!$A$2:$B$51, 2, FALSE)), "--", VLOOKUP(SUBSTITUTE(LEFT(MAIN!D75, IFERROR(FIND(",", MAIN!D75)-1, LEN(MAIN!D75))), " ", ""), lookup_values!$A$2:$B$51, 2, FALSE))))</f>
        <v>--</v>
      </c>
      <c r="E75" t="str">
        <f>IF(CLEAN_DATA!D75&lt;&gt;"--","US",IF(ISBLANK(MAIN!E75), "--", IF(ISNUMBER(MATCH(SUBSTITUTE(LEFT(MAIN!E75, IFERROR(FIND(",", MAIN!E75)-1, LEN(MAIN!E75))), " ", ""), lookup_values!$E$2:$E$197, 0)), UPPER(SUBSTITUTE(LEFT(MAIN!E75, IFERROR(FIND(",", MAIN!E75)-1, LEN(MAIN!E75))), " ", "")), IF(ISNA(VLOOKUP(SUBSTITUTE(LEFT(MAIN!E75, IFERROR(FIND(",", MAIN!E75)-1, LEN(MAIN!E75))), " ", ""), lookup_values!$D$2:$E$197, 2, FALSE)), "--", VLOOKUP(SUBSTITUTE(LEFT(MAIN!E75, IFERROR(FIND(",", MAIN!E75)-1, LEN(MAIN!E75))), " ", ""), lookup_values!$D$2:$E$197, 2, FALSE)))))</f>
        <v>--</v>
      </c>
      <c r="F75" t="str">
        <f>IF(ISBLANK(MAIN!F75), "", IF(AND(ISNUMBER(VALUE(TRIM(MAIN!F75))), LEN(TRIM(MAIN!F75))=4), VALUE(TRIM(MAIN!F75)), ""))</f>
        <v/>
      </c>
      <c r="G75">
        <f>IF(ISBLANK(MAIN!G75), 0, IF(ISNUMBER(VALUE(TRIM(MAIN!G75))), VALUE(TRIM(MAIN!G75)), 0))</f>
        <v>0</v>
      </c>
      <c r="H75">
        <f>IF(ISBLANK(MAIN!H75), 0, IF(ISNUMBER(VALUE(TRIM(MAIN!H75))), VALUE(TRIM(MAIN!H75)), 0))</f>
        <v>0</v>
      </c>
      <c r="I75">
        <f>IF(ISBLANK(MAIN!I75), 0, IF(ISNUMBER(VALUE(TRIM(MAIN!I75))), VALUE(TRIM(MAIN!I75)), 0))</f>
        <v>0</v>
      </c>
      <c r="J75">
        <f>IF(ISBLANK(MAIN!J75), 0, IF(ISNUMBER(VALUE(TRIM(MAIN!J75))), VALUE(TRIM(MAIN!J75)), 0))</f>
        <v>0</v>
      </c>
      <c r="K75" cm="1">
        <f t="array" ref="K75">IFERROR(
    VALUE(
        IFERROR(
            UPPER(
                IF(MAX(IFERROR(SEARCH("WD",MAIN!G75:J75), 0))&gt;0, "WD",
                IF(MAX(IFERROR(SEARCH("NS",MAIN!G75:J75), 0))&gt;0, "NS",
                IF(MAX(IFERROR(SEARCH("NC",MAIN!G75:J75), 0))&gt;0, "NC",
                IF(MAX(IFERROR(SEARCH("DQ",MAIN!G75:J75), 0))&gt;0, "DQ",
                IF(ISNUMBER(SEARCH("WD",MAIN!K75)), "WD",
                IF(ISNUMBER(SEARCH("NS",MAIN!K75)), "NS",
                IF(ISNUMBER(SEARCH("NC",MAIN!K75)), "NC",
                IF(ISNUMBER(SEARCH("DQ",MAIN!K75)), "DQ",
                IF(ISNUMBER(SEARCH("A",MAIN!K75)), 0,
                IF(OR(MAIN!K75=0,MAIN!K75=""), 0, --TRIM(MAIN!K75)))))))))))),
            0
        )
    ),
    IFERROR(
        UPPER(
            IF(MAX(IFERROR(SEARCH("WD",MAIN!G75:J75), 0))&gt;0, "WD",
            IF(MAX(IFERROR(SEARCH("NS",MAIN!G75:J75), 0))&gt;0, "NS",
            IF(MAX(IFERROR(SEARCH("NC",MAIN!G75:J75), 0))&gt;0, "NC",
            IF(MAX(IFERROR(SEARCH("DQ",MAIN!G75:J75), 0))&gt;0, "DQ",
            IF(ISNUMBER(SEARCH("WD",MAIN!K75)), "WD",
            IF(ISNUMBER(SEARCH("NS",MAIN!K75)), "NS",
            IF(ISNUMBER(SEARCH("NC",MAIN!K75)), "NC",
            IF(ISNUMBER(SEARCH("DQ",MAIN!K75)), "DQ",
            IF(ISNUMBER(SEARCH("A",MAIN!K75)), 0,
            IF(OR(MAIN!K75=0,MAIN!K75=""), 0, --TRIM(MAIN!K75)))))))))))),
        0
    )
)</f>
        <v>0</v>
      </c>
    </row>
    <row r="76" spans="1:11" x14ac:dyDescent="0.25">
      <c r="A76" t="str">
        <f>IF(ISBLANK(MAIN!A76), "--", IFERROR(PROPER(SUBSTITUTE(SUBSTITUTE(SUBSTITUTE(SUBSTITUTE(SUBSTITUTE(SUBSTITUTE(SUBSTITUTE(SUBSTITUTE(SUBSTITUTE(SUBSTITUTE(LEFT(MAIN!A76, FIND(",",MAIN!A76) -1), "0", ""), "1", ""), "2", ""), "3", ""), "4", ""), "5", ""), "6", ""), "7", ""), "8", ""), "9", "")), PROPER(SUBSTITUTE(SUBSTITUTE(SUBSTITUTE(SUBSTITUTE(SUBSTITUTE(SUBSTITUTE(SUBSTITUTE(SUBSTITUTE(SUBSTITUTE(SUBSTITUTE(MAIN!A76, "0", ""), "1", ""), "2", ""), "3", ""), "4", ""), "5", ""), "6", ""), "7", ""), "8", ""), "9", ""))))</f>
        <v>--</v>
      </c>
      <c r="B76" t="str">
        <f>IF(ISBLANK(MAIN!B76), "--", IFERROR(PROPER(SUBSTITUTE(SUBSTITUTE(SUBSTITUTE(SUBSTITUTE(SUBSTITUTE(SUBSTITUTE(SUBSTITUTE(SUBSTITUTE(SUBSTITUTE(SUBSTITUTE(LEFT(MAIN!B76, FIND(",",MAIN!B76) -1), "0", ""), "1", ""), "2", ""), "3", ""), "4", ""), "5", ""), "6", ""), "7", ""), "8", ""), "9", "")), PROPER(SUBSTITUTE(SUBSTITUTE(SUBSTITUTE(SUBSTITUTE(SUBSTITUTE(SUBSTITUTE(SUBSTITUTE(SUBSTITUTE(SUBSTITUTE(SUBSTITUTE(MAIN!B76, "0", ""), "1", ""), "2", ""), "3", ""), "4", ""), "5", ""), "6", ""), "7", ""), "8", ""), "9", ""))))</f>
        <v>--</v>
      </c>
      <c r="C76" t="str">
        <f>IF(ISBLANK(MAIN!C76), "--", IFERROR(PROPER(SUBSTITUTE(SUBSTITUTE(SUBSTITUTE(SUBSTITUTE(SUBSTITUTE(SUBSTITUTE(SUBSTITUTE(SUBSTITUTE(SUBSTITUTE(SUBSTITUTE(LEFT(MAIN!C76, FIND(",",MAIN!C76) -1), "0", ""), "1", ""), "2", ""), "3", ""), "4", ""), "5", ""), "6", ""), "7", ""), "8", ""), "9", "")), PROPER(SUBSTITUTE(SUBSTITUTE(SUBSTITUTE(SUBSTITUTE(SUBSTITUTE(SUBSTITUTE(SUBSTITUTE(SUBSTITUTE(SUBSTITUTE(SUBSTITUTE(MAIN!C76, "0", ""), "1", ""), "2", ""), "3", ""), "4", ""), "5", ""), "6", ""), "7", ""), "8", ""), "9", ""))))</f>
        <v>--</v>
      </c>
      <c r="D76" t="str">
        <f>IF(ISBLANK(MAIN!D76), "--", IF(ISNUMBER(MATCH(SUBSTITUTE(LEFT(MAIN!D76, IFERROR(FIND(",", MAIN!D76)-1, LEN(MAIN!D76))), " ", ""), lookup_values!$B$2:$B$51, 0)), UPPER(SUBSTITUTE(LEFT(MAIN!D76, IFERROR(FIND(",", MAIN!D76)-1, LEN(MAIN!D76))), " ", "")), IF(ISNA(VLOOKUP(SUBSTITUTE(LEFT(MAIN!D76, IFERROR(FIND(",", MAIN!D76)-1, LEN(MAIN!D76))), " ", ""), lookup_values!$A$2:$B$51, 2, FALSE)), "--", VLOOKUP(SUBSTITUTE(LEFT(MAIN!D76, IFERROR(FIND(",", MAIN!D76)-1, LEN(MAIN!D76))), " ", ""), lookup_values!$A$2:$B$51, 2, FALSE))))</f>
        <v>--</v>
      </c>
      <c r="E76" t="str">
        <f>IF(CLEAN_DATA!D76&lt;&gt;"--","US",IF(ISBLANK(MAIN!E76), "--", IF(ISNUMBER(MATCH(SUBSTITUTE(LEFT(MAIN!E76, IFERROR(FIND(",", MAIN!E76)-1, LEN(MAIN!E76))), " ", ""), lookup_values!$E$2:$E$197, 0)), UPPER(SUBSTITUTE(LEFT(MAIN!E76, IFERROR(FIND(",", MAIN!E76)-1, LEN(MAIN!E76))), " ", "")), IF(ISNA(VLOOKUP(SUBSTITUTE(LEFT(MAIN!E76, IFERROR(FIND(",", MAIN!E76)-1, LEN(MAIN!E76))), " ", ""), lookup_values!$D$2:$E$197, 2, FALSE)), "--", VLOOKUP(SUBSTITUTE(LEFT(MAIN!E76, IFERROR(FIND(",", MAIN!E76)-1, LEN(MAIN!E76))), " ", ""), lookup_values!$D$2:$E$197, 2, FALSE)))))</f>
        <v>--</v>
      </c>
      <c r="F76" t="str">
        <f>IF(ISBLANK(MAIN!F76), "", IF(AND(ISNUMBER(VALUE(TRIM(MAIN!F76))), LEN(TRIM(MAIN!F76))=4), VALUE(TRIM(MAIN!F76)), ""))</f>
        <v/>
      </c>
      <c r="G76">
        <f>IF(ISBLANK(MAIN!G76), 0, IF(ISNUMBER(VALUE(TRIM(MAIN!G76))), VALUE(TRIM(MAIN!G76)), 0))</f>
        <v>0</v>
      </c>
      <c r="H76">
        <f>IF(ISBLANK(MAIN!H76), 0, IF(ISNUMBER(VALUE(TRIM(MAIN!H76))), VALUE(TRIM(MAIN!H76)), 0))</f>
        <v>0</v>
      </c>
      <c r="I76">
        <f>IF(ISBLANK(MAIN!I76), 0, IF(ISNUMBER(VALUE(TRIM(MAIN!I76))), VALUE(TRIM(MAIN!I76)), 0))</f>
        <v>0</v>
      </c>
      <c r="J76">
        <f>IF(ISBLANK(MAIN!J76), 0, IF(ISNUMBER(VALUE(TRIM(MAIN!J76))), VALUE(TRIM(MAIN!J76)), 0))</f>
        <v>0</v>
      </c>
      <c r="K76" cm="1">
        <f t="array" ref="K76">IFERROR(
    VALUE(
        IFERROR(
            UPPER(
                IF(MAX(IFERROR(SEARCH("WD",MAIN!G76:J76), 0))&gt;0, "WD",
                IF(MAX(IFERROR(SEARCH("NS",MAIN!G76:J76), 0))&gt;0, "NS",
                IF(MAX(IFERROR(SEARCH("NC",MAIN!G76:J76), 0))&gt;0, "NC",
                IF(MAX(IFERROR(SEARCH("DQ",MAIN!G76:J76), 0))&gt;0, "DQ",
                IF(ISNUMBER(SEARCH("WD",MAIN!K76)), "WD",
                IF(ISNUMBER(SEARCH("NS",MAIN!K76)), "NS",
                IF(ISNUMBER(SEARCH("NC",MAIN!K76)), "NC",
                IF(ISNUMBER(SEARCH("DQ",MAIN!K76)), "DQ",
                IF(ISNUMBER(SEARCH("A",MAIN!K76)), 0,
                IF(OR(MAIN!K76=0,MAIN!K76=""), 0, --TRIM(MAIN!K76)))))))))))),
            0
        )
    ),
    IFERROR(
        UPPER(
            IF(MAX(IFERROR(SEARCH("WD",MAIN!G76:J76), 0))&gt;0, "WD",
            IF(MAX(IFERROR(SEARCH("NS",MAIN!G76:J76), 0))&gt;0, "NS",
            IF(MAX(IFERROR(SEARCH("NC",MAIN!G76:J76), 0))&gt;0, "NC",
            IF(MAX(IFERROR(SEARCH("DQ",MAIN!G76:J76), 0))&gt;0, "DQ",
            IF(ISNUMBER(SEARCH("WD",MAIN!K76)), "WD",
            IF(ISNUMBER(SEARCH("NS",MAIN!K76)), "NS",
            IF(ISNUMBER(SEARCH("NC",MAIN!K76)), "NC",
            IF(ISNUMBER(SEARCH("DQ",MAIN!K76)), "DQ",
            IF(ISNUMBER(SEARCH("A",MAIN!K76)), 0,
            IF(OR(MAIN!K76=0,MAIN!K76=""), 0, --TRIM(MAIN!K76)))))))))))),
        0
    )
)</f>
        <v>0</v>
      </c>
    </row>
    <row r="77" spans="1:11" x14ac:dyDescent="0.25">
      <c r="A77" t="str">
        <f>IF(ISBLANK(MAIN!A77), "--", IFERROR(PROPER(SUBSTITUTE(SUBSTITUTE(SUBSTITUTE(SUBSTITUTE(SUBSTITUTE(SUBSTITUTE(SUBSTITUTE(SUBSTITUTE(SUBSTITUTE(SUBSTITUTE(LEFT(MAIN!A77, FIND(",",MAIN!A77) -1), "0", ""), "1", ""), "2", ""), "3", ""), "4", ""), "5", ""), "6", ""), "7", ""), "8", ""), "9", "")), PROPER(SUBSTITUTE(SUBSTITUTE(SUBSTITUTE(SUBSTITUTE(SUBSTITUTE(SUBSTITUTE(SUBSTITUTE(SUBSTITUTE(SUBSTITUTE(SUBSTITUTE(MAIN!A77, "0", ""), "1", ""), "2", ""), "3", ""), "4", ""), "5", ""), "6", ""), "7", ""), "8", ""), "9", ""))))</f>
        <v>--</v>
      </c>
      <c r="B77" t="str">
        <f>IF(ISBLANK(MAIN!B77), "--", IFERROR(PROPER(SUBSTITUTE(SUBSTITUTE(SUBSTITUTE(SUBSTITUTE(SUBSTITUTE(SUBSTITUTE(SUBSTITUTE(SUBSTITUTE(SUBSTITUTE(SUBSTITUTE(LEFT(MAIN!B77, FIND(",",MAIN!B77) -1), "0", ""), "1", ""), "2", ""), "3", ""), "4", ""), "5", ""), "6", ""), "7", ""), "8", ""), "9", "")), PROPER(SUBSTITUTE(SUBSTITUTE(SUBSTITUTE(SUBSTITUTE(SUBSTITUTE(SUBSTITUTE(SUBSTITUTE(SUBSTITUTE(SUBSTITUTE(SUBSTITUTE(MAIN!B77, "0", ""), "1", ""), "2", ""), "3", ""), "4", ""), "5", ""), "6", ""), "7", ""), "8", ""), "9", ""))))</f>
        <v>--</v>
      </c>
      <c r="C77" t="str">
        <f>IF(ISBLANK(MAIN!C77), "--", IFERROR(PROPER(SUBSTITUTE(SUBSTITUTE(SUBSTITUTE(SUBSTITUTE(SUBSTITUTE(SUBSTITUTE(SUBSTITUTE(SUBSTITUTE(SUBSTITUTE(SUBSTITUTE(LEFT(MAIN!C77, FIND(",",MAIN!C77) -1), "0", ""), "1", ""), "2", ""), "3", ""), "4", ""), "5", ""), "6", ""), "7", ""), "8", ""), "9", "")), PROPER(SUBSTITUTE(SUBSTITUTE(SUBSTITUTE(SUBSTITUTE(SUBSTITUTE(SUBSTITUTE(SUBSTITUTE(SUBSTITUTE(SUBSTITUTE(SUBSTITUTE(MAIN!C77, "0", ""), "1", ""), "2", ""), "3", ""), "4", ""), "5", ""), "6", ""), "7", ""), "8", ""), "9", ""))))</f>
        <v>--</v>
      </c>
      <c r="D77" t="str">
        <f>IF(ISBLANK(MAIN!D77), "--", IF(ISNUMBER(MATCH(SUBSTITUTE(LEFT(MAIN!D77, IFERROR(FIND(",", MAIN!D77)-1, LEN(MAIN!D77))), " ", ""), lookup_values!$B$2:$B$51, 0)), UPPER(SUBSTITUTE(LEFT(MAIN!D77, IFERROR(FIND(",", MAIN!D77)-1, LEN(MAIN!D77))), " ", "")), IF(ISNA(VLOOKUP(SUBSTITUTE(LEFT(MAIN!D77, IFERROR(FIND(",", MAIN!D77)-1, LEN(MAIN!D77))), " ", ""), lookup_values!$A$2:$B$51, 2, FALSE)), "--", VLOOKUP(SUBSTITUTE(LEFT(MAIN!D77, IFERROR(FIND(",", MAIN!D77)-1, LEN(MAIN!D77))), " ", ""), lookup_values!$A$2:$B$51, 2, FALSE))))</f>
        <v>--</v>
      </c>
      <c r="E77" t="str">
        <f>IF(CLEAN_DATA!D77&lt;&gt;"--","US",IF(ISBLANK(MAIN!E77), "--", IF(ISNUMBER(MATCH(SUBSTITUTE(LEFT(MAIN!E77, IFERROR(FIND(",", MAIN!E77)-1, LEN(MAIN!E77))), " ", ""), lookup_values!$E$2:$E$197, 0)), UPPER(SUBSTITUTE(LEFT(MAIN!E77, IFERROR(FIND(",", MAIN!E77)-1, LEN(MAIN!E77))), " ", "")), IF(ISNA(VLOOKUP(SUBSTITUTE(LEFT(MAIN!E77, IFERROR(FIND(",", MAIN!E77)-1, LEN(MAIN!E77))), " ", ""), lookup_values!$D$2:$E$197, 2, FALSE)), "--", VLOOKUP(SUBSTITUTE(LEFT(MAIN!E77, IFERROR(FIND(",", MAIN!E77)-1, LEN(MAIN!E77))), " ", ""), lookup_values!$D$2:$E$197, 2, FALSE)))))</f>
        <v>--</v>
      </c>
      <c r="F77" t="str">
        <f>IF(ISBLANK(MAIN!F77), "", IF(AND(ISNUMBER(VALUE(TRIM(MAIN!F77))), LEN(TRIM(MAIN!F77))=4), VALUE(TRIM(MAIN!F77)), ""))</f>
        <v/>
      </c>
      <c r="G77">
        <f>IF(ISBLANK(MAIN!G77), 0, IF(ISNUMBER(VALUE(TRIM(MAIN!G77))), VALUE(TRIM(MAIN!G77)), 0))</f>
        <v>0</v>
      </c>
      <c r="H77">
        <f>IF(ISBLANK(MAIN!H77), 0, IF(ISNUMBER(VALUE(TRIM(MAIN!H77))), VALUE(TRIM(MAIN!H77)), 0))</f>
        <v>0</v>
      </c>
      <c r="I77">
        <f>IF(ISBLANK(MAIN!I77), 0, IF(ISNUMBER(VALUE(TRIM(MAIN!I77))), VALUE(TRIM(MAIN!I77)), 0))</f>
        <v>0</v>
      </c>
      <c r="J77">
        <f>IF(ISBLANK(MAIN!J77), 0, IF(ISNUMBER(VALUE(TRIM(MAIN!J77))), VALUE(TRIM(MAIN!J77)), 0))</f>
        <v>0</v>
      </c>
      <c r="K77" cm="1">
        <f t="array" ref="K77">IFERROR(
    VALUE(
        IFERROR(
            UPPER(
                IF(MAX(IFERROR(SEARCH("WD",MAIN!G77:J77), 0))&gt;0, "WD",
                IF(MAX(IFERROR(SEARCH("NS",MAIN!G77:J77), 0))&gt;0, "NS",
                IF(MAX(IFERROR(SEARCH("NC",MAIN!G77:J77), 0))&gt;0, "NC",
                IF(MAX(IFERROR(SEARCH("DQ",MAIN!G77:J77), 0))&gt;0, "DQ",
                IF(ISNUMBER(SEARCH("WD",MAIN!K77)), "WD",
                IF(ISNUMBER(SEARCH("NS",MAIN!K77)), "NS",
                IF(ISNUMBER(SEARCH("NC",MAIN!K77)), "NC",
                IF(ISNUMBER(SEARCH("DQ",MAIN!K77)), "DQ",
                IF(ISNUMBER(SEARCH("A",MAIN!K77)), 0,
                IF(OR(MAIN!K77=0,MAIN!K77=""), 0, --TRIM(MAIN!K77)))))))))))),
            0
        )
    ),
    IFERROR(
        UPPER(
            IF(MAX(IFERROR(SEARCH("WD",MAIN!G77:J77), 0))&gt;0, "WD",
            IF(MAX(IFERROR(SEARCH("NS",MAIN!G77:J77), 0))&gt;0, "NS",
            IF(MAX(IFERROR(SEARCH("NC",MAIN!G77:J77), 0))&gt;0, "NC",
            IF(MAX(IFERROR(SEARCH("DQ",MAIN!G77:J77), 0))&gt;0, "DQ",
            IF(ISNUMBER(SEARCH("WD",MAIN!K77)), "WD",
            IF(ISNUMBER(SEARCH("NS",MAIN!K77)), "NS",
            IF(ISNUMBER(SEARCH("NC",MAIN!K77)), "NC",
            IF(ISNUMBER(SEARCH("DQ",MAIN!K77)), "DQ",
            IF(ISNUMBER(SEARCH("A",MAIN!K77)), 0,
            IF(OR(MAIN!K77=0,MAIN!K77=""), 0, --TRIM(MAIN!K77)))))))))))),
        0
    )
)</f>
        <v>0</v>
      </c>
    </row>
    <row r="78" spans="1:11" x14ac:dyDescent="0.25">
      <c r="A78" t="str">
        <f>IF(ISBLANK(MAIN!A78), "--", IFERROR(PROPER(SUBSTITUTE(SUBSTITUTE(SUBSTITUTE(SUBSTITUTE(SUBSTITUTE(SUBSTITUTE(SUBSTITUTE(SUBSTITUTE(SUBSTITUTE(SUBSTITUTE(LEFT(MAIN!A78, FIND(",",MAIN!A78) -1), "0", ""), "1", ""), "2", ""), "3", ""), "4", ""), "5", ""), "6", ""), "7", ""), "8", ""), "9", "")), PROPER(SUBSTITUTE(SUBSTITUTE(SUBSTITUTE(SUBSTITUTE(SUBSTITUTE(SUBSTITUTE(SUBSTITUTE(SUBSTITUTE(SUBSTITUTE(SUBSTITUTE(MAIN!A78, "0", ""), "1", ""), "2", ""), "3", ""), "4", ""), "5", ""), "6", ""), "7", ""), "8", ""), "9", ""))))</f>
        <v>--</v>
      </c>
      <c r="B78" t="str">
        <f>IF(ISBLANK(MAIN!B78), "--", IFERROR(PROPER(SUBSTITUTE(SUBSTITUTE(SUBSTITUTE(SUBSTITUTE(SUBSTITUTE(SUBSTITUTE(SUBSTITUTE(SUBSTITUTE(SUBSTITUTE(SUBSTITUTE(LEFT(MAIN!B78, FIND(",",MAIN!B78) -1), "0", ""), "1", ""), "2", ""), "3", ""), "4", ""), "5", ""), "6", ""), "7", ""), "8", ""), "9", "")), PROPER(SUBSTITUTE(SUBSTITUTE(SUBSTITUTE(SUBSTITUTE(SUBSTITUTE(SUBSTITUTE(SUBSTITUTE(SUBSTITUTE(SUBSTITUTE(SUBSTITUTE(MAIN!B78, "0", ""), "1", ""), "2", ""), "3", ""), "4", ""), "5", ""), "6", ""), "7", ""), "8", ""), "9", ""))))</f>
        <v>--</v>
      </c>
      <c r="C78" t="str">
        <f>IF(ISBLANK(MAIN!C78), "--", IFERROR(PROPER(SUBSTITUTE(SUBSTITUTE(SUBSTITUTE(SUBSTITUTE(SUBSTITUTE(SUBSTITUTE(SUBSTITUTE(SUBSTITUTE(SUBSTITUTE(SUBSTITUTE(LEFT(MAIN!C78, FIND(",",MAIN!C78) -1), "0", ""), "1", ""), "2", ""), "3", ""), "4", ""), "5", ""), "6", ""), "7", ""), "8", ""), "9", "")), PROPER(SUBSTITUTE(SUBSTITUTE(SUBSTITUTE(SUBSTITUTE(SUBSTITUTE(SUBSTITUTE(SUBSTITUTE(SUBSTITUTE(SUBSTITUTE(SUBSTITUTE(MAIN!C78, "0", ""), "1", ""), "2", ""), "3", ""), "4", ""), "5", ""), "6", ""), "7", ""), "8", ""), "9", ""))))</f>
        <v>--</v>
      </c>
      <c r="D78" t="str">
        <f>IF(ISBLANK(MAIN!D78), "--", IF(ISNUMBER(MATCH(SUBSTITUTE(LEFT(MAIN!D78, IFERROR(FIND(",", MAIN!D78)-1, LEN(MAIN!D78))), " ", ""), lookup_values!$B$2:$B$51, 0)), UPPER(SUBSTITUTE(LEFT(MAIN!D78, IFERROR(FIND(",", MAIN!D78)-1, LEN(MAIN!D78))), " ", "")), IF(ISNA(VLOOKUP(SUBSTITUTE(LEFT(MAIN!D78, IFERROR(FIND(",", MAIN!D78)-1, LEN(MAIN!D78))), " ", ""), lookup_values!$A$2:$B$51, 2, FALSE)), "--", VLOOKUP(SUBSTITUTE(LEFT(MAIN!D78, IFERROR(FIND(",", MAIN!D78)-1, LEN(MAIN!D78))), " ", ""), lookup_values!$A$2:$B$51, 2, FALSE))))</f>
        <v>--</v>
      </c>
      <c r="E78" t="str">
        <f>IF(CLEAN_DATA!D78&lt;&gt;"--","US",IF(ISBLANK(MAIN!E78), "--", IF(ISNUMBER(MATCH(SUBSTITUTE(LEFT(MAIN!E78, IFERROR(FIND(",", MAIN!E78)-1, LEN(MAIN!E78))), " ", ""), lookup_values!$E$2:$E$197, 0)), UPPER(SUBSTITUTE(LEFT(MAIN!E78, IFERROR(FIND(",", MAIN!E78)-1, LEN(MAIN!E78))), " ", "")), IF(ISNA(VLOOKUP(SUBSTITUTE(LEFT(MAIN!E78, IFERROR(FIND(",", MAIN!E78)-1, LEN(MAIN!E78))), " ", ""), lookup_values!$D$2:$E$197, 2, FALSE)), "--", VLOOKUP(SUBSTITUTE(LEFT(MAIN!E78, IFERROR(FIND(",", MAIN!E78)-1, LEN(MAIN!E78))), " ", ""), lookup_values!$D$2:$E$197, 2, FALSE)))))</f>
        <v>--</v>
      </c>
      <c r="F78" t="str">
        <f>IF(ISBLANK(MAIN!F78), "", IF(AND(ISNUMBER(VALUE(TRIM(MAIN!F78))), LEN(TRIM(MAIN!F78))=4), VALUE(TRIM(MAIN!F78)), ""))</f>
        <v/>
      </c>
      <c r="G78">
        <f>IF(ISBLANK(MAIN!G78), 0, IF(ISNUMBER(VALUE(TRIM(MAIN!G78))), VALUE(TRIM(MAIN!G78)), 0))</f>
        <v>0</v>
      </c>
      <c r="H78">
        <f>IF(ISBLANK(MAIN!H78), 0, IF(ISNUMBER(VALUE(TRIM(MAIN!H78))), VALUE(TRIM(MAIN!H78)), 0))</f>
        <v>0</v>
      </c>
      <c r="I78">
        <f>IF(ISBLANK(MAIN!I78), 0, IF(ISNUMBER(VALUE(TRIM(MAIN!I78))), VALUE(TRIM(MAIN!I78)), 0))</f>
        <v>0</v>
      </c>
      <c r="J78">
        <f>IF(ISBLANK(MAIN!J78), 0, IF(ISNUMBER(VALUE(TRIM(MAIN!J78))), VALUE(TRIM(MAIN!J78)), 0))</f>
        <v>0</v>
      </c>
      <c r="K78" cm="1">
        <f t="array" ref="K78">IFERROR(
    VALUE(
        IFERROR(
            UPPER(
                IF(MAX(IFERROR(SEARCH("WD",MAIN!G78:J78), 0))&gt;0, "WD",
                IF(MAX(IFERROR(SEARCH("NS",MAIN!G78:J78), 0))&gt;0, "NS",
                IF(MAX(IFERROR(SEARCH("NC",MAIN!G78:J78), 0))&gt;0, "NC",
                IF(MAX(IFERROR(SEARCH("DQ",MAIN!G78:J78), 0))&gt;0, "DQ",
                IF(ISNUMBER(SEARCH("WD",MAIN!K78)), "WD",
                IF(ISNUMBER(SEARCH("NS",MAIN!K78)), "NS",
                IF(ISNUMBER(SEARCH("NC",MAIN!K78)), "NC",
                IF(ISNUMBER(SEARCH("DQ",MAIN!K78)), "DQ",
                IF(ISNUMBER(SEARCH("A",MAIN!K78)), 0,
                IF(OR(MAIN!K78=0,MAIN!K78=""), 0, --TRIM(MAIN!K78)))))))))))),
            0
        )
    ),
    IFERROR(
        UPPER(
            IF(MAX(IFERROR(SEARCH("WD",MAIN!G78:J78), 0))&gt;0, "WD",
            IF(MAX(IFERROR(SEARCH("NS",MAIN!G78:J78), 0))&gt;0, "NS",
            IF(MAX(IFERROR(SEARCH("NC",MAIN!G78:J78), 0))&gt;0, "NC",
            IF(MAX(IFERROR(SEARCH("DQ",MAIN!G78:J78), 0))&gt;0, "DQ",
            IF(ISNUMBER(SEARCH("WD",MAIN!K78)), "WD",
            IF(ISNUMBER(SEARCH("NS",MAIN!K78)), "NS",
            IF(ISNUMBER(SEARCH("NC",MAIN!K78)), "NC",
            IF(ISNUMBER(SEARCH("DQ",MAIN!K78)), "DQ",
            IF(ISNUMBER(SEARCH("A",MAIN!K78)), 0,
            IF(OR(MAIN!K78=0,MAIN!K78=""), 0, --TRIM(MAIN!K78)))))))))))),
        0
    )
)</f>
        <v>0</v>
      </c>
    </row>
    <row r="79" spans="1:11" x14ac:dyDescent="0.25">
      <c r="A79" t="str">
        <f>IF(ISBLANK(MAIN!A79), "--", IFERROR(PROPER(SUBSTITUTE(SUBSTITUTE(SUBSTITUTE(SUBSTITUTE(SUBSTITUTE(SUBSTITUTE(SUBSTITUTE(SUBSTITUTE(SUBSTITUTE(SUBSTITUTE(LEFT(MAIN!A79, FIND(",",MAIN!A79) -1), "0", ""), "1", ""), "2", ""), "3", ""), "4", ""), "5", ""), "6", ""), "7", ""), "8", ""), "9", "")), PROPER(SUBSTITUTE(SUBSTITUTE(SUBSTITUTE(SUBSTITUTE(SUBSTITUTE(SUBSTITUTE(SUBSTITUTE(SUBSTITUTE(SUBSTITUTE(SUBSTITUTE(MAIN!A79, "0", ""), "1", ""), "2", ""), "3", ""), "4", ""), "5", ""), "6", ""), "7", ""), "8", ""), "9", ""))))</f>
        <v>--</v>
      </c>
      <c r="B79" t="str">
        <f>IF(ISBLANK(MAIN!B79), "--", IFERROR(PROPER(SUBSTITUTE(SUBSTITUTE(SUBSTITUTE(SUBSTITUTE(SUBSTITUTE(SUBSTITUTE(SUBSTITUTE(SUBSTITUTE(SUBSTITUTE(SUBSTITUTE(LEFT(MAIN!B79, FIND(",",MAIN!B79) -1), "0", ""), "1", ""), "2", ""), "3", ""), "4", ""), "5", ""), "6", ""), "7", ""), "8", ""), "9", "")), PROPER(SUBSTITUTE(SUBSTITUTE(SUBSTITUTE(SUBSTITUTE(SUBSTITUTE(SUBSTITUTE(SUBSTITUTE(SUBSTITUTE(SUBSTITUTE(SUBSTITUTE(MAIN!B79, "0", ""), "1", ""), "2", ""), "3", ""), "4", ""), "5", ""), "6", ""), "7", ""), "8", ""), "9", ""))))</f>
        <v>--</v>
      </c>
      <c r="C79" t="str">
        <f>IF(ISBLANK(MAIN!C79), "--", IFERROR(PROPER(SUBSTITUTE(SUBSTITUTE(SUBSTITUTE(SUBSTITUTE(SUBSTITUTE(SUBSTITUTE(SUBSTITUTE(SUBSTITUTE(SUBSTITUTE(SUBSTITUTE(LEFT(MAIN!C79, FIND(",",MAIN!C79) -1), "0", ""), "1", ""), "2", ""), "3", ""), "4", ""), "5", ""), "6", ""), "7", ""), "8", ""), "9", "")), PROPER(SUBSTITUTE(SUBSTITUTE(SUBSTITUTE(SUBSTITUTE(SUBSTITUTE(SUBSTITUTE(SUBSTITUTE(SUBSTITUTE(SUBSTITUTE(SUBSTITUTE(MAIN!C79, "0", ""), "1", ""), "2", ""), "3", ""), "4", ""), "5", ""), "6", ""), "7", ""), "8", ""), "9", ""))))</f>
        <v>--</v>
      </c>
      <c r="D79" t="str">
        <f>IF(ISBLANK(MAIN!D79), "--", IF(ISNUMBER(MATCH(SUBSTITUTE(LEFT(MAIN!D79, IFERROR(FIND(",", MAIN!D79)-1, LEN(MAIN!D79))), " ", ""), lookup_values!$B$2:$B$51, 0)), UPPER(SUBSTITUTE(LEFT(MAIN!D79, IFERROR(FIND(",", MAIN!D79)-1, LEN(MAIN!D79))), " ", "")), IF(ISNA(VLOOKUP(SUBSTITUTE(LEFT(MAIN!D79, IFERROR(FIND(",", MAIN!D79)-1, LEN(MAIN!D79))), " ", ""), lookup_values!$A$2:$B$51, 2, FALSE)), "--", VLOOKUP(SUBSTITUTE(LEFT(MAIN!D79, IFERROR(FIND(",", MAIN!D79)-1, LEN(MAIN!D79))), " ", ""), lookup_values!$A$2:$B$51, 2, FALSE))))</f>
        <v>--</v>
      </c>
      <c r="E79" t="str">
        <f>IF(CLEAN_DATA!D79&lt;&gt;"--","US",IF(ISBLANK(MAIN!E79), "--", IF(ISNUMBER(MATCH(SUBSTITUTE(LEFT(MAIN!E79, IFERROR(FIND(",", MAIN!E79)-1, LEN(MAIN!E79))), " ", ""), lookup_values!$E$2:$E$197, 0)), UPPER(SUBSTITUTE(LEFT(MAIN!E79, IFERROR(FIND(",", MAIN!E79)-1, LEN(MAIN!E79))), " ", "")), IF(ISNA(VLOOKUP(SUBSTITUTE(LEFT(MAIN!E79, IFERROR(FIND(",", MAIN!E79)-1, LEN(MAIN!E79))), " ", ""), lookup_values!$D$2:$E$197, 2, FALSE)), "--", VLOOKUP(SUBSTITUTE(LEFT(MAIN!E79, IFERROR(FIND(",", MAIN!E79)-1, LEN(MAIN!E79))), " ", ""), lookup_values!$D$2:$E$197, 2, FALSE)))))</f>
        <v>--</v>
      </c>
      <c r="F79" t="str">
        <f>IF(ISBLANK(MAIN!F79), "", IF(AND(ISNUMBER(VALUE(TRIM(MAIN!F79))), LEN(TRIM(MAIN!F79))=4), VALUE(TRIM(MAIN!F79)), ""))</f>
        <v/>
      </c>
      <c r="G79">
        <f>IF(ISBLANK(MAIN!G79), 0, IF(ISNUMBER(VALUE(TRIM(MAIN!G79))), VALUE(TRIM(MAIN!G79)), 0))</f>
        <v>0</v>
      </c>
      <c r="H79">
        <f>IF(ISBLANK(MAIN!H79), 0, IF(ISNUMBER(VALUE(TRIM(MAIN!H79))), VALUE(TRIM(MAIN!H79)), 0))</f>
        <v>0</v>
      </c>
      <c r="I79">
        <f>IF(ISBLANK(MAIN!I79), 0, IF(ISNUMBER(VALUE(TRIM(MAIN!I79))), VALUE(TRIM(MAIN!I79)), 0))</f>
        <v>0</v>
      </c>
      <c r="J79">
        <f>IF(ISBLANK(MAIN!J79), 0, IF(ISNUMBER(VALUE(TRIM(MAIN!J79))), VALUE(TRIM(MAIN!J79)), 0))</f>
        <v>0</v>
      </c>
      <c r="K79" cm="1">
        <f t="array" ref="K79">IFERROR(
    VALUE(
        IFERROR(
            UPPER(
                IF(MAX(IFERROR(SEARCH("WD",MAIN!G79:J79), 0))&gt;0, "WD",
                IF(MAX(IFERROR(SEARCH("NS",MAIN!G79:J79), 0))&gt;0, "NS",
                IF(MAX(IFERROR(SEARCH("NC",MAIN!G79:J79), 0))&gt;0, "NC",
                IF(MAX(IFERROR(SEARCH("DQ",MAIN!G79:J79), 0))&gt;0, "DQ",
                IF(ISNUMBER(SEARCH("WD",MAIN!K79)), "WD",
                IF(ISNUMBER(SEARCH("NS",MAIN!K79)), "NS",
                IF(ISNUMBER(SEARCH("NC",MAIN!K79)), "NC",
                IF(ISNUMBER(SEARCH("DQ",MAIN!K79)), "DQ",
                IF(ISNUMBER(SEARCH("A",MAIN!K79)), 0,
                IF(OR(MAIN!K79=0,MAIN!K79=""), 0, --TRIM(MAIN!K79)))))))))))),
            0
        )
    ),
    IFERROR(
        UPPER(
            IF(MAX(IFERROR(SEARCH("WD",MAIN!G79:J79), 0))&gt;0, "WD",
            IF(MAX(IFERROR(SEARCH("NS",MAIN!G79:J79), 0))&gt;0, "NS",
            IF(MAX(IFERROR(SEARCH("NC",MAIN!G79:J79), 0))&gt;0, "NC",
            IF(MAX(IFERROR(SEARCH("DQ",MAIN!G79:J79), 0))&gt;0, "DQ",
            IF(ISNUMBER(SEARCH("WD",MAIN!K79)), "WD",
            IF(ISNUMBER(SEARCH("NS",MAIN!K79)), "NS",
            IF(ISNUMBER(SEARCH("NC",MAIN!K79)), "NC",
            IF(ISNUMBER(SEARCH("DQ",MAIN!K79)), "DQ",
            IF(ISNUMBER(SEARCH("A",MAIN!K79)), 0,
            IF(OR(MAIN!K79=0,MAIN!K79=""), 0, --TRIM(MAIN!K79)))))))))))),
        0
    )
)</f>
        <v>0</v>
      </c>
    </row>
    <row r="80" spans="1:11" x14ac:dyDescent="0.25">
      <c r="A80" t="str">
        <f>IF(ISBLANK(MAIN!A80), "--", IFERROR(PROPER(SUBSTITUTE(SUBSTITUTE(SUBSTITUTE(SUBSTITUTE(SUBSTITUTE(SUBSTITUTE(SUBSTITUTE(SUBSTITUTE(SUBSTITUTE(SUBSTITUTE(LEFT(MAIN!A80, FIND(",",MAIN!A80) -1), "0", ""), "1", ""), "2", ""), "3", ""), "4", ""), "5", ""), "6", ""), "7", ""), "8", ""), "9", "")), PROPER(SUBSTITUTE(SUBSTITUTE(SUBSTITUTE(SUBSTITUTE(SUBSTITUTE(SUBSTITUTE(SUBSTITUTE(SUBSTITUTE(SUBSTITUTE(SUBSTITUTE(MAIN!A80, "0", ""), "1", ""), "2", ""), "3", ""), "4", ""), "5", ""), "6", ""), "7", ""), "8", ""), "9", ""))))</f>
        <v>--</v>
      </c>
      <c r="B80" t="str">
        <f>IF(ISBLANK(MAIN!B80), "--", IFERROR(PROPER(SUBSTITUTE(SUBSTITUTE(SUBSTITUTE(SUBSTITUTE(SUBSTITUTE(SUBSTITUTE(SUBSTITUTE(SUBSTITUTE(SUBSTITUTE(SUBSTITUTE(LEFT(MAIN!B80, FIND(",",MAIN!B80) -1), "0", ""), "1", ""), "2", ""), "3", ""), "4", ""), "5", ""), "6", ""), "7", ""), "8", ""), "9", "")), PROPER(SUBSTITUTE(SUBSTITUTE(SUBSTITUTE(SUBSTITUTE(SUBSTITUTE(SUBSTITUTE(SUBSTITUTE(SUBSTITUTE(SUBSTITUTE(SUBSTITUTE(MAIN!B80, "0", ""), "1", ""), "2", ""), "3", ""), "4", ""), "5", ""), "6", ""), "7", ""), "8", ""), "9", ""))))</f>
        <v>--</v>
      </c>
      <c r="C80" t="str">
        <f>IF(ISBLANK(MAIN!C80), "--", IFERROR(PROPER(SUBSTITUTE(SUBSTITUTE(SUBSTITUTE(SUBSTITUTE(SUBSTITUTE(SUBSTITUTE(SUBSTITUTE(SUBSTITUTE(SUBSTITUTE(SUBSTITUTE(LEFT(MAIN!C80, FIND(",",MAIN!C80) -1), "0", ""), "1", ""), "2", ""), "3", ""), "4", ""), "5", ""), "6", ""), "7", ""), "8", ""), "9", "")), PROPER(SUBSTITUTE(SUBSTITUTE(SUBSTITUTE(SUBSTITUTE(SUBSTITUTE(SUBSTITUTE(SUBSTITUTE(SUBSTITUTE(SUBSTITUTE(SUBSTITUTE(MAIN!C80, "0", ""), "1", ""), "2", ""), "3", ""), "4", ""), "5", ""), "6", ""), "7", ""), "8", ""), "9", ""))))</f>
        <v>--</v>
      </c>
      <c r="D80" t="str">
        <f>IF(ISBLANK(MAIN!D80), "--", IF(ISNUMBER(MATCH(SUBSTITUTE(LEFT(MAIN!D80, IFERROR(FIND(",", MAIN!D80)-1, LEN(MAIN!D80))), " ", ""), lookup_values!$B$2:$B$51, 0)), UPPER(SUBSTITUTE(LEFT(MAIN!D80, IFERROR(FIND(",", MAIN!D80)-1, LEN(MAIN!D80))), " ", "")), IF(ISNA(VLOOKUP(SUBSTITUTE(LEFT(MAIN!D80, IFERROR(FIND(",", MAIN!D80)-1, LEN(MAIN!D80))), " ", ""), lookup_values!$A$2:$B$51, 2, FALSE)), "--", VLOOKUP(SUBSTITUTE(LEFT(MAIN!D80, IFERROR(FIND(",", MAIN!D80)-1, LEN(MAIN!D80))), " ", ""), lookup_values!$A$2:$B$51, 2, FALSE))))</f>
        <v>--</v>
      </c>
      <c r="E80" t="str">
        <f>IF(CLEAN_DATA!D80&lt;&gt;"--","US",IF(ISBLANK(MAIN!E80), "--", IF(ISNUMBER(MATCH(SUBSTITUTE(LEFT(MAIN!E80, IFERROR(FIND(",", MAIN!E80)-1, LEN(MAIN!E80))), " ", ""), lookup_values!$E$2:$E$197, 0)), UPPER(SUBSTITUTE(LEFT(MAIN!E80, IFERROR(FIND(",", MAIN!E80)-1, LEN(MAIN!E80))), " ", "")), IF(ISNA(VLOOKUP(SUBSTITUTE(LEFT(MAIN!E80, IFERROR(FIND(",", MAIN!E80)-1, LEN(MAIN!E80))), " ", ""), lookup_values!$D$2:$E$197, 2, FALSE)), "--", VLOOKUP(SUBSTITUTE(LEFT(MAIN!E80, IFERROR(FIND(",", MAIN!E80)-1, LEN(MAIN!E80))), " ", ""), lookup_values!$D$2:$E$197, 2, FALSE)))))</f>
        <v>--</v>
      </c>
      <c r="F80" t="str">
        <f>IF(ISBLANK(MAIN!F80), "", IF(AND(ISNUMBER(VALUE(TRIM(MAIN!F80))), LEN(TRIM(MAIN!F80))=4), VALUE(TRIM(MAIN!F80)), ""))</f>
        <v/>
      </c>
      <c r="G80">
        <f>IF(ISBLANK(MAIN!G80), 0, IF(ISNUMBER(VALUE(TRIM(MAIN!G80))), VALUE(TRIM(MAIN!G80)), 0))</f>
        <v>0</v>
      </c>
      <c r="H80">
        <f>IF(ISBLANK(MAIN!H80), 0, IF(ISNUMBER(VALUE(TRIM(MAIN!H80))), VALUE(TRIM(MAIN!H80)), 0))</f>
        <v>0</v>
      </c>
      <c r="I80">
        <f>IF(ISBLANK(MAIN!I80), 0, IF(ISNUMBER(VALUE(TRIM(MAIN!I80))), VALUE(TRIM(MAIN!I80)), 0))</f>
        <v>0</v>
      </c>
      <c r="J80">
        <f>IF(ISBLANK(MAIN!J80), 0, IF(ISNUMBER(VALUE(TRIM(MAIN!J80))), VALUE(TRIM(MAIN!J80)), 0))</f>
        <v>0</v>
      </c>
      <c r="K80" cm="1">
        <f t="array" ref="K80">IFERROR(
    VALUE(
        IFERROR(
            UPPER(
                IF(MAX(IFERROR(SEARCH("WD",MAIN!G80:J80), 0))&gt;0, "WD",
                IF(MAX(IFERROR(SEARCH("NS",MAIN!G80:J80), 0))&gt;0, "NS",
                IF(MAX(IFERROR(SEARCH("NC",MAIN!G80:J80), 0))&gt;0, "NC",
                IF(MAX(IFERROR(SEARCH("DQ",MAIN!G80:J80), 0))&gt;0, "DQ",
                IF(ISNUMBER(SEARCH("WD",MAIN!K80)), "WD",
                IF(ISNUMBER(SEARCH("NS",MAIN!K80)), "NS",
                IF(ISNUMBER(SEARCH("NC",MAIN!K80)), "NC",
                IF(ISNUMBER(SEARCH("DQ",MAIN!K80)), "DQ",
                IF(ISNUMBER(SEARCH("A",MAIN!K80)), 0,
                IF(OR(MAIN!K80=0,MAIN!K80=""), 0, --TRIM(MAIN!K80)))))))))))),
            0
        )
    ),
    IFERROR(
        UPPER(
            IF(MAX(IFERROR(SEARCH("WD",MAIN!G80:J80), 0))&gt;0, "WD",
            IF(MAX(IFERROR(SEARCH("NS",MAIN!G80:J80), 0))&gt;0, "NS",
            IF(MAX(IFERROR(SEARCH("NC",MAIN!G80:J80), 0))&gt;0, "NC",
            IF(MAX(IFERROR(SEARCH("DQ",MAIN!G80:J80), 0))&gt;0, "DQ",
            IF(ISNUMBER(SEARCH("WD",MAIN!K80)), "WD",
            IF(ISNUMBER(SEARCH("NS",MAIN!K80)), "NS",
            IF(ISNUMBER(SEARCH("NC",MAIN!K80)), "NC",
            IF(ISNUMBER(SEARCH("DQ",MAIN!K80)), "DQ",
            IF(ISNUMBER(SEARCH("A",MAIN!K80)), 0,
            IF(OR(MAIN!K80=0,MAIN!K80=""), 0, --TRIM(MAIN!K80)))))))))))),
        0
    )
)</f>
        <v>0</v>
      </c>
    </row>
    <row r="81" spans="1:11" x14ac:dyDescent="0.25">
      <c r="A81" t="str">
        <f>IF(ISBLANK(MAIN!A81), "--", IFERROR(PROPER(SUBSTITUTE(SUBSTITUTE(SUBSTITUTE(SUBSTITUTE(SUBSTITUTE(SUBSTITUTE(SUBSTITUTE(SUBSTITUTE(SUBSTITUTE(SUBSTITUTE(LEFT(MAIN!A81, FIND(",",MAIN!A81) -1), "0", ""), "1", ""), "2", ""), "3", ""), "4", ""), "5", ""), "6", ""), "7", ""), "8", ""), "9", "")), PROPER(SUBSTITUTE(SUBSTITUTE(SUBSTITUTE(SUBSTITUTE(SUBSTITUTE(SUBSTITUTE(SUBSTITUTE(SUBSTITUTE(SUBSTITUTE(SUBSTITUTE(MAIN!A81, "0", ""), "1", ""), "2", ""), "3", ""), "4", ""), "5", ""), "6", ""), "7", ""), "8", ""), "9", ""))))</f>
        <v>--</v>
      </c>
      <c r="B81" t="str">
        <f>IF(ISBLANK(MAIN!B81), "--", IFERROR(PROPER(SUBSTITUTE(SUBSTITUTE(SUBSTITUTE(SUBSTITUTE(SUBSTITUTE(SUBSTITUTE(SUBSTITUTE(SUBSTITUTE(SUBSTITUTE(SUBSTITUTE(LEFT(MAIN!B81, FIND(",",MAIN!B81) -1), "0", ""), "1", ""), "2", ""), "3", ""), "4", ""), "5", ""), "6", ""), "7", ""), "8", ""), "9", "")), PROPER(SUBSTITUTE(SUBSTITUTE(SUBSTITUTE(SUBSTITUTE(SUBSTITUTE(SUBSTITUTE(SUBSTITUTE(SUBSTITUTE(SUBSTITUTE(SUBSTITUTE(MAIN!B81, "0", ""), "1", ""), "2", ""), "3", ""), "4", ""), "5", ""), "6", ""), "7", ""), "8", ""), "9", ""))))</f>
        <v>--</v>
      </c>
      <c r="C81" t="str">
        <f>IF(ISBLANK(MAIN!C81), "--", IFERROR(PROPER(SUBSTITUTE(SUBSTITUTE(SUBSTITUTE(SUBSTITUTE(SUBSTITUTE(SUBSTITUTE(SUBSTITUTE(SUBSTITUTE(SUBSTITUTE(SUBSTITUTE(LEFT(MAIN!C81, FIND(",",MAIN!C81) -1), "0", ""), "1", ""), "2", ""), "3", ""), "4", ""), "5", ""), "6", ""), "7", ""), "8", ""), "9", "")), PROPER(SUBSTITUTE(SUBSTITUTE(SUBSTITUTE(SUBSTITUTE(SUBSTITUTE(SUBSTITUTE(SUBSTITUTE(SUBSTITUTE(SUBSTITUTE(SUBSTITUTE(MAIN!C81, "0", ""), "1", ""), "2", ""), "3", ""), "4", ""), "5", ""), "6", ""), "7", ""), "8", ""), "9", ""))))</f>
        <v>--</v>
      </c>
      <c r="D81" t="str">
        <f>IF(ISBLANK(MAIN!D81), "--", IF(ISNUMBER(MATCH(SUBSTITUTE(LEFT(MAIN!D81, IFERROR(FIND(",", MAIN!D81)-1, LEN(MAIN!D81))), " ", ""), lookup_values!$B$2:$B$51, 0)), UPPER(SUBSTITUTE(LEFT(MAIN!D81, IFERROR(FIND(",", MAIN!D81)-1, LEN(MAIN!D81))), " ", "")), IF(ISNA(VLOOKUP(SUBSTITUTE(LEFT(MAIN!D81, IFERROR(FIND(",", MAIN!D81)-1, LEN(MAIN!D81))), " ", ""), lookup_values!$A$2:$B$51, 2, FALSE)), "--", VLOOKUP(SUBSTITUTE(LEFT(MAIN!D81, IFERROR(FIND(",", MAIN!D81)-1, LEN(MAIN!D81))), " ", ""), lookup_values!$A$2:$B$51, 2, FALSE))))</f>
        <v>--</v>
      </c>
      <c r="E81" t="str">
        <f>IF(CLEAN_DATA!D81&lt;&gt;"--","US",IF(ISBLANK(MAIN!E81), "--", IF(ISNUMBER(MATCH(SUBSTITUTE(LEFT(MAIN!E81, IFERROR(FIND(",", MAIN!E81)-1, LEN(MAIN!E81))), " ", ""), lookup_values!$E$2:$E$197, 0)), UPPER(SUBSTITUTE(LEFT(MAIN!E81, IFERROR(FIND(",", MAIN!E81)-1, LEN(MAIN!E81))), " ", "")), IF(ISNA(VLOOKUP(SUBSTITUTE(LEFT(MAIN!E81, IFERROR(FIND(",", MAIN!E81)-1, LEN(MAIN!E81))), " ", ""), lookup_values!$D$2:$E$197, 2, FALSE)), "--", VLOOKUP(SUBSTITUTE(LEFT(MAIN!E81, IFERROR(FIND(",", MAIN!E81)-1, LEN(MAIN!E81))), " ", ""), lookup_values!$D$2:$E$197, 2, FALSE)))))</f>
        <v>--</v>
      </c>
      <c r="F81" t="str">
        <f>IF(ISBLANK(MAIN!F81), "", IF(AND(ISNUMBER(VALUE(TRIM(MAIN!F81))), LEN(TRIM(MAIN!F81))=4), VALUE(TRIM(MAIN!F81)), ""))</f>
        <v/>
      </c>
      <c r="G81">
        <f>IF(ISBLANK(MAIN!G81), 0, IF(ISNUMBER(VALUE(TRIM(MAIN!G81))), VALUE(TRIM(MAIN!G81)), 0))</f>
        <v>0</v>
      </c>
      <c r="H81">
        <f>IF(ISBLANK(MAIN!H81), 0, IF(ISNUMBER(VALUE(TRIM(MAIN!H81))), VALUE(TRIM(MAIN!H81)), 0))</f>
        <v>0</v>
      </c>
      <c r="I81">
        <f>IF(ISBLANK(MAIN!I81), 0, IF(ISNUMBER(VALUE(TRIM(MAIN!I81))), VALUE(TRIM(MAIN!I81)), 0))</f>
        <v>0</v>
      </c>
      <c r="J81">
        <f>IF(ISBLANK(MAIN!J81), 0, IF(ISNUMBER(VALUE(TRIM(MAIN!J81))), VALUE(TRIM(MAIN!J81)), 0))</f>
        <v>0</v>
      </c>
      <c r="K81" cm="1">
        <f t="array" ref="K81">IFERROR(
    VALUE(
        IFERROR(
            UPPER(
                IF(MAX(IFERROR(SEARCH("WD",MAIN!G81:J81), 0))&gt;0, "WD",
                IF(MAX(IFERROR(SEARCH("NS",MAIN!G81:J81), 0))&gt;0, "NS",
                IF(MAX(IFERROR(SEARCH("NC",MAIN!G81:J81), 0))&gt;0, "NC",
                IF(MAX(IFERROR(SEARCH("DQ",MAIN!G81:J81), 0))&gt;0, "DQ",
                IF(ISNUMBER(SEARCH("WD",MAIN!K81)), "WD",
                IF(ISNUMBER(SEARCH("NS",MAIN!K81)), "NS",
                IF(ISNUMBER(SEARCH("NC",MAIN!K81)), "NC",
                IF(ISNUMBER(SEARCH("DQ",MAIN!K81)), "DQ",
                IF(ISNUMBER(SEARCH("A",MAIN!K81)), 0,
                IF(OR(MAIN!K81=0,MAIN!K81=""), 0, --TRIM(MAIN!K81)))))))))))),
            0
        )
    ),
    IFERROR(
        UPPER(
            IF(MAX(IFERROR(SEARCH("WD",MAIN!G81:J81), 0))&gt;0, "WD",
            IF(MAX(IFERROR(SEARCH("NS",MAIN!G81:J81), 0))&gt;0, "NS",
            IF(MAX(IFERROR(SEARCH("NC",MAIN!G81:J81), 0))&gt;0, "NC",
            IF(MAX(IFERROR(SEARCH("DQ",MAIN!G81:J81), 0))&gt;0, "DQ",
            IF(ISNUMBER(SEARCH("WD",MAIN!K81)), "WD",
            IF(ISNUMBER(SEARCH("NS",MAIN!K81)), "NS",
            IF(ISNUMBER(SEARCH("NC",MAIN!K81)), "NC",
            IF(ISNUMBER(SEARCH("DQ",MAIN!K81)), "DQ",
            IF(ISNUMBER(SEARCH("A",MAIN!K81)), 0,
            IF(OR(MAIN!K81=0,MAIN!K81=""), 0, --TRIM(MAIN!K81)))))))))))),
        0
    )
)</f>
        <v>0</v>
      </c>
    </row>
    <row r="82" spans="1:11" x14ac:dyDescent="0.25">
      <c r="A82" t="str">
        <f>IF(ISBLANK(MAIN!A82), "--", IFERROR(PROPER(SUBSTITUTE(SUBSTITUTE(SUBSTITUTE(SUBSTITUTE(SUBSTITUTE(SUBSTITUTE(SUBSTITUTE(SUBSTITUTE(SUBSTITUTE(SUBSTITUTE(LEFT(MAIN!A82, FIND(",",MAIN!A82) -1), "0", ""), "1", ""), "2", ""), "3", ""), "4", ""), "5", ""), "6", ""), "7", ""), "8", ""), "9", "")), PROPER(SUBSTITUTE(SUBSTITUTE(SUBSTITUTE(SUBSTITUTE(SUBSTITUTE(SUBSTITUTE(SUBSTITUTE(SUBSTITUTE(SUBSTITUTE(SUBSTITUTE(MAIN!A82, "0", ""), "1", ""), "2", ""), "3", ""), "4", ""), "5", ""), "6", ""), "7", ""), "8", ""), "9", ""))))</f>
        <v>--</v>
      </c>
      <c r="B82" t="str">
        <f>IF(ISBLANK(MAIN!B82), "--", IFERROR(PROPER(SUBSTITUTE(SUBSTITUTE(SUBSTITUTE(SUBSTITUTE(SUBSTITUTE(SUBSTITUTE(SUBSTITUTE(SUBSTITUTE(SUBSTITUTE(SUBSTITUTE(LEFT(MAIN!B82, FIND(",",MAIN!B82) -1), "0", ""), "1", ""), "2", ""), "3", ""), "4", ""), "5", ""), "6", ""), "7", ""), "8", ""), "9", "")), PROPER(SUBSTITUTE(SUBSTITUTE(SUBSTITUTE(SUBSTITUTE(SUBSTITUTE(SUBSTITUTE(SUBSTITUTE(SUBSTITUTE(SUBSTITUTE(SUBSTITUTE(MAIN!B82, "0", ""), "1", ""), "2", ""), "3", ""), "4", ""), "5", ""), "6", ""), "7", ""), "8", ""), "9", ""))))</f>
        <v>--</v>
      </c>
      <c r="C82" t="str">
        <f>IF(ISBLANK(MAIN!C82), "--", IFERROR(PROPER(SUBSTITUTE(SUBSTITUTE(SUBSTITUTE(SUBSTITUTE(SUBSTITUTE(SUBSTITUTE(SUBSTITUTE(SUBSTITUTE(SUBSTITUTE(SUBSTITUTE(LEFT(MAIN!C82, FIND(",",MAIN!C82) -1), "0", ""), "1", ""), "2", ""), "3", ""), "4", ""), "5", ""), "6", ""), "7", ""), "8", ""), "9", "")), PROPER(SUBSTITUTE(SUBSTITUTE(SUBSTITUTE(SUBSTITUTE(SUBSTITUTE(SUBSTITUTE(SUBSTITUTE(SUBSTITUTE(SUBSTITUTE(SUBSTITUTE(MAIN!C82, "0", ""), "1", ""), "2", ""), "3", ""), "4", ""), "5", ""), "6", ""), "7", ""), "8", ""), "9", ""))))</f>
        <v>--</v>
      </c>
      <c r="D82" t="str">
        <f>IF(ISBLANK(MAIN!D82), "--", IF(ISNUMBER(MATCH(SUBSTITUTE(LEFT(MAIN!D82, IFERROR(FIND(",", MAIN!D82)-1, LEN(MAIN!D82))), " ", ""), lookup_values!$B$2:$B$51, 0)), UPPER(SUBSTITUTE(LEFT(MAIN!D82, IFERROR(FIND(",", MAIN!D82)-1, LEN(MAIN!D82))), " ", "")), IF(ISNA(VLOOKUP(SUBSTITUTE(LEFT(MAIN!D82, IFERROR(FIND(",", MAIN!D82)-1, LEN(MAIN!D82))), " ", ""), lookup_values!$A$2:$B$51, 2, FALSE)), "--", VLOOKUP(SUBSTITUTE(LEFT(MAIN!D82, IFERROR(FIND(",", MAIN!D82)-1, LEN(MAIN!D82))), " ", ""), lookup_values!$A$2:$B$51, 2, FALSE))))</f>
        <v>--</v>
      </c>
      <c r="E82" t="str">
        <f>IF(CLEAN_DATA!D82&lt;&gt;"--","US",IF(ISBLANK(MAIN!E82), "--", IF(ISNUMBER(MATCH(SUBSTITUTE(LEFT(MAIN!E82, IFERROR(FIND(",", MAIN!E82)-1, LEN(MAIN!E82))), " ", ""), lookup_values!$E$2:$E$197, 0)), UPPER(SUBSTITUTE(LEFT(MAIN!E82, IFERROR(FIND(",", MAIN!E82)-1, LEN(MAIN!E82))), " ", "")), IF(ISNA(VLOOKUP(SUBSTITUTE(LEFT(MAIN!E82, IFERROR(FIND(",", MAIN!E82)-1, LEN(MAIN!E82))), " ", ""), lookup_values!$D$2:$E$197, 2, FALSE)), "--", VLOOKUP(SUBSTITUTE(LEFT(MAIN!E82, IFERROR(FIND(",", MAIN!E82)-1, LEN(MAIN!E82))), " ", ""), lookup_values!$D$2:$E$197, 2, FALSE)))))</f>
        <v>--</v>
      </c>
      <c r="F82" t="str">
        <f>IF(ISBLANK(MAIN!F82), "", IF(AND(ISNUMBER(VALUE(TRIM(MAIN!F82))), LEN(TRIM(MAIN!F82))=4), VALUE(TRIM(MAIN!F82)), ""))</f>
        <v/>
      </c>
      <c r="G82">
        <f>IF(ISBLANK(MAIN!G82), 0, IF(ISNUMBER(VALUE(TRIM(MAIN!G82))), VALUE(TRIM(MAIN!G82)), 0))</f>
        <v>0</v>
      </c>
      <c r="H82">
        <f>IF(ISBLANK(MAIN!H82), 0, IF(ISNUMBER(VALUE(TRIM(MAIN!H82))), VALUE(TRIM(MAIN!H82)), 0))</f>
        <v>0</v>
      </c>
      <c r="I82">
        <f>IF(ISBLANK(MAIN!I82), 0, IF(ISNUMBER(VALUE(TRIM(MAIN!I82))), VALUE(TRIM(MAIN!I82)), 0))</f>
        <v>0</v>
      </c>
      <c r="J82">
        <f>IF(ISBLANK(MAIN!J82), 0, IF(ISNUMBER(VALUE(TRIM(MAIN!J82))), VALUE(TRIM(MAIN!J82)), 0))</f>
        <v>0</v>
      </c>
      <c r="K82" cm="1">
        <f t="array" ref="K82">IFERROR(
    VALUE(
        IFERROR(
            UPPER(
                IF(MAX(IFERROR(SEARCH("WD",MAIN!G82:J82), 0))&gt;0, "WD",
                IF(MAX(IFERROR(SEARCH("NS",MAIN!G82:J82), 0))&gt;0, "NS",
                IF(MAX(IFERROR(SEARCH("NC",MAIN!G82:J82), 0))&gt;0, "NC",
                IF(MAX(IFERROR(SEARCH("DQ",MAIN!G82:J82), 0))&gt;0, "DQ",
                IF(ISNUMBER(SEARCH("WD",MAIN!K82)), "WD",
                IF(ISNUMBER(SEARCH("NS",MAIN!K82)), "NS",
                IF(ISNUMBER(SEARCH("NC",MAIN!K82)), "NC",
                IF(ISNUMBER(SEARCH("DQ",MAIN!K82)), "DQ",
                IF(ISNUMBER(SEARCH("A",MAIN!K82)), 0,
                IF(OR(MAIN!K82=0,MAIN!K82=""), 0, --TRIM(MAIN!K82)))))))))))),
            0
        )
    ),
    IFERROR(
        UPPER(
            IF(MAX(IFERROR(SEARCH("WD",MAIN!G82:J82), 0))&gt;0, "WD",
            IF(MAX(IFERROR(SEARCH("NS",MAIN!G82:J82), 0))&gt;0, "NS",
            IF(MAX(IFERROR(SEARCH("NC",MAIN!G82:J82), 0))&gt;0, "NC",
            IF(MAX(IFERROR(SEARCH("DQ",MAIN!G82:J82), 0))&gt;0, "DQ",
            IF(ISNUMBER(SEARCH("WD",MAIN!K82)), "WD",
            IF(ISNUMBER(SEARCH("NS",MAIN!K82)), "NS",
            IF(ISNUMBER(SEARCH("NC",MAIN!K82)), "NC",
            IF(ISNUMBER(SEARCH("DQ",MAIN!K82)), "DQ",
            IF(ISNUMBER(SEARCH("A",MAIN!K82)), 0,
            IF(OR(MAIN!K82=0,MAIN!K82=""), 0, --TRIM(MAIN!K82)))))))))))),
        0
    )
)</f>
        <v>0</v>
      </c>
    </row>
    <row r="83" spans="1:11" x14ac:dyDescent="0.25">
      <c r="A83" t="str">
        <f>IF(ISBLANK(MAIN!A83), "--", IFERROR(PROPER(SUBSTITUTE(SUBSTITUTE(SUBSTITUTE(SUBSTITUTE(SUBSTITUTE(SUBSTITUTE(SUBSTITUTE(SUBSTITUTE(SUBSTITUTE(SUBSTITUTE(LEFT(MAIN!A83, FIND(",",MAIN!A83) -1), "0", ""), "1", ""), "2", ""), "3", ""), "4", ""), "5", ""), "6", ""), "7", ""), "8", ""), "9", "")), PROPER(SUBSTITUTE(SUBSTITUTE(SUBSTITUTE(SUBSTITUTE(SUBSTITUTE(SUBSTITUTE(SUBSTITUTE(SUBSTITUTE(SUBSTITUTE(SUBSTITUTE(MAIN!A83, "0", ""), "1", ""), "2", ""), "3", ""), "4", ""), "5", ""), "6", ""), "7", ""), "8", ""), "9", ""))))</f>
        <v>--</v>
      </c>
      <c r="B83" t="str">
        <f>IF(ISBLANK(MAIN!B83), "--", IFERROR(PROPER(SUBSTITUTE(SUBSTITUTE(SUBSTITUTE(SUBSTITUTE(SUBSTITUTE(SUBSTITUTE(SUBSTITUTE(SUBSTITUTE(SUBSTITUTE(SUBSTITUTE(LEFT(MAIN!B83, FIND(",",MAIN!B83) -1), "0", ""), "1", ""), "2", ""), "3", ""), "4", ""), "5", ""), "6", ""), "7", ""), "8", ""), "9", "")), PROPER(SUBSTITUTE(SUBSTITUTE(SUBSTITUTE(SUBSTITUTE(SUBSTITUTE(SUBSTITUTE(SUBSTITUTE(SUBSTITUTE(SUBSTITUTE(SUBSTITUTE(MAIN!B83, "0", ""), "1", ""), "2", ""), "3", ""), "4", ""), "5", ""), "6", ""), "7", ""), "8", ""), "9", ""))))</f>
        <v>--</v>
      </c>
      <c r="C83" t="str">
        <f>IF(ISBLANK(MAIN!C83), "--", IFERROR(PROPER(SUBSTITUTE(SUBSTITUTE(SUBSTITUTE(SUBSTITUTE(SUBSTITUTE(SUBSTITUTE(SUBSTITUTE(SUBSTITUTE(SUBSTITUTE(SUBSTITUTE(LEFT(MAIN!C83, FIND(",",MAIN!C83) -1), "0", ""), "1", ""), "2", ""), "3", ""), "4", ""), "5", ""), "6", ""), "7", ""), "8", ""), "9", "")), PROPER(SUBSTITUTE(SUBSTITUTE(SUBSTITUTE(SUBSTITUTE(SUBSTITUTE(SUBSTITUTE(SUBSTITUTE(SUBSTITUTE(SUBSTITUTE(SUBSTITUTE(MAIN!C83, "0", ""), "1", ""), "2", ""), "3", ""), "4", ""), "5", ""), "6", ""), "7", ""), "8", ""), "9", ""))))</f>
        <v>--</v>
      </c>
      <c r="D83" t="str">
        <f>IF(ISBLANK(MAIN!D83), "--", IF(ISNUMBER(MATCH(SUBSTITUTE(LEFT(MAIN!D83, IFERROR(FIND(",", MAIN!D83)-1, LEN(MAIN!D83))), " ", ""), lookup_values!$B$2:$B$51, 0)), UPPER(SUBSTITUTE(LEFT(MAIN!D83, IFERROR(FIND(",", MAIN!D83)-1, LEN(MAIN!D83))), " ", "")), IF(ISNA(VLOOKUP(SUBSTITUTE(LEFT(MAIN!D83, IFERROR(FIND(",", MAIN!D83)-1, LEN(MAIN!D83))), " ", ""), lookup_values!$A$2:$B$51, 2, FALSE)), "--", VLOOKUP(SUBSTITUTE(LEFT(MAIN!D83, IFERROR(FIND(",", MAIN!D83)-1, LEN(MAIN!D83))), " ", ""), lookup_values!$A$2:$B$51, 2, FALSE))))</f>
        <v>--</v>
      </c>
      <c r="E83" t="str">
        <f>IF(CLEAN_DATA!D83&lt;&gt;"--","US",IF(ISBLANK(MAIN!E83), "--", IF(ISNUMBER(MATCH(SUBSTITUTE(LEFT(MAIN!E83, IFERROR(FIND(",", MAIN!E83)-1, LEN(MAIN!E83))), " ", ""), lookup_values!$E$2:$E$197, 0)), UPPER(SUBSTITUTE(LEFT(MAIN!E83, IFERROR(FIND(",", MAIN!E83)-1, LEN(MAIN!E83))), " ", "")), IF(ISNA(VLOOKUP(SUBSTITUTE(LEFT(MAIN!E83, IFERROR(FIND(",", MAIN!E83)-1, LEN(MAIN!E83))), " ", ""), lookup_values!$D$2:$E$197, 2, FALSE)), "--", VLOOKUP(SUBSTITUTE(LEFT(MAIN!E83, IFERROR(FIND(",", MAIN!E83)-1, LEN(MAIN!E83))), " ", ""), lookup_values!$D$2:$E$197, 2, FALSE)))))</f>
        <v>--</v>
      </c>
      <c r="F83" t="str">
        <f>IF(ISBLANK(MAIN!F83), "", IF(AND(ISNUMBER(VALUE(TRIM(MAIN!F83))), LEN(TRIM(MAIN!F83))=4), VALUE(TRIM(MAIN!F83)), ""))</f>
        <v/>
      </c>
      <c r="G83">
        <f>IF(ISBLANK(MAIN!G83), 0, IF(ISNUMBER(VALUE(TRIM(MAIN!G83))), VALUE(TRIM(MAIN!G83)), 0))</f>
        <v>0</v>
      </c>
      <c r="H83">
        <f>IF(ISBLANK(MAIN!H83), 0, IF(ISNUMBER(VALUE(TRIM(MAIN!H83))), VALUE(TRIM(MAIN!H83)), 0))</f>
        <v>0</v>
      </c>
      <c r="I83">
        <f>IF(ISBLANK(MAIN!I83), 0, IF(ISNUMBER(VALUE(TRIM(MAIN!I83))), VALUE(TRIM(MAIN!I83)), 0))</f>
        <v>0</v>
      </c>
      <c r="J83">
        <f>IF(ISBLANK(MAIN!J83), 0, IF(ISNUMBER(VALUE(TRIM(MAIN!J83))), VALUE(TRIM(MAIN!J83)), 0))</f>
        <v>0</v>
      </c>
      <c r="K83" cm="1">
        <f t="array" ref="K83">IFERROR(
    VALUE(
        IFERROR(
            UPPER(
                IF(MAX(IFERROR(SEARCH("WD",MAIN!G83:J83), 0))&gt;0, "WD",
                IF(MAX(IFERROR(SEARCH("NS",MAIN!G83:J83), 0))&gt;0, "NS",
                IF(MAX(IFERROR(SEARCH("NC",MAIN!G83:J83), 0))&gt;0, "NC",
                IF(MAX(IFERROR(SEARCH("DQ",MAIN!G83:J83), 0))&gt;0, "DQ",
                IF(ISNUMBER(SEARCH("WD",MAIN!K83)), "WD",
                IF(ISNUMBER(SEARCH("NS",MAIN!K83)), "NS",
                IF(ISNUMBER(SEARCH("NC",MAIN!K83)), "NC",
                IF(ISNUMBER(SEARCH("DQ",MAIN!K83)), "DQ",
                IF(ISNUMBER(SEARCH("A",MAIN!K83)), 0,
                IF(OR(MAIN!K83=0,MAIN!K83=""), 0, --TRIM(MAIN!K83)))))))))))),
            0
        )
    ),
    IFERROR(
        UPPER(
            IF(MAX(IFERROR(SEARCH("WD",MAIN!G83:J83), 0))&gt;0, "WD",
            IF(MAX(IFERROR(SEARCH("NS",MAIN!G83:J83), 0))&gt;0, "NS",
            IF(MAX(IFERROR(SEARCH("NC",MAIN!G83:J83), 0))&gt;0, "NC",
            IF(MAX(IFERROR(SEARCH("DQ",MAIN!G83:J83), 0))&gt;0, "DQ",
            IF(ISNUMBER(SEARCH("WD",MAIN!K83)), "WD",
            IF(ISNUMBER(SEARCH("NS",MAIN!K83)), "NS",
            IF(ISNUMBER(SEARCH("NC",MAIN!K83)), "NC",
            IF(ISNUMBER(SEARCH("DQ",MAIN!K83)), "DQ",
            IF(ISNUMBER(SEARCH("A",MAIN!K83)), 0,
            IF(OR(MAIN!K83=0,MAIN!K83=""), 0, --TRIM(MAIN!K83)))))))))))),
        0
    )
)</f>
        <v>0</v>
      </c>
    </row>
    <row r="84" spans="1:11" x14ac:dyDescent="0.25">
      <c r="A84" t="str">
        <f>IF(ISBLANK(MAIN!A84), "--", IFERROR(PROPER(SUBSTITUTE(SUBSTITUTE(SUBSTITUTE(SUBSTITUTE(SUBSTITUTE(SUBSTITUTE(SUBSTITUTE(SUBSTITUTE(SUBSTITUTE(SUBSTITUTE(LEFT(MAIN!A84, FIND(",",MAIN!A84) -1), "0", ""), "1", ""), "2", ""), "3", ""), "4", ""), "5", ""), "6", ""), "7", ""), "8", ""), "9", "")), PROPER(SUBSTITUTE(SUBSTITUTE(SUBSTITUTE(SUBSTITUTE(SUBSTITUTE(SUBSTITUTE(SUBSTITUTE(SUBSTITUTE(SUBSTITUTE(SUBSTITUTE(MAIN!A84, "0", ""), "1", ""), "2", ""), "3", ""), "4", ""), "5", ""), "6", ""), "7", ""), "8", ""), "9", ""))))</f>
        <v>--</v>
      </c>
      <c r="B84" t="str">
        <f>IF(ISBLANK(MAIN!B84), "--", IFERROR(PROPER(SUBSTITUTE(SUBSTITUTE(SUBSTITUTE(SUBSTITUTE(SUBSTITUTE(SUBSTITUTE(SUBSTITUTE(SUBSTITUTE(SUBSTITUTE(SUBSTITUTE(LEFT(MAIN!B84, FIND(",",MAIN!B84) -1), "0", ""), "1", ""), "2", ""), "3", ""), "4", ""), "5", ""), "6", ""), "7", ""), "8", ""), "9", "")), PROPER(SUBSTITUTE(SUBSTITUTE(SUBSTITUTE(SUBSTITUTE(SUBSTITUTE(SUBSTITUTE(SUBSTITUTE(SUBSTITUTE(SUBSTITUTE(SUBSTITUTE(MAIN!B84, "0", ""), "1", ""), "2", ""), "3", ""), "4", ""), "5", ""), "6", ""), "7", ""), "8", ""), "9", ""))))</f>
        <v>--</v>
      </c>
      <c r="C84" t="str">
        <f>IF(ISBLANK(MAIN!C84), "--", IFERROR(PROPER(SUBSTITUTE(SUBSTITUTE(SUBSTITUTE(SUBSTITUTE(SUBSTITUTE(SUBSTITUTE(SUBSTITUTE(SUBSTITUTE(SUBSTITUTE(SUBSTITUTE(LEFT(MAIN!C84, FIND(",",MAIN!C84) -1), "0", ""), "1", ""), "2", ""), "3", ""), "4", ""), "5", ""), "6", ""), "7", ""), "8", ""), "9", "")), PROPER(SUBSTITUTE(SUBSTITUTE(SUBSTITUTE(SUBSTITUTE(SUBSTITUTE(SUBSTITUTE(SUBSTITUTE(SUBSTITUTE(SUBSTITUTE(SUBSTITUTE(MAIN!C84, "0", ""), "1", ""), "2", ""), "3", ""), "4", ""), "5", ""), "6", ""), "7", ""), "8", ""), "9", ""))))</f>
        <v>--</v>
      </c>
      <c r="D84" t="str">
        <f>IF(ISBLANK(MAIN!D84), "--", IF(ISNUMBER(MATCH(SUBSTITUTE(LEFT(MAIN!D84, IFERROR(FIND(",", MAIN!D84)-1, LEN(MAIN!D84))), " ", ""), lookup_values!$B$2:$B$51, 0)), UPPER(SUBSTITUTE(LEFT(MAIN!D84, IFERROR(FIND(",", MAIN!D84)-1, LEN(MAIN!D84))), " ", "")), IF(ISNA(VLOOKUP(SUBSTITUTE(LEFT(MAIN!D84, IFERROR(FIND(",", MAIN!D84)-1, LEN(MAIN!D84))), " ", ""), lookup_values!$A$2:$B$51, 2, FALSE)), "--", VLOOKUP(SUBSTITUTE(LEFT(MAIN!D84, IFERROR(FIND(",", MAIN!D84)-1, LEN(MAIN!D84))), " ", ""), lookup_values!$A$2:$B$51, 2, FALSE))))</f>
        <v>--</v>
      </c>
      <c r="E84" t="str">
        <f>IF(CLEAN_DATA!D84&lt;&gt;"--","US",IF(ISBLANK(MAIN!E84), "--", IF(ISNUMBER(MATCH(SUBSTITUTE(LEFT(MAIN!E84, IFERROR(FIND(",", MAIN!E84)-1, LEN(MAIN!E84))), " ", ""), lookup_values!$E$2:$E$197, 0)), UPPER(SUBSTITUTE(LEFT(MAIN!E84, IFERROR(FIND(",", MAIN!E84)-1, LEN(MAIN!E84))), " ", "")), IF(ISNA(VLOOKUP(SUBSTITUTE(LEFT(MAIN!E84, IFERROR(FIND(",", MAIN!E84)-1, LEN(MAIN!E84))), " ", ""), lookup_values!$D$2:$E$197, 2, FALSE)), "--", VLOOKUP(SUBSTITUTE(LEFT(MAIN!E84, IFERROR(FIND(",", MAIN!E84)-1, LEN(MAIN!E84))), " ", ""), lookup_values!$D$2:$E$197, 2, FALSE)))))</f>
        <v>--</v>
      </c>
      <c r="F84" t="str">
        <f>IF(ISBLANK(MAIN!F84), "", IF(AND(ISNUMBER(VALUE(TRIM(MAIN!F84))), LEN(TRIM(MAIN!F84))=4), VALUE(TRIM(MAIN!F84)), ""))</f>
        <v/>
      </c>
      <c r="G84">
        <f>IF(ISBLANK(MAIN!G84), 0, IF(ISNUMBER(VALUE(TRIM(MAIN!G84))), VALUE(TRIM(MAIN!G84)), 0))</f>
        <v>0</v>
      </c>
      <c r="H84">
        <f>IF(ISBLANK(MAIN!H84), 0, IF(ISNUMBER(VALUE(TRIM(MAIN!H84))), VALUE(TRIM(MAIN!H84)), 0))</f>
        <v>0</v>
      </c>
      <c r="I84">
        <f>IF(ISBLANK(MAIN!I84), 0, IF(ISNUMBER(VALUE(TRIM(MAIN!I84))), VALUE(TRIM(MAIN!I84)), 0))</f>
        <v>0</v>
      </c>
      <c r="J84">
        <f>IF(ISBLANK(MAIN!J84), 0, IF(ISNUMBER(VALUE(TRIM(MAIN!J84))), VALUE(TRIM(MAIN!J84)), 0))</f>
        <v>0</v>
      </c>
      <c r="K84" cm="1">
        <f t="array" ref="K84">IFERROR(
    VALUE(
        IFERROR(
            UPPER(
                IF(MAX(IFERROR(SEARCH("WD",MAIN!G84:J84), 0))&gt;0, "WD",
                IF(MAX(IFERROR(SEARCH("NS",MAIN!G84:J84), 0))&gt;0, "NS",
                IF(MAX(IFERROR(SEARCH("NC",MAIN!G84:J84), 0))&gt;0, "NC",
                IF(MAX(IFERROR(SEARCH("DQ",MAIN!G84:J84), 0))&gt;0, "DQ",
                IF(ISNUMBER(SEARCH("WD",MAIN!K84)), "WD",
                IF(ISNUMBER(SEARCH("NS",MAIN!K84)), "NS",
                IF(ISNUMBER(SEARCH("NC",MAIN!K84)), "NC",
                IF(ISNUMBER(SEARCH("DQ",MAIN!K84)), "DQ",
                IF(ISNUMBER(SEARCH("A",MAIN!K84)), 0,
                IF(OR(MAIN!K84=0,MAIN!K84=""), 0, --TRIM(MAIN!K84)))))))))))),
            0
        )
    ),
    IFERROR(
        UPPER(
            IF(MAX(IFERROR(SEARCH("WD",MAIN!G84:J84), 0))&gt;0, "WD",
            IF(MAX(IFERROR(SEARCH("NS",MAIN!G84:J84), 0))&gt;0, "NS",
            IF(MAX(IFERROR(SEARCH("NC",MAIN!G84:J84), 0))&gt;0, "NC",
            IF(MAX(IFERROR(SEARCH("DQ",MAIN!G84:J84), 0))&gt;0, "DQ",
            IF(ISNUMBER(SEARCH("WD",MAIN!K84)), "WD",
            IF(ISNUMBER(SEARCH("NS",MAIN!K84)), "NS",
            IF(ISNUMBER(SEARCH("NC",MAIN!K84)), "NC",
            IF(ISNUMBER(SEARCH("DQ",MAIN!K84)), "DQ",
            IF(ISNUMBER(SEARCH("A",MAIN!K84)), 0,
            IF(OR(MAIN!K84=0,MAIN!K84=""), 0, --TRIM(MAIN!K84)))))))))))),
        0
    )
)</f>
        <v>0</v>
      </c>
    </row>
    <row r="85" spans="1:11" x14ac:dyDescent="0.25">
      <c r="A85" t="str">
        <f>IF(ISBLANK(MAIN!A85), "--", IFERROR(PROPER(SUBSTITUTE(SUBSTITUTE(SUBSTITUTE(SUBSTITUTE(SUBSTITUTE(SUBSTITUTE(SUBSTITUTE(SUBSTITUTE(SUBSTITUTE(SUBSTITUTE(LEFT(MAIN!A85, FIND(",",MAIN!A85) -1), "0", ""), "1", ""), "2", ""), "3", ""), "4", ""), "5", ""), "6", ""), "7", ""), "8", ""), "9", "")), PROPER(SUBSTITUTE(SUBSTITUTE(SUBSTITUTE(SUBSTITUTE(SUBSTITUTE(SUBSTITUTE(SUBSTITUTE(SUBSTITUTE(SUBSTITUTE(SUBSTITUTE(MAIN!A85, "0", ""), "1", ""), "2", ""), "3", ""), "4", ""), "5", ""), "6", ""), "7", ""), "8", ""), "9", ""))))</f>
        <v>--</v>
      </c>
      <c r="B85" t="str">
        <f>IF(ISBLANK(MAIN!B85), "--", IFERROR(PROPER(SUBSTITUTE(SUBSTITUTE(SUBSTITUTE(SUBSTITUTE(SUBSTITUTE(SUBSTITUTE(SUBSTITUTE(SUBSTITUTE(SUBSTITUTE(SUBSTITUTE(LEFT(MAIN!B85, FIND(",",MAIN!B85) -1), "0", ""), "1", ""), "2", ""), "3", ""), "4", ""), "5", ""), "6", ""), "7", ""), "8", ""), "9", "")), PROPER(SUBSTITUTE(SUBSTITUTE(SUBSTITUTE(SUBSTITUTE(SUBSTITUTE(SUBSTITUTE(SUBSTITUTE(SUBSTITUTE(SUBSTITUTE(SUBSTITUTE(MAIN!B85, "0", ""), "1", ""), "2", ""), "3", ""), "4", ""), "5", ""), "6", ""), "7", ""), "8", ""), "9", ""))))</f>
        <v>--</v>
      </c>
      <c r="C85" t="str">
        <f>IF(ISBLANK(MAIN!C85), "--", IFERROR(PROPER(SUBSTITUTE(SUBSTITUTE(SUBSTITUTE(SUBSTITUTE(SUBSTITUTE(SUBSTITUTE(SUBSTITUTE(SUBSTITUTE(SUBSTITUTE(SUBSTITUTE(LEFT(MAIN!C85, FIND(",",MAIN!C85) -1), "0", ""), "1", ""), "2", ""), "3", ""), "4", ""), "5", ""), "6", ""), "7", ""), "8", ""), "9", "")), PROPER(SUBSTITUTE(SUBSTITUTE(SUBSTITUTE(SUBSTITUTE(SUBSTITUTE(SUBSTITUTE(SUBSTITUTE(SUBSTITUTE(SUBSTITUTE(SUBSTITUTE(MAIN!C85, "0", ""), "1", ""), "2", ""), "3", ""), "4", ""), "5", ""), "6", ""), "7", ""), "8", ""), "9", ""))))</f>
        <v>--</v>
      </c>
      <c r="D85" t="str">
        <f>IF(ISBLANK(MAIN!D85), "--", IF(ISNUMBER(MATCH(SUBSTITUTE(LEFT(MAIN!D85, IFERROR(FIND(",", MAIN!D85)-1, LEN(MAIN!D85))), " ", ""), lookup_values!$B$2:$B$51, 0)), UPPER(SUBSTITUTE(LEFT(MAIN!D85, IFERROR(FIND(",", MAIN!D85)-1, LEN(MAIN!D85))), " ", "")), IF(ISNA(VLOOKUP(SUBSTITUTE(LEFT(MAIN!D85, IFERROR(FIND(",", MAIN!D85)-1, LEN(MAIN!D85))), " ", ""), lookup_values!$A$2:$B$51, 2, FALSE)), "--", VLOOKUP(SUBSTITUTE(LEFT(MAIN!D85, IFERROR(FIND(",", MAIN!D85)-1, LEN(MAIN!D85))), " ", ""), lookup_values!$A$2:$B$51, 2, FALSE))))</f>
        <v>--</v>
      </c>
      <c r="E85" t="str">
        <f>IF(CLEAN_DATA!D85&lt;&gt;"--","US",IF(ISBLANK(MAIN!E85), "--", IF(ISNUMBER(MATCH(SUBSTITUTE(LEFT(MAIN!E85, IFERROR(FIND(",", MAIN!E85)-1, LEN(MAIN!E85))), " ", ""), lookup_values!$E$2:$E$197, 0)), UPPER(SUBSTITUTE(LEFT(MAIN!E85, IFERROR(FIND(",", MAIN!E85)-1, LEN(MAIN!E85))), " ", "")), IF(ISNA(VLOOKUP(SUBSTITUTE(LEFT(MAIN!E85, IFERROR(FIND(",", MAIN!E85)-1, LEN(MAIN!E85))), " ", ""), lookup_values!$D$2:$E$197, 2, FALSE)), "--", VLOOKUP(SUBSTITUTE(LEFT(MAIN!E85, IFERROR(FIND(",", MAIN!E85)-1, LEN(MAIN!E85))), " ", ""), lookup_values!$D$2:$E$197, 2, FALSE)))))</f>
        <v>--</v>
      </c>
      <c r="F85" t="str">
        <f>IF(ISBLANK(MAIN!F85), "", IF(AND(ISNUMBER(VALUE(TRIM(MAIN!F85))), LEN(TRIM(MAIN!F85))=4), VALUE(TRIM(MAIN!F85)), ""))</f>
        <v/>
      </c>
      <c r="G85">
        <f>IF(ISBLANK(MAIN!G85), 0, IF(ISNUMBER(VALUE(TRIM(MAIN!G85))), VALUE(TRIM(MAIN!G85)), 0))</f>
        <v>0</v>
      </c>
      <c r="H85">
        <f>IF(ISBLANK(MAIN!H85), 0, IF(ISNUMBER(VALUE(TRIM(MAIN!H85))), VALUE(TRIM(MAIN!H85)), 0))</f>
        <v>0</v>
      </c>
      <c r="I85">
        <f>IF(ISBLANK(MAIN!I85), 0, IF(ISNUMBER(VALUE(TRIM(MAIN!I85))), VALUE(TRIM(MAIN!I85)), 0))</f>
        <v>0</v>
      </c>
      <c r="J85">
        <f>IF(ISBLANK(MAIN!J85), 0, IF(ISNUMBER(VALUE(TRIM(MAIN!J85))), VALUE(TRIM(MAIN!J85)), 0))</f>
        <v>0</v>
      </c>
      <c r="K85" cm="1">
        <f t="array" ref="K85">IFERROR(
    VALUE(
        IFERROR(
            UPPER(
                IF(MAX(IFERROR(SEARCH("WD",MAIN!G85:J85), 0))&gt;0, "WD",
                IF(MAX(IFERROR(SEARCH("NS",MAIN!G85:J85), 0))&gt;0, "NS",
                IF(MAX(IFERROR(SEARCH("NC",MAIN!G85:J85), 0))&gt;0, "NC",
                IF(MAX(IFERROR(SEARCH("DQ",MAIN!G85:J85), 0))&gt;0, "DQ",
                IF(ISNUMBER(SEARCH("WD",MAIN!K85)), "WD",
                IF(ISNUMBER(SEARCH("NS",MAIN!K85)), "NS",
                IF(ISNUMBER(SEARCH("NC",MAIN!K85)), "NC",
                IF(ISNUMBER(SEARCH("DQ",MAIN!K85)), "DQ",
                IF(ISNUMBER(SEARCH("A",MAIN!K85)), 0,
                IF(OR(MAIN!K85=0,MAIN!K85=""), 0, --TRIM(MAIN!K85)))))))))))),
            0
        )
    ),
    IFERROR(
        UPPER(
            IF(MAX(IFERROR(SEARCH("WD",MAIN!G85:J85), 0))&gt;0, "WD",
            IF(MAX(IFERROR(SEARCH("NS",MAIN!G85:J85), 0))&gt;0, "NS",
            IF(MAX(IFERROR(SEARCH("NC",MAIN!G85:J85), 0))&gt;0, "NC",
            IF(MAX(IFERROR(SEARCH("DQ",MAIN!G85:J85), 0))&gt;0, "DQ",
            IF(ISNUMBER(SEARCH("WD",MAIN!K85)), "WD",
            IF(ISNUMBER(SEARCH("NS",MAIN!K85)), "NS",
            IF(ISNUMBER(SEARCH("NC",MAIN!K85)), "NC",
            IF(ISNUMBER(SEARCH("DQ",MAIN!K85)), "DQ",
            IF(ISNUMBER(SEARCH("A",MAIN!K85)), 0,
            IF(OR(MAIN!K85=0,MAIN!K85=""), 0, --TRIM(MAIN!K85)))))))))))),
        0
    )
)</f>
        <v>0</v>
      </c>
    </row>
    <row r="86" spans="1:11" x14ac:dyDescent="0.25">
      <c r="A86" t="str">
        <f>IF(ISBLANK(MAIN!A86), "--", IFERROR(PROPER(SUBSTITUTE(SUBSTITUTE(SUBSTITUTE(SUBSTITUTE(SUBSTITUTE(SUBSTITUTE(SUBSTITUTE(SUBSTITUTE(SUBSTITUTE(SUBSTITUTE(LEFT(MAIN!A86, FIND(",",MAIN!A86) -1), "0", ""), "1", ""), "2", ""), "3", ""), "4", ""), "5", ""), "6", ""), "7", ""), "8", ""), "9", "")), PROPER(SUBSTITUTE(SUBSTITUTE(SUBSTITUTE(SUBSTITUTE(SUBSTITUTE(SUBSTITUTE(SUBSTITUTE(SUBSTITUTE(SUBSTITUTE(SUBSTITUTE(MAIN!A86, "0", ""), "1", ""), "2", ""), "3", ""), "4", ""), "5", ""), "6", ""), "7", ""), "8", ""), "9", ""))))</f>
        <v>--</v>
      </c>
      <c r="B86" t="str">
        <f>IF(ISBLANK(MAIN!B86), "--", IFERROR(PROPER(SUBSTITUTE(SUBSTITUTE(SUBSTITUTE(SUBSTITUTE(SUBSTITUTE(SUBSTITUTE(SUBSTITUTE(SUBSTITUTE(SUBSTITUTE(SUBSTITUTE(LEFT(MAIN!B86, FIND(",",MAIN!B86) -1), "0", ""), "1", ""), "2", ""), "3", ""), "4", ""), "5", ""), "6", ""), "7", ""), "8", ""), "9", "")), PROPER(SUBSTITUTE(SUBSTITUTE(SUBSTITUTE(SUBSTITUTE(SUBSTITUTE(SUBSTITUTE(SUBSTITUTE(SUBSTITUTE(SUBSTITUTE(SUBSTITUTE(MAIN!B86, "0", ""), "1", ""), "2", ""), "3", ""), "4", ""), "5", ""), "6", ""), "7", ""), "8", ""), "9", ""))))</f>
        <v>--</v>
      </c>
      <c r="C86" t="str">
        <f>IF(ISBLANK(MAIN!C86), "--", IFERROR(PROPER(SUBSTITUTE(SUBSTITUTE(SUBSTITUTE(SUBSTITUTE(SUBSTITUTE(SUBSTITUTE(SUBSTITUTE(SUBSTITUTE(SUBSTITUTE(SUBSTITUTE(LEFT(MAIN!C86, FIND(",",MAIN!C86) -1), "0", ""), "1", ""), "2", ""), "3", ""), "4", ""), "5", ""), "6", ""), "7", ""), "8", ""), "9", "")), PROPER(SUBSTITUTE(SUBSTITUTE(SUBSTITUTE(SUBSTITUTE(SUBSTITUTE(SUBSTITUTE(SUBSTITUTE(SUBSTITUTE(SUBSTITUTE(SUBSTITUTE(MAIN!C86, "0", ""), "1", ""), "2", ""), "3", ""), "4", ""), "5", ""), "6", ""), "7", ""), "8", ""), "9", ""))))</f>
        <v>--</v>
      </c>
      <c r="D86" t="str">
        <f>IF(ISBLANK(MAIN!D86), "--", IF(ISNUMBER(MATCH(SUBSTITUTE(LEFT(MAIN!D86, IFERROR(FIND(",", MAIN!D86)-1, LEN(MAIN!D86))), " ", ""), lookup_values!$B$2:$B$51, 0)), UPPER(SUBSTITUTE(LEFT(MAIN!D86, IFERROR(FIND(",", MAIN!D86)-1, LEN(MAIN!D86))), " ", "")), IF(ISNA(VLOOKUP(SUBSTITUTE(LEFT(MAIN!D86, IFERROR(FIND(",", MAIN!D86)-1, LEN(MAIN!D86))), " ", ""), lookup_values!$A$2:$B$51, 2, FALSE)), "--", VLOOKUP(SUBSTITUTE(LEFT(MAIN!D86, IFERROR(FIND(",", MAIN!D86)-1, LEN(MAIN!D86))), " ", ""), lookup_values!$A$2:$B$51, 2, FALSE))))</f>
        <v>--</v>
      </c>
      <c r="E86" t="str">
        <f>IF(CLEAN_DATA!D86&lt;&gt;"--","US",IF(ISBLANK(MAIN!E86), "--", IF(ISNUMBER(MATCH(SUBSTITUTE(LEFT(MAIN!E86, IFERROR(FIND(",", MAIN!E86)-1, LEN(MAIN!E86))), " ", ""), lookup_values!$E$2:$E$197, 0)), UPPER(SUBSTITUTE(LEFT(MAIN!E86, IFERROR(FIND(",", MAIN!E86)-1, LEN(MAIN!E86))), " ", "")), IF(ISNA(VLOOKUP(SUBSTITUTE(LEFT(MAIN!E86, IFERROR(FIND(",", MAIN!E86)-1, LEN(MAIN!E86))), " ", ""), lookup_values!$D$2:$E$197, 2, FALSE)), "--", VLOOKUP(SUBSTITUTE(LEFT(MAIN!E86, IFERROR(FIND(",", MAIN!E86)-1, LEN(MAIN!E86))), " ", ""), lookup_values!$D$2:$E$197, 2, FALSE)))))</f>
        <v>--</v>
      </c>
      <c r="F86" t="str">
        <f>IF(ISBLANK(MAIN!F86), "", IF(AND(ISNUMBER(VALUE(TRIM(MAIN!F86))), LEN(TRIM(MAIN!F86))=4), VALUE(TRIM(MAIN!F86)), ""))</f>
        <v/>
      </c>
      <c r="G86">
        <f>IF(ISBLANK(MAIN!G86), 0, IF(ISNUMBER(VALUE(TRIM(MAIN!G86))), VALUE(TRIM(MAIN!G86)), 0))</f>
        <v>0</v>
      </c>
      <c r="H86">
        <f>IF(ISBLANK(MAIN!H86), 0, IF(ISNUMBER(VALUE(TRIM(MAIN!H86))), VALUE(TRIM(MAIN!H86)), 0))</f>
        <v>0</v>
      </c>
      <c r="I86">
        <f>IF(ISBLANK(MAIN!I86), 0, IF(ISNUMBER(VALUE(TRIM(MAIN!I86))), VALUE(TRIM(MAIN!I86)), 0))</f>
        <v>0</v>
      </c>
      <c r="J86">
        <f>IF(ISBLANK(MAIN!J86), 0, IF(ISNUMBER(VALUE(TRIM(MAIN!J86))), VALUE(TRIM(MAIN!J86)), 0))</f>
        <v>0</v>
      </c>
      <c r="K86" cm="1">
        <f t="array" ref="K86">IFERROR(
    VALUE(
        IFERROR(
            UPPER(
                IF(MAX(IFERROR(SEARCH("WD",MAIN!G86:J86), 0))&gt;0, "WD",
                IF(MAX(IFERROR(SEARCH("NS",MAIN!G86:J86), 0))&gt;0, "NS",
                IF(MAX(IFERROR(SEARCH("NC",MAIN!G86:J86), 0))&gt;0, "NC",
                IF(MAX(IFERROR(SEARCH("DQ",MAIN!G86:J86), 0))&gt;0, "DQ",
                IF(ISNUMBER(SEARCH("WD",MAIN!K86)), "WD",
                IF(ISNUMBER(SEARCH("NS",MAIN!K86)), "NS",
                IF(ISNUMBER(SEARCH("NC",MAIN!K86)), "NC",
                IF(ISNUMBER(SEARCH("DQ",MAIN!K86)), "DQ",
                IF(ISNUMBER(SEARCH("A",MAIN!K86)), 0,
                IF(OR(MAIN!K86=0,MAIN!K86=""), 0, --TRIM(MAIN!K86)))))))))))),
            0
        )
    ),
    IFERROR(
        UPPER(
            IF(MAX(IFERROR(SEARCH("WD",MAIN!G86:J86), 0))&gt;0, "WD",
            IF(MAX(IFERROR(SEARCH("NS",MAIN!G86:J86), 0))&gt;0, "NS",
            IF(MAX(IFERROR(SEARCH("NC",MAIN!G86:J86), 0))&gt;0, "NC",
            IF(MAX(IFERROR(SEARCH("DQ",MAIN!G86:J86), 0))&gt;0, "DQ",
            IF(ISNUMBER(SEARCH("WD",MAIN!K86)), "WD",
            IF(ISNUMBER(SEARCH("NS",MAIN!K86)), "NS",
            IF(ISNUMBER(SEARCH("NC",MAIN!K86)), "NC",
            IF(ISNUMBER(SEARCH("DQ",MAIN!K86)), "DQ",
            IF(ISNUMBER(SEARCH("A",MAIN!K86)), 0,
            IF(OR(MAIN!K86=0,MAIN!K86=""), 0, --TRIM(MAIN!K86)))))))))))),
        0
    )
)</f>
        <v>0</v>
      </c>
    </row>
    <row r="87" spans="1:11" x14ac:dyDescent="0.25">
      <c r="A87" t="str">
        <f>IF(ISBLANK(MAIN!A87), "--", IFERROR(PROPER(SUBSTITUTE(SUBSTITUTE(SUBSTITUTE(SUBSTITUTE(SUBSTITUTE(SUBSTITUTE(SUBSTITUTE(SUBSTITUTE(SUBSTITUTE(SUBSTITUTE(LEFT(MAIN!A87, FIND(",",MAIN!A87) -1), "0", ""), "1", ""), "2", ""), "3", ""), "4", ""), "5", ""), "6", ""), "7", ""), "8", ""), "9", "")), PROPER(SUBSTITUTE(SUBSTITUTE(SUBSTITUTE(SUBSTITUTE(SUBSTITUTE(SUBSTITUTE(SUBSTITUTE(SUBSTITUTE(SUBSTITUTE(SUBSTITUTE(MAIN!A87, "0", ""), "1", ""), "2", ""), "3", ""), "4", ""), "5", ""), "6", ""), "7", ""), "8", ""), "9", ""))))</f>
        <v>--</v>
      </c>
      <c r="B87" t="str">
        <f>IF(ISBLANK(MAIN!B87), "--", IFERROR(PROPER(SUBSTITUTE(SUBSTITUTE(SUBSTITUTE(SUBSTITUTE(SUBSTITUTE(SUBSTITUTE(SUBSTITUTE(SUBSTITUTE(SUBSTITUTE(SUBSTITUTE(LEFT(MAIN!B87, FIND(",",MAIN!B87) -1), "0", ""), "1", ""), "2", ""), "3", ""), "4", ""), "5", ""), "6", ""), "7", ""), "8", ""), "9", "")), PROPER(SUBSTITUTE(SUBSTITUTE(SUBSTITUTE(SUBSTITUTE(SUBSTITUTE(SUBSTITUTE(SUBSTITUTE(SUBSTITUTE(SUBSTITUTE(SUBSTITUTE(MAIN!B87, "0", ""), "1", ""), "2", ""), "3", ""), "4", ""), "5", ""), "6", ""), "7", ""), "8", ""), "9", ""))))</f>
        <v>--</v>
      </c>
      <c r="C87" t="str">
        <f>IF(ISBLANK(MAIN!C87), "--", IFERROR(PROPER(SUBSTITUTE(SUBSTITUTE(SUBSTITUTE(SUBSTITUTE(SUBSTITUTE(SUBSTITUTE(SUBSTITUTE(SUBSTITUTE(SUBSTITUTE(SUBSTITUTE(LEFT(MAIN!C87, FIND(",",MAIN!C87) -1), "0", ""), "1", ""), "2", ""), "3", ""), "4", ""), "5", ""), "6", ""), "7", ""), "8", ""), "9", "")), PROPER(SUBSTITUTE(SUBSTITUTE(SUBSTITUTE(SUBSTITUTE(SUBSTITUTE(SUBSTITUTE(SUBSTITUTE(SUBSTITUTE(SUBSTITUTE(SUBSTITUTE(MAIN!C87, "0", ""), "1", ""), "2", ""), "3", ""), "4", ""), "5", ""), "6", ""), "7", ""), "8", ""), "9", ""))))</f>
        <v>--</v>
      </c>
      <c r="D87" t="str">
        <f>IF(ISBLANK(MAIN!D87), "--", IF(ISNUMBER(MATCH(SUBSTITUTE(LEFT(MAIN!D87, IFERROR(FIND(",", MAIN!D87)-1, LEN(MAIN!D87))), " ", ""), lookup_values!$B$2:$B$51, 0)), UPPER(SUBSTITUTE(LEFT(MAIN!D87, IFERROR(FIND(",", MAIN!D87)-1, LEN(MAIN!D87))), " ", "")), IF(ISNA(VLOOKUP(SUBSTITUTE(LEFT(MAIN!D87, IFERROR(FIND(",", MAIN!D87)-1, LEN(MAIN!D87))), " ", ""), lookup_values!$A$2:$B$51, 2, FALSE)), "--", VLOOKUP(SUBSTITUTE(LEFT(MAIN!D87, IFERROR(FIND(",", MAIN!D87)-1, LEN(MAIN!D87))), " ", ""), lookup_values!$A$2:$B$51, 2, FALSE))))</f>
        <v>--</v>
      </c>
      <c r="E87" t="str">
        <f>IF(CLEAN_DATA!D87&lt;&gt;"--","US",IF(ISBLANK(MAIN!E87), "--", IF(ISNUMBER(MATCH(SUBSTITUTE(LEFT(MAIN!E87, IFERROR(FIND(",", MAIN!E87)-1, LEN(MAIN!E87))), " ", ""), lookup_values!$E$2:$E$197, 0)), UPPER(SUBSTITUTE(LEFT(MAIN!E87, IFERROR(FIND(",", MAIN!E87)-1, LEN(MAIN!E87))), " ", "")), IF(ISNA(VLOOKUP(SUBSTITUTE(LEFT(MAIN!E87, IFERROR(FIND(",", MAIN!E87)-1, LEN(MAIN!E87))), " ", ""), lookup_values!$D$2:$E$197, 2, FALSE)), "--", VLOOKUP(SUBSTITUTE(LEFT(MAIN!E87, IFERROR(FIND(",", MAIN!E87)-1, LEN(MAIN!E87))), " ", ""), lookup_values!$D$2:$E$197, 2, FALSE)))))</f>
        <v>--</v>
      </c>
      <c r="F87" t="str">
        <f>IF(ISBLANK(MAIN!F87), "", IF(AND(ISNUMBER(VALUE(TRIM(MAIN!F87))), LEN(TRIM(MAIN!F87))=4), VALUE(TRIM(MAIN!F87)), ""))</f>
        <v/>
      </c>
      <c r="G87">
        <f>IF(ISBLANK(MAIN!G87), 0, IF(ISNUMBER(VALUE(TRIM(MAIN!G87))), VALUE(TRIM(MAIN!G87)), 0))</f>
        <v>0</v>
      </c>
      <c r="H87">
        <f>IF(ISBLANK(MAIN!H87), 0, IF(ISNUMBER(VALUE(TRIM(MAIN!H87))), VALUE(TRIM(MAIN!H87)), 0))</f>
        <v>0</v>
      </c>
      <c r="I87">
        <f>IF(ISBLANK(MAIN!I87), 0, IF(ISNUMBER(VALUE(TRIM(MAIN!I87))), VALUE(TRIM(MAIN!I87)), 0))</f>
        <v>0</v>
      </c>
      <c r="J87">
        <f>IF(ISBLANK(MAIN!J87), 0, IF(ISNUMBER(VALUE(TRIM(MAIN!J87))), VALUE(TRIM(MAIN!J87)), 0))</f>
        <v>0</v>
      </c>
      <c r="K87" cm="1">
        <f t="array" ref="K87">IFERROR(
    VALUE(
        IFERROR(
            UPPER(
                IF(MAX(IFERROR(SEARCH("WD",MAIN!G87:J87), 0))&gt;0, "WD",
                IF(MAX(IFERROR(SEARCH("NS",MAIN!G87:J87), 0))&gt;0, "NS",
                IF(MAX(IFERROR(SEARCH("NC",MAIN!G87:J87), 0))&gt;0, "NC",
                IF(MAX(IFERROR(SEARCH("DQ",MAIN!G87:J87), 0))&gt;0, "DQ",
                IF(ISNUMBER(SEARCH("WD",MAIN!K87)), "WD",
                IF(ISNUMBER(SEARCH("NS",MAIN!K87)), "NS",
                IF(ISNUMBER(SEARCH("NC",MAIN!K87)), "NC",
                IF(ISNUMBER(SEARCH("DQ",MAIN!K87)), "DQ",
                IF(ISNUMBER(SEARCH("A",MAIN!K87)), 0,
                IF(OR(MAIN!K87=0,MAIN!K87=""), 0, --TRIM(MAIN!K87)))))))))))),
            0
        )
    ),
    IFERROR(
        UPPER(
            IF(MAX(IFERROR(SEARCH("WD",MAIN!G87:J87), 0))&gt;0, "WD",
            IF(MAX(IFERROR(SEARCH("NS",MAIN!G87:J87), 0))&gt;0, "NS",
            IF(MAX(IFERROR(SEARCH("NC",MAIN!G87:J87), 0))&gt;0, "NC",
            IF(MAX(IFERROR(SEARCH("DQ",MAIN!G87:J87), 0))&gt;0, "DQ",
            IF(ISNUMBER(SEARCH("WD",MAIN!K87)), "WD",
            IF(ISNUMBER(SEARCH("NS",MAIN!K87)), "NS",
            IF(ISNUMBER(SEARCH("NC",MAIN!K87)), "NC",
            IF(ISNUMBER(SEARCH("DQ",MAIN!K87)), "DQ",
            IF(ISNUMBER(SEARCH("A",MAIN!K87)), 0,
            IF(OR(MAIN!K87=0,MAIN!K87=""), 0, --TRIM(MAIN!K87)))))))))))),
        0
    )
)</f>
        <v>0</v>
      </c>
    </row>
    <row r="88" spans="1:11" x14ac:dyDescent="0.25">
      <c r="A88" t="str">
        <f>IF(ISBLANK(MAIN!A88), "--", IFERROR(PROPER(SUBSTITUTE(SUBSTITUTE(SUBSTITUTE(SUBSTITUTE(SUBSTITUTE(SUBSTITUTE(SUBSTITUTE(SUBSTITUTE(SUBSTITUTE(SUBSTITUTE(LEFT(MAIN!A88, FIND(",",MAIN!A88) -1), "0", ""), "1", ""), "2", ""), "3", ""), "4", ""), "5", ""), "6", ""), "7", ""), "8", ""), "9", "")), PROPER(SUBSTITUTE(SUBSTITUTE(SUBSTITUTE(SUBSTITUTE(SUBSTITUTE(SUBSTITUTE(SUBSTITUTE(SUBSTITUTE(SUBSTITUTE(SUBSTITUTE(MAIN!A88, "0", ""), "1", ""), "2", ""), "3", ""), "4", ""), "5", ""), "6", ""), "7", ""), "8", ""), "9", ""))))</f>
        <v>--</v>
      </c>
      <c r="B88" t="str">
        <f>IF(ISBLANK(MAIN!B88), "--", IFERROR(PROPER(SUBSTITUTE(SUBSTITUTE(SUBSTITUTE(SUBSTITUTE(SUBSTITUTE(SUBSTITUTE(SUBSTITUTE(SUBSTITUTE(SUBSTITUTE(SUBSTITUTE(LEFT(MAIN!B88, FIND(",",MAIN!B88) -1), "0", ""), "1", ""), "2", ""), "3", ""), "4", ""), "5", ""), "6", ""), "7", ""), "8", ""), "9", "")), PROPER(SUBSTITUTE(SUBSTITUTE(SUBSTITUTE(SUBSTITUTE(SUBSTITUTE(SUBSTITUTE(SUBSTITUTE(SUBSTITUTE(SUBSTITUTE(SUBSTITUTE(MAIN!B88, "0", ""), "1", ""), "2", ""), "3", ""), "4", ""), "5", ""), "6", ""), "7", ""), "8", ""), "9", ""))))</f>
        <v>--</v>
      </c>
      <c r="C88" t="str">
        <f>IF(ISBLANK(MAIN!C88), "--", IFERROR(PROPER(SUBSTITUTE(SUBSTITUTE(SUBSTITUTE(SUBSTITUTE(SUBSTITUTE(SUBSTITUTE(SUBSTITUTE(SUBSTITUTE(SUBSTITUTE(SUBSTITUTE(LEFT(MAIN!C88, FIND(",",MAIN!C88) -1), "0", ""), "1", ""), "2", ""), "3", ""), "4", ""), "5", ""), "6", ""), "7", ""), "8", ""), "9", "")), PROPER(SUBSTITUTE(SUBSTITUTE(SUBSTITUTE(SUBSTITUTE(SUBSTITUTE(SUBSTITUTE(SUBSTITUTE(SUBSTITUTE(SUBSTITUTE(SUBSTITUTE(MAIN!C88, "0", ""), "1", ""), "2", ""), "3", ""), "4", ""), "5", ""), "6", ""), "7", ""), "8", ""), "9", ""))))</f>
        <v>--</v>
      </c>
      <c r="D88" t="str">
        <f>IF(ISBLANK(MAIN!D88), "--", IF(ISNUMBER(MATCH(SUBSTITUTE(LEFT(MAIN!D88, IFERROR(FIND(",", MAIN!D88)-1, LEN(MAIN!D88))), " ", ""), lookup_values!$B$2:$B$51, 0)), UPPER(SUBSTITUTE(LEFT(MAIN!D88, IFERROR(FIND(",", MAIN!D88)-1, LEN(MAIN!D88))), " ", "")), IF(ISNA(VLOOKUP(SUBSTITUTE(LEFT(MAIN!D88, IFERROR(FIND(",", MAIN!D88)-1, LEN(MAIN!D88))), " ", ""), lookup_values!$A$2:$B$51, 2, FALSE)), "--", VLOOKUP(SUBSTITUTE(LEFT(MAIN!D88, IFERROR(FIND(",", MAIN!D88)-1, LEN(MAIN!D88))), " ", ""), lookup_values!$A$2:$B$51, 2, FALSE))))</f>
        <v>--</v>
      </c>
      <c r="E88" t="str">
        <f>IF(CLEAN_DATA!D88&lt;&gt;"--","US",IF(ISBLANK(MAIN!E88), "--", IF(ISNUMBER(MATCH(SUBSTITUTE(LEFT(MAIN!E88, IFERROR(FIND(",", MAIN!E88)-1, LEN(MAIN!E88))), " ", ""), lookup_values!$E$2:$E$197, 0)), UPPER(SUBSTITUTE(LEFT(MAIN!E88, IFERROR(FIND(",", MAIN!E88)-1, LEN(MAIN!E88))), " ", "")), IF(ISNA(VLOOKUP(SUBSTITUTE(LEFT(MAIN!E88, IFERROR(FIND(",", MAIN!E88)-1, LEN(MAIN!E88))), " ", ""), lookup_values!$D$2:$E$197, 2, FALSE)), "--", VLOOKUP(SUBSTITUTE(LEFT(MAIN!E88, IFERROR(FIND(",", MAIN!E88)-1, LEN(MAIN!E88))), " ", ""), lookup_values!$D$2:$E$197, 2, FALSE)))))</f>
        <v>--</v>
      </c>
      <c r="F88" t="str">
        <f>IF(ISBLANK(MAIN!F88), "", IF(AND(ISNUMBER(VALUE(TRIM(MAIN!F88))), LEN(TRIM(MAIN!F88))=4), VALUE(TRIM(MAIN!F88)), ""))</f>
        <v/>
      </c>
      <c r="G88">
        <f>IF(ISBLANK(MAIN!G88), 0, IF(ISNUMBER(VALUE(TRIM(MAIN!G88))), VALUE(TRIM(MAIN!G88)), 0))</f>
        <v>0</v>
      </c>
      <c r="H88">
        <f>IF(ISBLANK(MAIN!H88), 0, IF(ISNUMBER(VALUE(TRIM(MAIN!H88))), VALUE(TRIM(MAIN!H88)), 0))</f>
        <v>0</v>
      </c>
      <c r="I88">
        <f>IF(ISBLANK(MAIN!I88), 0, IF(ISNUMBER(VALUE(TRIM(MAIN!I88))), VALUE(TRIM(MAIN!I88)), 0))</f>
        <v>0</v>
      </c>
      <c r="J88">
        <f>IF(ISBLANK(MAIN!J88), 0, IF(ISNUMBER(VALUE(TRIM(MAIN!J88))), VALUE(TRIM(MAIN!J88)), 0))</f>
        <v>0</v>
      </c>
      <c r="K88" cm="1">
        <f t="array" ref="K88">IFERROR(
    VALUE(
        IFERROR(
            UPPER(
                IF(MAX(IFERROR(SEARCH("WD",MAIN!G88:J88), 0))&gt;0, "WD",
                IF(MAX(IFERROR(SEARCH("NS",MAIN!G88:J88), 0))&gt;0, "NS",
                IF(MAX(IFERROR(SEARCH("NC",MAIN!G88:J88), 0))&gt;0, "NC",
                IF(MAX(IFERROR(SEARCH("DQ",MAIN!G88:J88), 0))&gt;0, "DQ",
                IF(ISNUMBER(SEARCH("WD",MAIN!K88)), "WD",
                IF(ISNUMBER(SEARCH("NS",MAIN!K88)), "NS",
                IF(ISNUMBER(SEARCH("NC",MAIN!K88)), "NC",
                IF(ISNUMBER(SEARCH("DQ",MAIN!K88)), "DQ",
                IF(ISNUMBER(SEARCH("A",MAIN!K88)), 0,
                IF(OR(MAIN!K88=0,MAIN!K88=""), 0, --TRIM(MAIN!K88)))))))))))),
            0
        )
    ),
    IFERROR(
        UPPER(
            IF(MAX(IFERROR(SEARCH("WD",MAIN!G88:J88), 0))&gt;0, "WD",
            IF(MAX(IFERROR(SEARCH("NS",MAIN!G88:J88), 0))&gt;0, "NS",
            IF(MAX(IFERROR(SEARCH("NC",MAIN!G88:J88), 0))&gt;0, "NC",
            IF(MAX(IFERROR(SEARCH("DQ",MAIN!G88:J88), 0))&gt;0, "DQ",
            IF(ISNUMBER(SEARCH("WD",MAIN!K88)), "WD",
            IF(ISNUMBER(SEARCH("NS",MAIN!K88)), "NS",
            IF(ISNUMBER(SEARCH("NC",MAIN!K88)), "NC",
            IF(ISNUMBER(SEARCH("DQ",MAIN!K88)), "DQ",
            IF(ISNUMBER(SEARCH("A",MAIN!K88)), 0,
            IF(OR(MAIN!K88=0,MAIN!K88=""), 0, --TRIM(MAIN!K88)))))))))))),
        0
    )
)</f>
        <v>0</v>
      </c>
    </row>
    <row r="89" spans="1:11" x14ac:dyDescent="0.25">
      <c r="A89" t="str">
        <f>IF(ISBLANK(MAIN!A89), "--", IFERROR(PROPER(SUBSTITUTE(SUBSTITUTE(SUBSTITUTE(SUBSTITUTE(SUBSTITUTE(SUBSTITUTE(SUBSTITUTE(SUBSTITUTE(SUBSTITUTE(SUBSTITUTE(LEFT(MAIN!A89, FIND(",",MAIN!A89) -1), "0", ""), "1", ""), "2", ""), "3", ""), "4", ""), "5", ""), "6", ""), "7", ""), "8", ""), "9", "")), PROPER(SUBSTITUTE(SUBSTITUTE(SUBSTITUTE(SUBSTITUTE(SUBSTITUTE(SUBSTITUTE(SUBSTITUTE(SUBSTITUTE(SUBSTITUTE(SUBSTITUTE(MAIN!A89, "0", ""), "1", ""), "2", ""), "3", ""), "4", ""), "5", ""), "6", ""), "7", ""), "8", ""), "9", ""))))</f>
        <v>--</v>
      </c>
      <c r="B89" t="str">
        <f>IF(ISBLANK(MAIN!B89), "--", IFERROR(PROPER(SUBSTITUTE(SUBSTITUTE(SUBSTITUTE(SUBSTITUTE(SUBSTITUTE(SUBSTITUTE(SUBSTITUTE(SUBSTITUTE(SUBSTITUTE(SUBSTITUTE(LEFT(MAIN!B89, FIND(",",MAIN!B89) -1), "0", ""), "1", ""), "2", ""), "3", ""), "4", ""), "5", ""), "6", ""), "7", ""), "8", ""), "9", "")), PROPER(SUBSTITUTE(SUBSTITUTE(SUBSTITUTE(SUBSTITUTE(SUBSTITUTE(SUBSTITUTE(SUBSTITUTE(SUBSTITUTE(SUBSTITUTE(SUBSTITUTE(MAIN!B89, "0", ""), "1", ""), "2", ""), "3", ""), "4", ""), "5", ""), "6", ""), "7", ""), "8", ""), "9", ""))))</f>
        <v>--</v>
      </c>
      <c r="C89" t="str">
        <f>IF(ISBLANK(MAIN!C89), "--", IFERROR(PROPER(SUBSTITUTE(SUBSTITUTE(SUBSTITUTE(SUBSTITUTE(SUBSTITUTE(SUBSTITUTE(SUBSTITUTE(SUBSTITUTE(SUBSTITUTE(SUBSTITUTE(LEFT(MAIN!C89, FIND(",",MAIN!C89) -1), "0", ""), "1", ""), "2", ""), "3", ""), "4", ""), "5", ""), "6", ""), "7", ""), "8", ""), "9", "")), PROPER(SUBSTITUTE(SUBSTITUTE(SUBSTITUTE(SUBSTITUTE(SUBSTITUTE(SUBSTITUTE(SUBSTITUTE(SUBSTITUTE(SUBSTITUTE(SUBSTITUTE(MAIN!C89, "0", ""), "1", ""), "2", ""), "3", ""), "4", ""), "5", ""), "6", ""), "7", ""), "8", ""), "9", ""))))</f>
        <v>--</v>
      </c>
      <c r="D89" t="str">
        <f>IF(ISBLANK(MAIN!D89), "--", IF(ISNUMBER(MATCH(SUBSTITUTE(LEFT(MAIN!D89, IFERROR(FIND(",", MAIN!D89)-1, LEN(MAIN!D89))), " ", ""), lookup_values!$B$2:$B$51, 0)), UPPER(SUBSTITUTE(LEFT(MAIN!D89, IFERROR(FIND(",", MAIN!D89)-1, LEN(MAIN!D89))), " ", "")), IF(ISNA(VLOOKUP(SUBSTITUTE(LEFT(MAIN!D89, IFERROR(FIND(",", MAIN!D89)-1, LEN(MAIN!D89))), " ", ""), lookup_values!$A$2:$B$51, 2, FALSE)), "--", VLOOKUP(SUBSTITUTE(LEFT(MAIN!D89, IFERROR(FIND(",", MAIN!D89)-1, LEN(MAIN!D89))), " ", ""), lookup_values!$A$2:$B$51, 2, FALSE))))</f>
        <v>--</v>
      </c>
      <c r="E89" t="str">
        <f>IF(CLEAN_DATA!D89&lt;&gt;"--","US",IF(ISBLANK(MAIN!E89), "--", IF(ISNUMBER(MATCH(SUBSTITUTE(LEFT(MAIN!E89, IFERROR(FIND(",", MAIN!E89)-1, LEN(MAIN!E89))), " ", ""), lookup_values!$E$2:$E$197, 0)), UPPER(SUBSTITUTE(LEFT(MAIN!E89, IFERROR(FIND(",", MAIN!E89)-1, LEN(MAIN!E89))), " ", "")), IF(ISNA(VLOOKUP(SUBSTITUTE(LEFT(MAIN!E89, IFERROR(FIND(",", MAIN!E89)-1, LEN(MAIN!E89))), " ", ""), lookup_values!$D$2:$E$197, 2, FALSE)), "--", VLOOKUP(SUBSTITUTE(LEFT(MAIN!E89, IFERROR(FIND(",", MAIN!E89)-1, LEN(MAIN!E89))), " ", ""), lookup_values!$D$2:$E$197, 2, FALSE)))))</f>
        <v>--</v>
      </c>
      <c r="F89" t="str">
        <f>IF(ISBLANK(MAIN!F89), "", IF(AND(ISNUMBER(VALUE(TRIM(MAIN!F89))), LEN(TRIM(MAIN!F89))=4), VALUE(TRIM(MAIN!F89)), ""))</f>
        <v/>
      </c>
      <c r="G89">
        <f>IF(ISBLANK(MAIN!G89), 0, IF(ISNUMBER(VALUE(TRIM(MAIN!G89))), VALUE(TRIM(MAIN!G89)), 0))</f>
        <v>0</v>
      </c>
      <c r="H89">
        <f>IF(ISBLANK(MAIN!H89), 0, IF(ISNUMBER(VALUE(TRIM(MAIN!H89))), VALUE(TRIM(MAIN!H89)), 0))</f>
        <v>0</v>
      </c>
      <c r="I89">
        <f>IF(ISBLANK(MAIN!I89), 0, IF(ISNUMBER(VALUE(TRIM(MAIN!I89))), VALUE(TRIM(MAIN!I89)), 0))</f>
        <v>0</v>
      </c>
      <c r="J89">
        <f>IF(ISBLANK(MAIN!J89), 0, IF(ISNUMBER(VALUE(TRIM(MAIN!J89))), VALUE(TRIM(MAIN!J89)), 0))</f>
        <v>0</v>
      </c>
      <c r="K89" cm="1">
        <f t="array" ref="K89">IFERROR(
    VALUE(
        IFERROR(
            UPPER(
                IF(MAX(IFERROR(SEARCH("WD",MAIN!G89:J89), 0))&gt;0, "WD",
                IF(MAX(IFERROR(SEARCH("NS",MAIN!G89:J89), 0))&gt;0, "NS",
                IF(MAX(IFERROR(SEARCH("NC",MAIN!G89:J89), 0))&gt;0, "NC",
                IF(MAX(IFERROR(SEARCH("DQ",MAIN!G89:J89), 0))&gt;0, "DQ",
                IF(ISNUMBER(SEARCH("WD",MAIN!K89)), "WD",
                IF(ISNUMBER(SEARCH("NS",MAIN!K89)), "NS",
                IF(ISNUMBER(SEARCH("NC",MAIN!K89)), "NC",
                IF(ISNUMBER(SEARCH("DQ",MAIN!K89)), "DQ",
                IF(ISNUMBER(SEARCH("A",MAIN!K89)), 0,
                IF(OR(MAIN!K89=0,MAIN!K89=""), 0, --TRIM(MAIN!K89)))))))))))),
            0
        )
    ),
    IFERROR(
        UPPER(
            IF(MAX(IFERROR(SEARCH("WD",MAIN!G89:J89), 0))&gt;0, "WD",
            IF(MAX(IFERROR(SEARCH("NS",MAIN!G89:J89), 0))&gt;0, "NS",
            IF(MAX(IFERROR(SEARCH("NC",MAIN!G89:J89), 0))&gt;0, "NC",
            IF(MAX(IFERROR(SEARCH("DQ",MAIN!G89:J89), 0))&gt;0, "DQ",
            IF(ISNUMBER(SEARCH("WD",MAIN!K89)), "WD",
            IF(ISNUMBER(SEARCH("NS",MAIN!K89)), "NS",
            IF(ISNUMBER(SEARCH("NC",MAIN!K89)), "NC",
            IF(ISNUMBER(SEARCH("DQ",MAIN!K89)), "DQ",
            IF(ISNUMBER(SEARCH("A",MAIN!K89)), 0,
            IF(OR(MAIN!K89=0,MAIN!K89=""), 0, --TRIM(MAIN!K89)))))))))))),
        0
    )
)</f>
        <v>0</v>
      </c>
    </row>
    <row r="90" spans="1:11" x14ac:dyDescent="0.25">
      <c r="A90" t="str">
        <f>IF(ISBLANK(MAIN!A90), "--", IFERROR(PROPER(SUBSTITUTE(SUBSTITUTE(SUBSTITUTE(SUBSTITUTE(SUBSTITUTE(SUBSTITUTE(SUBSTITUTE(SUBSTITUTE(SUBSTITUTE(SUBSTITUTE(LEFT(MAIN!A90, FIND(",",MAIN!A90) -1), "0", ""), "1", ""), "2", ""), "3", ""), "4", ""), "5", ""), "6", ""), "7", ""), "8", ""), "9", "")), PROPER(SUBSTITUTE(SUBSTITUTE(SUBSTITUTE(SUBSTITUTE(SUBSTITUTE(SUBSTITUTE(SUBSTITUTE(SUBSTITUTE(SUBSTITUTE(SUBSTITUTE(MAIN!A90, "0", ""), "1", ""), "2", ""), "3", ""), "4", ""), "5", ""), "6", ""), "7", ""), "8", ""), "9", ""))))</f>
        <v>--</v>
      </c>
      <c r="B90" t="str">
        <f>IF(ISBLANK(MAIN!B90), "--", IFERROR(PROPER(SUBSTITUTE(SUBSTITUTE(SUBSTITUTE(SUBSTITUTE(SUBSTITUTE(SUBSTITUTE(SUBSTITUTE(SUBSTITUTE(SUBSTITUTE(SUBSTITUTE(LEFT(MAIN!B90, FIND(",",MAIN!B90) -1), "0", ""), "1", ""), "2", ""), "3", ""), "4", ""), "5", ""), "6", ""), "7", ""), "8", ""), "9", "")), PROPER(SUBSTITUTE(SUBSTITUTE(SUBSTITUTE(SUBSTITUTE(SUBSTITUTE(SUBSTITUTE(SUBSTITUTE(SUBSTITUTE(SUBSTITUTE(SUBSTITUTE(MAIN!B90, "0", ""), "1", ""), "2", ""), "3", ""), "4", ""), "5", ""), "6", ""), "7", ""), "8", ""), "9", ""))))</f>
        <v>--</v>
      </c>
      <c r="C90" t="str">
        <f>IF(ISBLANK(MAIN!C90), "--", IFERROR(PROPER(SUBSTITUTE(SUBSTITUTE(SUBSTITUTE(SUBSTITUTE(SUBSTITUTE(SUBSTITUTE(SUBSTITUTE(SUBSTITUTE(SUBSTITUTE(SUBSTITUTE(LEFT(MAIN!C90, FIND(",",MAIN!C90) -1), "0", ""), "1", ""), "2", ""), "3", ""), "4", ""), "5", ""), "6", ""), "7", ""), "8", ""), "9", "")), PROPER(SUBSTITUTE(SUBSTITUTE(SUBSTITUTE(SUBSTITUTE(SUBSTITUTE(SUBSTITUTE(SUBSTITUTE(SUBSTITUTE(SUBSTITUTE(SUBSTITUTE(MAIN!C90, "0", ""), "1", ""), "2", ""), "3", ""), "4", ""), "5", ""), "6", ""), "7", ""), "8", ""), "9", ""))))</f>
        <v>--</v>
      </c>
      <c r="D90" t="str">
        <f>IF(ISBLANK(MAIN!D90), "--", IF(ISNUMBER(MATCH(SUBSTITUTE(LEFT(MAIN!D90, IFERROR(FIND(",", MAIN!D90)-1, LEN(MAIN!D90))), " ", ""), lookup_values!$B$2:$B$51, 0)), UPPER(SUBSTITUTE(LEFT(MAIN!D90, IFERROR(FIND(",", MAIN!D90)-1, LEN(MAIN!D90))), " ", "")), IF(ISNA(VLOOKUP(SUBSTITUTE(LEFT(MAIN!D90, IFERROR(FIND(",", MAIN!D90)-1, LEN(MAIN!D90))), " ", ""), lookup_values!$A$2:$B$51, 2, FALSE)), "--", VLOOKUP(SUBSTITUTE(LEFT(MAIN!D90, IFERROR(FIND(",", MAIN!D90)-1, LEN(MAIN!D90))), " ", ""), lookup_values!$A$2:$B$51, 2, FALSE))))</f>
        <v>--</v>
      </c>
      <c r="E90" t="str">
        <f>IF(CLEAN_DATA!D90&lt;&gt;"--","US",IF(ISBLANK(MAIN!E90), "--", IF(ISNUMBER(MATCH(SUBSTITUTE(LEFT(MAIN!E90, IFERROR(FIND(",", MAIN!E90)-1, LEN(MAIN!E90))), " ", ""), lookup_values!$E$2:$E$197, 0)), UPPER(SUBSTITUTE(LEFT(MAIN!E90, IFERROR(FIND(",", MAIN!E90)-1, LEN(MAIN!E90))), " ", "")), IF(ISNA(VLOOKUP(SUBSTITUTE(LEFT(MAIN!E90, IFERROR(FIND(",", MAIN!E90)-1, LEN(MAIN!E90))), " ", ""), lookup_values!$D$2:$E$197, 2, FALSE)), "--", VLOOKUP(SUBSTITUTE(LEFT(MAIN!E90, IFERROR(FIND(",", MAIN!E90)-1, LEN(MAIN!E90))), " ", ""), lookup_values!$D$2:$E$197, 2, FALSE)))))</f>
        <v>--</v>
      </c>
      <c r="F90" t="str">
        <f>IF(ISBLANK(MAIN!F90), "", IF(AND(ISNUMBER(VALUE(TRIM(MAIN!F90))), LEN(TRIM(MAIN!F90))=4), VALUE(TRIM(MAIN!F90)), ""))</f>
        <v/>
      </c>
      <c r="G90">
        <f>IF(ISBLANK(MAIN!G90), 0, IF(ISNUMBER(VALUE(TRIM(MAIN!G90))), VALUE(TRIM(MAIN!G90)), 0))</f>
        <v>0</v>
      </c>
      <c r="H90">
        <f>IF(ISBLANK(MAIN!H90), 0, IF(ISNUMBER(VALUE(TRIM(MAIN!H90))), VALUE(TRIM(MAIN!H90)), 0))</f>
        <v>0</v>
      </c>
      <c r="I90">
        <f>IF(ISBLANK(MAIN!I90), 0, IF(ISNUMBER(VALUE(TRIM(MAIN!I90))), VALUE(TRIM(MAIN!I90)), 0))</f>
        <v>0</v>
      </c>
      <c r="J90">
        <f>IF(ISBLANK(MAIN!J90), 0, IF(ISNUMBER(VALUE(TRIM(MAIN!J90))), VALUE(TRIM(MAIN!J90)), 0))</f>
        <v>0</v>
      </c>
      <c r="K90" cm="1">
        <f t="array" ref="K90">IFERROR(
    VALUE(
        IFERROR(
            UPPER(
                IF(MAX(IFERROR(SEARCH("WD",MAIN!G90:J90), 0))&gt;0, "WD",
                IF(MAX(IFERROR(SEARCH("NS",MAIN!G90:J90), 0))&gt;0, "NS",
                IF(MAX(IFERROR(SEARCH("NC",MAIN!G90:J90), 0))&gt;0, "NC",
                IF(MAX(IFERROR(SEARCH("DQ",MAIN!G90:J90), 0))&gt;0, "DQ",
                IF(ISNUMBER(SEARCH("WD",MAIN!K90)), "WD",
                IF(ISNUMBER(SEARCH("NS",MAIN!K90)), "NS",
                IF(ISNUMBER(SEARCH("NC",MAIN!K90)), "NC",
                IF(ISNUMBER(SEARCH("DQ",MAIN!K90)), "DQ",
                IF(ISNUMBER(SEARCH("A",MAIN!K90)), 0,
                IF(OR(MAIN!K90=0,MAIN!K90=""), 0, --TRIM(MAIN!K90)))))))))))),
            0
        )
    ),
    IFERROR(
        UPPER(
            IF(MAX(IFERROR(SEARCH("WD",MAIN!G90:J90), 0))&gt;0, "WD",
            IF(MAX(IFERROR(SEARCH("NS",MAIN!G90:J90), 0))&gt;0, "NS",
            IF(MAX(IFERROR(SEARCH("NC",MAIN!G90:J90), 0))&gt;0, "NC",
            IF(MAX(IFERROR(SEARCH("DQ",MAIN!G90:J90), 0))&gt;0, "DQ",
            IF(ISNUMBER(SEARCH("WD",MAIN!K90)), "WD",
            IF(ISNUMBER(SEARCH("NS",MAIN!K90)), "NS",
            IF(ISNUMBER(SEARCH("NC",MAIN!K90)), "NC",
            IF(ISNUMBER(SEARCH("DQ",MAIN!K90)), "DQ",
            IF(ISNUMBER(SEARCH("A",MAIN!K90)), 0,
            IF(OR(MAIN!K90=0,MAIN!K90=""), 0, --TRIM(MAIN!K90)))))))))))),
        0
    )
)</f>
        <v>0</v>
      </c>
    </row>
    <row r="91" spans="1:11" x14ac:dyDescent="0.25">
      <c r="A91" t="str">
        <f>IF(ISBLANK(MAIN!A91), "--", IFERROR(PROPER(SUBSTITUTE(SUBSTITUTE(SUBSTITUTE(SUBSTITUTE(SUBSTITUTE(SUBSTITUTE(SUBSTITUTE(SUBSTITUTE(SUBSTITUTE(SUBSTITUTE(LEFT(MAIN!A91, FIND(",",MAIN!A91) -1), "0", ""), "1", ""), "2", ""), "3", ""), "4", ""), "5", ""), "6", ""), "7", ""), "8", ""), "9", "")), PROPER(SUBSTITUTE(SUBSTITUTE(SUBSTITUTE(SUBSTITUTE(SUBSTITUTE(SUBSTITUTE(SUBSTITUTE(SUBSTITUTE(SUBSTITUTE(SUBSTITUTE(MAIN!A91, "0", ""), "1", ""), "2", ""), "3", ""), "4", ""), "5", ""), "6", ""), "7", ""), "8", ""), "9", ""))))</f>
        <v>--</v>
      </c>
      <c r="B91" t="str">
        <f>IF(ISBLANK(MAIN!B91), "--", IFERROR(PROPER(SUBSTITUTE(SUBSTITUTE(SUBSTITUTE(SUBSTITUTE(SUBSTITUTE(SUBSTITUTE(SUBSTITUTE(SUBSTITUTE(SUBSTITUTE(SUBSTITUTE(LEFT(MAIN!B91, FIND(",",MAIN!B91) -1), "0", ""), "1", ""), "2", ""), "3", ""), "4", ""), "5", ""), "6", ""), "7", ""), "8", ""), "9", "")), PROPER(SUBSTITUTE(SUBSTITUTE(SUBSTITUTE(SUBSTITUTE(SUBSTITUTE(SUBSTITUTE(SUBSTITUTE(SUBSTITUTE(SUBSTITUTE(SUBSTITUTE(MAIN!B91, "0", ""), "1", ""), "2", ""), "3", ""), "4", ""), "5", ""), "6", ""), "7", ""), "8", ""), "9", ""))))</f>
        <v>--</v>
      </c>
      <c r="C91" t="str">
        <f>IF(ISBLANK(MAIN!C91), "--", IFERROR(PROPER(SUBSTITUTE(SUBSTITUTE(SUBSTITUTE(SUBSTITUTE(SUBSTITUTE(SUBSTITUTE(SUBSTITUTE(SUBSTITUTE(SUBSTITUTE(SUBSTITUTE(LEFT(MAIN!C91, FIND(",",MAIN!C91) -1), "0", ""), "1", ""), "2", ""), "3", ""), "4", ""), "5", ""), "6", ""), "7", ""), "8", ""), "9", "")), PROPER(SUBSTITUTE(SUBSTITUTE(SUBSTITUTE(SUBSTITUTE(SUBSTITUTE(SUBSTITUTE(SUBSTITUTE(SUBSTITUTE(SUBSTITUTE(SUBSTITUTE(MAIN!C91, "0", ""), "1", ""), "2", ""), "3", ""), "4", ""), "5", ""), "6", ""), "7", ""), "8", ""), "9", ""))))</f>
        <v>--</v>
      </c>
      <c r="D91" t="str">
        <f>IF(ISBLANK(MAIN!D91), "--", IF(ISNUMBER(MATCH(SUBSTITUTE(LEFT(MAIN!D91, IFERROR(FIND(",", MAIN!D91)-1, LEN(MAIN!D91))), " ", ""), lookup_values!$B$2:$B$51, 0)), UPPER(SUBSTITUTE(LEFT(MAIN!D91, IFERROR(FIND(",", MAIN!D91)-1, LEN(MAIN!D91))), " ", "")), IF(ISNA(VLOOKUP(SUBSTITUTE(LEFT(MAIN!D91, IFERROR(FIND(",", MAIN!D91)-1, LEN(MAIN!D91))), " ", ""), lookup_values!$A$2:$B$51, 2, FALSE)), "--", VLOOKUP(SUBSTITUTE(LEFT(MAIN!D91, IFERROR(FIND(",", MAIN!D91)-1, LEN(MAIN!D91))), " ", ""), lookup_values!$A$2:$B$51, 2, FALSE))))</f>
        <v>--</v>
      </c>
      <c r="E91" t="str">
        <f>IF(CLEAN_DATA!D91&lt;&gt;"--","US",IF(ISBLANK(MAIN!E91), "--", IF(ISNUMBER(MATCH(SUBSTITUTE(LEFT(MAIN!E91, IFERROR(FIND(",", MAIN!E91)-1, LEN(MAIN!E91))), " ", ""), lookup_values!$E$2:$E$197, 0)), UPPER(SUBSTITUTE(LEFT(MAIN!E91, IFERROR(FIND(",", MAIN!E91)-1, LEN(MAIN!E91))), " ", "")), IF(ISNA(VLOOKUP(SUBSTITUTE(LEFT(MAIN!E91, IFERROR(FIND(",", MAIN!E91)-1, LEN(MAIN!E91))), " ", ""), lookup_values!$D$2:$E$197, 2, FALSE)), "--", VLOOKUP(SUBSTITUTE(LEFT(MAIN!E91, IFERROR(FIND(",", MAIN!E91)-1, LEN(MAIN!E91))), " ", ""), lookup_values!$D$2:$E$197, 2, FALSE)))))</f>
        <v>--</v>
      </c>
      <c r="F91" t="str">
        <f>IF(ISBLANK(MAIN!F91), "", IF(AND(ISNUMBER(VALUE(TRIM(MAIN!F91))), LEN(TRIM(MAIN!F91))=4), VALUE(TRIM(MAIN!F91)), ""))</f>
        <v/>
      </c>
      <c r="G91">
        <f>IF(ISBLANK(MAIN!G91), 0, IF(ISNUMBER(VALUE(TRIM(MAIN!G91))), VALUE(TRIM(MAIN!G91)), 0))</f>
        <v>0</v>
      </c>
      <c r="H91">
        <f>IF(ISBLANK(MAIN!H91), 0, IF(ISNUMBER(VALUE(TRIM(MAIN!H91))), VALUE(TRIM(MAIN!H91)), 0))</f>
        <v>0</v>
      </c>
      <c r="I91">
        <f>IF(ISBLANK(MAIN!I91), 0, IF(ISNUMBER(VALUE(TRIM(MAIN!I91))), VALUE(TRIM(MAIN!I91)), 0))</f>
        <v>0</v>
      </c>
      <c r="J91">
        <f>IF(ISBLANK(MAIN!J91), 0, IF(ISNUMBER(VALUE(TRIM(MAIN!J91))), VALUE(TRIM(MAIN!J91)), 0))</f>
        <v>0</v>
      </c>
      <c r="K91" cm="1">
        <f t="array" ref="K91">IFERROR(
    VALUE(
        IFERROR(
            UPPER(
                IF(MAX(IFERROR(SEARCH("WD",MAIN!G91:J91), 0))&gt;0, "WD",
                IF(MAX(IFERROR(SEARCH("NS",MAIN!G91:J91), 0))&gt;0, "NS",
                IF(MAX(IFERROR(SEARCH("NC",MAIN!G91:J91), 0))&gt;0, "NC",
                IF(MAX(IFERROR(SEARCH("DQ",MAIN!G91:J91), 0))&gt;0, "DQ",
                IF(ISNUMBER(SEARCH("WD",MAIN!K91)), "WD",
                IF(ISNUMBER(SEARCH("NS",MAIN!K91)), "NS",
                IF(ISNUMBER(SEARCH("NC",MAIN!K91)), "NC",
                IF(ISNUMBER(SEARCH("DQ",MAIN!K91)), "DQ",
                IF(ISNUMBER(SEARCH("A",MAIN!K91)), 0,
                IF(OR(MAIN!K91=0,MAIN!K91=""), 0, --TRIM(MAIN!K91)))))))))))),
            0
        )
    ),
    IFERROR(
        UPPER(
            IF(MAX(IFERROR(SEARCH("WD",MAIN!G91:J91), 0))&gt;0, "WD",
            IF(MAX(IFERROR(SEARCH("NS",MAIN!G91:J91), 0))&gt;0, "NS",
            IF(MAX(IFERROR(SEARCH("NC",MAIN!G91:J91), 0))&gt;0, "NC",
            IF(MAX(IFERROR(SEARCH("DQ",MAIN!G91:J91), 0))&gt;0, "DQ",
            IF(ISNUMBER(SEARCH("WD",MAIN!K91)), "WD",
            IF(ISNUMBER(SEARCH("NS",MAIN!K91)), "NS",
            IF(ISNUMBER(SEARCH("NC",MAIN!K91)), "NC",
            IF(ISNUMBER(SEARCH("DQ",MAIN!K91)), "DQ",
            IF(ISNUMBER(SEARCH("A",MAIN!K91)), 0,
            IF(OR(MAIN!K91=0,MAIN!K91=""), 0, --TRIM(MAIN!K91)))))))))))),
        0
    )
)</f>
        <v>0</v>
      </c>
    </row>
    <row r="92" spans="1:11" x14ac:dyDescent="0.25">
      <c r="A92" t="str">
        <f>IF(ISBLANK(MAIN!A92), "--", IFERROR(PROPER(SUBSTITUTE(SUBSTITUTE(SUBSTITUTE(SUBSTITUTE(SUBSTITUTE(SUBSTITUTE(SUBSTITUTE(SUBSTITUTE(SUBSTITUTE(SUBSTITUTE(LEFT(MAIN!A92, FIND(",",MAIN!A92) -1), "0", ""), "1", ""), "2", ""), "3", ""), "4", ""), "5", ""), "6", ""), "7", ""), "8", ""), "9", "")), PROPER(SUBSTITUTE(SUBSTITUTE(SUBSTITUTE(SUBSTITUTE(SUBSTITUTE(SUBSTITUTE(SUBSTITUTE(SUBSTITUTE(SUBSTITUTE(SUBSTITUTE(MAIN!A92, "0", ""), "1", ""), "2", ""), "3", ""), "4", ""), "5", ""), "6", ""), "7", ""), "8", ""), "9", ""))))</f>
        <v>--</v>
      </c>
      <c r="B92" t="str">
        <f>IF(ISBLANK(MAIN!B92), "--", IFERROR(PROPER(SUBSTITUTE(SUBSTITUTE(SUBSTITUTE(SUBSTITUTE(SUBSTITUTE(SUBSTITUTE(SUBSTITUTE(SUBSTITUTE(SUBSTITUTE(SUBSTITUTE(LEFT(MAIN!B92, FIND(",",MAIN!B92) -1), "0", ""), "1", ""), "2", ""), "3", ""), "4", ""), "5", ""), "6", ""), "7", ""), "8", ""), "9", "")), PROPER(SUBSTITUTE(SUBSTITUTE(SUBSTITUTE(SUBSTITUTE(SUBSTITUTE(SUBSTITUTE(SUBSTITUTE(SUBSTITUTE(SUBSTITUTE(SUBSTITUTE(MAIN!B92, "0", ""), "1", ""), "2", ""), "3", ""), "4", ""), "5", ""), "6", ""), "7", ""), "8", ""), "9", ""))))</f>
        <v>--</v>
      </c>
      <c r="C92" t="str">
        <f>IF(ISBLANK(MAIN!C92), "--", IFERROR(PROPER(SUBSTITUTE(SUBSTITUTE(SUBSTITUTE(SUBSTITUTE(SUBSTITUTE(SUBSTITUTE(SUBSTITUTE(SUBSTITUTE(SUBSTITUTE(SUBSTITUTE(LEFT(MAIN!C92, FIND(",",MAIN!C92) -1), "0", ""), "1", ""), "2", ""), "3", ""), "4", ""), "5", ""), "6", ""), "7", ""), "8", ""), "9", "")), PROPER(SUBSTITUTE(SUBSTITUTE(SUBSTITUTE(SUBSTITUTE(SUBSTITUTE(SUBSTITUTE(SUBSTITUTE(SUBSTITUTE(SUBSTITUTE(SUBSTITUTE(MAIN!C92, "0", ""), "1", ""), "2", ""), "3", ""), "4", ""), "5", ""), "6", ""), "7", ""), "8", ""), "9", ""))))</f>
        <v>--</v>
      </c>
      <c r="D92" t="str">
        <f>IF(ISBLANK(MAIN!D92), "--", IF(ISNUMBER(MATCH(SUBSTITUTE(LEFT(MAIN!D92, IFERROR(FIND(",", MAIN!D92)-1, LEN(MAIN!D92))), " ", ""), lookup_values!$B$2:$B$51, 0)), UPPER(SUBSTITUTE(LEFT(MAIN!D92, IFERROR(FIND(",", MAIN!D92)-1, LEN(MAIN!D92))), " ", "")), IF(ISNA(VLOOKUP(SUBSTITUTE(LEFT(MAIN!D92, IFERROR(FIND(",", MAIN!D92)-1, LEN(MAIN!D92))), " ", ""), lookup_values!$A$2:$B$51, 2, FALSE)), "--", VLOOKUP(SUBSTITUTE(LEFT(MAIN!D92, IFERROR(FIND(",", MAIN!D92)-1, LEN(MAIN!D92))), " ", ""), lookup_values!$A$2:$B$51, 2, FALSE))))</f>
        <v>--</v>
      </c>
      <c r="E92" t="str">
        <f>IF(CLEAN_DATA!D92&lt;&gt;"--","US",IF(ISBLANK(MAIN!E92), "--", IF(ISNUMBER(MATCH(SUBSTITUTE(LEFT(MAIN!E92, IFERROR(FIND(",", MAIN!E92)-1, LEN(MAIN!E92))), " ", ""), lookup_values!$E$2:$E$197, 0)), UPPER(SUBSTITUTE(LEFT(MAIN!E92, IFERROR(FIND(",", MAIN!E92)-1, LEN(MAIN!E92))), " ", "")), IF(ISNA(VLOOKUP(SUBSTITUTE(LEFT(MAIN!E92, IFERROR(FIND(",", MAIN!E92)-1, LEN(MAIN!E92))), " ", ""), lookup_values!$D$2:$E$197, 2, FALSE)), "--", VLOOKUP(SUBSTITUTE(LEFT(MAIN!E92, IFERROR(FIND(",", MAIN!E92)-1, LEN(MAIN!E92))), " ", ""), lookup_values!$D$2:$E$197, 2, FALSE)))))</f>
        <v>--</v>
      </c>
      <c r="F92" t="str">
        <f>IF(ISBLANK(MAIN!F92), "", IF(AND(ISNUMBER(VALUE(TRIM(MAIN!F92))), LEN(TRIM(MAIN!F92))=4), VALUE(TRIM(MAIN!F92)), ""))</f>
        <v/>
      </c>
      <c r="G92">
        <f>IF(ISBLANK(MAIN!G92), 0, IF(ISNUMBER(VALUE(TRIM(MAIN!G92))), VALUE(TRIM(MAIN!G92)), 0))</f>
        <v>0</v>
      </c>
      <c r="H92">
        <f>IF(ISBLANK(MAIN!H92), 0, IF(ISNUMBER(VALUE(TRIM(MAIN!H92))), VALUE(TRIM(MAIN!H92)), 0))</f>
        <v>0</v>
      </c>
      <c r="I92">
        <f>IF(ISBLANK(MAIN!I92), 0, IF(ISNUMBER(VALUE(TRIM(MAIN!I92))), VALUE(TRIM(MAIN!I92)), 0))</f>
        <v>0</v>
      </c>
      <c r="J92">
        <f>IF(ISBLANK(MAIN!J92), 0, IF(ISNUMBER(VALUE(TRIM(MAIN!J92))), VALUE(TRIM(MAIN!J92)), 0))</f>
        <v>0</v>
      </c>
      <c r="K92" cm="1">
        <f t="array" ref="K92">IFERROR(
    VALUE(
        IFERROR(
            UPPER(
                IF(MAX(IFERROR(SEARCH("WD",MAIN!G92:J92), 0))&gt;0, "WD",
                IF(MAX(IFERROR(SEARCH("NS",MAIN!G92:J92), 0))&gt;0, "NS",
                IF(MAX(IFERROR(SEARCH("NC",MAIN!G92:J92), 0))&gt;0, "NC",
                IF(MAX(IFERROR(SEARCH("DQ",MAIN!G92:J92), 0))&gt;0, "DQ",
                IF(ISNUMBER(SEARCH("WD",MAIN!K92)), "WD",
                IF(ISNUMBER(SEARCH("NS",MAIN!K92)), "NS",
                IF(ISNUMBER(SEARCH("NC",MAIN!K92)), "NC",
                IF(ISNUMBER(SEARCH("DQ",MAIN!K92)), "DQ",
                IF(ISNUMBER(SEARCH("A",MAIN!K92)), 0,
                IF(OR(MAIN!K92=0,MAIN!K92=""), 0, --TRIM(MAIN!K92)))))))))))),
            0
        )
    ),
    IFERROR(
        UPPER(
            IF(MAX(IFERROR(SEARCH("WD",MAIN!G92:J92), 0))&gt;0, "WD",
            IF(MAX(IFERROR(SEARCH("NS",MAIN!G92:J92), 0))&gt;0, "NS",
            IF(MAX(IFERROR(SEARCH("NC",MAIN!G92:J92), 0))&gt;0, "NC",
            IF(MAX(IFERROR(SEARCH("DQ",MAIN!G92:J92), 0))&gt;0, "DQ",
            IF(ISNUMBER(SEARCH("WD",MAIN!K92)), "WD",
            IF(ISNUMBER(SEARCH("NS",MAIN!K92)), "NS",
            IF(ISNUMBER(SEARCH("NC",MAIN!K92)), "NC",
            IF(ISNUMBER(SEARCH("DQ",MAIN!K92)), "DQ",
            IF(ISNUMBER(SEARCH("A",MAIN!K92)), 0,
            IF(OR(MAIN!K92=0,MAIN!K92=""), 0, --TRIM(MAIN!K92)))))))))))),
        0
    )
)</f>
        <v>0</v>
      </c>
    </row>
    <row r="93" spans="1:11" x14ac:dyDescent="0.25">
      <c r="A93" t="str">
        <f>IF(ISBLANK(MAIN!A93), "--", IFERROR(PROPER(SUBSTITUTE(SUBSTITUTE(SUBSTITUTE(SUBSTITUTE(SUBSTITUTE(SUBSTITUTE(SUBSTITUTE(SUBSTITUTE(SUBSTITUTE(SUBSTITUTE(LEFT(MAIN!A93, FIND(",",MAIN!A93) -1), "0", ""), "1", ""), "2", ""), "3", ""), "4", ""), "5", ""), "6", ""), "7", ""), "8", ""), "9", "")), PROPER(SUBSTITUTE(SUBSTITUTE(SUBSTITUTE(SUBSTITUTE(SUBSTITUTE(SUBSTITUTE(SUBSTITUTE(SUBSTITUTE(SUBSTITUTE(SUBSTITUTE(MAIN!A93, "0", ""), "1", ""), "2", ""), "3", ""), "4", ""), "5", ""), "6", ""), "7", ""), "8", ""), "9", ""))))</f>
        <v>--</v>
      </c>
      <c r="B93" t="str">
        <f>IF(ISBLANK(MAIN!B93), "--", IFERROR(PROPER(SUBSTITUTE(SUBSTITUTE(SUBSTITUTE(SUBSTITUTE(SUBSTITUTE(SUBSTITUTE(SUBSTITUTE(SUBSTITUTE(SUBSTITUTE(SUBSTITUTE(LEFT(MAIN!B93, FIND(",",MAIN!B93) -1), "0", ""), "1", ""), "2", ""), "3", ""), "4", ""), "5", ""), "6", ""), "7", ""), "8", ""), "9", "")), PROPER(SUBSTITUTE(SUBSTITUTE(SUBSTITUTE(SUBSTITUTE(SUBSTITUTE(SUBSTITUTE(SUBSTITUTE(SUBSTITUTE(SUBSTITUTE(SUBSTITUTE(MAIN!B93, "0", ""), "1", ""), "2", ""), "3", ""), "4", ""), "5", ""), "6", ""), "7", ""), "8", ""), "9", ""))))</f>
        <v>--</v>
      </c>
      <c r="C93" t="str">
        <f>IF(ISBLANK(MAIN!C93), "--", IFERROR(PROPER(SUBSTITUTE(SUBSTITUTE(SUBSTITUTE(SUBSTITUTE(SUBSTITUTE(SUBSTITUTE(SUBSTITUTE(SUBSTITUTE(SUBSTITUTE(SUBSTITUTE(LEFT(MAIN!C93, FIND(",",MAIN!C93) -1), "0", ""), "1", ""), "2", ""), "3", ""), "4", ""), "5", ""), "6", ""), "7", ""), "8", ""), "9", "")), PROPER(SUBSTITUTE(SUBSTITUTE(SUBSTITUTE(SUBSTITUTE(SUBSTITUTE(SUBSTITUTE(SUBSTITUTE(SUBSTITUTE(SUBSTITUTE(SUBSTITUTE(MAIN!C93, "0", ""), "1", ""), "2", ""), "3", ""), "4", ""), "5", ""), "6", ""), "7", ""), "8", ""), "9", ""))))</f>
        <v>--</v>
      </c>
      <c r="D93" t="str">
        <f>IF(ISBLANK(MAIN!D93), "--", IF(ISNUMBER(MATCH(SUBSTITUTE(LEFT(MAIN!D93, IFERROR(FIND(",", MAIN!D93)-1, LEN(MAIN!D93))), " ", ""), lookup_values!$B$2:$B$51, 0)), UPPER(SUBSTITUTE(LEFT(MAIN!D93, IFERROR(FIND(",", MAIN!D93)-1, LEN(MAIN!D93))), " ", "")), IF(ISNA(VLOOKUP(SUBSTITUTE(LEFT(MAIN!D93, IFERROR(FIND(",", MAIN!D93)-1, LEN(MAIN!D93))), " ", ""), lookup_values!$A$2:$B$51, 2, FALSE)), "--", VLOOKUP(SUBSTITUTE(LEFT(MAIN!D93, IFERROR(FIND(",", MAIN!D93)-1, LEN(MAIN!D93))), " ", ""), lookup_values!$A$2:$B$51, 2, FALSE))))</f>
        <v>--</v>
      </c>
      <c r="E93" t="str">
        <f>IF(CLEAN_DATA!D93&lt;&gt;"--","US",IF(ISBLANK(MAIN!E93), "--", IF(ISNUMBER(MATCH(SUBSTITUTE(LEFT(MAIN!E93, IFERROR(FIND(",", MAIN!E93)-1, LEN(MAIN!E93))), " ", ""), lookup_values!$E$2:$E$197, 0)), UPPER(SUBSTITUTE(LEFT(MAIN!E93, IFERROR(FIND(",", MAIN!E93)-1, LEN(MAIN!E93))), " ", "")), IF(ISNA(VLOOKUP(SUBSTITUTE(LEFT(MAIN!E93, IFERROR(FIND(",", MAIN!E93)-1, LEN(MAIN!E93))), " ", ""), lookup_values!$D$2:$E$197, 2, FALSE)), "--", VLOOKUP(SUBSTITUTE(LEFT(MAIN!E93, IFERROR(FIND(",", MAIN!E93)-1, LEN(MAIN!E93))), " ", ""), lookup_values!$D$2:$E$197, 2, FALSE)))))</f>
        <v>--</v>
      </c>
      <c r="F93" t="str">
        <f>IF(ISBLANK(MAIN!F93), "", IF(AND(ISNUMBER(VALUE(TRIM(MAIN!F93))), LEN(TRIM(MAIN!F93))=4), VALUE(TRIM(MAIN!F93)), ""))</f>
        <v/>
      </c>
      <c r="G93">
        <f>IF(ISBLANK(MAIN!G93), 0, IF(ISNUMBER(VALUE(TRIM(MAIN!G93))), VALUE(TRIM(MAIN!G93)), 0))</f>
        <v>0</v>
      </c>
      <c r="H93">
        <f>IF(ISBLANK(MAIN!H93), 0, IF(ISNUMBER(VALUE(TRIM(MAIN!H93))), VALUE(TRIM(MAIN!H93)), 0))</f>
        <v>0</v>
      </c>
      <c r="I93">
        <f>IF(ISBLANK(MAIN!I93), 0, IF(ISNUMBER(VALUE(TRIM(MAIN!I93))), VALUE(TRIM(MAIN!I93)), 0))</f>
        <v>0</v>
      </c>
      <c r="J93">
        <f>IF(ISBLANK(MAIN!J93), 0, IF(ISNUMBER(VALUE(TRIM(MAIN!J93))), VALUE(TRIM(MAIN!J93)), 0))</f>
        <v>0</v>
      </c>
      <c r="K93" cm="1">
        <f t="array" ref="K93">IFERROR(
    VALUE(
        IFERROR(
            UPPER(
                IF(MAX(IFERROR(SEARCH("WD",MAIN!G93:J93), 0))&gt;0, "WD",
                IF(MAX(IFERROR(SEARCH("NS",MAIN!G93:J93), 0))&gt;0, "NS",
                IF(MAX(IFERROR(SEARCH("NC",MAIN!G93:J93), 0))&gt;0, "NC",
                IF(MAX(IFERROR(SEARCH("DQ",MAIN!G93:J93), 0))&gt;0, "DQ",
                IF(ISNUMBER(SEARCH("WD",MAIN!K93)), "WD",
                IF(ISNUMBER(SEARCH("NS",MAIN!K93)), "NS",
                IF(ISNUMBER(SEARCH("NC",MAIN!K93)), "NC",
                IF(ISNUMBER(SEARCH("DQ",MAIN!K93)), "DQ",
                IF(ISNUMBER(SEARCH("A",MAIN!K93)), 0,
                IF(OR(MAIN!K93=0,MAIN!K93=""), 0, --TRIM(MAIN!K93)))))))))))),
            0
        )
    ),
    IFERROR(
        UPPER(
            IF(MAX(IFERROR(SEARCH("WD",MAIN!G93:J93), 0))&gt;0, "WD",
            IF(MAX(IFERROR(SEARCH("NS",MAIN!G93:J93), 0))&gt;0, "NS",
            IF(MAX(IFERROR(SEARCH("NC",MAIN!G93:J93), 0))&gt;0, "NC",
            IF(MAX(IFERROR(SEARCH("DQ",MAIN!G93:J93), 0))&gt;0, "DQ",
            IF(ISNUMBER(SEARCH("WD",MAIN!K93)), "WD",
            IF(ISNUMBER(SEARCH("NS",MAIN!K93)), "NS",
            IF(ISNUMBER(SEARCH("NC",MAIN!K93)), "NC",
            IF(ISNUMBER(SEARCH("DQ",MAIN!K93)), "DQ",
            IF(ISNUMBER(SEARCH("A",MAIN!K93)), 0,
            IF(OR(MAIN!K93=0,MAIN!K93=""), 0, --TRIM(MAIN!K93)))))))))))),
        0
    )
)</f>
        <v>0</v>
      </c>
    </row>
    <row r="94" spans="1:11" x14ac:dyDescent="0.25">
      <c r="A94" t="str">
        <f>IF(ISBLANK(MAIN!A94), "--", IFERROR(PROPER(SUBSTITUTE(SUBSTITUTE(SUBSTITUTE(SUBSTITUTE(SUBSTITUTE(SUBSTITUTE(SUBSTITUTE(SUBSTITUTE(SUBSTITUTE(SUBSTITUTE(LEFT(MAIN!A94, FIND(",",MAIN!A94) -1), "0", ""), "1", ""), "2", ""), "3", ""), "4", ""), "5", ""), "6", ""), "7", ""), "8", ""), "9", "")), PROPER(SUBSTITUTE(SUBSTITUTE(SUBSTITUTE(SUBSTITUTE(SUBSTITUTE(SUBSTITUTE(SUBSTITUTE(SUBSTITUTE(SUBSTITUTE(SUBSTITUTE(MAIN!A94, "0", ""), "1", ""), "2", ""), "3", ""), "4", ""), "5", ""), "6", ""), "7", ""), "8", ""), "9", ""))))</f>
        <v>--</v>
      </c>
      <c r="B94" t="str">
        <f>IF(ISBLANK(MAIN!B94), "--", IFERROR(PROPER(SUBSTITUTE(SUBSTITUTE(SUBSTITUTE(SUBSTITUTE(SUBSTITUTE(SUBSTITUTE(SUBSTITUTE(SUBSTITUTE(SUBSTITUTE(SUBSTITUTE(LEFT(MAIN!B94, FIND(",",MAIN!B94) -1), "0", ""), "1", ""), "2", ""), "3", ""), "4", ""), "5", ""), "6", ""), "7", ""), "8", ""), "9", "")), PROPER(SUBSTITUTE(SUBSTITUTE(SUBSTITUTE(SUBSTITUTE(SUBSTITUTE(SUBSTITUTE(SUBSTITUTE(SUBSTITUTE(SUBSTITUTE(SUBSTITUTE(MAIN!B94, "0", ""), "1", ""), "2", ""), "3", ""), "4", ""), "5", ""), "6", ""), "7", ""), "8", ""), "9", ""))))</f>
        <v>--</v>
      </c>
      <c r="C94" t="str">
        <f>IF(ISBLANK(MAIN!C94), "--", IFERROR(PROPER(SUBSTITUTE(SUBSTITUTE(SUBSTITUTE(SUBSTITUTE(SUBSTITUTE(SUBSTITUTE(SUBSTITUTE(SUBSTITUTE(SUBSTITUTE(SUBSTITUTE(LEFT(MAIN!C94, FIND(",",MAIN!C94) -1), "0", ""), "1", ""), "2", ""), "3", ""), "4", ""), "5", ""), "6", ""), "7", ""), "8", ""), "9", "")), PROPER(SUBSTITUTE(SUBSTITUTE(SUBSTITUTE(SUBSTITUTE(SUBSTITUTE(SUBSTITUTE(SUBSTITUTE(SUBSTITUTE(SUBSTITUTE(SUBSTITUTE(MAIN!C94, "0", ""), "1", ""), "2", ""), "3", ""), "4", ""), "5", ""), "6", ""), "7", ""), "8", ""), "9", ""))))</f>
        <v>--</v>
      </c>
      <c r="D94" t="str">
        <f>IF(ISBLANK(MAIN!D94), "--", IF(ISNUMBER(MATCH(SUBSTITUTE(LEFT(MAIN!D94, IFERROR(FIND(",", MAIN!D94)-1, LEN(MAIN!D94))), " ", ""), lookup_values!$B$2:$B$51, 0)), UPPER(SUBSTITUTE(LEFT(MAIN!D94, IFERROR(FIND(",", MAIN!D94)-1, LEN(MAIN!D94))), " ", "")), IF(ISNA(VLOOKUP(SUBSTITUTE(LEFT(MAIN!D94, IFERROR(FIND(",", MAIN!D94)-1, LEN(MAIN!D94))), " ", ""), lookup_values!$A$2:$B$51, 2, FALSE)), "--", VLOOKUP(SUBSTITUTE(LEFT(MAIN!D94, IFERROR(FIND(",", MAIN!D94)-1, LEN(MAIN!D94))), " ", ""), lookup_values!$A$2:$B$51, 2, FALSE))))</f>
        <v>--</v>
      </c>
      <c r="E94" t="str">
        <f>IF(CLEAN_DATA!D94&lt;&gt;"--","US",IF(ISBLANK(MAIN!E94), "--", IF(ISNUMBER(MATCH(SUBSTITUTE(LEFT(MAIN!E94, IFERROR(FIND(",", MAIN!E94)-1, LEN(MAIN!E94))), " ", ""), lookup_values!$E$2:$E$197, 0)), UPPER(SUBSTITUTE(LEFT(MAIN!E94, IFERROR(FIND(",", MAIN!E94)-1, LEN(MAIN!E94))), " ", "")), IF(ISNA(VLOOKUP(SUBSTITUTE(LEFT(MAIN!E94, IFERROR(FIND(",", MAIN!E94)-1, LEN(MAIN!E94))), " ", ""), lookup_values!$D$2:$E$197, 2, FALSE)), "--", VLOOKUP(SUBSTITUTE(LEFT(MAIN!E94, IFERROR(FIND(",", MAIN!E94)-1, LEN(MAIN!E94))), " ", ""), lookup_values!$D$2:$E$197, 2, FALSE)))))</f>
        <v>--</v>
      </c>
      <c r="F94" t="str">
        <f>IF(ISBLANK(MAIN!F94), "", IF(AND(ISNUMBER(VALUE(TRIM(MAIN!F94))), LEN(TRIM(MAIN!F94))=4), VALUE(TRIM(MAIN!F94)), ""))</f>
        <v/>
      </c>
      <c r="G94">
        <f>IF(ISBLANK(MAIN!G94), 0, IF(ISNUMBER(VALUE(TRIM(MAIN!G94))), VALUE(TRIM(MAIN!G94)), 0))</f>
        <v>0</v>
      </c>
      <c r="H94">
        <f>IF(ISBLANK(MAIN!H94), 0, IF(ISNUMBER(VALUE(TRIM(MAIN!H94))), VALUE(TRIM(MAIN!H94)), 0))</f>
        <v>0</v>
      </c>
      <c r="I94">
        <f>IF(ISBLANK(MAIN!I94), 0, IF(ISNUMBER(VALUE(TRIM(MAIN!I94))), VALUE(TRIM(MAIN!I94)), 0))</f>
        <v>0</v>
      </c>
      <c r="J94">
        <f>IF(ISBLANK(MAIN!J94), 0, IF(ISNUMBER(VALUE(TRIM(MAIN!J94))), VALUE(TRIM(MAIN!J94)), 0))</f>
        <v>0</v>
      </c>
      <c r="K94" cm="1">
        <f t="array" ref="K94">IFERROR(
    VALUE(
        IFERROR(
            UPPER(
                IF(MAX(IFERROR(SEARCH("WD",MAIN!G94:J94), 0))&gt;0, "WD",
                IF(MAX(IFERROR(SEARCH("NS",MAIN!G94:J94), 0))&gt;0, "NS",
                IF(MAX(IFERROR(SEARCH("NC",MAIN!G94:J94), 0))&gt;0, "NC",
                IF(MAX(IFERROR(SEARCH("DQ",MAIN!G94:J94), 0))&gt;0, "DQ",
                IF(ISNUMBER(SEARCH("WD",MAIN!K94)), "WD",
                IF(ISNUMBER(SEARCH("NS",MAIN!K94)), "NS",
                IF(ISNUMBER(SEARCH("NC",MAIN!K94)), "NC",
                IF(ISNUMBER(SEARCH("DQ",MAIN!K94)), "DQ",
                IF(ISNUMBER(SEARCH("A",MAIN!K94)), 0,
                IF(OR(MAIN!K94=0,MAIN!K94=""), 0, --TRIM(MAIN!K94)))))))))))),
            0
        )
    ),
    IFERROR(
        UPPER(
            IF(MAX(IFERROR(SEARCH("WD",MAIN!G94:J94), 0))&gt;0, "WD",
            IF(MAX(IFERROR(SEARCH("NS",MAIN!G94:J94), 0))&gt;0, "NS",
            IF(MAX(IFERROR(SEARCH("NC",MAIN!G94:J94), 0))&gt;0, "NC",
            IF(MAX(IFERROR(SEARCH("DQ",MAIN!G94:J94), 0))&gt;0, "DQ",
            IF(ISNUMBER(SEARCH("WD",MAIN!K94)), "WD",
            IF(ISNUMBER(SEARCH("NS",MAIN!K94)), "NS",
            IF(ISNUMBER(SEARCH("NC",MAIN!K94)), "NC",
            IF(ISNUMBER(SEARCH("DQ",MAIN!K94)), "DQ",
            IF(ISNUMBER(SEARCH("A",MAIN!K94)), 0,
            IF(OR(MAIN!K94=0,MAIN!K94=""), 0, --TRIM(MAIN!K94)))))))))))),
        0
    )
)</f>
        <v>0</v>
      </c>
    </row>
    <row r="95" spans="1:11" x14ac:dyDescent="0.25">
      <c r="A95" t="str">
        <f>IF(ISBLANK(MAIN!A95), "--", IFERROR(PROPER(SUBSTITUTE(SUBSTITUTE(SUBSTITUTE(SUBSTITUTE(SUBSTITUTE(SUBSTITUTE(SUBSTITUTE(SUBSTITUTE(SUBSTITUTE(SUBSTITUTE(LEFT(MAIN!A95, FIND(",",MAIN!A95) -1), "0", ""), "1", ""), "2", ""), "3", ""), "4", ""), "5", ""), "6", ""), "7", ""), "8", ""), "9", "")), PROPER(SUBSTITUTE(SUBSTITUTE(SUBSTITUTE(SUBSTITUTE(SUBSTITUTE(SUBSTITUTE(SUBSTITUTE(SUBSTITUTE(SUBSTITUTE(SUBSTITUTE(MAIN!A95, "0", ""), "1", ""), "2", ""), "3", ""), "4", ""), "5", ""), "6", ""), "7", ""), "8", ""), "9", ""))))</f>
        <v>--</v>
      </c>
      <c r="B95" t="str">
        <f>IF(ISBLANK(MAIN!B95), "--", IFERROR(PROPER(SUBSTITUTE(SUBSTITUTE(SUBSTITUTE(SUBSTITUTE(SUBSTITUTE(SUBSTITUTE(SUBSTITUTE(SUBSTITUTE(SUBSTITUTE(SUBSTITUTE(LEFT(MAIN!B95, FIND(",",MAIN!B95) -1), "0", ""), "1", ""), "2", ""), "3", ""), "4", ""), "5", ""), "6", ""), "7", ""), "8", ""), "9", "")), PROPER(SUBSTITUTE(SUBSTITUTE(SUBSTITUTE(SUBSTITUTE(SUBSTITUTE(SUBSTITUTE(SUBSTITUTE(SUBSTITUTE(SUBSTITUTE(SUBSTITUTE(MAIN!B95, "0", ""), "1", ""), "2", ""), "3", ""), "4", ""), "5", ""), "6", ""), "7", ""), "8", ""), "9", ""))))</f>
        <v>--</v>
      </c>
      <c r="C95" t="str">
        <f>IF(ISBLANK(MAIN!C95), "--", IFERROR(PROPER(SUBSTITUTE(SUBSTITUTE(SUBSTITUTE(SUBSTITUTE(SUBSTITUTE(SUBSTITUTE(SUBSTITUTE(SUBSTITUTE(SUBSTITUTE(SUBSTITUTE(LEFT(MAIN!C95, FIND(",",MAIN!C95) -1), "0", ""), "1", ""), "2", ""), "3", ""), "4", ""), "5", ""), "6", ""), "7", ""), "8", ""), "9", "")), PROPER(SUBSTITUTE(SUBSTITUTE(SUBSTITUTE(SUBSTITUTE(SUBSTITUTE(SUBSTITUTE(SUBSTITUTE(SUBSTITUTE(SUBSTITUTE(SUBSTITUTE(MAIN!C95, "0", ""), "1", ""), "2", ""), "3", ""), "4", ""), "5", ""), "6", ""), "7", ""), "8", ""), "9", ""))))</f>
        <v>--</v>
      </c>
      <c r="D95" t="str">
        <f>IF(ISBLANK(MAIN!D95), "--", IF(ISNUMBER(MATCH(SUBSTITUTE(LEFT(MAIN!D95, IFERROR(FIND(",", MAIN!D95)-1, LEN(MAIN!D95))), " ", ""), lookup_values!$B$2:$B$51, 0)), UPPER(SUBSTITUTE(LEFT(MAIN!D95, IFERROR(FIND(",", MAIN!D95)-1, LEN(MAIN!D95))), " ", "")), IF(ISNA(VLOOKUP(SUBSTITUTE(LEFT(MAIN!D95, IFERROR(FIND(",", MAIN!D95)-1, LEN(MAIN!D95))), " ", ""), lookup_values!$A$2:$B$51, 2, FALSE)), "--", VLOOKUP(SUBSTITUTE(LEFT(MAIN!D95, IFERROR(FIND(",", MAIN!D95)-1, LEN(MAIN!D95))), " ", ""), lookup_values!$A$2:$B$51, 2, FALSE))))</f>
        <v>--</v>
      </c>
      <c r="E95" t="str">
        <f>IF(CLEAN_DATA!D95&lt;&gt;"--","US",IF(ISBLANK(MAIN!E95), "--", IF(ISNUMBER(MATCH(SUBSTITUTE(LEFT(MAIN!E95, IFERROR(FIND(",", MAIN!E95)-1, LEN(MAIN!E95))), " ", ""), lookup_values!$E$2:$E$197, 0)), UPPER(SUBSTITUTE(LEFT(MAIN!E95, IFERROR(FIND(",", MAIN!E95)-1, LEN(MAIN!E95))), " ", "")), IF(ISNA(VLOOKUP(SUBSTITUTE(LEFT(MAIN!E95, IFERROR(FIND(",", MAIN!E95)-1, LEN(MAIN!E95))), " ", ""), lookup_values!$D$2:$E$197, 2, FALSE)), "--", VLOOKUP(SUBSTITUTE(LEFT(MAIN!E95, IFERROR(FIND(",", MAIN!E95)-1, LEN(MAIN!E95))), " ", ""), lookup_values!$D$2:$E$197, 2, FALSE)))))</f>
        <v>--</v>
      </c>
      <c r="F95" t="str">
        <f>IF(ISBLANK(MAIN!F95), "", IF(AND(ISNUMBER(VALUE(TRIM(MAIN!F95))), LEN(TRIM(MAIN!F95))=4), VALUE(TRIM(MAIN!F95)), ""))</f>
        <v/>
      </c>
      <c r="G95">
        <f>IF(ISBLANK(MAIN!G95), 0, IF(ISNUMBER(VALUE(TRIM(MAIN!G95))), VALUE(TRIM(MAIN!G95)), 0))</f>
        <v>0</v>
      </c>
      <c r="H95">
        <f>IF(ISBLANK(MAIN!H95), 0, IF(ISNUMBER(VALUE(TRIM(MAIN!H95))), VALUE(TRIM(MAIN!H95)), 0))</f>
        <v>0</v>
      </c>
      <c r="I95">
        <f>IF(ISBLANK(MAIN!I95), 0, IF(ISNUMBER(VALUE(TRIM(MAIN!I95))), VALUE(TRIM(MAIN!I95)), 0))</f>
        <v>0</v>
      </c>
      <c r="J95">
        <f>IF(ISBLANK(MAIN!J95), 0, IF(ISNUMBER(VALUE(TRIM(MAIN!J95))), VALUE(TRIM(MAIN!J95)), 0))</f>
        <v>0</v>
      </c>
      <c r="K95" cm="1">
        <f t="array" ref="K95">IFERROR(
    VALUE(
        IFERROR(
            UPPER(
                IF(MAX(IFERROR(SEARCH("WD",MAIN!G95:J95), 0))&gt;0, "WD",
                IF(MAX(IFERROR(SEARCH("NS",MAIN!G95:J95), 0))&gt;0, "NS",
                IF(MAX(IFERROR(SEARCH("NC",MAIN!G95:J95), 0))&gt;0, "NC",
                IF(MAX(IFERROR(SEARCH("DQ",MAIN!G95:J95), 0))&gt;0, "DQ",
                IF(ISNUMBER(SEARCH("WD",MAIN!K95)), "WD",
                IF(ISNUMBER(SEARCH("NS",MAIN!K95)), "NS",
                IF(ISNUMBER(SEARCH("NC",MAIN!K95)), "NC",
                IF(ISNUMBER(SEARCH("DQ",MAIN!K95)), "DQ",
                IF(ISNUMBER(SEARCH("A",MAIN!K95)), 0,
                IF(OR(MAIN!K95=0,MAIN!K95=""), 0, --TRIM(MAIN!K95)))))))))))),
            0
        )
    ),
    IFERROR(
        UPPER(
            IF(MAX(IFERROR(SEARCH("WD",MAIN!G95:J95), 0))&gt;0, "WD",
            IF(MAX(IFERROR(SEARCH("NS",MAIN!G95:J95), 0))&gt;0, "NS",
            IF(MAX(IFERROR(SEARCH("NC",MAIN!G95:J95), 0))&gt;0, "NC",
            IF(MAX(IFERROR(SEARCH("DQ",MAIN!G95:J95), 0))&gt;0, "DQ",
            IF(ISNUMBER(SEARCH("WD",MAIN!K95)), "WD",
            IF(ISNUMBER(SEARCH("NS",MAIN!K95)), "NS",
            IF(ISNUMBER(SEARCH("NC",MAIN!K95)), "NC",
            IF(ISNUMBER(SEARCH("DQ",MAIN!K95)), "DQ",
            IF(ISNUMBER(SEARCH("A",MAIN!K95)), 0,
            IF(OR(MAIN!K95=0,MAIN!K95=""), 0, --TRIM(MAIN!K95)))))))))))),
        0
    )
)</f>
        <v>0</v>
      </c>
    </row>
    <row r="96" spans="1:11" x14ac:dyDescent="0.25">
      <c r="A96" t="str">
        <f>IF(ISBLANK(MAIN!A96), "--", IFERROR(PROPER(SUBSTITUTE(SUBSTITUTE(SUBSTITUTE(SUBSTITUTE(SUBSTITUTE(SUBSTITUTE(SUBSTITUTE(SUBSTITUTE(SUBSTITUTE(SUBSTITUTE(LEFT(MAIN!A96, FIND(",",MAIN!A96) -1), "0", ""), "1", ""), "2", ""), "3", ""), "4", ""), "5", ""), "6", ""), "7", ""), "8", ""), "9", "")), PROPER(SUBSTITUTE(SUBSTITUTE(SUBSTITUTE(SUBSTITUTE(SUBSTITUTE(SUBSTITUTE(SUBSTITUTE(SUBSTITUTE(SUBSTITUTE(SUBSTITUTE(MAIN!A96, "0", ""), "1", ""), "2", ""), "3", ""), "4", ""), "5", ""), "6", ""), "7", ""), "8", ""), "9", ""))))</f>
        <v>--</v>
      </c>
      <c r="B96" t="str">
        <f>IF(ISBLANK(MAIN!B96), "--", IFERROR(PROPER(SUBSTITUTE(SUBSTITUTE(SUBSTITUTE(SUBSTITUTE(SUBSTITUTE(SUBSTITUTE(SUBSTITUTE(SUBSTITUTE(SUBSTITUTE(SUBSTITUTE(LEFT(MAIN!B96, FIND(",",MAIN!B96) -1), "0", ""), "1", ""), "2", ""), "3", ""), "4", ""), "5", ""), "6", ""), "7", ""), "8", ""), "9", "")), PROPER(SUBSTITUTE(SUBSTITUTE(SUBSTITUTE(SUBSTITUTE(SUBSTITUTE(SUBSTITUTE(SUBSTITUTE(SUBSTITUTE(SUBSTITUTE(SUBSTITUTE(MAIN!B96, "0", ""), "1", ""), "2", ""), "3", ""), "4", ""), "5", ""), "6", ""), "7", ""), "8", ""), "9", ""))))</f>
        <v>--</v>
      </c>
      <c r="C96" t="str">
        <f>IF(ISBLANK(MAIN!C96), "--", IFERROR(PROPER(SUBSTITUTE(SUBSTITUTE(SUBSTITUTE(SUBSTITUTE(SUBSTITUTE(SUBSTITUTE(SUBSTITUTE(SUBSTITUTE(SUBSTITUTE(SUBSTITUTE(LEFT(MAIN!C96, FIND(",",MAIN!C96) -1), "0", ""), "1", ""), "2", ""), "3", ""), "4", ""), "5", ""), "6", ""), "7", ""), "8", ""), "9", "")), PROPER(SUBSTITUTE(SUBSTITUTE(SUBSTITUTE(SUBSTITUTE(SUBSTITUTE(SUBSTITUTE(SUBSTITUTE(SUBSTITUTE(SUBSTITUTE(SUBSTITUTE(MAIN!C96, "0", ""), "1", ""), "2", ""), "3", ""), "4", ""), "5", ""), "6", ""), "7", ""), "8", ""), "9", ""))))</f>
        <v>--</v>
      </c>
      <c r="D96" t="str">
        <f>IF(ISBLANK(MAIN!D96), "--", IF(ISNUMBER(MATCH(SUBSTITUTE(LEFT(MAIN!D96, IFERROR(FIND(",", MAIN!D96)-1, LEN(MAIN!D96))), " ", ""), lookup_values!$B$2:$B$51, 0)), UPPER(SUBSTITUTE(LEFT(MAIN!D96, IFERROR(FIND(",", MAIN!D96)-1, LEN(MAIN!D96))), " ", "")), IF(ISNA(VLOOKUP(SUBSTITUTE(LEFT(MAIN!D96, IFERROR(FIND(",", MAIN!D96)-1, LEN(MAIN!D96))), " ", ""), lookup_values!$A$2:$B$51, 2, FALSE)), "--", VLOOKUP(SUBSTITUTE(LEFT(MAIN!D96, IFERROR(FIND(",", MAIN!D96)-1, LEN(MAIN!D96))), " ", ""), lookup_values!$A$2:$B$51, 2, FALSE))))</f>
        <v>--</v>
      </c>
      <c r="E96" t="str">
        <f>IF(CLEAN_DATA!D96&lt;&gt;"--","US",IF(ISBLANK(MAIN!E96), "--", IF(ISNUMBER(MATCH(SUBSTITUTE(LEFT(MAIN!E96, IFERROR(FIND(",", MAIN!E96)-1, LEN(MAIN!E96))), " ", ""), lookup_values!$E$2:$E$197, 0)), UPPER(SUBSTITUTE(LEFT(MAIN!E96, IFERROR(FIND(",", MAIN!E96)-1, LEN(MAIN!E96))), " ", "")), IF(ISNA(VLOOKUP(SUBSTITUTE(LEFT(MAIN!E96, IFERROR(FIND(",", MAIN!E96)-1, LEN(MAIN!E96))), " ", ""), lookup_values!$D$2:$E$197, 2, FALSE)), "--", VLOOKUP(SUBSTITUTE(LEFT(MAIN!E96, IFERROR(FIND(",", MAIN!E96)-1, LEN(MAIN!E96))), " ", ""), lookup_values!$D$2:$E$197, 2, FALSE)))))</f>
        <v>--</v>
      </c>
      <c r="F96" t="str">
        <f>IF(ISBLANK(MAIN!F96), "", IF(AND(ISNUMBER(VALUE(TRIM(MAIN!F96))), LEN(TRIM(MAIN!F96))=4), VALUE(TRIM(MAIN!F96)), ""))</f>
        <v/>
      </c>
      <c r="G96">
        <f>IF(ISBLANK(MAIN!G96), 0, IF(ISNUMBER(VALUE(TRIM(MAIN!G96))), VALUE(TRIM(MAIN!G96)), 0))</f>
        <v>0</v>
      </c>
      <c r="H96">
        <f>IF(ISBLANK(MAIN!H96), 0, IF(ISNUMBER(VALUE(TRIM(MAIN!H96))), VALUE(TRIM(MAIN!H96)), 0))</f>
        <v>0</v>
      </c>
      <c r="I96">
        <f>IF(ISBLANK(MAIN!I96), 0, IF(ISNUMBER(VALUE(TRIM(MAIN!I96))), VALUE(TRIM(MAIN!I96)), 0))</f>
        <v>0</v>
      </c>
      <c r="J96">
        <f>IF(ISBLANK(MAIN!J96), 0, IF(ISNUMBER(VALUE(TRIM(MAIN!J96))), VALUE(TRIM(MAIN!J96)), 0))</f>
        <v>0</v>
      </c>
      <c r="K96" cm="1">
        <f t="array" ref="K96">IFERROR(
    VALUE(
        IFERROR(
            UPPER(
                IF(MAX(IFERROR(SEARCH("WD",MAIN!G96:J96), 0))&gt;0, "WD",
                IF(MAX(IFERROR(SEARCH("NS",MAIN!G96:J96), 0))&gt;0, "NS",
                IF(MAX(IFERROR(SEARCH("NC",MAIN!G96:J96), 0))&gt;0, "NC",
                IF(MAX(IFERROR(SEARCH("DQ",MAIN!G96:J96), 0))&gt;0, "DQ",
                IF(ISNUMBER(SEARCH("WD",MAIN!K96)), "WD",
                IF(ISNUMBER(SEARCH("NS",MAIN!K96)), "NS",
                IF(ISNUMBER(SEARCH("NC",MAIN!K96)), "NC",
                IF(ISNUMBER(SEARCH("DQ",MAIN!K96)), "DQ",
                IF(ISNUMBER(SEARCH("A",MAIN!K96)), 0,
                IF(OR(MAIN!K96=0,MAIN!K96=""), 0, --TRIM(MAIN!K96)))))))))))),
            0
        )
    ),
    IFERROR(
        UPPER(
            IF(MAX(IFERROR(SEARCH("WD",MAIN!G96:J96), 0))&gt;0, "WD",
            IF(MAX(IFERROR(SEARCH("NS",MAIN!G96:J96), 0))&gt;0, "NS",
            IF(MAX(IFERROR(SEARCH("NC",MAIN!G96:J96), 0))&gt;0, "NC",
            IF(MAX(IFERROR(SEARCH("DQ",MAIN!G96:J96), 0))&gt;0, "DQ",
            IF(ISNUMBER(SEARCH("WD",MAIN!K96)), "WD",
            IF(ISNUMBER(SEARCH("NS",MAIN!K96)), "NS",
            IF(ISNUMBER(SEARCH("NC",MAIN!K96)), "NC",
            IF(ISNUMBER(SEARCH("DQ",MAIN!K96)), "DQ",
            IF(ISNUMBER(SEARCH("A",MAIN!K96)), 0,
            IF(OR(MAIN!K96=0,MAIN!K96=""), 0, --TRIM(MAIN!K96)))))))))))),
        0
    )
)</f>
        <v>0</v>
      </c>
    </row>
    <row r="97" spans="1:11" x14ac:dyDescent="0.25">
      <c r="A97" t="str">
        <f>IF(ISBLANK(MAIN!A97), "--", IFERROR(PROPER(SUBSTITUTE(SUBSTITUTE(SUBSTITUTE(SUBSTITUTE(SUBSTITUTE(SUBSTITUTE(SUBSTITUTE(SUBSTITUTE(SUBSTITUTE(SUBSTITUTE(LEFT(MAIN!A97, FIND(",",MAIN!A97) -1), "0", ""), "1", ""), "2", ""), "3", ""), "4", ""), "5", ""), "6", ""), "7", ""), "8", ""), "9", "")), PROPER(SUBSTITUTE(SUBSTITUTE(SUBSTITUTE(SUBSTITUTE(SUBSTITUTE(SUBSTITUTE(SUBSTITUTE(SUBSTITUTE(SUBSTITUTE(SUBSTITUTE(MAIN!A97, "0", ""), "1", ""), "2", ""), "3", ""), "4", ""), "5", ""), "6", ""), "7", ""), "8", ""), "9", ""))))</f>
        <v>--</v>
      </c>
      <c r="B97" t="str">
        <f>IF(ISBLANK(MAIN!B97), "--", IFERROR(PROPER(SUBSTITUTE(SUBSTITUTE(SUBSTITUTE(SUBSTITUTE(SUBSTITUTE(SUBSTITUTE(SUBSTITUTE(SUBSTITUTE(SUBSTITUTE(SUBSTITUTE(LEFT(MAIN!B97, FIND(",",MAIN!B97) -1), "0", ""), "1", ""), "2", ""), "3", ""), "4", ""), "5", ""), "6", ""), "7", ""), "8", ""), "9", "")), PROPER(SUBSTITUTE(SUBSTITUTE(SUBSTITUTE(SUBSTITUTE(SUBSTITUTE(SUBSTITUTE(SUBSTITUTE(SUBSTITUTE(SUBSTITUTE(SUBSTITUTE(MAIN!B97, "0", ""), "1", ""), "2", ""), "3", ""), "4", ""), "5", ""), "6", ""), "7", ""), "8", ""), "9", ""))))</f>
        <v>--</v>
      </c>
      <c r="C97" t="str">
        <f>IF(ISBLANK(MAIN!C97), "--", IFERROR(PROPER(SUBSTITUTE(SUBSTITUTE(SUBSTITUTE(SUBSTITUTE(SUBSTITUTE(SUBSTITUTE(SUBSTITUTE(SUBSTITUTE(SUBSTITUTE(SUBSTITUTE(LEFT(MAIN!C97, FIND(",",MAIN!C97) -1), "0", ""), "1", ""), "2", ""), "3", ""), "4", ""), "5", ""), "6", ""), "7", ""), "8", ""), "9", "")), PROPER(SUBSTITUTE(SUBSTITUTE(SUBSTITUTE(SUBSTITUTE(SUBSTITUTE(SUBSTITUTE(SUBSTITUTE(SUBSTITUTE(SUBSTITUTE(SUBSTITUTE(MAIN!C97, "0", ""), "1", ""), "2", ""), "3", ""), "4", ""), "5", ""), "6", ""), "7", ""), "8", ""), "9", ""))))</f>
        <v>--</v>
      </c>
      <c r="D97" t="str">
        <f>IF(ISBLANK(MAIN!D97), "--", IF(ISNUMBER(MATCH(SUBSTITUTE(LEFT(MAIN!D97, IFERROR(FIND(",", MAIN!D97)-1, LEN(MAIN!D97))), " ", ""), lookup_values!$B$2:$B$51, 0)), UPPER(SUBSTITUTE(LEFT(MAIN!D97, IFERROR(FIND(",", MAIN!D97)-1, LEN(MAIN!D97))), " ", "")), IF(ISNA(VLOOKUP(SUBSTITUTE(LEFT(MAIN!D97, IFERROR(FIND(",", MAIN!D97)-1, LEN(MAIN!D97))), " ", ""), lookup_values!$A$2:$B$51, 2, FALSE)), "--", VLOOKUP(SUBSTITUTE(LEFT(MAIN!D97, IFERROR(FIND(",", MAIN!D97)-1, LEN(MAIN!D97))), " ", ""), lookup_values!$A$2:$B$51, 2, FALSE))))</f>
        <v>--</v>
      </c>
      <c r="E97" t="str">
        <f>IF(CLEAN_DATA!D97&lt;&gt;"--","US",IF(ISBLANK(MAIN!E97), "--", IF(ISNUMBER(MATCH(SUBSTITUTE(LEFT(MAIN!E97, IFERROR(FIND(",", MAIN!E97)-1, LEN(MAIN!E97))), " ", ""), lookup_values!$E$2:$E$197, 0)), UPPER(SUBSTITUTE(LEFT(MAIN!E97, IFERROR(FIND(",", MAIN!E97)-1, LEN(MAIN!E97))), " ", "")), IF(ISNA(VLOOKUP(SUBSTITUTE(LEFT(MAIN!E97, IFERROR(FIND(",", MAIN!E97)-1, LEN(MAIN!E97))), " ", ""), lookup_values!$D$2:$E$197, 2, FALSE)), "--", VLOOKUP(SUBSTITUTE(LEFT(MAIN!E97, IFERROR(FIND(",", MAIN!E97)-1, LEN(MAIN!E97))), " ", ""), lookup_values!$D$2:$E$197, 2, FALSE)))))</f>
        <v>--</v>
      </c>
      <c r="F97" t="str">
        <f>IF(ISBLANK(MAIN!F97), "", IF(AND(ISNUMBER(VALUE(TRIM(MAIN!F97))), LEN(TRIM(MAIN!F97))=4), VALUE(TRIM(MAIN!F97)), ""))</f>
        <v/>
      </c>
      <c r="G97">
        <f>IF(ISBLANK(MAIN!G97), 0, IF(ISNUMBER(VALUE(TRIM(MAIN!G97))), VALUE(TRIM(MAIN!G97)), 0))</f>
        <v>0</v>
      </c>
      <c r="H97">
        <f>IF(ISBLANK(MAIN!H97), 0, IF(ISNUMBER(VALUE(TRIM(MAIN!H97))), VALUE(TRIM(MAIN!H97)), 0))</f>
        <v>0</v>
      </c>
      <c r="I97">
        <f>IF(ISBLANK(MAIN!I97), 0, IF(ISNUMBER(VALUE(TRIM(MAIN!I97))), VALUE(TRIM(MAIN!I97)), 0))</f>
        <v>0</v>
      </c>
      <c r="J97">
        <f>IF(ISBLANK(MAIN!J97), 0, IF(ISNUMBER(VALUE(TRIM(MAIN!J97))), VALUE(TRIM(MAIN!J97)), 0))</f>
        <v>0</v>
      </c>
      <c r="K97" cm="1">
        <f t="array" ref="K97">IFERROR(
    VALUE(
        IFERROR(
            UPPER(
                IF(MAX(IFERROR(SEARCH("WD",MAIN!G97:J97), 0))&gt;0, "WD",
                IF(MAX(IFERROR(SEARCH("NS",MAIN!G97:J97), 0))&gt;0, "NS",
                IF(MAX(IFERROR(SEARCH("NC",MAIN!G97:J97), 0))&gt;0, "NC",
                IF(MAX(IFERROR(SEARCH("DQ",MAIN!G97:J97), 0))&gt;0, "DQ",
                IF(ISNUMBER(SEARCH("WD",MAIN!K97)), "WD",
                IF(ISNUMBER(SEARCH("NS",MAIN!K97)), "NS",
                IF(ISNUMBER(SEARCH("NC",MAIN!K97)), "NC",
                IF(ISNUMBER(SEARCH("DQ",MAIN!K97)), "DQ",
                IF(ISNUMBER(SEARCH("A",MAIN!K97)), 0,
                IF(OR(MAIN!K97=0,MAIN!K97=""), 0, --TRIM(MAIN!K97)))))))))))),
            0
        )
    ),
    IFERROR(
        UPPER(
            IF(MAX(IFERROR(SEARCH("WD",MAIN!G97:J97), 0))&gt;0, "WD",
            IF(MAX(IFERROR(SEARCH("NS",MAIN!G97:J97), 0))&gt;0, "NS",
            IF(MAX(IFERROR(SEARCH("NC",MAIN!G97:J97), 0))&gt;0, "NC",
            IF(MAX(IFERROR(SEARCH("DQ",MAIN!G97:J97), 0))&gt;0, "DQ",
            IF(ISNUMBER(SEARCH("WD",MAIN!K97)), "WD",
            IF(ISNUMBER(SEARCH("NS",MAIN!K97)), "NS",
            IF(ISNUMBER(SEARCH("NC",MAIN!K97)), "NC",
            IF(ISNUMBER(SEARCH("DQ",MAIN!K97)), "DQ",
            IF(ISNUMBER(SEARCH("A",MAIN!K97)), 0,
            IF(OR(MAIN!K97=0,MAIN!K97=""), 0, --TRIM(MAIN!K97)))))))))))),
        0
    )
)</f>
        <v>0</v>
      </c>
    </row>
    <row r="98" spans="1:11" x14ac:dyDescent="0.25">
      <c r="A98" t="str">
        <f>IF(ISBLANK(MAIN!A98), "--", IFERROR(PROPER(SUBSTITUTE(SUBSTITUTE(SUBSTITUTE(SUBSTITUTE(SUBSTITUTE(SUBSTITUTE(SUBSTITUTE(SUBSTITUTE(SUBSTITUTE(SUBSTITUTE(LEFT(MAIN!A98, FIND(",",MAIN!A98) -1), "0", ""), "1", ""), "2", ""), "3", ""), "4", ""), "5", ""), "6", ""), "7", ""), "8", ""), "9", "")), PROPER(SUBSTITUTE(SUBSTITUTE(SUBSTITUTE(SUBSTITUTE(SUBSTITUTE(SUBSTITUTE(SUBSTITUTE(SUBSTITUTE(SUBSTITUTE(SUBSTITUTE(MAIN!A98, "0", ""), "1", ""), "2", ""), "3", ""), "4", ""), "5", ""), "6", ""), "7", ""), "8", ""), "9", ""))))</f>
        <v>--</v>
      </c>
      <c r="B98" t="str">
        <f>IF(ISBLANK(MAIN!B98), "--", IFERROR(PROPER(SUBSTITUTE(SUBSTITUTE(SUBSTITUTE(SUBSTITUTE(SUBSTITUTE(SUBSTITUTE(SUBSTITUTE(SUBSTITUTE(SUBSTITUTE(SUBSTITUTE(LEFT(MAIN!B98, FIND(",",MAIN!B98) -1), "0", ""), "1", ""), "2", ""), "3", ""), "4", ""), "5", ""), "6", ""), "7", ""), "8", ""), "9", "")), PROPER(SUBSTITUTE(SUBSTITUTE(SUBSTITUTE(SUBSTITUTE(SUBSTITUTE(SUBSTITUTE(SUBSTITUTE(SUBSTITUTE(SUBSTITUTE(SUBSTITUTE(MAIN!B98, "0", ""), "1", ""), "2", ""), "3", ""), "4", ""), "5", ""), "6", ""), "7", ""), "8", ""), "9", ""))))</f>
        <v>--</v>
      </c>
      <c r="C98" t="str">
        <f>IF(ISBLANK(MAIN!C98), "--", IFERROR(PROPER(SUBSTITUTE(SUBSTITUTE(SUBSTITUTE(SUBSTITUTE(SUBSTITUTE(SUBSTITUTE(SUBSTITUTE(SUBSTITUTE(SUBSTITUTE(SUBSTITUTE(LEFT(MAIN!C98, FIND(",",MAIN!C98) -1), "0", ""), "1", ""), "2", ""), "3", ""), "4", ""), "5", ""), "6", ""), "7", ""), "8", ""), "9", "")), PROPER(SUBSTITUTE(SUBSTITUTE(SUBSTITUTE(SUBSTITUTE(SUBSTITUTE(SUBSTITUTE(SUBSTITUTE(SUBSTITUTE(SUBSTITUTE(SUBSTITUTE(MAIN!C98, "0", ""), "1", ""), "2", ""), "3", ""), "4", ""), "5", ""), "6", ""), "7", ""), "8", ""), "9", ""))))</f>
        <v>--</v>
      </c>
      <c r="D98" t="str">
        <f>IF(ISBLANK(MAIN!D98), "--", IF(ISNUMBER(MATCH(SUBSTITUTE(LEFT(MAIN!D98, IFERROR(FIND(",", MAIN!D98)-1, LEN(MAIN!D98))), " ", ""), lookup_values!$B$2:$B$51, 0)), UPPER(SUBSTITUTE(LEFT(MAIN!D98, IFERROR(FIND(",", MAIN!D98)-1, LEN(MAIN!D98))), " ", "")), IF(ISNA(VLOOKUP(SUBSTITUTE(LEFT(MAIN!D98, IFERROR(FIND(",", MAIN!D98)-1, LEN(MAIN!D98))), " ", ""), lookup_values!$A$2:$B$51, 2, FALSE)), "--", VLOOKUP(SUBSTITUTE(LEFT(MAIN!D98, IFERROR(FIND(",", MAIN!D98)-1, LEN(MAIN!D98))), " ", ""), lookup_values!$A$2:$B$51, 2, FALSE))))</f>
        <v>--</v>
      </c>
      <c r="E98" t="str">
        <f>IF(CLEAN_DATA!D98&lt;&gt;"--","US",IF(ISBLANK(MAIN!E98), "--", IF(ISNUMBER(MATCH(SUBSTITUTE(LEFT(MAIN!E98, IFERROR(FIND(",", MAIN!E98)-1, LEN(MAIN!E98))), " ", ""), lookup_values!$E$2:$E$197, 0)), UPPER(SUBSTITUTE(LEFT(MAIN!E98, IFERROR(FIND(",", MAIN!E98)-1, LEN(MAIN!E98))), " ", "")), IF(ISNA(VLOOKUP(SUBSTITUTE(LEFT(MAIN!E98, IFERROR(FIND(",", MAIN!E98)-1, LEN(MAIN!E98))), " ", ""), lookup_values!$D$2:$E$197, 2, FALSE)), "--", VLOOKUP(SUBSTITUTE(LEFT(MAIN!E98, IFERROR(FIND(",", MAIN!E98)-1, LEN(MAIN!E98))), " ", ""), lookup_values!$D$2:$E$197, 2, FALSE)))))</f>
        <v>--</v>
      </c>
      <c r="F98" t="str">
        <f>IF(ISBLANK(MAIN!F98), "", IF(AND(ISNUMBER(VALUE(TRIM(MAIN!F98))), LEN(TRIM(MAIN!F98))=4), VALUE(TRIM(MAIN!F98)), ""))</f>
        <v/>
      </c>
      <c r="G98">
        <f>IF(ISBLANK(MAIN!G98), 0, IF(ISNUMBER(VALUE(TRIM(MAIN!G98))), VALUE(TRIM(MAIN!G98)), 0))</f>
        <v>0</v>
      </c>
      <c r="H98">
        <f>IF(ISBLANK(MAIN!H98), 0, IF(ISNUMBER(VALUE(TRIM(MAIN!H98))), VALUE(TRIM(MAIN!H98)), 0))</f>
        <v>0</v>
      </c>
      <c r="I98">
        <f>IF(ISBLANK(MAIN!I98), 0, IF(ISNUMBER(VALUE(TRIM(MAIN!I98))), VALUE(TRIM(MAIN!I98)), 0))</f>
        <v>0</v>
      </c>
      <c r="J98">
        <f>IF(ISBLANK(MAIN!J98), 0, IF(ISNUMBER(VALUE(TRIM(MAIN!J98))), VALUE(TRIM(MAIN!J98)), 0))</f>
        <v>0</v>
      </c>
      <c r="K98" cm="1">
        <f t="array" ref="K98">IFERROR(
    VALUE(
        IFERROR(
            UPPER(
                IF(MAX(IFERROR(SEARCH("WD",MAIN!G98:J98), 0))&gt;0, "WD",
                IF(MAX(IFERROR(SEARCH("NS",MAIN!G98:J98), 0))&gt;0, "NS",
                IF(MAX(IFERROR(SEARCH("NC",MAIN!G98:J98), 0))&gt;0, "NC",
                IF(MAX(IFERROR(SEARCH("DQ",MAIN!G98:J98), 0))&gt;0, "DQ",
                IF(ISNUMBER(SEARCH("WD",MAIN!K98)), "WD",
                IF(ISNUMBER(SEARCH("NS",MAIN!K98)), "NS",
                IF(ISNUMBER(SEARCH("NC",MAIN!K98)), "NC",
                IF(ISNUMBER(SEARCH("DQ",MAIN!K98)), "DQ",
                IF(ISNUMBER(SEARCH("A",MAIN!K98)), 0,
                IF(OR(MAIN!K98=0,MAIN!K98=""), 0, --TRIM(MAIN!K98)))))))))))),
            0
        )
    ),
    IFERROR(
        UPPER(
            IF(MAX(IFERROR(SEARCH("WD",MAIN!G98:J98), 0))&gt;0, "WD",
            IF(MAX(IFERROR(SEARCH("NS",MAIN!G98:J98), 0))&gt;0, "NS",
            IF(MAX(IFERROR(SEARCH("NC",MAIN!G98:J98), 0))&gt;0, "NC",
            IF(MAX(IFERROR(SEARCH("DQ",MAIN!G98:J98), 0))&gt;0, "DQ",
            IF(ISNUMBER(SEARCH("WD",MAIN!K98)), "WD",
            IF(ISNUMBER(SEARCH("NS",MAIN!K98)), "NS",
            IF(ISNUMBER(SEARCH("NC",MAIN!K98)), "NC",
            IF(ISNUMBER(SEARCH("DQ",MAIN!K98)), "DQ",
            IF(ISNUMBER(SEARCH("A",MAIN!K98)), 0,
            IF(OR(MAIN!K98=0,MAIN!K98=""), 0, --TRIM(MAIN!K98)))))))))))),
        0
    )
)</f>
        <v>0</v>
      </c>
    </row>
    <row r="99" spans="1:11" x14ac:dyDescent="0.25">
      <c r="A99" t="str">
        <f>IF(ISBLANK(MAIN!A99), "--", IFERROR(PROPER(SUBSTITUTE(SUBSTITUTE(SUBSTITUTE(SUBSTITUTE(SUBSTITUTE(SUBSTITUTE(SUBSTITUTE(SUBSTITUTE(SUBSTITUTE(SUBSTITUTE(LEFT(MAIN!A99, FIND(",",MAIN!A99) -1), "0", ""), "1", ""), "2", ""), "3", ""), "4", ""), "5", ""), "6", ""), "7", ""), "8", ""), "9", "")), PROPER(SUBSTITUTE(SUBSTITUTE(SUBSTITUTE(SUBSTITUTE(SUBSTITUTE(SUBSTITUTE(SUBSTITUTE(SUBSTITUTE(SUBSTITUTE(SUBSTITUTE(MAIN!A99, "0", ""), "1", ""), "2", ""), "3", ""), "4", ""), "5", ""), "6", ""), "7", ""), "8", ""), "9", ""))))</f>
        <v>--</v>
      </c>
      <c r="B99" t="str">
        <f>IF(ISBLANK(MAIN!B99), "--", IFERROR(PROPER(SUBSTITUTE(SUBSTITUTE(SUBSTITUTE(SUBSTITUTE(SUBSTITUTE(SUBSTITUTE(SUBSTITUTE(SUBSTITUTE(SUBSTITUTE(SUBSTITUTE(LEFT(MAIN!B99, FIND(",",MAIN!B99) -1), "0", ""), "1", ""), "2", ""), "3", ""), "4", ""), "5", ""), "6", ""), "7", ""), "8", ""), "9", "")), PROPER(SUBSTITUTE(SUBSTITUTE(SUBSTITUTE(SUBSTITUTE(SUBSTITUTE(SUBSTITUTE(SUBSTITUTE(SUBSTITUTE(SUBSTITUTE(SUBSTITUTE(MAIN!B99, "0", ""), "1", ""), "2", ""), "3", ""), "4", ""), "5", ""), "6", ""), "7", ""), "8", ""), "9", ""))))</f>
        <v>--</v>
      </c>
      <c r="C99" t="str">
        <f>IF(ISBLANK(MAIN!C99), "--", IFERROR(PROPER(SUBSTITUTE(SUBSTITUTE(SUBSTITUTE(SUBSTITUTE(SUBSTITUTE(SUBSTITUTE(SUBSTITUTE(SUBSTITUTE(SUBSTITUTE(SUBSTITUTE(LEFT(MAIN!C99, FIND(",",MAIN!C99) -1), "0", ""), "1", ""), "2", ""), "3", ""), "4", ""), "5", ""), "6", ""), "7", ""), "8", ""), "9", "")), PROPER(SUBSTITUTE(SUBSTITUTE(SUBSTITUTE(SUBSTITUTE(SUBSTITUTE(SUBSTITUTE(SUBSTITUTE(SUBSTITUTE(SUBSTITUTE(SUBSTITUTE(MAIN!C99, "0", ""), "1", ""), "2", ""), "3", ""), "4", ""), "5", ""), "6", ""), "7", ""), "8", ""), "9", ""))))</f>
        <v>--</v>
      </c>
      <c r="D99" t="str">
        <f>IF(ISBLANK(MAIN!D99), "--", IF(ISNUMBER(MATCH(SUBSTITUTE(LEFT(MAIN!D99, IFERROR(FIND(",", MAIN!D99)-1, LEN(MAIN!D99))), " ", ""), lookup_values!$B$2:$B$51, 0)), UPPER(SUBSTITUTE(LEFT(MAIN!D99, IFERROR(FIND(",", MAIN!D99)-1, LEN(MAIN!D99))), " ", "")), IF(ISNA(VLOOKUP(SUBSTITUTE(LEFT(MAIN!D99, IFERROR(FIND(",", MAIN!D99)-1, LEN(MAIN!D99))), " ", ""), lookup_values!$A$2:$B$51, 2, FALSE)), "--", VLOOKUP(SUBSTITUTE(LEFT(MAIN!D99, IFERROR(FIND(",", MAIN!D99)-1, LEN(MAIN!D99))), " ", ""), lookup_values!$A$2:$B$51, 2, FALSE))))</f>
        <v>--</v>
      </c>
      <c r="E99" t="str">
        <f>IF(CLEAN_DATA!D99&lt;&gt;"--","US",IF(ISBLANK(MAIN!E99), "--", IF(ISNUMBER(MATCH(SUBSTITUTE(LEFT(MAIN!E99, IFERROR(FIND(",", MAIN!E99)-1, LEN(MAIN!E99))), " ", ""), lookup_values!$E$2:$E$197, 0)), UPPER(SUBSTITUTE(LEFT(MAIN!E99, IFERROR(FIND(",", MAIN!E99)-1, LEN(MAIN!E99))), " ", "")), IF(ISNA(VLOOKUP(SUBSTITUTE(LEFT(MAIN!E99, IFERROR(FIND(",", MAIN!E99)-1, LEN(MAIN!E99))), " ", ""), lookup_values!$D$2:$E$197, 2, FALSE)), "--", VLOOKUP(SUBSTITUTE(LEFT(MAIN!E99, IFERROR(FIND(",", MAIN!E99)-1, LEN(MAIN!E99))), " ", ""), lookup_values!$D$2:$E$197, 2, FALSE)))))</f>
        <v>--</v>
      </c>
      <c r="F99" t="str">
        <f>IF(ISBLANK(MAIN!F99), "", IF(AND(ISNUMBER(VALUE(TRIM(MAIN!F99))), LEN(TRIM(MAIN!F99))=4), VALUE(TRIM(MAIN!F99)), ""))</f>
        <v/>
      </c>
      <c r="G99">
        <f>IF(ISBLANK(MAIN!G99), 0, IF(ISNUMBER(VALUE(TRIM(MAIN!G99))), VALUE(TRIM(MAIN!G99)), 0))</f>
        <v>0</v>
      </c>
      <c r="H99">
        <f>IF(ISBLANK(MAIN!H99), 0, IF(ISNUMBER(VALUE(TRIM(MAIN!H99))), VALUE(TRIM(MAIN!H99)), 0))</f>
        <v>0</v>
      </c>
      <c r="I99">
        <f>IF(ISBLANK(MAIN!I99), 0, IF(ISNUMBER(VALUE(TRIM(MAIN!I99))), VALUE(TRIM(MAIN!I99)), 0))</f>
        <v>0</v>
      </c>
      <c r="J99">
        <f>IF(ISBLANK(MAIN!J99), 0, IF(ISNUMBER(VALUE(TRIM(MAIN!J99))), VALUE(TRIM(MAIN!J99)), 0))</f>
        <v>0</v>
      </c>
      <c r="K99" cm="1">
        <f t="array" ref="K99">IFERROR(
    VALUE(
        IFERROR(
            UPPER(
                IF(MAX(IFERROR(SEARCH("WD",MAIN!G99:J99), 0))&gt;0, "WD",
                IF(MAX(IFERROR(SEARCH("NS",MAIN!G99:J99), 0))&gt;0, "NS",
                IF(MAX(IFERROR(SEARCH("NC",MAIN!G99:J99), 0))&gt;0, "NC",
                IF(MAX(IFERROR(SEARCH("DQ",MAIN!G99:J99), 0))&gt;0, "DQ",
                IF(ISNUMBER(SEARCH("WD",MAIN!K99)), "WD",
                IF(ISNUMBER(SEARCH("NS",MAIN!K99)), "NS",
                IF(ISNUMBER(SEARCH("NC",MAIN!K99)), "NC",
                IF(ISNUMBER(SEARCH("DQ",MAIN!K99)), "DQ",
                IF(ISNUMBER(SEARCH("A",MAIN!K99)), 0,
                IF(OR(MAIN!K99=0,MAIN!K99=""), 0, --TRIM(MAIN!K99)))))))))))),
            0
        )
    ),
    IFERROR(
        UPPER(
            IF(MAX(IFERROR(SEARCH("WD",MAIN!G99:J99), 0))&gt;0, "WD",
            IF(MAX(IFERROR(SEARCH("NS",MAIN!G99:J99), 0))&gt;0, "NS",
            IF(MAX(IFERROR(SEARCH("NC",MAIN!G99:J99), 0))&gt;0, "NC",
            IF(MAX(IFERROR(SEARCH("DQ",MAIN!G99:J99), 0))&gt;0, "DQ",
            IF(ISNUMBER(SEARCH("WD",MAIN!K99)), "WD",
            IF(ISNUMBER(SEARCH("NS",MAIN!K99)), "NS",
            IF(ISNUMBER(SEARCH("NC",MAIN!K99)), "NC",
            IF(ISNUMBER(SEARCH("DQ",MAIN!K99)), "DQ",
            IF(ISNUMBER(SEARCH("A",MAIN!K99)), 0,
            IF(OR(MAIN!K99=0,MAIN!K99=""), 0, --TRIM(MAIN!K99)))))))))))),
        0
    )
)</f>
        <v>0</v>
      </c>
    </row>
    <row r="100" spans="1:11" x14ac:dyDescent="0.25">
      <c r="A100" t="str">
        <f>IF(ISBLANK(MAIN!A100), "--", IFERROR(PROPER(SUBSTITUTE(SUBSTITUTE(SUBSTITUTE(SUBSTITUTE(SUBSTITUTE(SUBSTITUTE(SUBSTITUTE(SUBSTITUTE(SUBSTITUTE(SUBSTITUTE(LEFT(MAIN!A100, FIND(",",MAIN!A100) -1), "0", ""), "1", ""), "2", ""), "3", ""), "4", ""), "5", ""), "6", ""), "7", ""), "8", ""), "9", "")), PROPER(SUBSTITUTE(SUBSTITUTE(SUBSTITUTE(SUBSTITUTE(SUBSTITUTE(SUBSTITUTE(SUBSTITUTE(SUBSTITUTE(SUBSTITUTE(SUBSTITUTE(MAIN!A100, "0", ""), "1", ""), "2", ""), "3", ""), "4", ""), "5", ""), "6", ""), "7", ""), "8", ""), "9", ""))))</f>
        <v>--</v>
      </c>
      <c r="B100" t="str">
        <f>IF(ISBLANK(MAIN!B100), "--", IFERROR(PROPER(SUBSTITUTE(SUBSTITUTE(SUBSTITUTE(SUBSTITUTE(SUBSTITUTE(SUBSTITUTE(SUBSTITUTE(SUBSTITUTE(SUBSTITUTE(SUBSTITUTE(LEFT(MAIN!B100, FIND(",",MAIN!B100) -1), "0", ""), "1", ""), "2", ""), "3", ""), "4", ""), "5", ""), "6", ""), "7", ""), "8", ""), "9", "")), PROPER(SUBSTITUTE(SUBSTITUTE(SUBSTITUTE(SUBSTITUTE(SUBSTITUTE(SUBSTITUTE(SUBSTITUTE(SUBSTITUTE(SUBSTITUTE(SUBSTITUTE(MAIN!B100, "0", ""), "1", ""), "2", ""), "3", ""), "4", ""), "5", ""), "6", ""), "7", ""), "8", ""), "9", ""))))</f>
        <v>--</v>
      </c>
      <c r="C100" t="str">
        <f>IF(ISBLANK(MAIN!C100), "--", IFERROR(PROPER(SUBSTITUTE(SUBSTITUTE(SUBSTITUTE(SUBSTITUTE(SUBSTITUTE(SUBSTITUTE(SUBSTITUTE(SUBSTITUTE(SUBSTITUTE(SUBSTITUTE(LEFT(MAIN!C100, FIND(",",MAIN!C100) -1), "0", ""), "1", ""), "2", ""), "3", ""), "4", ""), "5", ""), "6", ""), "7", ""), "8", ""), "9", "")), PROPER(SUBSTITUTE(SUBSTITUTE(SUBSTITUTE(SUBSTITUTE(SUBSTITUTE(SUBSTITUTE(SUBSTITUTE(SUBSTITUTE(SUBSTITUTE(SUBSTITUTE(MAIN!C100, "0", ""), "1", ""), "2", ""), "3", ""), "4", ""), "5", ""), "6", ""), "7", ""), "8", ""), "9", ""))))</f>
        <v>--</v>
      </c>
      <c r="D100" t="str">
        <f>IF(ISBLANK(MAIN!D100), "--", IF(ISNUMBER(MATCH(SUBSTITUTE(LEFT(MAIN!D100, IFERROR(FIND(",", MAIN!D100)-1, LEN(MAIN!D100))), " ", ""), lookup_values!$B$2:$B$51, 0)), UPPER(SUBSTITUTE(LEFT(MAIN!D100, IFERROR(FIND(",", MAIN!D100)-1, LEN(MAIN!D100))), " ", "")), IF(ISNA(VLOOKUP(SUBSTITUTE(LEFT(MAIN!D100, IFERROR(FIND(",", MAIN!D100)-1, LEN(MAIN!D100))), " ", ""), lookup_values!$A$2:$B$51, 2, FALSE)), "--", VLOOKUP(SUBSTITUTE(LEFT(MAIN!D100, IFERROR(FIND(",", MAIN!D100)-1, LEN(MAIN!D100))), " ", ""), lookup_values!$A$2:$B$51, 2, FALSE))))</f>
        <v>--</v>
      </c>
      <c r="E100" t="str">
        <f>IF(CLEAN_DATA!D100&lt;&gt;"--","US",IF(ISBLANK(MAIN!E100), "--", IF(ISNUMBER(MATCH(SUBSTITUTE(LEFT(MAIN!E100, IFERROR(FIND(",", MAIN!E100)-1, LEN(MAIN!E100))), " ", ""), lookup_values!$E$2:$E$197, 0)), UPPER(SUBSTITUTE(LEFT(MAIN!E100, IFERROR(FIND(",", MAIN!E100)-1, LEN(MAIN!E100))), " ", "")), IF(ISNA(VLOOKUP(SUBSTITUTE(LEFT(MAIN!E100, IFERROR(FIND(",", MAIN!E100)-1, LEN(MAIN!E100))), " ", ""), lookup_values!$D$2:$E$197, 2, FALSE)), "--", VLOOKUP(SUBSTITUTE(LEFT(MAIN!E100, IFERROR(FIND(",", MAIN!E100)-1, LEN(MAIN!E100))), " ", ""), lookup_values!$D$2:$E$197, 2, FALSE)))))</f>
        <v>--</v>
      </c>
      <c r="F100" t="str">
        <f>IF(ISBLANK(MAIN!F100), "", IF(AND(ISNUMBER(VALUE(TRIM(MAIN!F100))), LEN(TRIM(MAIN!F100))=4), VALUE(TRIM(MAIN!F100)), ""))</f>
        <v/>
      </c>
      <c r="G100">
        <f>IF(ISBLANK(MAIN!G100), 0, IF(ISNUMBER(VALUE(TRIM(MAIN!G100))), VALUE(TRIM(MAIN!G100)), 0))</f>
        <v>0</v>
      </c>
      <c r="H100">
        <f>IF(ISBLANK(MAIN!H100), 0, IF(ISNUMBER(VALUE(TRIM(MAIN!H100))), VALUE(TRIM(MAIN!H100)), 0))</f>
        <v>0</v>
      </c>
      <c r="I100">
        <f>IF(ISBLANK(MAIN!I100), 0, IF(ISNUMBER(VALUE(TRIM(MAIN!I100))), VALUE(TRIM(MAIN!I100)), 0))</f>
        <v>0</v>
      </c>
      <c r="J100">
        <f>IF(ISBLANK(MAIN!J100), 0, IF(ISNUMBER(VALUE(TRIM(MAIN!J100))), VALUE(TRIM(MAIN!J100)), 0))</f>
        <v>0</v>
      </c>
      <c r="K100" cm="1">
        <f t="array" ref="K100">IFERROR(
    VALUE(
        IFERROR(
            UPPER(
                IF(MAX(IFERROR(SEARCH("WD",MAIN!G100:J100), 0))&gt;0, "WD",
                IF(MAX(IFERROR(SEARCH("NS",MAIN!G100:J100), 0))&gt;0, "NS",
                IF(MAX(IFERROR(SEARCH("NC",MAIN!G100:J100), 0))&gt;0, "NC",
                IF(MAX(IFERROR(SEARCH("DQ",MAIN!G100:J100), 0))&gt;0, "DQ",
                IF(ISNUMBER(SEARCH("WD",MAIN!K100)), "WD",
                IF(ISNUMBER(SEARCH("NS",MAIN!K100)), "NS",
                IF(ISNUMBER(SEARCH("NC",MAIN!K100)), "NC",
                IF(ISNUMBER(SEARCH("DQ",MAIN!K100)), "DQ",
                IF(ISNUMBER(SEARCH("A",MAIN!K100)), 0,
                IF(OR(MAIN!K100=0,MAIN!K100=""), 0, --TRIM(MAIN!K100)))))))))))),
            0
        )
    ),
    IFERROR(
        UPPER(
            IF(MAX(IFERROR(SEARCH("WD",MAIN!G100:J100), 0))&gt;0, "WD",
            IF(MAX(IFERROR(SEARCH("NS",MAIN!G100:J100), 0))&gt;0, "NS",
            IF(MAX(IFERROR(SEARCH("NC",MAIN!G100:J100), 0))&gt;0, "NC",
            IF(MAX(IFERROR(SEARCH("DQ",MAIN!G100:J100), 0))&gt;0, "DQ",
            IF(ISNUMBER(SEARCH("WD",MAIN!K100)), "WD",
            IF(ISNUMBER(SEARCH("NS",MAIN!K100)), "NS",
            IF(ISNUMBER(SEARCH("NC",MAIN!K100)), "NC",
            IF(ISNUMBER(SEARCH("DQ",MAIN!K100)), "DQ",
            IF(ISNUMBER(SEARCH("A",MAIN!K100)), 0,
            IF(OR(MAIN!K100=0,MAIN!K100=""), 0, --TRIM(MAIN!K100)))))))))))),
        0
    )
)</f>
        <v>0</v>
      </c>
    </row>
    <row r="101" spans="1:11" x14ac:dyDescent="0.25">
      <c r="A101" t="str">
        <f>IF(ISBLANK(MAIN!A101), "--", IFERROR(PROPER(SUBSTITUTE(SUBSTITUTE(SUBSTITUTE(SUBSTITUTE(SUBSTITUTE(SUBSTITUTE(SUBSTITUTE(SUBSTITUTE(SUBSTITUTE(SUBSTITUTE(LEFT(MAIN!A101, FIND(",",MAIN!A101) -1), "0", ""), "1", ""), "2", ""), "3", ""), "4", ""), "5", ""), "6", ""), "7", ""), "8", ""), "9", "")), PROPER(SUBSTITUTE(SUBSTITUTE(SUBSTITUTE(SUBSTITUTE(SUBSTITUTE(SUBSTITUTE(SUBSTITUTE(SUBSTITUTE(SUBSTITUTE(SUBSTITUTE(MAIN!A101, "0", ""), "1", ""), "2", ""), "3", ""), "4", ""), "5", ""), "6", ""), "7", ""), "8", ""), "9", ""))))</f>
        <v>--</v>
      </c>
      <c r="B101" t="str">
        <f>IF(ISBLANK(MAIN!B101), "--", IFERROR(PROPER(SUBSTITUTE(SUBSTITUTE(SUBSTITUTE(SUBSTITUTE(SUBSTITUTE(SUBSTITUTE(SUBSTITUTE(SUBSTITUTE(SUBSTITUTE(SUBSTITUTE(LEFT(MAIN!B101, FIND(",",MAIN!B101) -1), "0", ""), "1", ""), "2", ""), "3", ""), "4", ""), "5", ""), "6", ""), "7", ""), "8", ""), "9", "")), PROPER(SUBSTITUTE(SUBSTITUTE(SUBSTITUTE(SUBSTITUTE(SUBSTITUTE(SUBSTITUTE(SUBSTITUTE(SUBSTITUTE(SUBSTITUTE(SUBSTITUTE(MAIN!B101, "0", ""), "1", ""), "2", ""), "3", ""), "4", ""), "5", ""), "6", ""), "7", ""), "8", ""), "9", ""))))</f>
        <v>--</v>
      </c>
      <c r="C101" t="str">
        <f>IF(ISBLANK(MAIN!C101), "--", IFERROR(PROPER(SUBSTITUTE(SUBSTITUTE(SUBSTITUTE(SUBSTITUTE(SUBSTITUTE(SUBSTITUTE(SUBSTITUTE(SUBSTITUTE(SUBSTITUTE(SUBSTITUTE(LEFT(MAIN!C101, FIND(",",MAIN!C101) -1), "0", ""), "1", ""), "2", ""), "3", ""), "4", ""), "5", ""), "6", ""), "7", ""), "8", ""), "9", "")), PROPER(SUBSTITUTE(SUBSTITUTE(SUBSTITUTE(SUBSTITUTE(SUBSTITUTE(SUBSTITUTE(SUBSTITUTE(SUBSTITUTE(SUBSTITUTE(SUBSTITUTE(MAIN!C101, "0", ""), "1", ""), "2", ""), "3", ""), "4", ""), "5", ""), "6", ""), "7", ""), "8", ""), "9", ""))))</f>
        <v>--</v>
      </c>
      <c r="D101" t="str">
        <f>IF(ISBLANK(MAIN!D101), "--", IF(ISNUMBER(MATCH(SUBSTITUTE(LEFT(MAIN!D101, IFERROR(FIND(",", MAIN!D101)-1, LEN(MAIN!D101))), " ", ""), lookup_values!$B$2:$B$51, 0)), UPPER(SUBSTITUTE(LEFT(MAIN!D101, IFERROR(FIND(",", MAIN!D101)-1, LEN(MAIN!D101))), " ", "")), IF(ISNA(VLOOKUP(SUBSTITUTE(LEFT(MAIN!D101, IFERROR(FIND(",", MAIN!D101)-1, LEN(MAIN!D101))), " ", ""), lookup_values!$A$2:$B$51, 2, FALSE)), "--", VLOOKUP(SUBSTITUTE(LEFT(MAIN!D101, IFERROR(FIND(",", MAIN!D101)-1, LEN(MAIN!D101))), " ", ""), lookup_values!$A$2:$B$51, 2, FALSE))))</f>
        <v>--</v>
      </c>
      <c r="E101" t="str">
        <f>IF(CLEAN_DATA!D101&lt;&gt;"--","US",IF(ISBLANK(MAIN!E101), "--", IF(ISNUMBER(MATCH(SUBSTITUTE(LEFT(MAIN!E101, IFERROR(FIND(",", MAIN!E101)-1, LEN(MAIN!E101))), " ", ""), lookup_values!$E$2:$E$197, 0)), UPPER(SUBSTITUTE(LEFT(MAIN!E101, IFERROR(FIND(",", MAIN!E101)-1, LEN(MAIN!E101))), " ", "")), IF(ISNA(VLOOKUP(SUBSTITUTE(LEFT(MAIN!E101, IFERROR(FIND(",", MAIN!E101)-1, LEN(MAIN!E101))), " ", ""), lookup_values!$D$2:$E$197, 2, FALSE)), "--", VLOOKUP(SUBSTITUTE(LEFT(MAIN!E101, IFERROR(FIND(",", MAIN!E101)-1, LEN(MAIN!E101))), " ", ""), lookup_values!$D$2:$E$197, 2, FALSE)))))</f>
        <v>--</v>
      </c>
      <c r="F101" t="str">
        <f>IF(ISBLANK(MAIN!F101), "", IF(AND(ISNUMBER(VALUE(TRIM(MAIN!F101))), LEN(TRIM(MAIN!F101))=4), VALUE(TRIM(MAIN!F101)), ""))</f>
        <v/>
      </c>
      <c r="G101">
        <f>IF(ISBLANK(MAIN!G101), 0, IF(ISNUMBER(VALUE(TRIM(MAIN!G101))), VALUE(TRIM(MAIN!G101)), 0))</f>
        <v>0</v>
      </c>
      <c r="H101">
        <f>IF(ISBLANK(MAIN!H101), 0, IF(ISNUMBER(VALUE(TRIM(MAIN!H101))), VALUE(TRIM(MAIN!H101)), 0))</f>
        <v>0</v>
      </c>
      <c r="I101">
        <f>IF(ISBLANK(MAIN!I101), 0, IF(ISNUMBER(VALUE(TRIM(MAIN!I101))), VALUE(TRIM(MAIN!I101)), 0))</f>
        <v>0</v>
      </c>
      <c r="J101">
        <f>IF(ISBLANK(MAIN!J101), 0, IF(ISNUMBER(VALUE(TRIM(MAIN!J101))), VALUE(TRIM(MAIN!J101)), 0))</f>
        <v>0</v>
      </c>
      <c r="K101" cm="1">
        <f t="array" ref="K101">IFERROR(
    VALUE(
        IFERROR(
            UPPER(
                IF(MAX(IFERROR(SEARCH("WD",MAIN!G101:J101), 0))&gt;0, "WD",
                IF(MAX(IFERROR(SEARCH("NS",MAIN!G101:J101), 0))&gt;0, "NS",
                IF(MAX(IFERROR(SEARCH("NC",MAIN!G101:J101), 0))&gt;0, "NC",
                IF(MAX(IFERROR(SEARCH("DQ",MAIN!G101:J101), 0))&gt;0, "DQ",
                IF(ISNUMBER(SEARCH("WD",MAIN!K101)), "WD",
                IF(ISNUMBER(SEARCH("NS",MAIN!K101)), "NS",
                IF(ISNUMBER(SEARCH("NC",MAIN!K101)), "NC",
                IF(ISNUMBER(SEARCH("DQ",MAIN!K101)), "DQ",
                IF(ISNUMBER(SEARCH("A",MAIN!K101)), 0,
                IF(OR(MAIN!K101=0,MAIN!K101=""), 0, --TRIM(MAIN!K101)))))))))))),
            0
        )
    ),
    IFERROR(
        UPPER(
            IF(MAX(IFERROR(SEARCH("WD",MAIN!G101:J101), 0))&gt;0, "WD",
            IF(MAX(IFERROR(SEARCH("NS",MAIN!G101:J101), 0))&gt;0, "NS",
            IF(MAX(IFERROR(SEARCH("NC",MAIN!G101:J101), 0))&gt;0, "NC",
            IF(MAX(IFERROR(SEARCH("DQ",MAIN!G101:J101), 0))&gt;0, "DQ",
            IF(ISNUMBER(SEARCH("WD",MAIN!K101)), "WD",
            IF(ISNUMBER(SEARCH("NS",MAIN!K101)), "NS",
            IF(ISNUMBER(SEARCH("NC",MAIN!K101)), "NC",
            IF(ISNUMBER(SEARCH("DQ",MAIN!K101)), "DQ",
            IF(ISNUMBER(SEARCH("A",MAIN!K101)), 0,
            IF(OR(MAIN!K101=0,MAIN!K101=""), 0, --TRIM(MAIN!K101)))))))))))),
        0
    )
)</f>
        <v>0</v>
      </c>
    </row>
    <row r="102" spans="1:11" x14ac:dyDescent="0.25">
      <c r="A102" t="str">
        <f>IF(ISBLANK(MAIN!A102), "--", IFERROR(PROPER(SUBSTITUTE(SUBSTITUTE(SUBSTITUTE(SUBSTITUTE(SUBSTITUTE(SUBSTITUTE(SUBSTITUTE(SUBSTITUTE(SUBSTITUTE(SUBSTITUTE(LEFT(MAIN!A102, FIND(",",MAIN!A102) -1), "0", ""), "1", ""), "2", ""), "3", ""), "4", ""), "5", ""), "6", ""), "7", ""), "8", ""), "9", "")), PROPER(SUBSTITUTE(SUBSTITUTE(SUBSTITUTE(SUBSTITUTE(SUBSTITUTE(SUBSTITUTE(SUBSTITUTE(SUBSTITUTE(SUBSTITUTE(SUBSTITUTE(MAIN!A102, "0", ""), "1", ""), "2", ""), "3", ""), "4", ""), "5", ""), "6", ""), "7", ""), "8", ""), "9", ""))))</f>
        <v>--</v>
      </c>
      <c r="B102" t="str">
        <f>IF(ISBLANK(MAIN!B102), "--", IFERROR(PROPER(SUBSTITUTE(SUBSTITUTE(SUBSTITUTE(SUBSTITUTE(SUBSTITUTE(SUBSTITUTE(SUBSTITUTE(SUBSTITUTE(SUBSTITUTE(SUBSTITUTE(LEFT(MAIN!B102, FIND(",",MAIN!B102) -1), "0", ""), "1", ""), "2", ""), "3", ""), "4", ""), "5", ""), "6", ""), "7", ""), "8", ""), "9", "")), PROPER(SUBSTITUTE(SUBSTITUTE(SUBSTITUTE(SUBSTITUTE(SUBSTITUTE(SUBSTITUTE(SUBSTITUTE(SUBSTITUTE(SUBSTITUTE(SUBSTITUTE(MAIN!B102, "0", ""), "1", ""), "2", ""), "3", ""), "4", ""), "5", ""), "6", ""), "7", ""), "8", ""), "9", ""))))</f>
        <v>--</v>
      </c>
      <c r="C102" t="str">
        <f>IF(ISBLANK(MAIN!C102), "--", IFERROR(PROPER(SUBSTITUTE(SUBSTITUTE(SUBSTITUTE(SUBSTITUTE(SUBSTITUTE(SUBSTITUTE(SUBSTITUTE(SUBSTITUTE(SUBSTITUTE(SUBSTITUTE(LEFT(MAIN!C102, FIND(",",MAIN!C102) -1), "0", ""), "1", ""), "2", ""), "3", ""), "4", ""), "5", ""), "6", ""), "7", ""), "8", ""), "9", "")), PROPER(SUBSTITUTE(SUBSTITUTE(SUBSTITUTE(SUBSTITUTE(SUBSTITUTE(SUBSTITUTE(SUBSTITUTE(SUBSTITUTE(SUBSTITUTE(SUBSTITUTE(MAIN!C102, "0", ""), "1", ""), "2", ""), "3", ""), "4", ""), "5", ""), "6", ""), "7", ""), "8", ""), "9", ""))))</f>
        <v>--</v>
      </c>
      <c r="D102" t="str">
        <f>IF(ISBLANK(MAIN!D102), "--", IF(ISNUMBER(MATCH(SUBSTITUTE(LEFT(MAIN!D102, IFERROR(FIND(",", MAIN!D102)-1, LEN(MAIN!D102))), " ", ""), lookup_values!$B$2:$B$51, 0)), UPPER(SUBSTITUTE(LEFT(MAIN!D102, IFERROR(FIND(",", MAIN!D102)-1, LEN(MAIN!D102))), " ", "")), IF(ISNA(VLOOKUP(SUBSTITUTE(LEFT(MAIN!D102, IFERROR(FIND(",", MAIN!D102)-1, LEN(MAIN!D102))), " ", ""), lookup_values!$A$2:$B$51, 2, FALSE)), "--", VLOOKUP(SUBSTITUTE(LEFT(MAIN!D102, IFERROR(FIND(",", MAIN!D102)-1, LEN(MAIN!D102))), " ", ""), lookup_values!$A$2:$B$51, 2, FALSE))))</f>
        <v>--</v>
      </c>
      <c r="E102" t="str">
        <f>IF(CLEAN_DATA!D102&lt;&gt;"--","US",IF(ISBLANK(MAIN!E102), "--", IF(ISNUMBER(MATCH(SUBSTITUTE(LEFT(MAIN!E102, IFERROR(FIND(",", MAIN!E102)-1, LEN(MAIN!E102))), " ", ""), lookup_values!$E$2:$E$197, 0)), UPPER(SUBSTITUTE(LEFT(MAIN!E102, IFERROR(FIND(",", MAIN!E102)-1, LEN(MAIN!E102))), " ", "")), IF(ISNA(VLOOKUP(SUBSTITUTE(LEFT(MAIN!E102, IFERROR(FIND(",", MAIN!E102)-1, LEN(MAIN!E102))), " ", ""), lookup_values!$D$2:$E$197, 2, FALSE)), "--", VLOOKUP(SUBSTITUTE(LEFT(MAIN!E102, IFERROR(FIND(",", MAIN!E102)-1, LEN(MAIN!E102))), " ", ""), lookup_values!$D$2:$E$197, 2, FALSE)))))</f>
        <v>--</v>
      </c>
      <c r="F102" t="str">
        <f>IF(ISBLANK(MAIN!F102), "", IF(AND(ISNUMBER(VALUE(TRIM(MAIN!F102))), LEN(TRIM(MAIN!F102))=4), VALUE(TRIM(MAIN!F102)), ""))</f>
        <v/>
      </c>
      <c r="G102">
        <f>IF(ISBLANK(MAIN!G102), 0, IF(ISNUMBER(VALUE(TRIM(MAIN!G102))), VALUE(TRIM(MAIN!G102)), 0))</f>
        <v>0</v>
      </c>
      <c r="H102">
        <f>IF(ISBLANK(MAIN!H102), 0, IF(ISNUMBER(VALUE(TRIM(MAIN!H102))), VALUE(TRIM(MAIN!H102)), 0))</f>
        <v>0</v>
      </c>
      <c r="I102">
        <f>IF(ISBLANK(MAIN!I102), 0, IF(ISNUMBER(VALUE(TRIM(MAIN!I102))), VALUE(TRIM(MAIN!I102)), 0))</f>
        <v>0</v>
      </c>
      <c r="J102">
        <f>IF(ISBLANK(MAIN!J102), 0, IF(ISNUMBER(VALUE(TRIM(MAIN!J102))), VALUE(TRIM(MAIN!J102)), 0))</f>
        <v>0</v>
      </c>
      <c r="K102" cm="1">
        <f t="array" ref="K102">IFERROR(
    VALUE(
        IFERROR(
            UPPER(
                IF(MAX(IFERROR(SEARCH("WD",MAIN!G102:J102), 0))&gt;0, "WD",
                IF(MAX(IFERROR(SEARCH("NS",MAIN!G102:J102), 0))&gt;0, "NS",
                IF(MAX(IFERROR(SEARCH("NC",MAIN!G102:J102), 0))&gt;0, "NC",
                IF(MAX(IFERROR(SEARCH("DQ",MAIN!G102:J102), 0))&gt;0, "DQ",
                IF(ISNUMBER(SEARCH("WD",MAIN!K102)), "WD",
                IF(ISNUMBER(SEARCH("NS",MAIN!K102)), "NS",
                IF(ISNUMBER(SEARCH("NC",MAIN!K102)), "NC",
                IF(ISNUMBER(SEARCH("DQ",MAIN!K102)), "DQ",
                IF(ISNUMBER(SEARCH("A",MAIN!K102)), 0,
                IF(OR(MAIN!K102=0,MAIN!K102=""), 0, --TRIM(MAIN!K102)))))))))))),
            0
        )
    ),
    IFERROR(
        UPPER(
            IF(MAX(IFERROR(SEARCH("WD",MAIN!G102:J102), 0))&gt;0, "WD",
            IF(MAX(IFERROR(SEARCH("NS",MAIN!G102:J102), 0))&gt;0, "NS",
            IF(MAX(IFERROR(SEARCH("NC",MAIN!G102:J102), 0))&gt;0, "NC",
            IF(MAX(IFERROR(SEARCH("DQ",MAIN!G102:J102), 0))&gt;0, "DQ",
            IF(ISNUMBER(SEARCH("WD",MAIN!K102)), "WD",
            IF(ISNUMBER(SEARCH("NS",MAIN!K102)), "NS",
            IF(ISNUMBER(SEARCH("NC",MAIN!K102)), "NC",
            IF(ISNUMBER(SEARCH("DQ",MAIN!K102)), "DQ",
            IF(ISNUMBER(SEARCH("A",MAIN!K102)), 0,
            IF(OR(MAIN!K102=0,MAIN!K102=""), 0, --TRIM(MAIN!K102)))))))))))),
        0
    )
)</f>
        <v>0</v>
      </c>
    </row>
    <row r="103" spans="1:11" x14ac:dyDescent="0.25">
      <c r="A103" t="str">
        <f>IF(ISBLANK(MAIN!A103), "--", IFERROR(PROPER(SUBSTITUTE(SUBSTITUTE(SUBSTITUTE(SUBSTITUTE(SUBSTITUTE(SUBSTITUTE(SUBSTITUTE(SUBSTITUTE(SUBSTITUTE(SUBSTITUTE(LEFT(MAIN!A103, FIND(",",MAIN!A103) -1), "0", ""), "1", ""), "2", ""), "3", ""), "4", ""), "5", ""), "6", ""), "7", ""), "8", ""), "9", "")), PROPER(SUBSTITUTE(SUBSTITUTE(SUBSTITUTE(SUBSTITUTE(SUBSTITUTE(SUBSTITUTE(SUBSTITUTE(SUBSTITUTE(SUBSTITUTE(SUBSTITUTE(MAIN!A103, "0", ""), "1", ""), "2", ""), "3", ""), "4", ""), "5", ""), "6", ""), "7", ""), "8", ""), "9", ""))))</f>
        <v>--</v>
      </c>
      <c r="B103" t="str">
        <f>IF(ISBLANK(MAIN!B103), "--", IFERROR(PROPER(SUBSTITUTE(SUBSTITUTE(SUBSTITUTE(SUBSTITUTE(SUBSTITUTE(SUBSTITUTE(SUBSTITUTE(SUBSTITUTE(SUBSTITUTE(SUBSTITUTE(LEFT(MAIN!B103, FIND(",",MAIN!B103) -1), "0", ""), "1", ""), "2", ""), "3", ""), "4", ""), "5", ""), "6", ""), "7", ""), "8", ""), "9", "")), PROPER(SUBSTITUTE(SUBSTITUTE(SUBSTITUTE(SUBSTITUTE(SUBSTITUTE(SUBSTITUTE(SUBSTITUTE(SUBSTITUTE(SUBSTITUTE(SUBSTITUTE(MAIN!B103, "0", ""), "1", ""), "2", ""), "3", ""), "4", ""), "5", ""), "6", ""), "7", ""), "8", ""), "9", ""))))</f>
        <v>--</v>
      </c>
      <c r="C103" t="str">
        <f>IF(ISBLANK(MAIN!C103), "--", IFERROR(PROPER(SUBSTITUTE(SUBSTITUTE(SUBSTITUTE(SUBSTITUTE(SUBSTITUTE(SUBSTITUTE(SUBSTITUTE(SUBSTITUTE(SUBSTITUTE(SUBSTITUTE(LEFT(MAIN!C103, FIND(",",MAIN!C103) -1), "0", ""), "1", ""), "2", ""), "3", ""), "4", ""), "5", ""), "6", ""), "7", ""), "8", ""), "9", "")), PROPER(SUBSTITUTE(SUBSTITUTE(SUBSTITUTE(SUBSTITUTE(SUBSTITUTE(SUBSTITUTE(SUBSTITUTE(SUBSTITUTE(SUBSTITUTE(SUBSTITUTE(MAIN!C103, "0", ""), "1", ""), "2", ""), "3", ""), "4", ""), "5", ""), "6", ""), "7", ""), "8", ""), "9", ""))))</f>
        <v>--</v>
      </c>
      <c r="D103" t="str">
        <f>IF(ISBLANK(MAIN!D103), "--", IF(ISNUMBER(MATCH(SUBSTITUTE(LEFT(MAIN!D103, IFERROR(FIND(",", MAIN!D103)-1, LEN(MAIN!D103))), " ", ""), lookup_values!$B$2:$B$51, 0)), UPPER(SUBSTITUTE(LEFT(MAIN!D103, IFERROR(FIND(",", MAIN!D103)-1, LEN(MAIN!D103))), " ", "")), IF(ISNA(VLOOKUP(SUBSTITUTE(LEFT(MAIN!D103, IFERROR(FIND(",", MAIN!D103)-1, LEN(MAIN!D103))), " ", ""), lookup_values!$A$2:$B$51, 2, FALSE)), "--", VLOOKUP(SUBSTITUTE(LEFT(MAIN!D103, IFERROR(FIND(",", MAIN!D103)-1, LEN(MAIN!D103))), " ", ""), lookup_values!$A$2:$B$51, 2, FALSE))))</f>
        <v>--</v>
      </c>
      <c r="E103" t="str">
        <f>IF(CLEAN_DATA!D103&lt;&gt;"--","US",IF(ISBLANK(MAIN!E103), "--", IF(ISNUMBER(MATCH(SUBSTITUTE(LEFT(MAIN!E103, IFERROR(FIND(",", MAIN!E103)-1, LEN(MAIN!E103))), " ", ""), lookup_values!$E$2:$E$197, 0)), UPPER(SUBSTITUTE(LEFT(MAIN!E103, IFERROR(FIND(",", MAIN!E103)-1, LEN(MAIN!E103))), " ", "")), IF(ISNA(VLOOKUP(SUBSTITUTE(LEFT(MAIN!E103, IFERROR(FIND(",", MAIN!E103)-1, LEN(MAIN!E103))), " ", ""), lookup_values!$D$2:$E$197, 2, FALSE)), "--", VLOOKUP(SUBSTITUTE(LEFT(MAIN!E103, IFERROR(FIND(",", MAIN!E103)-1, LEN(MAIN!E103))), " ", ""), lookup_values!$D$2:$E$197, 2, FALSE)))))</f>
        <v>--</v>
      </c>
      <c r="F103" t="str">
        <f>IF(ISBLANK(MAIN!F103), "", IF(AND(ISNUMBER(VALUE(TRIM(MAIN!F103))), LEN(TRIM(MAIN!F103))=4), VALUE(TRIM(MAIN!F103)), ""))</f>
        <v/>
      </c>
      <c r="G103">
        <f>IF(ISBLANK(MAIN!G103), 0, IF(ISNUMBER(VALUE(TRIM(MAIN!G103))), VALUE(TRIM(MAIN!G103)), 0))</f>
        <v>0</v>
      </c>
      <c r="H103">
        <f>IF(ISBLANK(MAIN!H103), 0, IF(ISNUMBER(VALUE(TRIM(MAIN!H103))), VALUE(TRIM(MAIN!H103)), 0))</f>
        <v>0</v>
      </c>
      <c r="I103">
        <f>IF(ISBLANK(MAIN!I103), 0, IF(ISNUMBER(VALUE(TRIM(MAIN!I103))), VALUE(TRIM(MAIN!I103)), 0))</f>
        <v>0</v>
      </c>
      <c r="J103">
        <f>IF(ISBLANK(MAIN!J103), 0, IF(ISNUMBER(VALUE(TRIM(MAIN!J103))), VALUE(TRIM(MAIN!J103)), 0))</f>
        <v>0</v>
      </c>
      <c r="K103" cm="1">
        <f t="array" ref="K103">IFERROR(
    VALUE(
        IFERROR(
            UPPER(
                IF(MAX(IFERROR(SEARCH("WD",MAIN!G103:J103), 0))&gt;0, "WD",
                IF(MAX(IFERROR(SEARCH("NS",MAIN!G103:J103), 0))&gt;0, "NS",
                IF(MAX(IFERROR(SEARCH("NC",MAIN!G103:J103), 0))&gt;0, "NC",
                IF(MAX(IFERROR(SEARCH("DQ",MAIN!G103:J103), 0))&gt;0, "DQ",
                IF(ISNUMBER(SEARCH("WD",MAIN!K103)), "WD",
                IF(ISNUMBER(SEARCH("NS",MAIN!K103)), "NS",
                IF(ISNUMBER(SEARCH("NC",MAIN!K103)), "NC",
                IF(ISNUMBER(SEARCH("DQ",MAIN!K103)), "DQ",
                IF(ISNUMBER(SEARCH("A",MAIN!K103)), 0,
                IF(OR(MAIN!K103=0,MAIN!K103=""), 0, --TRIM(MAIN!K103)))))))))))),
            0
        )
    ),
    IFERROR(
        UPPER(
            IF(MAX(IFERROR(SEARCH("WD",MAIN!G103:J103), 0))&gt;0, "WD",
            IF(MAX(IFERROR(SEARCH("NS",MAIN!G103:J103), 0))&gt;0, "NS",
            IF(MAX(IFERROR(SEARCH("NC",MAIN!G103:J103), 0))&gt;0, "NC",
            IF(MAX(IFERROR(SEARCH("DQ",MAIN!G103:J103), 0))&gt;0, "DQ",
            IF(ISNUMBER(SEARCH("WD",MAIN!K103)), "WD",
            IF(ISNUMBER(SEARCH("NS",MAIN!K103)), "NS",
            IF(ISNUMBER(SEARCH("NC",MAIN!K103)), "NC",
            IF(ISNUMBER(SEARCH("DQ",MAIN!K103)), "DQ",
            IF(ISNUMBER(SEARCH("A",MAIN!K103)), 0,
            IF(OR(MAIN!K103=0,MAIN!K103=""), 0, --TRIM(MAIN!K103)))))))))))),
        0
    )
)</f>
        <v>0</v>
      </c>
    </row>
    <row r="104" spans="1:11" x14ac:dyDescent="0.25">
      <c r="A104" t="str">
        <f>IF(ISBLANK(MAIN!A104), "--", IFERROR(PROPER(SUBSTITUTE(SUBSTITUTE(SUBSTITUTE(SUBSTITUTE(SUBSTITUTE(SUBSTITUTE(SUBSTITUTE(SUBSTITUTE(SUBSTITUTE(SUBSTITUTE(LEFT(MAIN!A104, FIND(",",MAIN!A104) -1), "0", ""), "1", ""), "2", ""), "3", ""), "4", ""), "5", ""), "6", ""), "7", ""), "8", ""), "9", "")), PROPER(SUBSTITUTE(SUBSTITUTE(SUBSTITUTE(SUBSTITUTE(SUBSTITUTE(SUBSTITUTE(SUBSTITUTE(SUBSTITUTE(SUBSTITUTE(SUBSTITUTE(MAIN!A104, "0", ""), "1", ""), "2", ""), "3", ""), "4", ""), "5", ""), "6", ""), "7", ""), "8", ""), "9", ""))))</f>
        <v>--</v>
      </c>
      <c r="B104" t="str">
        <f>IF(ISBLANK(MAIN!B104), "--", IFERROR(PROPER(SUBSTITUTE(SUBSTITUTE(SUBSTITUTE(SUBSTITUTE(SUBSTITUTE(SUBSTITUTE(SUBSTITUTE(SUBSTITUTE(SUBSTITUTE(SUBSTITUTE(LEFT(MAIN!B104, FIND(",",MAIN!B104) -1), "0", ""), "1", ""), "2", ""), "3", ""), "4", ""), "5", ""), "6", ""), "7", ""), "8", ""), "9", "")), PROPER(SUBSTITUTE(SUBSTITUTE(SUBSTITUTE(SUBSTITUTE(SUBSTITUTE(SUBSTITUTE(SUBSTITUTE(SUBSTITUTE(SUBSTITUTE(SUBSTITUTE(MAIN!B104, "0", ""), "1", ""), "2", ""), "3", ""), "4", ""), "5", ""), "6", ""), "7", ""), "8", ""), "9", ""))))</f>
        <v>--</v>
      </c>
      <c r="C104" t="str">
        <f>IF(ISBLANK(MAIN!C104), "--", IFERROR(PROPER(SUBSTITUTE(SUBSTITUTE(SUBSTITUTE(SUBSTITUTE(SUBSTITUTE(SUBSTITUTE(SUBSTITUTE(SUBSTITUTE(SUBSTITUTE(SUBSTITUTE(LEFT(MAIN!C104, FIND(",",MAIN!C104) -1), "0", ""), "1", ""), "2", ""), "3", ""), "4", ""), "5", ""), "6", ""), "7", ""), "8", ""), "9", "")), PROPER(SUBSTITUTE(SUBSTITUTE(SUBSTITUTE(SUBSTITUTE(SUBSTITUTE(SUBSTITUTE(SUBSTITUTE(SUBSTITUTE(SUBSTITUTE(SUBSTITUTE(MAIN!C104, "0", ""), "1", ""), "2", ""), "3", ""), "4", ""), "5", ""), "6", ""), "7", ""), "8", ""), "9", ""))))</f>
        <v>--</v>
      </c>
      <c r="D104" t="str">
        <f>IF(ISBLANK(MAIN!D104), "--", IF(ISNUMBER(MATCH(SUBSTITUTE(LEFT(MAIN!D104, IFERROR(FIND(",", MAIN!D104)-1, LEN(MAIN!D104))), " ", ""), lookup_values!$B$2:$B$51, 0)), UPPER(SUBSTITUTE(LEFT(MAIN!D104, IFERROR(FIND(",", MAIN!D104)-1, LEN(MAIN!D104))), " ", "")), IF(ISNA(VLOOKUP(SUBSTITUTE(LEFT(MAIN!D104, IFERROR(FIND(",", MAIN!D104)-1, LEN(MAIN!D104))), " ", ""), lookup_values!$A$2:$B$51, 2, FALSE)), "--", VLOOKUP(SUBSTITUTE(LEFT(MAIN!D104, IFERROR(FIND(",", MAIN!D104)-1, LEN(MAIN!D104))), " ", ""), lookup_values!$A$2:$B$51, 2, FALSE))))</f>
        <v>--</v>
      </c>
      <c r="E104" t="str">
        <f>IF(CLEAN_DATA!D104&lt;&gt;"--","US",IF(ISBLANK(MAIN!E104), "--", IF(ISNUMBER(MATCH(SUBSTITUTE(LEFT(MAIN!E104, IFERROR(FIND(",", MAIN!E104)-1, LEN(MAIN!E104))), " ", ""), lookup_values!$E$2:$E$197, 0)), UPPER(SUBSTITUTE(LEFT(MAIN!E104, IFERROR(FIND(",", MAIN!E104)-1, LEN(MAIN!E104))), " ", "")), IF(ISNA(VLOOKUP(SUBSTITUTE(LEFT(MAIN!E104, IFERROR(FIND(",", MAIN!E104)-1, LEN(MAIN!E104))), " ", ""), lookup_values!$D$2:$E$197, 2, FALSE)), "--", VLOOKUP(SUBSTITUTE(LEFT(MAIN!E104, IFERROR(FIND(",", MAIN!E104)-1, LEN(MAIN!E104))), " ", ""), lookup_values!$D$2:$E$197, 2, FALSE)))))</f>
        <v>--</v>
      </c>
      <c r="F104" t="str">
        <f>IF(ISBLANK(MAIN!F104), "", IF(AND(ISNUMBER(VALUE(TRIM(MAIN!F104))), LEN(TRIM(MAIN!F104))=4), VALUE(TRIM(MAIN!F104)), ""))</f>
        <v/>
      </c>
      <c r="G104">
        <f>IF(ISBLANK(MAIN!G104), 0, IF(ISNUMBER(VALUE(TRIM(MAIN!G104))), VALUE(TRIM(MAIN!G104)), 0))</f>
        <v>0</v>
      </c>
      <c r="H104">
        <f>IF(ISBLANK(MAIN!H104), 0, IF(ISNUMBER(VALUE(TRIM(MAIN!H104))), VALUE(TRIM(MAIN!H104)), 0))</f>
        <v>0</v>
      </c>
      <c r="I104">
        <f>IF(ISBLANK(MAIN!I104), 0, IF(ISNUMBER(VALUE(TRIM(MAIN!I104))), VALUE(TRIM(MAIN!I104)), 0))</f>
        <v>0</v>
      </c>
      <c r="J104">
        <f>IF(ISBLANK(MAIN!J104), 0, IF(ISNUMBER(VALUE(TRIM(MAIN!J104))), VALUE(TRIM(MAIN!J104)), 0))</f>
        <v>0</v>
      </c>
      <c r="K104" cm="1">
        <f t="array" ref="K104">IFERROR(
    VALUE(
        IFERROR(
            UPPER(
                IF(MAX(IFERROR(SEARCH("WD",MAIN!G104:J104), 0))&gt;0, "WD",
                IF(MAX(IFERROR(SEARCH("NS",MAIN!G104:J104), 0))&gt;0, "NS",
                IF(MAX(IFERROR(SEARCH("NC",MAIN!G104:J104), 0))&gt;0, "NC",
                IF(MAX(IFERROR(SEARCH("DQ",MAIN!G104:J104), 0))&gt;0, "DQ",
                IF(ISNUMBER(SEARCH("WD",MAIN!K104)), "WD",
                IF(ISNUMBER(SEARCH("NS",MAIN!K104)), "NS",
                IF(ISNUMBER(SEARCH("NC",MAIN!K104)), "NC",
                IF(ISNUMBER(SEARCH("DQ",MAIN!K104)), "DQ",
                IF(ISNUMBER(SEARCH("A",MAIN!K104)), 0,
                IF(OR(MAIN!K104=0,MAIN!K104=""), 0, --TRIM(MAIN!K104)))))))))))),
            0
        )
    ),
    IFERROR(
        UPPER(
            IF(MAX(IFERROR(SEARCH("WD",MAIN!G104:J104), 0))&gt;0, "WD",
            IF(MAX(IFERROR(SEARCH("NS",MAIN!G104:J104), 0))&gt;0, "NS",
            IF(MAX(IFERROR(SEARCH("NC",MAIN!G104:J104), 0))&gt;0, "NC",
            IF(MAX(IFERROR(SEARCH("DQ",MAIN!G104:J104), 0))&gt;0, "DQ",
            IF(ISNUMBER(SEARCH("WD",MAIN!K104)), "WD",
            IF(ISNUMBER(SEARCH("NS",MAIN!K104)), "NS",
            IF(ISNUMBER(SEARCH("NC",MAIN!K104)), "NC",
            IF(ISNUMBER(SEARCH("DQ",MAIN!K104)), "DQ",
            IF(ISNUMBER(SEARCH("A",MAIN!K104)), 0,
            IF(OR(MAIN!K104=0,MAIN!K104=""), 0, --TRIM(MAIN!K104)))))))))))),
        0
    )
)</f>
        <v>0</v>
      </c>
    </row>
    <row r="105" spans="1:11" x14ac:dyDescent="0.25">
      <c r="A105" t="str">
        <f>IF(ISBLANK(MAIN!A105), "--", IFERROR(PROPER(SUBSTITUTE(SUBSTITUTE(SUBSTITUTE(SUBSTITUTE(SUBSTITUTE(SUBSTITUTE(SUBSTITUTE(SUBSTITUTE(SUBSTITUTE(SUBSTITUTE(LEFT(MAIN!A105, FIND(",",MAIN!A105) -1), "0", ""), "1", ""), "2", ""), "3", ""), "4", ""), "5", ""), "6", ""), "7", ""), "8", ""), "9", "")), PROPER(SUBSTITUTE(SUBSTITUTE(SUBSTITUTE(SUBSTITUTE(SUBSTITUTE(SUBSTITUTE(SUBSTITUTE(SUBSTITUTE(SUBSTITUTE(SUBSTITUTE(MAIN!A105, "0", ""), "1", ""), "2", ""), "3", ""), "4", ""), "5", ""), "6", ""), "7", ""), "8", ""), "9", ""))))</f>
        <v>--</v>
      </c>
      <c r="B105" t="str">
        <f>IF(ISBLANK(MAIN!B105), "--", IFERROR(PROPER(SUBSTITUTE(SUBSTITUTE(SUBSTITUTE(SUBSTITUTE(SUBSTITUTE(SUBSTITUTE(SUBSTITUTE(SUBSTITUTE(SUBSTITUTE(SUBSTITUTE(LEFT(MAIN!B105, FIND(",",MAIN!B105) -1), "0", ""), "1", ""), "2", ""), "3", ""), "4", ""), "5", ""), "6", ""), "7", ""), "8", ""), "9", "")), PROPER(SUBSTITUTE(SUBSTITUTE(SUBSTITUTE(SUBSTITUTE(SUBSTITUTE(SUBSTITUTE(SUBSTITUTE(SUBSTITUTE(SUBSTITUTE(SUBSTITUTE(MAIN!B105, "0", ""), "1", ""), "2", ""), "3", ""), "4", ""), "5", ""), "6", ""), "7", ""), "8", ""), "9", ""))))</f>
        <v>--</v>
      </c>
      <c r="C105" t="str">
        <f>IF(ISBLANK(MAIN!C105), "--", IFERROR(PROPER(SUBSTITUTE(SUBSTITUTE(SUBSTITUTE(SUBSTITUTE(SUBSTITUTE(SUBSTITUTE(SUBSTITUTE(SUBSTITUTE(SUBSTITUTE(SUBSTITUTE(LEFT(MAIN!C105, FIND(",",MAIN!C105) -1), "0", ""), "1", ""), "2", ""), "3", ""), "4", ""), "5", ""), "6", ""), "7", ""), "8", ""), "9", "")), PROPER(SUBSTITUTE(SUBSTITUTE(SUBSTITUTE(SUBSTITUTE(SUBSTITUTE(SUBSTITUTE(SUBSTITUTE(SUBSTITUTE(SUBSTITUTE(SUBSTITUTE(MAIN!C105, "0", ""), "1", ""), "2", ""), "3", ""), "4", ""), "5", ""), "6", ""), "7", ""), "8", ""), "9", ""))))</f>
        <v>--</v>
      </c>
      <c r="D105" t="str">
        <f>IF(ISBLANK(MAIN!D105), "--", IF(ISNUMBER(MATCH(SUBSTITUTE(LEFT(MAIN!D105, IFERROR(FIND(",", MAIN!D105)-1, LEN(MAIN!D105))), " ", ""), lookup_values!$B$2:$B$51, 0)), UPPER(SUBSTITUTE(LEFT(MAIN!D105, IFERROR(FIND(",", MAIN!D105)-1, LEN(MAIN!D105))), " ", "")), IF(ISNA(VLOOKUP(SUBSTITUTE(LEFT(MAIN!D105, IFERROR(FIND(",", MAIN!D105)-1, LEN(MAIN!D105))), " ", ""), lookup_values!$A$2:$B$51, 2, FALSE)), "--", VLOOKUP(SUBSTITUTE(LEFT(MAIN!D105, IFERROR(FIND(",", MAIN!D105)-1, LEN(MAIN!D105))), " ", ""), lookup_values!$A$2:$B$51, 2, FALSE))))</f>
        <v>--</v>
      </c>
      <c r="E105" t="str">
        <f>IF(CLEAN_DATA!D105&lt;&gt;"--","US",IF(ISBLANK(MAIN!E105), "--", IF(ISNUMBER(MATCH(SUBSTITUTE(LEFT(MAIN!E105, IFERROR(FIND(",", MAIN!E105)-1, LEN(MAIN!E105))), " ", ""), lookup_values!$E$2:$E$197, 0)), UPPER(SUBSTITUTE(LEFT(MAIN!E105, IFERROR(FIND(",", MAIN!E105)-1, LEN(MAIN!E105))), " ", "")), IF(ISNA(VLOOKUP(SUBSTITUTE(LEFT(MAIN!E105, IFERROR(FIND(",", MAIN!E105)-1, LEN(MAIN!E105))), " ", ""), lookup_values!$D$2:$E$197, 2, FALSE)), "--", VLOOKUP(SUBSTITUTE(LEFT(MAIN!E105, IFERROR(FIND(",", MAIN!E105)-1, LEN(MAIN!E105))), " ", ""), lookup_values!$D$2:$E$197, 2, FALSE)))))</f>
        <v>--</v>
      </c>
      <c r="F105" t="str">
        <f>IF(ISBLANK(MAIN!F105), "", IF(AND(ISNUMBER(VALUE(TRIM(MAIN!F105))), LEN(TRIM(MAIN!F105))=4), VALUE(TRIM(MAIN!F105)), ""))</f>
        <v/>
      </c>
      <c r="G105">
        <f>IF(ISBLANK(MAIN!G105), 0, IF(ISNUMBER(VALUE(TRIM(MAIN!G105))), VALUE(TRIM(MAIN!G105)), 0))</f>
        <v>0</v>
      </c>
      <c r="H105">
        <f>IF(ISBLANK(MAIN!H105), 0, IF(ISNUMBER(VALUE(TRIM(MAIN!H105))), VALUE(TRIM(MAIN!H105)), 0))</f>
        <v>0</v>
      </c>
      <c r="I105">
        <f>IF(ISBLANK(MAIN!I105), 0, IF(ISNUMBER(VALUE(TRIM(MAIN!I105))), VALUE(TRIM(MAIN!I105)), 0))</f>
        <v>0</v>
      </c>
      <c r="J105">
        <f>IF(ISBLANK(MAIN!J105), 0, IF(ISNUMBER(VALUE(TRIM(MAIN!J105))), VALUE(TRIM(MAIN!J105)), 0))</f>
        <v>0</v>
      </c>
      <c r="K105" cm="1">
        <f t="array" ref="K105">IFERROR(
    VALUE(
        IFERROR(
            UPPER(
                IF(MAX(IFERROR(SEARCH("WD",MAIN!G105:J105), 0))&gt;0, "WD",
                IF(MAX(IFERROR(SEARCH("NS",MAIN!G105:J105), 0))&gt;0, "NS",
                IF(MAX(IFERROR(SEARCH("NC",MAIN!G105:J105), 0))&gt;0, "NC",
                IF(MAX(IFERROR(SEARCH("DQ",MAIN!G105:J105), 0))&gt;0, "DQ",
                IF(ISNUMBER(SEARCH("WD",MAIN!K105)), "WD",
                IF(ISNUMBER(SEARCH("NS",MAIN!K105)), "NS",
                IF(ISNUMBER(SEARCH("NC",MAIN!K105)), "NC",
                IF(ISNUMBER(SEARCH("DQ",MAIN!K105)), "DQ",
                IF(ISNUMBER(SEARCH("A",MAIN!K105)), 0,
                IF(OR(MAIN!K105=0,MAIN!K105=""), 0, --TRIM(MAIN!K105)))))))))))),
            0
        )
    ),
    IFERROR(
        UPPER(
            IF(MAX(IFERROR(SEARCH("WD",MAIN!G105:J105), 0))&gt;0, "WD",
            IF(MAX(IFERROR(SEARCH("NS",MAIN!G105:J105), 0))&gt;0, "NS",
            IF(MAX(IFERROR(SEARCH("NC",MAIN!G105:J105), 0))&gt;0, "NC",
            IF(MAX(IFERROR(SEARCH("DQ",MAIN!G105:J105), 0))&gt;0, "DQ",
            IF(ISNUMBER(SEARCH("WD",MAIN!K105)), "WD",
            IF(ISNUMBER(SEARCH("NS",MAIN!K105)), "NS",
            IF(ISNUMBER(SEARCH("NC",MAIN!K105)), "NC",
            IF(ISNUMBER(SEARCH("DQ",MAIN!K105)), "DQ",
            IF(ISNUMBER(SEARCH("A",MAIN!K105)), 0,
            IF(OR(MAIN!K105=0,MAIN!K105=""), 0, --TRIM(MAIN!K105)))))))))))),
        0
    )
)</f>
        <v>0</v>
      </c>
    </row>
    <row r="106" spans="1:11" x14ac:dyDescent="0.25">
      <c r="A106" t="str">
        <f>IF(ISBLANK(MAIN!A106), "--", IFERROR(PROPER(SUBSTITUTE(SUBSTITUTE(SUBSTITUTE(SUBSTITUTE(SUBSTITUTE(SUBSTITUTE(SUBSTITUTE(SUBSTITUTE(SUBSTITUTE(SUBSTITUTE(LEFT(MAIN!A106, FIND(",",MAIN!A106) -1), "0", ""), "1", ""), "2", ""), "3", ""), "4", ""), "5", ""), "6", ""), "7", ""), "8", ""), "9", "")), PROPER(SUBSTITUTE(SUBSTITUTE(SUBSTITUTE(SUBSTITUTE(SUBSTITUTE(SUBSTITUTE(SUBSTITUTE(SUBSTITUTE(SUBSTITUTE(SUBSTITUTE(MAIN!A106, "0", ""), "1", ""), "2", ""), "3", ""), "4", ""), "5", ""), "6", ""), "7", ""), "8", ""), "9", ""))))</f>
        <v>--</v>
      </c>
      <c r="B106" t="str">
        <f>IF(ISBLANK(MAIN!B106), "--", IFERROR(PROPER(SUBSTITUTE(SUBSTITUTE(SUBSTITUTE(SUBSTITUTE(SUBSTITUTE(SUBSTITUTE(SUBSTITUTE(SUBSTITUTE(SUBSTITUTE(SUBSTITUTE(LEFT(MAIN!B106, FIND(",",MAIN!B106) -1), "0", ""), "1", ""), "2", ""), "3", ""), "4", ""), "5", ""), "6", ""), "7", ""), "8", ""), "9", "")), PROPER(SUBSTITUTE(SUBSTITUTE(SUBSTITUTE(SUBSTITUTE(SUBSTITUTE(SUBSTITUTE(SUBSTITUTE(SUBSTITUTE(SUBSTITUTE(SUBSTITUTE(MAIN!B106, "0", ""), "1", ""), "2", ""), "3", ""), "4", ""), "5", ""), "6", ""), "7", ""), "8", ""), "9", ""))))</f>
        <v>--</v>
      </c>
      <c r="C106" t="str">
        <f>IF(ISBLANK(MAIN!C106), "--", IFERROR(PROPER(SUBSTITUTE(SUBSTITUTE(SUBSTITUTE(SUBSTITUTE(SUBSTITUTE(SUBSTITUTE(SUBSTITUTE(SUBSTITUTE(SUBSTITUTE(SUBSTITUTE(LEFT(MAIN!C106, FIND(",",MAIN!C106) -1), "0", ""), "1", ""), "2", ""), "3", ""), "4", ""), "5", ""), "6", ""), "7", ""), "8", ""), "9", "")), PROPER(SUBSTITUTE(SUBSTITUTE(SUBSTITUTE(SUBSTITUTE(SUBSTITUTE(SUBSTITUTE(SUBSTITUTE(SUBSTITUTE(SUBSTITUTE(SUBSTITUTE(MAIN!C106, "0", ""), "1", ""), "2", ""), "3", ""), "4", ""), "5", ""), "6", ""), "7", ""), "8", ""), "9", ""))))</f>
        <v>--</v>
      </c>
      <c r="D106" t="str">
        <f>IF(ISBLANK(MAIN!D106), "--", IF(ISNUMBER(MATCH(SUBSTITUTE(LEFT(MAIN!D106, IFERROR(FIND(",", MAIN!D106)-1, LEN(MAIN!D106))), " ", ""), lookup_values!$B$2:$B$51, 0)), UPPER(SUBSTITUTE(LEFT(MAIN!D106, IFERROR(FIND(",", MAIN!D106)-1, LEN(MAIN!D106))), " ", "")), IF(ISNA(VLOOKUP(SUBSTITUTE(LEFT(MAIN!D106, IFERROR(FIND(",", MAIN!D106)-1, LEN(MAIN!D106))), " ", ""), lookup_values!$A$2:$B$51, 2, FALSE)), "--", VLOOKUP(SUBSTITUTE(LEFT(MAIN!D106, IFERROR(FIND(",", MAIN!D106)-1, LEN(MAIN!D106))), " ", ""), lookup_values!$A$2:$B$51, 2, FALSE))))</f>
        <v>--</v>
      </c>
      <c r="E106" t="str">
        <f>IF(CLEAN_DATA!D106&lt;&gt;"--","US",IF(ISBLANK(MAIN!E106), "--", IF(ISNUMBER(MATCH(SUBSTITUTE(LEFT(MAIN!E106, IFERROR(FIND(",", MAIN!E106)-1, LEN(MAIN!E106))), " ", ""), lookup_values!$E$2:$E$197, 0)), UPPER(SUBSTITUTE(LEFT(MAIN!E106, IFERROR(FIND(",", MAIN!E106)-1, LEN(MAIN!E106))), " ", "")), IF(ISNA(VLOOKUP(SUBSTITUTE(LEFT(MAIN!E106, IFERROR(FIND(",", MAIN!E106)-1, LEN(MAIN!E106))), " ", ""), lookup_values!$D$2:$E$197, 2, FALSE)), "--", VLOOKUP(SUBSTITUTE(LEFT(MAIN!E106, IFERROR(FIND(",", MAIN!E106)-1, LEN(MAIN!E106))), " ", ""), lookup_values!$D$2:$E$197, 2, FALSE)))))</f>
        <v>--</v>
      </c>
      <c r="F106" t="str">
        <f>IF(ISBLANK(MAIN!F106), "", IF(AND(ISNUMBER(VALUE(TRIM(MAIN!F106))), LEN(TRIM(MAIN!F106))=4), VALUE(TRIM(MAIN!F106)), ""))</f>
        <v/>
      </c>
      <c r="G106">
        <f>IF(ISBLANK(MAIN!G106), 0, IF(ISNUMBER(VALUE(TRIM(MAIN!G106))), VALUE(TRIM(MAIN!G106)), 0))</f>
        <v>0</v>
      </c>
      <c r="H106">
        <f>IF(ISBLANK(MAIN!H106), 0, IF(ISNUMBER(VALUE(TRIM(MAIN!H106))), VALUE(TRIM(MAIN!H106)), 0))</f>
        <v>0</v>
      </c>
      <c r="I106">
        <f>IF(ISBLANK(MAIN!I106), 0, IF(ISNUMBER(VALUE(TRIM(MAIN!I106))), VALUE(TRIM(MAIN!I106)), 0))</f>
        <v>0</v>
      </c>
      <c r="J106">
        <f>IF(ISBLANK(MAIN!J106), 0, IF(ISNUMBER(VALUE(TRIM(MAIN!J106))), VALUE(TRIM(MAIN!J106)), 0))</f>
        <v>0</v>
      </c>
      <c r="K106" cm="1">
        <f t="array" ref="K106">IFERROR(
    VALUE(
        IFERROR(
            UPPER(
                IF(MAX(IFERROR(SEARCH("WD",MAIN!G106:J106), 0))&gt;0, "WD",
                IF(MAX(IFERROR(SEARCH("NS",MAIN!G106:J106), 0))&gt;0, "NS",
                IF(MAX(IFERROR(SEARCH("NC",MAIN!G106:J106), 0))&gt;0, "NC",
                IF(MAX(IFERROR(SEARCH("DQ",MAIN!G106:J106), 0))&gt;0, "DQ",
                IF(ISNUMBER(SEARCH("WD",MAIN!K106)), "WD",
                IF(ISNUMBER(SEARCH("NS",MAIN!K106)), "NS",
                IF(ISNUMBER(SEARCH("NC",MAIN!K106)), "NC",
                IF(ISNUMBER(SEARCH("DQ",MAIN!K106)), "DQ",
                IF(ISNUMBER(SEARCH("A",MAIN!K106)), 0,
                IF(OR(MAIN!K106=0,MAIN!K106=""), 0, --TRIM(MAIN!K106)))))))))))),
            0
        )
    ),
    IFERROR(
        UPPER(
            IF(MAX(IFERROR(SEARCH("WD",MAIN!G106:J106), 0))&gt;0, "WD",
            IF(MAX(IFERROR(SEARCH("NS",MAIN!G106:J106), 0))&gt;0, "NS",
            IF(MAX(IFERROR(SEARCH("NC",MAIN!G106:J106), 0))&gt;0, "NC",
            IF(MAX(IFERROR(SEARCH("DQ",MAIN!G106:J106), 0))&gt;0, "DQ",
            IF(ISNUMBER(SEARCH("WD",MAIN!K106)), "WD",
            IF(ISNUMBER(SEARCH("NS",MAIN!K106)), "NS",
            IF(ISNUMBER(SEARCH("NC",MAIN!K106)), "NC",
            IF(ISNUMBER(SEARCH("DQ",MAIN!K106)), "DQ",
            IF(ISNUMBER(SEARCH("A",MAIN!K106)), 0,
            IF(OR(MAIN!K106=0,MAIN!K106=""), 0, --TRIM(MAIN!K106)))))))))))),
        0
    )
)</f>
        <v>0</v>
      </c>
    </row>
    <row r="107" spans="1:11" x14ac:dyDescent="0.25">
      <c r="A107" t="str">
        <f>IF(ISBLANK(MAIN!A107), "--", IFERROR(PROPER(SUBSTITUTE(SUBSTITUTE(SUBSTITUTE(SUBSTITUTE(SUBSTITUTE(SUBSTITUTE(SUBSTITUTE(SUBSTITUTE(SUBSTITUTE(SUBSTITUTE(LEFT(MAIN!A107, FIND(",",MAIN!A107) -1), "0", ""), "1", ""), "2", ""), "3", ""), "4", ""), "5", ""), "6", ""), "7", ""), "8", ""), "9", "")), PROPER(SUBSTITUTE(SUBSTITUTE(SUBSTITUTE(SUBSTITUTE(SUBSTITUTE(SUBSTITUTE(SUBSTITUTE(SUBSTITUTE(SUBSTITUTE(SUBSTITUTE(MAIN!A107, "0", ""), "1", ""), "2", ""), "3", ""), "4", ""), "5", ""), "6", ""), "7", ""), "8", ""), "9", ""))))</f>
        <v>--</v>
      </c>
      <c r="B107" t="str">
        <f>IF(ISBLANK(MAIN!B107), "--", IFERROR(PROPER(SUBSTITUTE(SUBSTITUTE(SUBSTITUTE(SUBSTITUTE(SUBSTITUTE(SUBSTITUTE(SUBSTITUTE(SUBSTITUTE(SUBSTITUTE(SUBSTITUTE(LEFT(MAIN!B107, FIND(",",MAIN!B107) -1), "0", ""), "1", ""), "2", ""), "3", ""), "4", ""), "5", ""), "6", ""), "7", ""), "8", ""), "9", "")), PROPER(SUBSTITUTE(SUBSTITUTE(SUBSTITUTE(SUBSTITUTE(SUBSTITUTE(SUBSTITUTE(SUBSTITUTE(SUBSTITUTE(SUBSTITUTE(SUBSTITUTE(MAIN!B107, "0", ""), "1", ""), "2", ""), "3", ""), "4", ""), "5", ""), "6", ""), "7", ""), "8", ""), "9", ""))))</f>
        <v>--</v>
      </c>
      <c r="C107" t="str">
        <f>IF(ISBLANK(MAIN!C107), "--", IFERROR(PROPER(SUBSTITUTE(SUBSTITUTE(SUBSTITUTE(SUBSTITUTE(SUBSTITUTE(SUBSTITUTE(SUBSTITUTE(SUBSTITUTE(SUBSTITUTE(SUBSTITUTE(LEFT(MAIN!C107, FIND(",",MAIN!C107) -1), "0", ""), "1", ""), "2", ""), "3", ""), "4", ""), "5", ""), "6", ""), "7", ""), "8", ""), "9", "")), PROPER(SUBSTITUTE(SUBSTITUTE(SUBSTITUTE(SUBSTITUTE(SUBSTITUTE(SUBSTITUTE(SUBSTITUTE(SUBSTITUTE(SUBSTITUTE(SUBSTITUTE(MAIN!C107, "0", ""), "1", ""), "2", ""), "3", ""), "4", ""), "5", ""), "6", ""), "7", ""), "8", ""), "9", ""))))</f>
        <v>--</v>
      </c>
      <c r="D107" t="str">
        <f>IF(ISBLANK(MAIN!D107), "--", IF(ISNUMBER(MATCH(SUBSTITUTE(LEFT(MAIN!D107, IFERROR(FIND(",", MAIN!D107)-1, LEN(MAIN!D107))), " ", ""), lookup_values!$B$2:$B$51, 0)), UPPER(SUBSTITUTE(LEFT(MAIN!D107, IFERROR(FIND(",", MAIN!D107)-1, LEN(MAIN!D107))), " ", "")), IF(ISNA(VLOOKUP(SUBSTITUTE(LEFT(MAIN!D107, IFERROR(FIND(",", MAIN!D107)-1, LEN(MAIN!D107))), " ", ""), lookup_values!$A$2:$B$51, 2, FALSE)), "--", VLOOKUP(SUBSTITUTE(LEFT(MAIN!D107, IFERROR(FIND(",", MAIN!D107)-1, LEN(MAIN!D107))), " ", ""), lookup_values!$A$2:$B$51, 2, FALSE))))</f>
        <v>--</v>
      </c>
      <c r="E107" t="str">
        <f>IF(CLEAN_DATA!D107&lt;&gt;"--","US",IF(ISBLANK(MAIN!E107), "--", IF(ISNUMBER(MATCH(SUBSTITUTE(LEFT(MAIN!E107, IFERROR(FIND(",", MAIN!E107)-1, LEN(MAIN!E107))), " ", ""), lookup_values!$E$2:$E$197, 0)), UPPER(SUBSTITUTE(LEFT(MAIN!E107, IFERROR(FIND(",", MAIN!E107)-1, LEN(MAIN!E107))), " ", "")), IF(ISNA(VLOOKUP(SUBSTITUTE(LEFT(MAIN!E107, IFERROR(FIND(",", MAIN!E107)-1, LEN(MAIN!E107))), " ", ""), lookup_values!$D$2:$E$197, 2, FALSE)), "--", VLOOKUP(SUBSTITUTE(LEFT(MAIN!E107, IFERROR(FIND(",", MAIN!E107)-1, LEN(MAIN!E107))), " ", ""), lookup_values!$D$2:$E$197, 2, FALSE)))))</f>
        <v>--</v>
      </c>
      <c r="F107" t="str">
        <f>IF(ISBLANK(MAIN!F107), "", IF(AND(ISNUMBER(VALUE(TRIM(MAIN!F107))), LEN(TRIM(MAIN!F107))=4), VALUE(TRIM(MAIN!F107)), ""))</f>
        <v/>
      </c>
      <c r="G107">
        <f>IF(ISBLANK(MAIN!G107), 0, IF(ISNUMBER(VALUE(TRIM(MAIN!G107))), VALUE(TRIM(MAIN!G107)), 0))</f>
        <v>0</v>
      </c>
      <c r="H107">
        <f>IF(ISBLANK(MAIN!H107), 0, IF(ISNUMBER(VALUE(TRIM(MAIN!H107))), VALUE(TRIM(MAIN!H107)), 0))</f>
        <v>0</v>
      </c>
      <c r="I107">
        <f>IF(ISBLANK(MAIN!I107), 0, IF(ISNUMBER(VALUE(TRIM(MAIN!I107))), VALUE(TRIM(MAIN!I107)), 0))</f>
        <v>0</v>
      </c>
      <c r="J107">
        <f>IF(ISBLANK(MAIN!J107), 0, IF(ISNUMBER(VALUE(TRIM(MAIN!J107))), VALUE(TRIM(MAIN!J107)), 0))</f>
        <v>0</v>
      </c>
      <c r="K107" cm="1">
        <f t="array" ref="K107">IFERROR(
    VALUE(
        IFERROR(
            UPPER(
                IF(MAX(IFERROR(SEARCH("WD",MAIN!G107:J107), 0))&gt;0, "WD",
                IF(MAX(IFERROR(SEARCH("NS",MAIN!G107:J107), 0))&gt;0, "NS",
                IF(MAX(IFERROR(SEARCH("NC",MAIN!G107:J107), 0))&gt;0, "NC",
                IF(MAX(IFERROR(SEARCH("DQ",MAIN!G107:J107), 0))&gt;0, "DQ",
                IF(ISNUMBER(SEARCH("WD",MAIN!K107)), "WD",
                IF(ISNUMBER(SEARCH("NS",MAIN!K107)), "NS",
                IF(ISNUMBER(SEARCH("NC",MAIN!K107)), "NC",
                IF(ISNUMBER(SEARCH("DQ",MAIN!K107)), "DQ",
                IF(ISNUMBER(SEARCH("A",MAIN!K107)), 0,
                IF(OR(MAIN!K107=0,MAIN!K107=""), 0, --TRIM(MAIN!K107)))))))))))),
            0
        )
    ),
    IFERROR(
        UPPER(
            IF(MAX(IFERROR(SEARCH("WD",MAIN!G107:J107), 0))&gt;0, "WD",
            IF(MAX(IFERROR(SEARCH("NS",MAIN!G107:J107), 0))&gt;0, "NS",
            IF(MAX(IFERROR(SEARCH("NC",MAIN!G107:J107), 0))&gt;0, "NC",
            IF(MAX(IFERROR(SEARCH("DQ",MAIN!G107:J107), 0))&gt;0, "DQ",
            IF(ISNUMBER(SEARCH("WD",MAIN!K107)), "WD",
            IF(ISNUMBER(SEARCH("NS",MAIN!K107)), "NS",
            IF(ISNUMBER(SEARCH("NC",MAIN!K107)), "NC",
            IF(ISNUMBER(SEARCH("DQ",MAIN!K107)), "DQ",
            IF(ISNUMBER(SEARCH("A",MAIN!K107)), 0,
            IF(OR(MAIN!K107=0,MAIN!K107=""), 0, --TRIM(MAIN!K107)))))))))))),
        0
    )
)</f>
        <v>0</v>
      </c>
    </row>
    <row r="108" spans="1:11" x14ac:dyDescent="0.25">
      <c r="A108" t="str">
        <f>IF(ISBLANK(MAIN!A108), "--", IFERROR(PROPER(SUBSTITUTE(SUBSTITUTE(SUBSTITUTE(SUBSTITUTE(SUBSTITUTE(SUBSTITUTE(SUBSTITUTE(SUBSTITUTE(SUBSTITUTE(SUBSTITUTE(LEFT(MAIN!A108, FIND(",",MAIN!A108) -1), "0", ""), "1", ""), "2", ""), "3", ""), "4", ""), "5", ""), "6", ""), "7", ""), "8", ""), "9", "")), PROPER(SUBSTITUTE(SUBSTITUTE(SUBSTITUTE(SUBSTITUTE(SUBSTITUTE(SUBSTITUTE(SUBSTITUTE(SUBSTITUTE(SUBSTITUTE(SUBSTITUTE(MAIN!A108, "0", ""), "1", ""), "2", ""), "3", ""), "4", ""), "5", ""), "6", ""), "7", ""), "8", ""), "9", ""))))</f>
        <v>--</v>
      </c>
      <c r="B108" t="str">
        <f>IF(ISBLANK(MAIN!B108), "--", IFERROR(PROPER(SUBSTITUTE(SUBSTITUTE(SUBSTITUTE(SUBSTITUTE(SUBSTITUTE(SUBSTITUTE(SUBSTITUTE(SUBSTITUTE(SUBSTITUTE(SUBSTITUTE(LEFT(MAIN!B108, FIND(",",MAIN!B108) -1), "0", ""), "1", ""), "2", ""), "3", ""), "4", ""), "5", ""), "6", ""), "7", ""), "8", ""), "9", "")), PROPER(SUBSTITUTE(SUBSTITUTE(SUBSTITUTE(SUBSTITUTE(SUBSTITUTE(SUBSTITUTE(SUBSTITUTE(SUBSTITUTE(SUBSTITUTE(SUBSTITUTE(MAIN!B108, "0", ""), "1", ""), "2", ""), "3", ""), "4", ""), "5", ""), "6", ""), "7", ""), "8", ""), "9", ""))))</f>
        <v>--</v>
      </c>
      <c r="C108" t="str">
        <f>IF(ISBLANK(MAIN!C108), "--", IFERROR(PROPER(SUBSTITUTE(SUBSTITUTE(SUBSTITUTE(SUBSTITUTE(SUBSTITUTE(SUBSTITUTE(SUBSTITUTE(SUBSTITUTE(SUBSTITUTE(SUBSTITUTE(LEFT(MAIN!C108, FIND(",",MAIN!C108) -1), "0", ""), "1", ""), "2", ""), "3", ""), "4", ""), "5", ""), "6", ""), "7", ""), "8", ""), "9", "")), PROPER(SUBSTITUTE(SUBSTITUTE(SUBSTITUTE(SUBSTITUTE(SUBSTITUTE(SUBSTITUTE(SUBSTITUTE(SUBSTITUTE(SUBSTITUTE(SUBSTITUTE(MAIN!C108, "0", ""), "1", ""), "2", ""), "3", ""), "4", ""), "5", ""), "6", ""), "7", ""), "8", ""), "9", ""))))</f>
        <v>--</v>
      </c>
      <c r="D108" t="str">
        <f>IF(ISBLANK(MAIN!D108), "--", IF(ISNUMBER(MATCH(SUBSTITUTE(LEFT(MAIN!D108, IFERROR(FIND(",", MAIN!D108)-1, LEN(MAIN!D108))), " ", ""), lookup_values!$B$2:$B$51, 0)), UPPER(SUBSTITUTE(LEFT(MAIN!D108, IFERROR(FIND(",", MAIN!D108)-1, LEN(MAIN!D108))), " ", "")), IF(ISNA(VLOOKUP(SUBSTITUTE(LEFT(MAIN!D108, IFERROR(FIND(",", MAIN!D108)-1, LEN(MAIN!D108))), " ", ""), lookup_values!$A$2:$B$51, 2, FALSE)), "--", VLOOKUP(SUBSTITUTE(LEFT(MAIN!D108, IFERROR(FIND(",", MAIN!D108)-1, LEN(MAIN!D108))), " ", ""), lookup_values!$A$2:$B$51, 2, FALSE))))</f>
        <v>--</v>
      </c>
      <c r="E108" t="str">
        <f>IF(CLEAN_DATA!D108&lt;&gt;"--","US",IF(ISBLANK(MAIN!E108), "--", IF(ISNUMBER(MATCH(SUBSTITUTE(LEFT(MAIN!E108, IFERROR(FIND(",", MAIN!E108)-1, LEN(MAIN!E108))), " ", ""), lookup_values!$E$2:$E$197, 0)), UPPER(SUBSTITUTE(LEFT(MAIN!E108, IFERROR(FIND(",", MAIN!E108)-1, LEN(MAIN!E108))), " ", "")), IF(ISNA(VLOOKUP(SUBSTITUTE(LEFT(MAIN!E108, IFERROR(FIND(",", MAIN!E108)-1, LEN(MAIN!E108))), " ", ""), lookup_values!$D$2:$E$197, 2, FALSE)), "--", VLOOKUP(SUBSTITUTE(LEFT(MAIN!E108, IFERROR(FIND(",", MAIN!E108)-1, LEN(MAIN!E108))), " ", ""), lookup_values!$D$2:$E$197, 2, FALSE)))))</f>
        <v>--</v>
      </c>
      <c r="F108" t="str">
        <f>IF(ISBLANK(MAIN!F108), "", IF(AND(ISNUMBER(VALUE(TRIM(MAIN!F108))), LEN(TRIM(MAIN!F108))=4), VALUE(TRIM(MAIN!F108)), ""))</f>
        <v/>
      </c>
      <c r="G108">
        <f>IF(ISBLANK(MAIN!G108), 0, IF(ISNUMBER(VALUE(TRIM(MAIN!G108))), VALUE(TRIM(MAIN!G108)), 0))</f>
        <v>0</v>
      </c>
      <c r="H108">
        <f>IF(ISBLANK(MAIN!H108), 0, IF(ISNUMBER(VALUE(TRIM(MAIN!H108))), VALUE(TRIM(MAIN!H108)), 0))</f>
        <v>0</v>
      </c>
      <c r="I108">
        <f>IF(ISBLANK(MAIN!I108), 0, IF(ISNUMBER(VALUE(TRIM(MAIN!I108))), VALUE(TRIM(MAIN!I108)), 0))</f>
        <v>0</v>
      </c>
      <c r="J108">
        <f>IF(ISBLANK(MAIN!J108), 0, IF(ISNUMBER(VALUE(TRIM(MAIN!J108))), VALUE(TRIM(MAIN!J108)), 0))</f>
        <v>0</v>
      </c>
      <c r="K108" cm="1">
        <f t="array" ref="K108">IFERROR(
    VALUE(
        IFERROR(
            UPPER(
                IF(MAX(IFERROR(SEARCH("WD",MAIN!G108:J108), 0))&gt;0, "WD",
                IF(MAX(IFERROR(SEARCH("NS",MAIN!G108:J108), 0))&gt;0, "NS",
                IF(MAX(IFERROR(SEARCH("NC",MAIN!G108:J108), 0))&gt;0, "NC",
                IF(MAX(IFERROR(SEARCH("DQ",MAIN!G108:J108), 0))&gt;0, "DQ",
                IF(ISNUMBER(SEARCH("WD",MAIN!K108)), "WD",
                IF(ISNUMBER(SEARCH("NS",MAIN!K108)), "NS",
                IF(ISNUMBER(SEARCH("NC",MAIN!K108)), "NC",
                IF(ISNUMBER(SEARCH("DQ",MAIN!K108)), "DQ",
                IF(ISNUMBER(SEARCH("A",MAIN!K108)), 0,
                IF(OR(MAIN!K108=0,MAIN!K108=""), 0, --TRIM(MAIN!K108)))))))))))),
            0
        )
    ),
    IFERROR(
        UPPER(
            IF(MAX(IFERROR(SEARCH("WD",MAIN!G108:J108), 0))&gt;0, "WD",
            IF(MAX(IFERROR(SEARCH("NS",MAIN!G108:J108), 0))&gt;0, "NS",
            IF(MAX(IFERROR(SEARCH("NC",MAIN!G108:J108), 0))&gt;0, "NC",
            IF(MAX(IFERROR(SEARCH("DQ",MAIN!G108:J108), 0))&gt;0, "DQ",
            IF(ISNUMBER(SEARCH("WD",MAIN!K108)), "WD",
            IF(ISNUMBER(SEARCH("NS",MAIN!K108)), "NS",
            IF(ISNUMBER(SEARCH("NC",MAIN!K108)), "NC",
            IF(ISNUMBER(SEARCH("DQ",MAIN!K108)), "DQ",
            IF(ISNUMBER(SEARCH("A",MAIN!K108)), 0,
            IF(OR(MAIN!K108=0,MAIN!K108=""), 0, --TRIM(MAIN!K108)))))))))))),
        0
    )
)</f>
        <v>0</v>
      </c>
    </row>
    <row r="109" spans="1:11" x14ac:dyDescent="0.25">
      <c r="A109" t="str">
        <f>IF(ISBLANK(MAIN!A109), "--", IFERROR(PROPER(SUBSTITUTE(SUBSTITUTE(SUBSTITUTE(SUBSTITUTE(SUBSTITUTE(SUBSTITUTE(SUBSTITUTE(SUBSTITUTE(SUBSTITUTE(SUBSTITUTE(LEFT(MAIN!A109, FIND(",",MAIN!A109) -1), "0", ""), "1", ""), "2", ""), "3", ""), "4", ""), "5", ""), "6", ""), "7", ""), "8", ""), "9", "")), PROPER(SUBSTITUTE(SUBSTITUTE(SUBSTITUTE(SUBSTITUTE(SUBSTITUTE(SUBSTITUTE(SUBSTITUTE(SUBSTITUTE(SUBSTITUTE(SUBSTITUTE(MAIN!A109, "0", ""), "1", ""), "2", ""), "3", ""), "4", ""), "5", ""), "6", ""), "7", ""), "8", ""), "9", ""))))</f>
        <v>--</v>
      </c>
      <c r="B109" t="str">
        <f>IF(ISBLANK(MAIN!B109), "--", IFERROR(PROPER(SUBSTITUTE(SUBSTITUTE(SUBSTITUTE(SUBSTITUTE(SUBSTITUTE(SUBSTITUTE(SUBSTITUTE(SUBSTITUTE(SUBSTITUTE(SUBSTITUTE(LEFT(MAIN!B109, FIND(",",MAIN!B109) -1), "0", ""), "1", ""), "2", ""), "3", ""), "4", ""), "5", ""), "6", ""), "7", ""), "8", ""), "9", "")), PROPER(SUBSTITUTE(SUBSTITUTE(SUBSTITUTE(SUBSTITUTE(SUBSTITUTE(SUBSTITUTE(SUBSTITUTE(SUBSTITUTE(SUBSTITUTE(SUBSTITUTE(MAIN!B109, "0", ""), "1", ""), "2", ""), "3", ""), "4", ""), "5", ""), "6", ""), "7", ""), "8", ""), "9", ""))))</f>
        <v>--</v>
      </c>
      <c r="C109" t="str">
        <f>IF(ISBLANK(MAIN!C109), "--", IFERROR(PROPER(SUBSTITUTE(SUBSTITUTE(SUBSTITUTE(SUBSTITUTE(SUBSTITUTE(SUBSTITUTE(SUBSTITUTE(SUBSTITUTE(SUBSTITUTE(SUBSTITUTE(LEFT(MAIN!C109, FIND(",",MAIN!C109) -1), "0", ""), "1", ""), "2", ""), "3", ""), "4", ""), "5", ""), "6", ""), "7", ""), "8", ""), "9", "")), PROPER(SUBSTITUTE(SUBSTITUTE(SUBSTITUTE(SUBSTITUTE(SUBSTITUTE(SUBSTITUTE(SUBSTITUTE(SUBSTITUTE(SUBSTITUTE(SUBSTITUTE(MAIN!C109, "0", ""), "1", ""), "2", ""), "3", ""), "4", ""), "5", ""), "6", ""), "7", ""), "8", ""), "9", ""))))</f>
        <v>--</v>
      </c>
      <c r="D109" t="str">
        <f>IF(ISBLANK(MAIN!D109), "--", IF(ISNUMBER(MATCH(SUBSTITUTE(LEFT(MAIN!D109, IFERROR(FIND(",", MAIN!D109)-1, LEN(MAIN!D109))), " ", ""), lookup_values!$B$2:$B$51, 0)), UPPER(SUBSTITUTE(LEFT(MAIN!D109, IFERROR(FIND(",", MAIN!D109)-1, LEN(MAIN!D109))), " ", "")), IF(ISNA(VLOOKUP(SUBSTITUTE(LEFT(MAIN!D109, IFERROR(FIND(",", MAIN!D109)-1, LEN(MAIN!D109))), " ", ""), lookup_values!$A$2:$B$51, 2, FALSE)), "--", VLOOKUP(SUBSTITUTE(LEFT(MAIN!D109, IFERROR(FIND(",", MAIN!D109)-1, LEN(MAIN!D109))), " ", ""), lookup_values!$A$2:$B$51, 2, FALSE))))</f>
        <v>--</v>
      </c>
      <c r="E109" t="str">
        <f>IF(CLEAN_DATA!D109&lt;&gt;"--","US",IF(ISBLANK(MAIN!E109), "--", IF(ISNUMBER(MATCH(SUBSTITUTE(LEFT(MAIN!E109, IFERROR(FIND(",", MAIN!E109)-1, LEN(MAIN!E109))), " ", ""), lookup_values!$E$2:$E$197, 0)), UPPER(SUBSTITUTE(LEFT(MAIN!E109, IFERROR(FIND(",", MAIN!E109)-1, LEN(MAIN!E109))), " ", "")), IF(ISNA(VLOOKUP(SUBSTITUTE(LEFT(MAIN!E109, IFERROR(FIND(",", MAIN!E109)-1, LEN(MAIN!E109))), " ", ""), lookup_values!$D$2:$E$197, 2, FALSE)), "--", VLOOKUP(SUBSTITUTE(LEFT(MAIN!E109, IFERROR(FIND(",", MAIN!E109)-1, LEN(MAIN!E109))), " ", ""), lookup_values!$D$2:$E$197, 2, FALSE)))))</f>
        <v>--</v>
      </c>
      <c r="F109" t="str">
        <f>IF(ISBLANK(MAIN!F109), "", IF(AND(ISNUMBER(VALUE(TRIM(MAIN!F109))), LEN(TRIM(MAIN!F109))=4), VALUE(TRIM(MAIN!F109)), ""))</f>
        <v/>
      </c>
      <c r="G109">
        <f>IF(ISBLANK(MAIN!G109), 0, IF(ISNUMBER(VALUE(TRIM(MAIN!G109))), VALUE(TRIM(MAIN!G109)), 0))</f>
        <v>0</v>
      </c>
      <c r="H109">
        <f>IF(ISBLANK(MAIN!H109), 0, IF(ISNUMBER(VALUE(TRIM(MAIN!H109))), VALUE(TRIM(MAIN!H109)), 0))</f>
        <v>0</v>
      </c>
      <c r="I109">
        <f>IF(ISBLANK(MAIN!I109), 0, IF(ISNUMBER(VALUE(TRIM(MAIN!I109))), VALUE(TRIM(MAIN!I109)), 0))</f>
        <v>0</v>
      </c>
      <c r="J109">
        <f>IF(ISBLANK(MAIN!J109), 0, IF(ISNUMBER(VALUE(TRIM(MAIN!J109))), VALUE(TRIM(MAIN!J109)), 0))</f>
        <v>0</v>
      </c>
      <c r="K109" cm="1">
        <f t="array" ref="K109">IFERROR(
    VALUE(
        IFERROR(
            UPPER(
                IF(MAX(IFERROR(SEARCH("WD",MAIN!G109:J109), 0))&gt;0, "WD",
                IF(MAX(IFERROR(SEARCH("NS",MAIN!G109:J109), 0))&gt;0, "NS",
                IF(MAX(IFERROR(SEARCH("NC",MAIN!G109:J109), 0))&gt;0, "NC",
                IF(MAX(IFERROR(SEARCH("DQ",MAIN!G109:J109), 0))&gt;0, "DQ",
                IF(ISNUMBER(SEARCH("WD",MAIN!K109)), "WD",
                IF(ISNUMBER(SEARCH("NS",MAIN!K109)), "NS",
                IF(ISNUMBER(SEARCH("NC",MAIN!K109)), "NC",
                IF(ISNUMBER(SEARCH("DQ",MAIN!K109)), "DQ",
                IF(ISNUMBER(SEARCH("A",MAIN!K109)), 0,
                IF(OR(MAIN!K109=0,MAIN!K109=""), 0, --TRIM(MAIN!K109)))))))))))),
            0
        )
    ),
    IFERROR(
        UPPER(
            IF(MAX(IFERROR(SEARCH("WD",MAIN!G109:J109), 0))&gt;0, "WD",
            IF(MAX(IFERROR(SEARCH("NS",MAIN!G109:J109), 0))&gt;0, "NS",
            IF(MAX(IFERROR(SEARCH("NC",MAIN!G109:J109), 0))&gt;0, "NC",
            IF(MAX(IFERROR(SEARCH("DQ",MAIN!G109:J109), 0))&gt;0, "DQ",
            IF(ISNUMBER(SEARCH("WD",MAIN!K109)), "WD",
            IF(ISNUMBER(SEARCH("NS",MAIN!K109)), "NS",
            IF(ISNUMBER(SEARCH("NC",MAIN!K109)), "NC",
            IF(ISNUMBER(SEARCH("DQ",MAIN!K109)), "DQ",
            IF(ISNUMBER(SEARCH("A",MAIN!K109)), 0,
            IF(OR(MAIN!K109=0,MAIN!K109=""), 0, --TRIM(MAIN!K109)))))))))))),
        0
    )
)</f>
        <v>0</v>
      </c>
    </row>
    <row r="110" spans="1:11" x14ac:dyDescent="0.25">
      <c r="A110" t="str">
        <f>IF(ISBLANK(MAIN!A110), "--", IFERROR(PROPER(SUBSTITUTE(SUBSTITUTE(SUBSTITUTE(SUBSTITUTE(SUBSTITUTE(SUBSTITUTE(SUBSTITUTE(SUBSTITUTE(SUBSTITUTE(SUBSTITUTE(LEFT(MAIN!A110, FIND(",",MAIN!A110) -1), "0", ""), "1", ""), "2", ""), "3", ""), "4", ""), "5", ""), "6", ""), "7", ""), "8", ""), "9", "")), PROPER(SUBSTITUTE(SUBSTITUTE(SUBSTITUTE(SUBSTITUTE(SUBSTITUTE(SUBSTITUTE(SUBSTITUTE(SUBSTITUTE(SUBSTITUTE(SUBSTITUTE(MAIN!A110, "0", ""), "1", ""), "2", ""), "3", ""), "4", ""), "5", ""), "6", ""), "7", ""), "8", ""), "9", ""))))</f>
        <v>--</v>
      </c>
      <c r="B110" t="str">
        <f>IF(ISBLANK(MAIN!B110), "--", IFERROR(PROPER(SUBSTITUTE(SUBSTITUTE(SUBSTITUTE(SUBSTITUTE(SUBSTITUTE(SUBSTITUTE(SUBSTITUTE(SUBSTITUTE(SUBSTITUTE(SUBSTITUTE(LEFT(MAIN!B110, FIND(",",MAIN!B110) -1), "0", ""), "1", ""), "2", ""), "3", ""), "4", ""), "5", ""), "6", ""), "7", ""), "8", ""), "9", "")), PROPER(SUBSTITUTE(SUBSTITUTE(SUBSTITUTE(SUBSTITUTE(SUBSTITUTE(SUBSTITUTE(SUBSTITUTE(SUBSTITUTE(SUBSTITUTE(SUBSTITUTE(MAIN!B110, "0", ""), "1", ""), "2", ""), "3", ""), "4", ""), "5", ""), "6", ""), "7", ""), "8", ""), "9", ""))))</f>
        <v>--</v>
      </c>
      <c r="C110" t="str">
        <f>IF(ISBLANK(MAIN!C110), "--", IFERROR(PROPER(SUBSTITUTE(SUBSTITUTE(SUBSTITUTE(SUBSTITUTE(SUBSTITUTE(SUBSTITUTE(SUBSTITUTE(SUBSTITUTE(SUBSTITUTE(SUBSTITUTE(LEFT(MAIN!C110, FIND(",",MAIN!C110) -1), "0", ""), "1", ""), "2", ""), "3", ""), "4", ""), "5", ""), "6", ""), "7", ""), "8", ""), "9", "")), PROPER(SUBSTITUTE(SUBSTITUTE(SUBSTITUTE(SUBSTITUTE(SUBSTITUTE(SUBSTITUTE(SUBSTITUTE(SUBSTITUTE(SUBSTITUTE(SUBSTITUTE(MAIN!C110, "0", ""), "1", ""), "2", ""), "3", ""), "4", ""), "5", ""), "6", ""), "7", ""), "8", ""), "9", ""))))</f>
        <v>--</v>
      </c>
      <c r="D110" t="str">
        <f>IF(ISBLANK(MAIN!D110), "--", IF(ISNUMBER(MATCH(SUBSTITUTE(LEFT(MAIN!D110, IFERROR(FIND(",", MAIN!D110)-1, LEN(MAIN!D110))), " ", ""), lookup_values!$B$2:$B$51, 0)), UPPER(SUBSTITUTE(LEFT(MAIN!D110, IFERROR(FIND(",", MAIN!D110)-1, LEN(MAIN!D110))), " ", "")), IF(ISNA(VLOOKUP(SUBSTITUTE(LEFT(MAIN!D110, IFERROR(FIND(",", MAIN!D110)-1, LEN(MAIN!D110))), " ", ""), lookup_values!$A$2:$B$51, 2, FALSE)), "--", VLOOKUP(SUBSTITUTE(LEFT(MAIN!D110, IFERROR(FIND(",", MAIN!D110)-1, LEN(MAIN!D110))), " ", ""), lookup_values!$A$2:$B$51, 2, FALSE))))</f>
        <v>--</v>
      </c>
      <c r="E110" t="str">
        <f>IF(CLEAN_DATA!D110&lt;&gt;"--","US",IF(ISBLANK(MAIN!E110), "--", IF(ISNUMBER(MATCH(SUBSTITUTE(LEFT(MAIN!E110, IFERROR(FIND(",", MAIN!E110)-1, LEN(MAIN!E110))), " ", ""), lookup_values!$E$2:$E$197, 0)), UPPER(SUBSTITUTE(LEFT(MAIN!E110, IFERROR(FIND(",", MAIN!E110)-1, LEN(MAIN!E110))), " ", "")), IF(ISNA(VLOOKUP(SUBSTITUTE(LEFT(MAIN!E110, IFERROR(FIND(",", MAIN!E110)-1, LEN(MAIN!E110))), " ", ""), lookup_values!$D$2:$E$197, 2, FALSE)), "--", VLOOKUP(SUBSTITUTE(LEFT(MAIN!E110, IFERROR(FIND(",", MAIN!E110)-1, LEN(MAIN!E110))), " ", ""), lookup_values!$D$2:$E$197, 2, FALSE)))))</f>
        <v>--</v>
      </c>
      <c r="F110" t="str">
        <f>IF(ISBLANK(MAIN!F110), "", IF(AND(ISNUMBER(VALUE(TRIM(MAIN!F110))), LEN(TRIM(MAIN!F110))=4), VALUE(TRIM(MAIN!F110)), ""))</f>
        <v/>
      </c>
      <c r="G110">
        <f>IF(ISBLANK(MAIN!G110), 0, IF(ISNUMBER(VALUE(TRIM(MAIN!G110))), VALUE(TRIM(MAIN!G110)), 0))</f>
        <v>0</v>
      </c>
      <c r="H110">
        <f>IF(ISBLANK(MAIN!H110), 0, IF(ISNUMBER(VALUE(TRIM(MAIN!H110))), VALUE(TRIM(MAIN!H110)), 0))</f>
        <v>0</v>
      </c>
      <c r="I110">
        <f>IF(ISBLANK(MAIN!I110), 0, IF(ISNUMBER(VALUE(TRIM(MAIN!I110))), VALUE(TRIM(MAIN!I110)), 0))</f>
        <v>0</v>
      </c>
      <c r="J110">
        <f>IF(ISBLANK(MAIN!J110), 0, IF(ISNUMBER(VALUE(TRIM(MAIN!J110))), VALUE(TRIM(MAIN!J110)), 0))</f>
        <v>0</v>
      </c>
      <c r="K110" cm="1">
        <f t="array" ref="K110">IFERROR(
    VALUE(
        IFERROR(
            UPPER(
                IF(MAX(IFERROR(SEARCH("WD",MAIN!G110:J110), 0))&gt;0, "WD",
                IF(MAX(IFERROR(SEARCH("NS",MAIN!G110:J110), 0))&gt;0, "NS",
                IF(MAX(IFERROR(SEARCH("NC",MAIN!G110:J110), 0))&gt;0, "NC",
                IF(MAX(IFERROR(SEARCH("DQ",MAIN!G110:J110), 0))&gt;0, "DQ",
                IF(ISNUMBER(SEARCH("WD",MAIN!K110)), "WD",
                IF(ISNUMBER(SEARCH("NS",MAIN!K110)), "NS",
                IF(ISNUMBER(SEARCH("NC",MAIN!K110)), "NC",
                IF(ISNUMBER(SEARCH("DQ",MAIN!K110)), "DQ",
                IF(ISNUMBER(SEARCH("A",MAIN!K110)), 0,
                IF(OR(MAIN!K110=0,MAIN!K110=""), 0, --TRIM(MAIN!K110)))))))))))),
            0
        )
    ),
    IFERROR(
        UPPER(
            IF(MAX(IFERROR(SEARCH("WD",MAIN!G110:J110), 0))&gt;0, "WD",
            IF(MAX(IFERROR(SEARCH("NS",MAIN!G110:J110), 0))&gt;0, "NS",
            IF(MAX(IFERROR(SEARCH("NC",MAIN!G110:J110), 0))&gt;0, "NC",
            IF(MAX(IFERROR(SEARCH("DQ",MAIN!G110:J110), 0))&gt;0, "DQ",
            IF(ISNUMBER(SEARCH("WD",MAIN!K110)), "WD",
            IF(ISNUMBER(SEARCH("NS",MAIN!K110)), "NS",
            IF(ISNUMBER(SEARCH("NC",MAIN!K110)), "NC",
            IF(ISNUMBER(SEARCH("DQ",MAIN!K110)), "DQ",
            IF(ISNUMBER(SEARCH("A",MAIN!K110)), 0,
            IF(OR(MAIN!K110=0,MAIN!K110=""), 0, --TRIM(MAIN!K110)))))))))))),
        0
    )
)</f>
        <v>0</v>
      </c>
    </row>
    <row r="111" spans="1:11" x14ac:dyDescent="0.25">
      <c r="A111" t="str">
        <f>IF(ISBLANK(MAIN!A111), "--", IFERROR(PROPER(SUBSTITUTE(SUBSTITUTE(SUBSTITUTE(SUBSTITUTE(SUBSTITUTE(SUBSTITUTE(SUBSTITUTE(SUBSTITUTE(SUBSTITUTE(SUBSTITUTE(LEFT(MAIN!A111, FIND(",",MAIN!A111) -1), "0", ""), "1", ""), "2", ""), "3", ""), "4", ""), "5", ""), "6", ""), "7", ""), "8", ""), "9", "")), PROPER(SUBSTITUTE(SUBSTITUTE(SUBSTITUTE(SUBSTITUTE(SUBSTITUTE(SUBSTITUTE(SUBSTITUTE(SUBSTITUTE(SUBSTITUTE(SUBSTITUTE(MAIN!A111, "0", ""), "1", ""), "2", ""), "3", ""), "4", ""), "5", ""), "6", ""), "7", ""), "8", ""), "9", ""))))</f>
        <v>--</v>
      </c>
      <c r="B111" t="str">
        <f>IF(ISBLANK(MAIN!B111), "--", IFERROR(PROPER(SUBSTITUTE(SUBSTITUTE(SUBSTITUTE(SUBSTITUTE(SUBSTITUTE(SUBSTITUTE(SUBSTITUTE(SUBSTITUTE(SUBSTITUTE(SUBSTITUTE(LEFT(MAIN!B111, FIND(",",MAIN!B111) -1), "0", ""), "1", ""), "2", ""), "3", ""), "4", ""), "5", ""), "6", ""), "7", ""), "8", ""), "9", "")), PROPER(SUBSTITUTE(SUBSTITUTE(SUBSTITUTE(SUBSTITUTE(SUBSTITUTE(SUBSTITUTE(SUBSTITUTE(SUBSTITUTE(SUBSTITUTE(SUBSTITUTE(MAIN!B111, "0", ""), "1", ""), "2", ""), "3", ""), "4", ""), "5", ""), "6", ""), "7", ""), "8", ""), "9", ""))))</f>
        <v>--</v>
      </c>
      <c r="C111" t="str">
        <f>IF(ISBLANK(MAIN!C111), "--", IFERROR(PROPER(SUBSTITUTE(SUBSTITUTE(SUBSTITUTE(SUBSTITUTE(SUBSTITUTE(SUBSTITUTE(SUBSTITUTE(SUBSTITUTE(SUBSTITUTE(SUBSTITUTE(LEFT(MAIN!C111, FIND(",",MAIN!C111) -1), "0", ""), "1", ""), "2", ""), "3", ""), "4", ""), "5", ""), "6", ""), "7", ""), "8", ""), "9", "")), PROPER(SUBSTITUTE(SUBSTITUTE(SUBSTITUTE(SUBSTITUTE(SUBSTITUTE(SUBSTITUTE(SUBSTITUTE(SUBSTITUTE(SUBSTITUTE(SUBSTITUTE(MAIN!C111, "0", ""), "1", ""), "2", ""), "3", ""), "4", ""), "5", ""), "6", ""), "7", ""), "8", ""), "9", ""))))</f>
        <v>--</v>
      </c>
      <c r="D111" t="str">
        <f>IF(ISBLANK(MAIN!D111), "--", IF(ISNUMBER(MATCH(SUBSTITUTE(LEFT(MAIN!D111, IFERROR(FIND(",", MAIN!D111)-1, LEN(MAIN!D111))), " ", ""), lookup_values!$B$2:$B$51, 0)), UPPER(SUBSTITUTE(LEFT(MAIN!D111, IFERROR(FIND(",", MAIN!D111)-1, LEN(MAIN!D111))), " ", "")), IF(ISNA(VLOOKUP(SUBSTITUTE(LEFT(MAIN!D111, IFERROR(FIND(",", MAIN!D111)-1, LEN(MAIN!D111))), " ", ""), lookup_values!$A$2:$B$51, 2, FALSE)), "--", VLOOKUP(SUBSTITUTE(LEFT(MAIN!D111, IFERROR(FIND(",", MAIN!D111)-1, LEN(MAIN!D111))), " ", ""), lookup_values!$A$2:$B$51, 2, FALSE))))</f>
        <v>--</v>
      </c>
      <c r="E111" t="str">
        <f>IF(CLEAN_DATA!D111&lt;&gt;"--","US",IF(ISBLANK(MAIN!E111), "--", IF(ISNUMBER(MATCH(SUBSTITUTE(LEFT(MAIN!E111, IFERROR(FIND(",", MAIN!E111)-1, LEN(MAIN!E111))), " ", ""), lookup_values!$E$2:$E$197, 0)), UPPER(SUBSTITUTE(LEFT(MAIN!E111, IFERROR(FIND(",", MAIN!E111)-1, LEN(MAIN!E111))), " ", "")), IF(ISNA(VLOOKUP(SUBSTITUTE(LEFT(MAIN!E111, IFERROR(FIND(",", MAIN!E111)-1, LEN(MAIN!E111))), " ", ""), lookup_values!$D$2:$E$197, 2, FALSE)), "--", VLOOKUP(SUBSTITUTE(LEFT(MAIN!E111, IFERROR(FIND(",", MAIN!E111)-1, LEN(MAIN!E111))), " ", ""), lookup_values!$D$2:$E$197, 2, FALSE)))))</f>
        <v>--</v>
      </c>
      <c r="F111" t="str">
        <f>IF(ISBLANK(MAIN!F111), "", IF(AND(ISNUMBER(VALUE(TRIM(MAIN!F111))), LEN(TRIM(MAIN!F111))=4), VALUE(TRIM(MAIN!F111)), ""))</f>
        <v/>
      </c>
      <c r="G111">
        <f>IF(ISBLANK(MAIN!G111), 0, IF(ISNUMBER(VALUE(TRIM(MAIN!G111))), VALUE(TRIM(MAIN!G111)), 0))</f>
        <v>0</v>
      </c>
      <c r="H111">
        <f>IF(ISBLANK(MAIN!H111), 0, IF(ISNUMBER(VALUE(TRIM(MAIN!H111))), VALUE(TRIM(MAIN!H111)), 0))</f>
        <v>0</v>
      </c>
      <c r="I111">
        <f>IF(ISBLANK(MAIN!I111), 0, IF(ISNUMBER(VALUE(TRIM(MAIN!I111))), VALUE(TRIM(MAIN!I111)), 0))</f>
        <v>0</v>
      </c>
      <c r="J111">
        <f>IF(ISBLANK(MAIN!J111), 0, IF(ISNUMBER(VALUE(TRIM(MAIN!J111))), VALUE(TRIM(MAIN!J111)), 0))</f>
        <v>0</v>
      </c>
      <c r="K111" cm="1">
        <f t="array" ref="K111">IFERROR(
    VALUE(
        IFERROR(
            UPPER(
                IF(MAX(IFERROR(SEARCH("WD",MAIN!G111:J111), 0))&gt;0, "WD",
                IF(MAX(IFERROR(SEARCH("NS",MAIN!G111:J111), 0))&gt;0, "NS",
                IF(MAX(IFERROR(SEARCH("NC",MAIN!G111:J111), 0))&gt;0, "NC",
                IF(MAX(IFERROR(SEARCH("DQ",MAIN!G111:J111), 0))&gt;0, "DQ",
                IF(ISNUMBER(SEARCH("WD",MAIN!K111)), "WD",
                IF(ISNUMBER(SEARCH("NS",MAIN!K111)), "NS",
                IF(ISNUMBER(SEARCH("NC",MAIN!K111)), "NC",
                IF(ISNUMBER(SEARCH("DQ",MAIN!K111)), "DQ",
                IF(ISNUMBER(SEARCH("A",MAIN!K111)), 0,
                IF(OR(MAIN!K111=0,MAIN!K111=""), 0, --TRIM(MAIN!K111)))))))))))),
            0
        )
    ),
    IFERROR(
        UPPER(
            IF(MAX(IFERROR(SEARCH("WD",MAIN!G111:J111), 0))&gt;0, "WD",
            IF(MAX(IFERROR(SEARCH("NS",MAIN!G111:J111), 0))&gt;0, "NS",
            IF(MAX(IFERROR(SEARCH("NC",MAIN!G111:J111), 0))&gt;0, "NC",
            IF(MAX(IFERROR(SEARCH("DQ",MAIN!G111:J111), 0))&gt;0, "DQ",
            IF(ISNUMBER(SEARCH("WD",MAIN!K111)), "WD",
            IF(ISNUMBER(SEARCH("NS",MAIN!K111)), "NS",
            IF(ISNUMBER(SEARCH("NC",MAIN!K111)), "NC",
            IF(ISNUMBER(SEARCH("DQ",MAIN!K111)), "DQ",
            IF(ISNUMBER(SEARCH("A",MAIN!K111)), 0,
            IF(OR(MAIN!K111=0,MAIN!K111=""), 0, --TRIM(MAIN!K111)))))))))))),
        0
    )
)</f>
        <v>0</v>
      </c>
    </row>
    <row r="112" spans="1:11" x14ac:dyDescent="0.25">
      <c r="A112" t="str">
        <f>IF(ISBLANK(MAIN!A112), "--", IFERROR(PROPER(SUBSTITUTE(SUBSTITUTE(SUBSTITUTE(SUBSTITUTE(SUBSTITUTE(SUBSTITUTE(SUBSTITUTE(SUBSTITUTE(SUBSTITUTE(SUBSTITUTE(LEFT(MAIN!A112, FIND(",",MAIN!A112) -1), "0", ""), "1", ""), "2", ""), "3", ""), "4", ""), "5", ""), "6", ""), "7", ""), "8", ""), "9", "")), PROPER(SUBSTITUTE(SUBSTITUTE(SUBSTITUTE(SUBSTITUTE(SUBSTITUTE(SUBSTITUTE(SUBSTITUTE(SUBSTITUTE(SUBSTITUTE(SUBSTITUTE(MAIN!A112, "0", ""), "1", ""), "2", ""), "3", ""), "4", ""), "5", ""), "6", ""), "7", ""), "8", ""), "9", ""))))</f>
        <v>--</v>
      </c>
      <c r="B112" t="str">
        <f>IF(ISBLANK(MAIN!B112), "--", IFERROR(PROPER(SUBSTITUTE(SUBSTITUTE(SUBSTITUTE(SUBSTITUTE(SUBSTITUTE(SUBSTITUTE(SUBSTITUTE(SUBSTITUTE(SUBSTITUTE(SUBSTITUTE(LEFT(MAIN!B112, FIND(",",MAIN!B112) -1), "0", ""), "1", ""), "2", ""), "3", ""), "4", ""), "5", ""), "6", ""), "7", ""), "8", ""), "9", "")), PROPER(SUBSTITUTE(SUBSTITUTE(SUBSTITUTE(SUBSTITUTE(SUBSTITUTE(SUBSTITUTE(SUBSTITUTE(SUBSTITUTE(SUBSTITUTE(SUBSTITUTE(MAIN!B112, "0", ""), "1", ""), "2", ""), "3", ""), "4", ""), "5", ""), "6", ""), "7", ""), "8", ""), "9", ""))))</f>
        <v>--</v>
      </c>
      <c r="C112" t="str">
        <f>IF(ISBLANK(MAIN!C112), "--", IFERROR(PROPER(SUBSTITUTE(SUBSTITUTE(SUBSTITUTE(SUBSTITUTE(SUBSTITUTE(SUBSTITUTE(SUBSTITUTE(SUBSTITUTE(SUBSTITUTE(SUBSTITUTE(LEFT(MAIN!C112, FIND(",",MAIN!C112) -1), "0", ""), "1", ""), "2", ""), "3", ""), "4", ""), "5", ""), "6", ""), "7", ""), "8", ""), "9", "")), PROPER(SUBSTITUTE(SUBSTITUTE(SUBSTITUTE(SUBSTITUTE(SUBSTITUTE(SUBSTITUTE(SUBSTITUTE(SUBSTITUTE(SUBSTITUTE(SUBSTITUTE(MAIN!C112, "0", ""), "1", ""), "2", ""), "3", ""), "4", ""), "5", ""), "6", ""), "7", ""), "8", ""), "9", ""))))</f>
        <v>--</v>
      </c>
      <c r="D112" t="str">
        <f>IF(ISBLANK(MAIN!D112), "--", IF(ISNUMBER(MATCH(SUBSTITUTE(LEFT(MAIN!D112, IFERROR(FIND(",", MAIN!D112)-1, LEN(MAIN!D112))), " ", ""), lookup_values!$B$2:$B$51, 0)), UPPER(SUBSTITUTE(LEFT(MAIN!D112, IFERROR(FIND(",", MAIN!D112)-1, LEN(MAIN!D112))), " ", "")), IF(ISNA(VLOOKUP(SUBSTITUTE(LEFT(MAIN!D112, IFERROR(FIND(",", MAIN!D112)-1, LEN(MAIN!D112))), " ", ""), lookup_values!$A$2:$B$51, 2, FALSE)), "--", VLOOKUP(SUBSTITUTE(LEFT(MAIN!D112, IFERROR(FIND(",", MAIN!D112)-1, LEN(MAIN!D112))), " ", ""), lookup_values!$A$2:$B$51, 2, FALSE))))</f>
        <v>--</v>
      </c>
      <c r="E112" t="str">
        <f>IF(CLEAN_DATA!D112&lt;&gt;"--","US",IF(ISBLANK(MAIN!E112), "--", IF(ISNUMBER(MATCH(SUBSTITUTE(LEFT(MAIN!E112, IFERROR(FIND(",", MAIN!E112)-1, LEN(MAIN!E112))), " ", ""), lookup_values!$E$2:$E$197, 0)), UPPER(SUBSTITUTE(LEFT(MAIN!E112, IFERROR(FIND(",", MAIN!E112)-1, LEN(MAIN!E112))), " ", "")), IF(ISNA(VLOOKUP(SUBSTITUTE(LEFT(MAIN!E112, IFERROR(FIND(",", MAIN!E112)-1, LEN(MAIN!E112))), " ", ""), lookup_values!$D$2:$E$197, 2, FALSE)), "--", VLOOKUP(SUBSTITUTE(LEFT(MAIN!E112, IFERROR(FIND(",", MAIN!E112)-1, LEN(MAIN!E112))), " ", ""), lookup_values!$D$2:$E$197, 2, FALSE)))))</f>
        <v>--</v>
      </c>
      <c r="F112" t="str">
        <f>IF(ISBLANK(MAIN!F112), "", IF(AND(ISNUMBER(VALUE(TRIM(MAIN!F112))), LEN(TRIM(MAIN!F112))=4), VALUE(TRIM(MAIN!F112)), ""))</f>
        <v/>
      </c>
      <c r="G112">
        <f>IF(ISBLANK(MAIN!G112), 0, IF(ISNUMBER(VALUE(TRIM(MAIN!G112))), VALUE(TRIM(MAIN!G112)), 0))</f>
        <v>0</v>
      </c>
      <c r="H112">
        <f>IF(ISBLANK(MAIN!H112), 0, IF(ISNUMBER(VALUE(TRIM(MAIN!H112))), VALUE(TRIM(MAIN!H112)), 0))</f>
        <v>0</v>
      </c>
      <c r="I112">
        <f>IF(ISBLANK(MAIN!I112), 0, IF(ISNUMBER(VALUE(TRIM(MAIN!I112))), VALUE(TRIM(MAIN!I112)), 0))</f>
        <v>0</v>
      </c>
      <c r="J112">
        <f>IF(ISBLANK(MAIN!J112), 0, IF(ISNUMBER(VALUE(TRIM(MAIN!J112))), VALUE(TRIM(MAIN!J112)), 0))</f>
        <v>0</v>
      </c>
      <c r="K112" cm="1">
        <f t="array" ref="K112">IFERROR(
    VALUE(
        IFERROR(
            UPPER(
                IF(MAX(IFERROR(SEARCH("WD",MAIN!G112:J112), 0))&gt;0, "WD",
                IF(MAX(IFERROR(SEARCH("NS",MAIN!G112:J112), 0))&gt;0, "NS",
                IF(MAX(IFERROR(SEARCH("NC",MAIN!G112:J112), 0))&gt;0, "NC",
                IF(MAX(IFERROR(SEARCH("DQ",MAIN!G112:J112), 0))&gt;0, "DQ",
                IF(ISNUMBER(SEARCH("WD",MAIN!K112)), "WD",
                IF(ISNUMBER(SEARCH("NS",MAIN!K112)), "NS",
                IF(ISNUMBER(SEARCH("NC",MAIN!K112)), "NC",
                IF(ISNUMBER(SEARCH("DQ",MAIN!K112)), "DQ",
                IF(ISNUMBER(SEARCH("A",MAIN!K112)), 0,
                IF(OR(MAIN!K112=0,MAIN!K112=""), 0, --TRIM(MAIN!K112)))))))))))),
            0
        )
    ),
    IFERROR(
        UPPER(
            IF(MAX(IFERROR(SEARCH("WD",MAIN!G112:J112), 0))&gt;0, "WD",
            IF(MAX(IFERROR(SEARCH("NS",MAIN!G112:J112), 0))&gt;0, "NS",
            IF(MAX(IFERROR(SEARCH("NC",MAIN!G112:J112), 0))&gt;0, "NC",
            IF(MAX(IFERROR(SEARCH("DQ",MAIN!G112:J112), 0))&gt;0, "DQ",
            IF(ISNUMBER(SEARCH("WD",MAIN!K112)), "WD",
            IF(ISNUMBER(SEARCH("NS",MAIN!K112)), "NS",
            IF(ISNUMBER(SEARCH("NC",MAIN!K112)), "NC",
            IF(ISNUMBER(SEARCH("DQ",MAIN!K112)), "DQ",
            IF(ISNUMBER(SEARCH("A",MAIN!K112)), 0,
            IF(OR(MAIN!K112=0,MAIN!K112=""), 0, --TRIM(MAIN!K112)))))))))))),
        0
    )
)</f>
        <v>0</v>
      </c>
    </row>
    <row r="113" spans="1:11" x14ac:dyDescent="0.25">
      <c r="A113" t="str">
        <f>IF(ISBLANK(MAIN!A113), "--", IFERROR(PROPER(SUBSTITUTE(SUBSTITUTE(SUBSTITUTE(SUBSTITUTE(SUBSTITUTE(SUBSTITUTE(SUBSTITUTE(SUBSTITUTE(SUBSTITUTE(SUBSTITUTE(LEFT(MAIN!A113, FIND(",",MAIN!A113) -1), "0", ""), "1", ""), "2", ""), "3", ""), "4", ""), "5", ""), "6", ""), "7", ""), "8", ""), "9", "")), PROPER(SUBSTITUTE(SUBSTITUTE(SUBSTITUTE(SUBSTITUTE(SUBSTITUTE(SUBSTITUTE(SUBSTITUTE(SUBSTITUTE(SUBSTITUTE(SUBSTITUTE(MAIN!A113, "0", ""), "1", ""), "2", ""), "3", ""), "4", ""), "5", ""), "6", ""), "7", ""), "8", ""), "9", ""))))</f>
        <v>--</v>
      </c>
      <c r="B113" t="str">
        <f>IF(ISBLANK(MAIN!B113), "--", IFERROR(PROPER(SUBSTITUTE(SUBSTITUTE(SUBSTITUTE(SUBSTITUTE(SUBSTITUTE(SUBSTITUTE(SUBSTITUTE(SUBSTITUTE(SUBSTITUTE(SUBSTITUTE(LEFT(MAIN!B113, FIND(",",MAIN!B113) -1), "0", ""), "1", ""), "2", ""), "3", ""), "4", ""), "5", ""), "6", ""), "7", ""), "8", ""), "9", "")), PROPER(SUBSTITUTE(SUBSTITUTE(SUBSTITUTE(SUBSTITUTE(SUBSTITUTE(SUBSTITUTE(SUBSTITUTE(SUBSTITUTE(SUBSTITUTE(SUBSTITUTE(MAIN!B113, "0", ""), "1", ""), "2", ""), "3", ""), "4", ""), "5", ""), "6", ""), "7", ""), "8", ""), "9", ""))))</f>
        <v>--</v>
      </c>
      <c r="C113" t="str">
        <f>IF(ISBLANK(MAIN!C113), "--", IFERROR(PROPER(SUBSTITUTE(SUBSTITUTE(SUBSTITUTE(SUBSTITUTE(SUBSTITUTE(SUBSTITUTE(SUBSTITUTE(SUBSTITUTE(SUBSTITUTE(SUBSTITUTE(LEFT(MAIN!C113, FIND(",",MAIN!C113) -1), "0", ""), "1", ""), "2", ""), "3", ""), "4", ""), "5", ""), "6", ""), "7", ""), "8", ""), "9", "")), PROPER(SUBSTITUTE(SUBSTITUTE(SUBSTITUTE(SUBSTITUTE(SUBSTITUTE(SUBSTITUTE(SUBSTITUTE(SUBSTITUTE(SUBSTITUTE(SUBSTITUTE(MAIN!C113, "0", ""), "1", ""), "2", ""), "3", ""), "4", ""), "5", ""), "6", ""), "7", ""), "8", ""), "9", ""))))</f>
        <v>--</v>
      </c>
      <c r="D113" t="str">
        <f>IF(ISBLANK(MAIN!D113), "--", IF(ISNUMBER(MATCH(SUBSTITUTE(LEFT(MAIN!D113, IFERROR(FIND(",", MAIN!D113)-1, LEN(MAIN!D113))), " ", ""), lookup_values!$B$2:$B$51, 0)), UPPER(SUBSTITUTE(LEFT(MAIN!D113, IFERROR(FIND(",", MAIN!D113)-1, LEN(MAIN!D113))), " ", "")), IF(ISNA(VLOOKUP(SUBSTITUTE(LEFT(MAIN!D113, IFERROR(FIND(",", MAIN!D113)-1, LEN(MAIN!D113))), " ", ""), lookup_values!$A$2:$B$51, 2, FALSE)), "--", VLOOKUP(SUBSTITUTE(LEFT(MAIN!D113, IFERROR(FIND(",", MAIN!D113)-1, LEN(MAIN!D113))), " ", ""), lookup_values!$A$2:$B$51, 2, FALSE))))</f>
        <v>--</v>
      </c>
      <c r="E113" t="str">
        <f>IF(CLEAN_DATA!D113&lt;&gt;"--","US",IF(ISBLANK(MAIN!E113), "--", IF(ISNUMBER(MATCH(SUBSTITUTE(LEFT(MAIN!E113, IFERROR(FIND(",", MAIN!E113)-1, LEN(MAIN!E113))), " ", ""), lookup_values!$E$2:$E$197, 0)), UPPER(SUBSTITUTE(LEFT(MAIN!E113, IFERROR(FIND(",", MAIN!E113)-1, LEN(MAIN!E113))), " ", "")), IF(ISNA(VLOOKUP(SUBSTITUTE(LEFT(MAIN!E113, IFERROR(FIND(",", MAIN!E113)-1, LEN(MAIN!E113))), " ", ""), lookup_values!$D$2:$E$197, 2, FALSE)), "--", VLOOKUP(SUBSTITUTE(LEFT(MAIN!E113, IFERROR(FIND(",", MAIN!E113)-1, LEN(MAIN!E113))), " ", ""), lookup_values!$D$2:$E$197, 2, FALSE)))))</f>
        <v>--</v>
      </c>
      <c r="F113" t="str">
        <f>IF(ISBLANK(MAIN!F113), "", IF(AND(ISNUMBER(VALUE(TRIM(MAIN!F113))), LEN(TRIM(MAIN!F113))=4), VALUE(TRIM(MAIN!F113)), ""))</f>
        <v/>
      </c>
      <c r="G113">
        <f>IF(ISBLANK(MAIN!G113), 0, IF(ISNUMBER(VALUE(TRIM(MAIN!G113))), VALUE(TRIM(MAIN!G113)), 0))</f>
        <v>0</v>
      </c>
      <c r="H113">
        <f>IF(ISBLANK(MAIN!H113), 0, IF(ISNUMBER(VALUE(TRIM(MAIN!H113))), VALUE(TRIM(MAIN!H113)), 0))</f>
        <v>0</v>
      </c>
      <c r="I113">
        <f>IF(ISBLANK(MAIN!I113), 0, IF(ISNUMBER(VALUE(TRIM(MAIN!I113))), VALUE(TRIM(MAIN!I113)), 0))</f>
        <v>0</v>
      </c>
      <c r="J113">
        <f>IF(ISBLANK(MAIN!J113), 0, IF(ISNUMBER(VALUE(TRIM(MAIN!J113))), VALUE(TRIM(MAIN!J113)), 0))</f>
        <v>0</v>
      </c>
      <c r="K113" cm="1">
        <f t="array" ref="K113">IFERROR(
    VALUE(
        IFERROR(
            UPPER(
                IF(MAX(IFERROR(SEARCH("WD",MAIN!G113:J113), 0))&gt;0, "WD",
                IF(MAX(IFERROR(SEARCH("NS",MAIN!G113:J113), 0))&gt;0, "NS",
                IF(MAX(IFERROR(SEARCH("NC",MAIN!G113:J113), 0))&gt;0, "NC",
                IF(MAX(IFERROR(SEARCH("DQ",MAIN!G113:J113), 0))&gt;0, "DQ",
                IF(ISNUMBER(SEARCH("WD",MAIN!K113)), "WD",
                IF(ISNUMBER(SEARCH("NS",MAIN!K113)), "NS",
                IF(ISNUMBER(SEARCH("NC",MAIN!K113)), "NC",
                IF(ISNUMBER(SEARCH("DQ",MAIN!K113)), "DQ",
                IF(ISNUMBER(SEARCH("A",MAIN!K113)), 0,
                IF(OR(MAIN!K113=0,MAIN!K113=""), 0, --TRIM(MAIN!K113)))))))))))),
            0
        )
    ),
    IFERROR(
        UPPER(
            IF(MAX(IFERROR(SEARCH("WD",MAIN!G113:J113), 0))&gt;0, "WD",
            IF(MAX(IFERROR(SEARCH("NS",MAIN!G113:J113), 0))&gt;0, "NS",
            IF(MAX(IFERROR(SEARCH("NC",MAIN!G113:J113), 0))&gt;0, "NC",
            IF(MAX(IFERROR(SEARCH("DQ",MAIN!G113:J113), 0))&gt;0, "DQ",
            IF(ISNUMBER(SEARCH("WD",MAIN!K113)), "WD",
            IF(ISNUMBER(SEARCH("NS",MAIN!K113)), "NS",
            IF(ISNUMBER(SEARCH("NC",MAIN!K113)), "NC",
            IF(ISNUMBER(SEARCH("DQ",MAIN!K113)), "DQ",
            IF(ISNUMBER(SEARCH("A",MAIN!K113)), 0,
            IF(OR(MAIN!K113=0,MAIN!K113=""), 0, --TRIM(MAIN!K113)))))))))))),
        0
    )
)</f>
        <v>0</v>
      </c>
    </row>
    <row r="114" spans="1:11" x14ac:dyDescent="0.25">
      <c r="A114" t="str">
        <f>IF(ISBLANK(MAIN!A114), "--", IFERROR(PROPER(SUBSTITUTE(SUBSTITUTE(SUBSTITUTE(SUBSTITUTE(SUBSTITUTE(SUBSTITUTE(SUBSTITUTE(SUBSTITUTE(SUBSTITUTE(SUBSTITUTE(LEFT(MAIN!A114, FIND(",",MAIN!A114) -1), "0", ""), "1", ""), "2", ""), "3", ""), "4", ""), "5", ""), "6", ""), "7", ""), "8", ""), "9", "")), PROPER(SUBSTITUTE(SUBSTITUTE(SUBSTITUTE(SUBSTITUTE(SUBSTITUTE(SUBSTITUTE(SUBSTITUTE(SUBSTITUTE(SUBSTITUTE(SUBSTITUTE(MAIN!A114, "0", ""), "1", ""), "2", ""), "3", ""), "4", ""), "5", ""), "6", ""), "7", ""), "8", ""), "9", ""))))</f>
        <v>--</v>
      </c>
      <c r="B114" t="str">
        <f>IF(ISBLANK(MAIN!B114), "--", IFERROR(PROPER(SUBSTITUTE(SUBSTITUTE(SUBSTITUTE(SUBSTITUTE(SUBSTITUTE(SUBSTITUTE(SUBSTITUTE(SUBSTITUTE(SUBSTITUTE(SUBSTITUTE(LEFT(MAIN!B114, FIND(",",MAIN!B114) -1), "0", ""), "1", ""), "2", ""), "3", ""), "4", ""), "5", ""), "6", ""), "7", ""), "8", ""), "9", "")), PROPER(SUBSTITUTE(SUBSTITUTE(SUBSTITUTE(SUBSTITUTE(SUBSTITUTE(SUBSTITUTE(SUBSTITUTE(SUBSTITUTE(SUBSTITUTE(SUBSTITUTE(MAIN!B114, "0", ""), "1", ""), "2", ""), "3", ""), "4", ""), "5", ""), "6", ""), "7", ""), "8", ""), "9", ""))))</f>
        <v>--</v>
      </c>
      <c r="C114" t="str">
        <f>IF(ISBLANK(MAIN!C114), "--", IFERROR(PROPER(SUBSTITUTE(SUBSTITUTE(SUBSTITUTE(SUBSTITUTE(SUBSTITUTE(SUBSTITUTE(SUBSTITUTE(SUBSTITUTE(SUBSTITUTE(SUBSTITUTE(LEFT(MAIN!C114, FIND(",",MAIN!C114) -1), "0", ""), "1", ""), "2", ""), "3", ""), "4", ""), "5", ""), "6", ""), "7", ""), "8", ""), "9", "")), PROPER(SUBSTITUTE(SUBSTITUTE(SUBSTITUTE(SUBSTITUTE(SUBSTITUTE(SUBSTITUTE(SUBSTITUTE(SUBSTITUTE(SUBSTITUTE(SUBSTITUTE(MAIN!C114, "0", ""), "1", ""), "2", ""), "3", ""), "4", ""), "5", ""), "6", ""), "7", ""), "8", ""), "9", ""))))</f>
        <v>--</v>
      </c>
      <c r="D114" t="str">
        <f>IF(ISBLANK(MAIN!D114), "--", IF(ISNUMBER(MATCH(SUBSTITUTE(LEFT(MAIN!D114, IFERROR(FIND(",", MAIN!D114)-1, LEN(MAIN!D114))), " ", ""), lookup_values!$B$2:$B$51, 0)), UPPER(SUBSTITUTE(LEFT(MAIN!D114, IFERROR(FIND(",", MAIN!D114)-1, LEN(MAIN!D114))), " ", "")), IF(ISNA(VLOOKUP(SUBSTITUTE(LEFT(MAIN!D114, IFERROR(FIND(",", MAIN!D114)-1, LEN(MAIN!D114))), " ", ""), lookup_values!$A$2:$B$51, 2, FALSE)), "--", VLOOKUP(SUBSTITUTE(LEFT(MAIN!D114, IFERROR(FIND(",", MAIN!D114)-1, LEN(MAIN!D114))), " ", ""), lookup_values!$A$2:$B$51, 2, FALSE))))</f>
        <v>--</v>
      </c>
      <c r="E114" t="str">
        <f>IF(CLEAN_DATA!D114&lt;&gt;"--","US",IF(ISBLANK(MAIN!E114), "--", IF(ISNUMBER(MATCH(SUBSTITUTE(LEFT(MAIN!E114, IFERROR(FIND(",", MAIN!E114)-1, LEN(MAIN!E114))), " ", ""), lookup_values!$E$2:$E$197, 0)), UPPER(SUBSTITUTE(LEFT(MAIN!E114, IFERROR(FIND(",", MAIN!E114)-1, LEN(MAIN!E114))), " ", "")), IF(ISNA(VLOOKUP(SUBSTITUTE(LEFT(MAIN!E114, IFERROR(FIND(",", MAIN!E114)-1, LEN(MAIN!E114))), " ", ""), lookup_values!$D$2:$E$197, 2, FALSE)), "--", VLOOKUP(SUBSTITUTE(LEFT(MAIN!E114, IFERROR(FIND(",", MAIN!E114)-1, LEN(MAIN!E114))), " ", ""), lookup_values!$D$2:$E$197, 2, FALSE)))))</f>
        <v>--</v>
      </c>
      <c r="F114" t="str">
        <f>IF(ISBLANK(MAIN!F114), "", IF(AND(ISNUMBER(VALUE(TRIM(MAIN!F114))), LEN(TRIM(MAIN!F114))=4), VALUE(TRIM(MAIN!F114)), ""))</f>
        <v/>
      </c>
      <c r="G114">
        <f>IF(ISBLANK(MAIN!G114), 0, IF(ISNUMBER(VALUE(TRIM(MAIN!G114))), VALUE(TRIM(MAIN!G114)), 0))</f>
        <v>0</v>
      </c>
      <c r="H114">
        <f>IF(ISBLANK(MAIN!H114), 0, IF(ISNUMBER(VALUE(TRIM(MAIN!H114))), VALUE(TRIM(MAIN!H114)), 0))</f>
        <v>0</v>
      </c>
      <c r="I114">
        <f>IF(ISBLANK(MAIN!I114), 0, IF(ISNUMBER(VALUE(TRIM(MAIN!I114))), VALUE(TRIM(MAIN!I114)), 0))</f>
        <v>0</v>
      </c>
      <c r="J114">
        <f>IF(ISBLANK(MAIN!J114), 0, IF(ISNUMBER(VALUE(TRIM(MAIN!J114))), VALUE(TRIM(MAIN!J114)), 0))</f>
        <v>0</v>
      </c>
      <c r="K114" cm="1">
        <f t="array" ref="K114">IFERROR(
    VALUE(
        IFERROR(
            UPPER(
                IF(MAX(IFERROR(SEARCH("WD",MAIN!G114:J114), 0))&gt;0, "WD",
                IF(MAX(IFERROR(SEARCH("NS",MAIN!G114:J114), 0))&gt;0, "NS",
                IF(MAX(IFERROR(SEARCH("NC",MAIN!G114:J114), 0))&gt;0, "NC",
                IF(MAX(IFERROR(SEARCH("DQ",MAIN!G114:J114), 0))&gt;0, "DQ",
                IF(ISNUMBER(SEARCH("WD",MAIN!K114)), "WD",
                IF(ISNUMBER(SEARCH("NS",MAIN!K114)), "NS",
                IF(ISNUMBER(SEARCH("NC",MAIN!K114)), "NC",
                IF(ISNUMBER(SEARCH("DQ",MAIN!K114)), "DQ",
                IF(ISNUMBER(SEARCH("A",MAIN!K114)), 0,
                IF(OR(MAIN!K114=0,MAIN!K114=""), 0, --TRIM(MAIN!K114)))))))))))),
            0
        )
    ),
    IFERROR(
        UPPER(
            IF(MAX(IFERROR(SEARCH("WD",MAIN!G114:J114), 0))&gt;0, "WD",
            IF(MAX(IFERROR(SEARCH("NS",MAIN!G114:J114), 0))&gt;0, "NS",
            IF(MAX(IFERROR(SEARCH("NC",MAIN!G114:J114), 0))&gt;0, "NC",
            IF(MAX(IFERROR(SEARCH("DQ",MAIN!G114:J114), 0))&gt;0, "DQ",
            IF(ISNUMBER(SEARCH("WD",MAIN!K114)), "WD",
            IF(ISNUMBER(SEARCH("NS",MAIN!K114)), "NS",
            IF(ISNUMBER(SEARCH("NC",MAIN!K114)), "NC",
            IF(ISNUMBER(SEARCH("DQ",MAIN!K114)), "DQ",
            IF(ISNUMBER(SEARCH("A",MAIN!K114)), 0,
            IF(OR(MAIN!K114=0,MAIN!K114=""), 0, --TRIM(MAIN!K114)))))))))))),
        0
    )
)</f>
        <v>0</v>
      </c>
    </row>
    <row r="115" spans="1:11" x14ac:dyDescent="0.25">
      <c r="A115" t="str">
        <f>IF(ISBLANK(MAIN!A115), "--", IFERROR(PROPER(SUBSTITUTE(SUBSTITUTE(SUBSTITUTE(SUBSTITUTE(SUBSTITUTE(SUBSTITUTE(SUBSTITUTE(SUBSTITUTE(SUBSTITUTE(SUBSTITUTE(LEFT(MAIN!A115, FIND(",",MAIN!A115) -1), "0", ""), "1", ""), "2", ""), "3", ""), "4", ""), "5", ""), "6", ""), "7", ""), "8", ""), "9", "")), PROPER(SUBSTITUTE(SUBSTITUTE(SUBSTITUTE(SUBSTITUTE(SUBSTITUTE(SUBSTITUTE(SUBSTITUTE(SUBSTITUTE(SUBSTITUTE(SUBSTITUTE(MAIN!A115, "0", ""), "1", ""), "2", ""), "3", ""), "4", ""), "5", ""), "6", ""), "7", ""), "8", ""), "9", ""))))</f>
        <v>--</v>
      </c>
      <c r="B115" t="str">
        <f>IF(ISBLANK(MAIN!B115), "--", IFERROR(PROPER(SUBSTITUTE(SUBSTITUTE(SUBSTITUTE(SUBSTITUTE(SUBSTITUTE(SUBSTITUTE(SUBSTITUTE(SUBSTITUTE(SUBSTITUTE(SUBSTITUTE(LEFT(MAIN!B115, FIND(",",MAIN!B115) -1), "0", ""), "1", ""), "2", ""), "3", ""), "4", ""), "5", ""), "6", ""), "7", ""), "8", ""), "9", "")), PROPER(SUBSTITUTE(SUBSTITUTE(SUBSTITUTE(SUBSTITUTE(SUBSTITUTE(SUBSTITUTE(SUBSTITUTE(SUBSTITUTE(SUBSTITUTE(SUBSTITUTE(MAIN!B115, "0", ""), "1", ""), "2", ""), "3", ""), "4", ""), "5", ""), "6", ""), "7", ""), "8", ""), "9", ""))))</f>
        <v>--</v>
      </c>
      <c r="C115" t="str">
        <f>IF(ISBLANK(MAIN!C115), "--", IFERROR(PROPER(SUBSTITUTE(SUBSTITUTE(SUBSTITUTE(SUBSTITUTE(SUBSTITUTE(SUBSTITUTE(SUBSTITUTE(SUBSTITUTE(SUBSTITUTE(SUBSTITUTE(LEFT(MAIN!C115, FIND(",",MAIN!C115) -1), "0", ""), "1", ""), "2", ""), "3", ""), "4", ""), "5", ""), "6", ""), "7", ""), "8", ""), "9", "")), PROPER(SUBSTITUTE(SUBSTITUTE(SUBSTITUTE(SUBSTITUTE(SUBSTITUTE(SUBSTITUTE(SUBSTITUTE(SUBSTITUTE(SUBSTITUTE(SUBSTITUTE(MAIN!C115, "0", ""), "1", ""), "2", ""), "3", ""), "4", ""), "5", ""), "6", ""), "7", ""), "8", ""), "9", ""))))</f>
        <v>--</v>
      </c>
      <c r="D115" t="str">
        <f>IF(ISBLANK(MAIN!D115), "--", IF(ISNUMBER(MATCH(SUBSTITUTE(LEFT(MAIN!D115, IFERROR(FIND(",", MAIN!D115)-1, LEN(MAIN!D115))), " ", ""), lookup_values!$B$2:$B$51, 0)), UPPER(SUBSTITUTE(LEFT(MAIN!D115, IFERROR(FIND(",", MAIN!D115)-1, LEN(MAIN!D115))), " ", "")), IF(ISNA(VLOOKUP(SUBSTITUTE(LEFT(MAIN!D115, IFERROR(FIND(",", MAIN!D115)-1, LEN(MAIN!D115))), " ", ""), lookup_values!$A$2:$B$51, 2, FALSE)), "--", VLOOKUP(SUBSTITUTE(LEFT(MAIN!D115, IFERROR(FIND(",", MAIN!D115)-1, LEN(MAIN!D115))), " ", ""), lookup_values!$A$2:$B$51, 2, FALSE))))</f>
        <v>--</v>
      </c>
      <c r="E115" t="str">
        <f>IF(CLEAN_DATA!D115&lt;&gt;"--","US",IF(ISBLANK(MAIN!E115), "--", IF(ISNUMBER(MATCH(SUBSTITUTE(LEFT(MAIN!E115, IFERROR(FIND(",", MAIN!E115)-1, LEN(MAIN!E115))), " ", ""), lookup_values!$E$2:$E$197, 0)), UPPER(SUBSTITUTE(LEFT(MAIN!E115, IFERROR(FIND(",", MAIN!E115)-1, LEN(MAIN!E115))), " ", "")), IF(ISNA(VLOOKUP(SUBSTITUTE(LEFT(MAIN!E115, IFERROR(FIND(",", MAIN!E115)-1, LEN(MAIN!E115))), " ", ""), lookup_values!$D$2:$E$197, 2, FALSE)), "--", VLOOKUP(SUBSTITUTE(LEFT(MAIN!E115, IFERROR(FIND(",", MAIN!E115)-1, LEN(MAIN!E115))), " ", ""), lookup_values!$D$2:$E$197, 2, FALSE)))))</f>
        <v>--</v>
      </c>
      <c r="F115" t="str">
        <f>IF(ISBLANK(MAIN!F115), "", IF(AND(ISNUMBER(VALUE(TRIM(MAIN!F115))), LEN(TRIM(MAIN!F115))=4), VALUE(TRIM(MAIN!F115)), ""))</f>
        <v/>
      </c>
      <c r="G115">
        <f>IF(ISBLANK(MAIN!G115), 0, IF(ISNUMBER(VALUE(TRIM(MAIN!G115))), VALUE(TRIM(MAIN!G115)), 0))</f>
        <v>0</v>
      </c>
      <c r="H115">
        <f>IF(ISBLANK(MAIN!H115), 0, IF(ISNUMBER(VALUE(TRIM(MAIN!H115))), VALUE(TRIM(MAIN!H115)), 0))</f>
        <v>0</v>
      </c>
      <c r="I115">
        <f>IF(ISBLANK(MAIN!I115), 0, IF(ISNUMBER(VALUE(TRIM(MAIN!I115))), VALUE(TRIM(MAIN!I115)), 0))</f>
        <v>0</v>
      </c>
      <c r="J115">
        <f>IF(ISBLANK(MAIN!J115), 0, IF(ISNUMBER(VALUE(TRIM(MAIN!J115))), VALUE(TRIM(MAIN!J115)), 0))</f>
        <v>0</v>
      </c>
      <c r="K115" cm="1">
        <f t="array" ref="K115">IFERROR(
    VALUE(
        IFERROR(
            UPPER(
                IF(MAX(IFERROR(SEARCH("WD",MAIN!G115:J115), 0))&gt;0, "WD",
                IF(MAX(IFERROR(SEARCH("NS",MAIN!G115:J115), 0))&gt;0, "NS",
                IF(MAX(IFERROR(SEARCH("NC",MAIN!G115:J115), 0))&gt;0, "NC",
                IF(MAX(IFERROR(SEARCH("DQ",MAIN!G115:J115), 0))&gt;0, "DQ",
                IF(ISNUMBER(SEARCH("WD",MAIN!K115)), "WD",
                IF(ISNUMBER(SEARCH("NS",MAIN!K115)), "NS",
                IF(ISNUMBER(SEARCH("NC",MAIN!K115)), "NC",
                IF(ISNUMBER(SEARCH("DQ",MAIN!K115)), "DQ",
                IF(ISNUMBER(SEARCH("A",MAIN!K115)), 0,
                IF(OR(MAIN!K115=0,MAIN!K115=""), 0, --TRIM(MAIN!K115)))))))))))),
            0
        )
    ),
    IFERROR(
        UPPER(
            IF(MAX(IFERROR(SEARCH("WD",MAIN!G115:J115), 0))&gt;0, "WD",
            IF(MAX(IFERROR(SEARCH("NS",MAIN!G115:J115), 0))&gt;0, "NS",
            IF(MAX(IFERROR(SEARCH("NC",MAIN!G115:J115), 0))&gt;0, "NC",
            IF(MAX(IFERROR(SEARCH("DQ",MAIN!G115:J115), 0))&gt;0, "DQ",
            IF(ISNUMBER(SEARCH("WD",MAIN!K115)), "WD",
            IF(ISNUMBER(SEARCH("NS",MAIN!K115)), "NS",
            IF(ISNUMBER(SEARCH("NC",MAIN!K115)), "NC",
            IF(ISNUMBER(SEARCH("DQ",MAIN!K115)), "DQ",
            IF(ISNUMBER(SEARCH("A",MAIN!K115)), 0,
            IF(OR(MAIN!K115=0,MAIN!K115=""), 0, --TRIM(MAIN!K115)))))))))))),
        0
    )
)</f>
        <v>0</v>
      </c>
    </row>
    <row r="116" spans="1:11" x14ac:dyDescent="0.25">
      <c r="A116" t="str">
        <f>IF(ISBLANK(MAIN!A116), "--", IFERROR(PROPER(SUBSTITUTE(SUBSTITUTE(SUBSTITUTE(SUBSTITUTE(SUBSTITUTE(SUBSTITUTE(SUBSTITUTE(SUBSTITUTE(SUBSTITUTE(SUBSTITUTE(LEFT(MAIN!A116, FIND(",",MAIN!A116) -1), "0", ""), "1", ""), "2", ""), "3", ""), "4", ""), "5", ""), "6", ""), "7", ""), "8", ""), "9", "")), PROPER(SUBSTITUTE(SUBSTITUTE(SUBSTITUTE(SUBSTITUTE(SUBSTITUTE(SUBSTITUTE(SUBSTITUTE(SUBSTITUTE(SUBSTITUTE(SUBSTITUTE(MAIN!A116, "0", ""), "1", ""), "2", ""), "3", ""), "4", ""), "5", ""), "6", ""), "7", ""), "8", ""), "9", ""))))</f>
        <v>--</v>
      </c>
      <c r="B116" t="str">
        <f>IF(ISBLANK(MAIN!B116), "--", IFERROR(PROPER(SUBSTITUTE(SUBSTITUTE(SUBSTITUTE(SUBSTITUTE(SUBSTITUTE(SUBSTITUTE(SUBSTITUTE(SUBSTITUTE(SUBSTITUTE(SUBSTITUTE(LEFT(MAIN!B116, FIND(",",MAIN!B116) -1), "0", ""), "1", ""), "2", ""), "3", ""), "4", ""), "5", ""), "6", ""), "7", ""), "8", ""), "9", "")), PROPER(SUBSTITUTE(SUBSTITUTE(SUBSTITUTE(SUBSTITUTE(SUBSTITUTE(SUBSTITUTE(SUBSTITUTE(SUBSTITUTE(SUBSTITUTE(SUBSTITUTE(MAIN!B116, "0", ""), "1", ""), "2", ""), "3", ""), "4", ""), "5", ""), "6", ""), "7", ""), "8", ""), "9", ""))))</f>
        <v>--</v>
      </c>
      <c r="C116" t="str">
        <f>IF(ISBLANK(MAIN!C116), "--", IFERROR(PROPER(SUBSTITUTE(SUBSTITUTE(SUBSTITUTE(SUBSTITUTE(SUBSTITUTE(SUBSTITUTE(SUBSTITUTE(SUBSTITUTE(SUBSTITUTE(SUBSTITUTE(LEFT(MAIN!C116, FIND(",",MAIN!C116) -1), "0", ""), "1", ""), "2", ""), "3", ""), "4", ""), "5", ""), "6", ""), "7", ""), "8", ""), "9", "")), PROPER(SUBSTITUTE(SUBSTITUTE(SUBSTITUTE(SUBSTITUTE(SUBSTITUTE(SUBSTITUTE(SUBSTITUTE(SUBSTITUTE(SUBSTITUTE(SUBSTITUTE(MAIN!C116, "0", ""), "1", ""), "2", ""), "3", ""), "4", ""), "5", ""), "6", ""), "7", ""), "8", ""), "9", ""))))</f>
        <v>--</v>
      </c>
      <c r="D116" t="str">
        <f>IF(ISBLANK(MAIN!D116), "--", IF(ISNUMBER(MATCH(SUBSTITUTE(LEFT(MAIN!D116, IFERROR(FIND(",", MAIN!D116)-1, LEN(MAIN!D116))), " ", ""), lookup_values!$B$2:$B$51, 0)), UPPER(SUBSTITUTE(LEFT(MAIN!D116, IFERROR(FIND(",", MAIN!D116)-1, LEN(MAIN!D116))), " ", "")), IF(ISNA(VLOOKUP(SUBSTITUTE(LEFT(MAIN!D116, IFERROR(FIND(",", MAIN!D116)-1, LEN(MAIN!D116))), " ", ""), lookup_values!$A$2:$B$51, 2, FALSE)), "--", VLOOKUP(SUBSTITUTE(LEFT(MAIN!D116, IFERROR(FIND(",", MAIN!D116)-1, LEN(MAIN!D116))), " ", ""), lookup_values!$A$2:$B$51, 2, FALSE))))</f>
        <v>--</v>
      </c>
      <c r="E116" t="str">
        <f>IF(CLEAN_DATA!D116&lt;&gt;"--","US",IF(ISBLANK(MAIN!E116), "--", IF(ISNUMBER(MATCH(SUBSTITUTE(LEFT(MAIN!E116, IFERROR(FIND(",", MAIN!E116)-1, LEN(MAIN!E116))), " ", ""), lookup_values!$E$2:$E$197, 0)), UPPER(SUBSTITUTE(LEFT(MAIN!E116, IFERROR(FIND(",", MAIN!E116)-1, LEN(MAIN!E116))), " ", "")), IF(ISNA(VLOOKUP(SUBSTITUTE(LEFT(MAIN!E116, IFERROR(FIND(",", MAIN!E116)-1, LEN(MAIN!E116))), " ", ""), lookup_values!$D$2:$E$197, 2, FALSE)), "--", VLOOKUP(SUBSTITUTE(LEFT(MAIN!E116, IFERROR(FIND(",", MAIN!E116)-1, LEN(MAIN!E116))), " ", ""), lookup_values!$D$2:$E$197, 2, FALSE)))))</f>
        <v>--</v>
      </c>
      <c r="F116" t="str">
        <f>IF(ISBLANK(MAIN!F116), "", IF(AND(ISNUMBER(VALUE(TRIM(MAIN!F116))), LEN(TRIM(MAIN!F116))=4), VALUE(TRIM(MAIN!F116)), ""))</f>
        <v/>
      </c>
      <c r="G116">
        <f>IF(ISBLANK(MAIN!G116), 0, IF(ISNUMBER(VALUE(TRIM(MAIN!G116))), VALUE(TRIM(MAIN!G116)), 0))</f>
        <v>0</v>
      </c>
      <c r="H116">
        <f>IF(ISBLANK(MAIN!H116), 0, IF(ISNUMBER(VALUE(TRIM(MAIN!H116))), VALUE(TRIM(MAIN!H116)), 0))</f>
        <v>0</v>
      </c>
      <c r="I116">
        <f>IF(ISBLANK(MAIN!I116), 0, IF(ISNUMBER(VALUE(TRIM(MAIN!I116))), VALUE(TRIM(MAIN!I116)), 0))</f>
        <v>0</v>
      </c>
      <c r="J116">
        <f>IF(ISBLANK(MAIN!J116), 0, IF(ISNUMBER(VALUE(TRIM(MAIN!J116))), VALUE(TRIM(MAIN!J116)), 0))</f>
        <v>0</v>
      </c>
      <c r="K116" cm="1">
        <f t="array" ref="K116">IFERROR(
    VALUE(
        IFERROR(
            UPPER(
                IF(MAX(IFERROR(SEARCH("WD",MAIN!G116:J116), 0))&gt;0, "WD",
                IF(MAX(IFERROR(SEARCH("NS",MAIN!G116:J116), 0))&gt;0, "NS",
                IF(MAX(IFERROR(SEARCH("NC",MAIN!G116:J116), 0))&gt;0, "NC",
                IF(MAX(IFERROR(SEARCH("DQ",MAIN!G116:J116), 0))&gt;0, "DQ",
                IF(ISNUMBER(SEARCH("WD",MAIN!K116)), "WD",
                IF(ISNUMBER(SEARCH("NS",MAIN!K116)), "NS",
                IF(ISNUMBER(SEARCH("NC",MAIN!K116)), "NC",
                IF(ISNUMBER(SEARCH("DQ",MAIN!K116)), "DQ",
                IF(ISNUMBER(SEARCH("A",MAIN!K116)), 0,
                IF(OR(MAIN!K116=0,MAIN!K116=""), 0, --TRIM(MAIN!K116)))))))))))),
            0
        )
    ),
    IFERROR(
        UPPER(
            IF(MAX(IFERROR(SEARCH("WD",MAIN!G116:J116), 0))&gt;0, "WD",
            IF(MAX(IFERROR(SEARCH("NS",MAIN!G116:J116), 0))&gt;0, "NS",
            IF(MAX(IFERROR(SEARCH("NC",MAIN!G116:J116), 0))&gt;0, "NC",
            IF(MAX(IFERROR(SEARCH("DQ",MAIN!G116:J116), 0))&gt;0, "DQ",
            IF(ISNUMBER(SEARCH("WD",MAIN!K116)), "WD",
            IF(ISNUMBER(SEARCH("NS",MAIN!K116)), "NS",
            IF(ISNUMBER(SEARCH("NC",MAIN!K116)), "NC",
            IF(ISNUMBER(SEARCH("DQ",MAIN!K116)), "DQ",
            IF(ISNUMBER(SEARCH("A",MAIN!K116)), 0,
            IF(OR(MAIN!K116=0,MAIN!K116=""), 0, --TRIM(MAIN!K116)))))))))))),
        0
    )
)</f>
        <v>0</v>
      </c>
    </row>
    <row r="117" spans="1:11" x14ac:dyDescent="0.25">
      <c r="A117" t="str">
        <f>IF(ISBLANK(MAIN!A117), "--", IFERROR(PROPER(SUBSTITUTE(SUBSTITUTE(SUBSTITUTE(SUBSTITUTE(SUBSTITUTE(SUBSTITUTE(SUBSTITUTE(SUBSTITUTE(SUBSTITUTE(SUBSTITUTE(LEFT(MAIN!A117, FIND(",",MAIN!A117) -1), "0", ""), "1", ""), "2", ""), "3", ""), "4", ""), "5", ""), "6", ""), "7", ""), "8", ""), "9", "")), PROPER(SUBSTITUTE(SUBSTITUTE(SUBSTITUTE(SUBSTITUTE(SUBSTITUTE(SUBSTITUTE(SUBSTITUTE(SUBSTITUTE(SUBSTITUTE(SUBSTITUTE(MAIN!A117, "0", ""), "1", ""), "2", ""), "3", ""), "4", ""), "5", ""), "6", ""), "7", ""), "8", ""), "9", ""))))</f>
        <v>--</v>
      </c>
      <c r="B117" t="str">
        <f>IF(ISBLANK(MAIN!B117), "--", IFERROR(PROPER(SUBSTITUTE(SUBSTITUTE(SUBSTITUTE(SUBSTITUTE(SUBSTITUTE(SUBSTITUTE(SUBSTITUTE(SUBSTITUTE(SUBSTITUTE(SUBSTITUTE(LEFT(MAIN!B117, FIND(",",MAIN!B117) -1), "0", ""), "1", ""), "2", ""), "3", ""), "4", ""), "5", ""), "6", ""), "7", ""), "8", ""), "9", "")), PROPER(SUBSTITUTE(SUBSTITUTE(SUBSTITUTE(SUBSTITUTE(SUBSTITUTE(SUBSTITUTE(SUBSTITUTE(SUBSTITUTE(SUBSTITUTE(SUBSTITUTE(MAIN!B117, "0", ""), "1", ""), "2", ""), "3", ""), "4", ""), "5", ""), "6", ""), "7", ""), "8", ""), "9", ""))))</f>
        <v>--</v>
      </c>
      <c r="C117" t="str">
        <f>IF(ISBLANK(MAIN!C117), "--", IFERROR(PROPER(SUBSTITUTE(SUBSTITUTE(SUBSTITUTE(SUBSTITUTE(SUBSTITUTE(SUBSTITUTE(SUBSTITUTE(SUBSTITUTE(SUBSTITUTE(SUBSTITUTE(LEFT(MAIN!C117, FIND(",",MAIN!C117) -1), "0", ""), "1", ""), "2", ""), "3", ""), "4", ""), "5", ""), "6", ""), "7", ""), "8", ""), "9", "")), PROPER(SUBSTITUTE(SUBSTITUTE(SUBSTITUTE(SUBSTITUTE(SUBSTITUTE(SUBSTITUTE(SUBSTITUTE(SUBSTITUTE(SUBSTITUTE(SUBSTITUTE(MAIN!C117, "0", ""), "1", ""), "2", ""), "3", ""), "4", ""), "5", ""), "6", ""), "7", ""), "8", ""), "9", ""))))</f>
        <v>--</v>
      </c>
      <c r="D117" t="str">
        <f>IF(ISBLANK(MAIN!D117), "--", IF(ISNUMBER(MATCH(SUBSTITUTE(LEFT(MAIN!D117, IFERROR(FIND(",", MAIN!D117)-1, LEN(MAIN!D117))), " ", ""), lookup_values!$B$2:$B$51, 0)), UPPER(SUBSTITUTE(LEFT(MAIN!D117, IFERROR(FIND(",", MAIN!D117)-1, LEN(MAIN!D117))), " ", "")), IF(ISNA(VLOOKUP(SUBSTITUTE(LEFT(MAIN!D117, IFERROR(FIND(",", MAIN!D117)-1, LEN(MAIN!D117))), " ", ""), lookup_values!$A$2:$B$51, 2, FALSE)), "--", VLOOKUP(SUBSTITUTE(LEFT(MAIN!D117, IFERROR(FIND(",", MAIN!D117)-1, LEN(MAIN!D117))), " ", ""), lookup_values!$A$2:$B$51, 2, FALSE))))</f>
        <v>--</v>
      </c>
      <c r="E117" t="str">
        <f>IF(CLEAN_DATA!D117&lt;&gt;"--","US",IF(ISBLANK(MAIN!E117), "--", IF(ISNUMBER(MATCH(SUBSTITUTE(LEFT(MAIN!E117, IFERROR(FIND(",", MAIN!E117)-1, LEN(MAIN!E117))), " ", ""), lookup_values!$E$2:$E$197, 0)), UPPER(SUBSTITUTE(LEFT(MAIN!E117, IFERROR(FIND(",", MAIN!E117)-1, LEN(MAIN!E117))), " ", "")), IF(ISNA(VLOOKUP(SUBSTITUTE(LEFT(MAIN!E117, IFERROR(FIND(",", MAIN!E117)-1, LEN(MAIN!E117))), " ", ""), lookup_values!$D$2:$E$197, 2, FALSE)), "--", VLOOKUP(SUBSTITUTE(LEFT(MAIN!E117, IFERROR(FIND(",", MAIN!E117)-1, LEN(MAIN!E117))), " ", ""), lookup_values!$D$2:$E$197, 2, FALSE)))))</f>
        <v>--</v>
      </c>
      <c r="F117" t="str">
        <f>IF(ISBLANK(MAIN!F117), "", IF(AND(ISNUMBER(VALUE(TRIM(MAIN!F117))), LEN(TRIM(MAIN!F117))=4), VALUE(TRIM(MAIN!F117)), ""))</f>
        <v/>
      </c>
      <c r="G117">
        <f>IF(ISBLANK(MAIN!G117), 0, IF(ISNUMBER(VALUE(TRIM(MAIN!G117))), VALUE(TRIM(MAIN!G117)), 0))</f>
        <v>0</v>
      </c>
      <c r="H117">
        <f>IF(ISBLANK(MAIN!H117), 0, IF(ISNUMBER(VALUE(TRIM(MAIN!H117))), VALUE(TRIM(MAIN!H117)), 0))</f>
        <v>0</v>
      </c>
      <c r="I117">
        <f>IF(ISBLANK(MAIN!I117), 0, IF(ISNUMBER(VALUE(TRIM(MAIN!I117))), VALUE(TRIM(MAIN!I117)), 0))</f>
        <v>0</v>
      </c>
      <c r="J117">
        <f>IF(ISBLANK(MAIN!J117), 0, IF(ISNUMBER(VALUE(TRIM(MAIN!J117))), VALUE(TRIM(MAIN!J117)), 0))</f>
        <v>0</v>
      </c>
      <c r="K117" cm="1">
        <f t="array" ref="K117">IFERROR(
    VALUE(
        IFERROR(
            UPPER(
                IF(MAX(IFERROR(SEARCH("WD",MAIN!G117:J117), 0))&gt;0, "WD",
                IF(MAX(IFERROR(SEARCH("NS",MAIN!G117:J117), 0))&gt;0, "NS",
                IF(MAX(IFERROR(SEARCH("NC",MAIN!G117:J117), 0))&gt;0, "NC",
                IF(MAX(IFERROR(SEARCH("DQ",MAIN!G117:J117), 0))&gt;0, "DQ",
                IF(ISNUMBER(SEARCH("WD",MAIN!K117)), "WD",
                IF(ISNUMBER(SEARCH("NS",MAIN!K117)), "NS",
                IF(ISNUMBER(SEARCH("NC",MAIN!K117)), "NC",
                IF(ISNUMBER(SEARCH("DQ",MAIN!K117)), "DQ",
                IF(ISNUMBER(SEARCH("A",MAIN!K117)), 0,
                IF(OR(MAIN!K117=0,MAIN!K117=""), 0, --TRIM(MAIN!K117)))))))))))),
            0
        )
    ),
    IFERROR(
        UPPER(
            IF(MAX(IFERROR(SEARCH("WD",MAIN!G117:J117), 0))&gt;0, "WD",
            IF(MAX(IFERROR(SEARCH("NS",MAIN!G117:J117), 0))&gt;0, "NS",
            IF(MAX(IFERROR(SEARCH("NC",MAIN!G117:J117), 0))&gt;0, "NC",
            IF(MAX(IFERROR(SEARCH("DQ",MAIN!G117:J117), 0))&gt;0, "DQ",
            IF(ISNUMBER(SEARCH("WD",MAIN!K117)), "WD",
            IF(ISNUMBER(SEARCH("NS",MAIN!K117)), "NS",
            IF(ISNUMBER(SEARCH("NC",MAIN!K117)), "NC",
            IF(ISNUMBER(SEARCH("DQ",MAIN!K117)), "DQ",
            IF(ISNUMBER(SEARCH("A",MAIN!K117)), 0,
            IF(OR(MAIN!K117=0,MAIN!K117=""), 0, --TRIM(MAIN!K117)))))))))))),
        0
    )
)</f>
        <v>0</v>
      </c>
    </row>
    <row r="118" spans="1:11" x14ac:dyDescent="0.25">
      <c r="A118" t="str">
        <f>IF(ISBLANK(MAIN!A118), "--", IFERROR(PROPER(SUBSTITUTE(SUBSTITUTE(SUBSTITUTE(SUBSTITUTE(SUBSTITUTE(SUBSTITUTE(SUBSTITUTE(SUBSTITUTE(SUBSTITUTE(SUBSTITUTE(LEFT(MAIN!A118, FIND(",",MAIN!A118) -1), "0", ""), "1", ""), "2", ""), "3", ""), "4", ""), "5", ""), "6", ""), "7", ""), "8", ""), "9", "")), PROPER(SUBSTITUTE(SUBSTITUTE(SUBSTITUTE(SUBSTITUTE(SUBSTITUTE(SUBSTITUTE(SUBSTITUTE(SUBSTITUTE(SUBSTITUTE(SUBSTITUTE(MAIN!A118, "0", ""), "1", ""), "2", ""), "3", ""), "4", ""), "5", ""), "6", ""), "7", ""), "8", ""), "9", ""))))</f>
        <v>--</v>
      </c>
      <c r="B118" t="str">
        <f>IF(ISBLANK(MAIN!B118), "--", IFERROR(PROPER(SUBSTITUTE(SUBSTITUTE(SUBSTITUTE(SUBSTITUTE(SUBSTITUTE(SUBSTITUTE(SUBSTITUTE(SUBSTITUTE(SUBSTITUTE(SUBSTITUTE(LEFT(MAIN!B118, FIND(",",MAIN!B118) -1), "0", ""), "1", ""), "2", ""), "3", ""), "4", ""), "5", ""), "6", ""), "7", ""), "8", ""), "9", "")), PROPER(SUBSTITUTE(SUBSTITUTE(SUBSTITUTE(SUBSTITUTE(SUBSTITUTE(SUBSTITUTE(SUBSTITUTE(SUBSTITUTE(SUBSTITUTE(SUBSTITUTE(MAIN!B118, "0", ""), "1", ""), "2", ""), "3", ""), "4", ""), "5", ""), "6", ""), "7", ""), "8", ""), "9", ""))))</f>
        <v>--</v>
      </c>
      <c r="C118" t="str">
        <f>IF(ISBLANK(MAIN!C118), "--", IFERROR(PROPER(SUBSTITUTE(SUBSTITUTE(SUBSTITUTE(SUBSTITUTE(SUBSTITUTE(SUBSTITUTE(SUBSTITUTE(SUBSTITUTE(SUBSTITUTE(SUBSTITUTE(LEFT(MAIN!C118, FIND(",",MAIN!C118) -1), "0", ""), "1", ""), "2", ""), "3", ""), "4", ""), "5", ""), "6", ""), "7", ""), "8", ""), "9", "")), PROPER(SUBSTITUTE(SUBSTITUTE(SUBSTITUTE(SUBSTITUTE(SUBSTITUTE(SUBSTITUTE(SUBSTITUTE(SUBSTITUTE(SUBSTITUTE(SUBSTITUTE(MAIN!C118, "0", ""), "1", ""), "2", ""), "3", ""), "4", ""), "5", ""), "6", ""), "7", ""), "8", ""), "9", ""))))</f>
        <v>--</v>
      </c>
      <c r="D118" t="str">
        <f>IF(ISBLANK(MAIN!D118), "--", IF(ISNUMBER(MATCH(SUBSTITUTE(LEFT(MAIN!D118, IFERROR(FIND(",", MAIN!D118)-1, LEN(MAIN!D118))), " ", ""), lookup_values!$B$2:$B$51, 0)), UPPER(SUBSTITUTE(LEFT(MAIN!D118, IFERROR(FIND(",", MAIN!D118)-1, LEN(MAIN!D118))), " ", "")), IF(ISNA(VLOOKUP(SUBSTITUTE(LEFT(MAIN!D118, IFERROR(FIND(",", MAIN!D118)-1, LEN(MAIN!D118))), " ", ""), lookup_values!$A$2:$B$51, 2, FALSE)), "--", VLOOKUP(SUBSTITUTE(LEFT(MAIN!D118, IFERROR(FIND(",", MAIN!D118)-1, LEN(MAIN!D118))), " ", ""), lookup_values!$A$2:$B$51, 2, FALSE))))</f>
        <v>--</v>
      </c>
      <c r="E118" t="str">
        <f>IF(CLEAN_DATA!D118&lt;&gt;"--","US",IF(ISBLANK(MAIN!E118), "--", IF(ISNUMBER(MATCH(SUBSTITUTE(LEFT(MAIN!E118, IFERROR(FIND(",", MAIN!E118)-1, LEN(MAIN!E118))), " ", ""), lookup_values!$E$2:$E$197, 0)), UPPER(SUBSTITUTE(LEFT(MAIN!E118, IFERROR(FIND(",", MAIN!E118)-1, LEN(MAIN!E118))), " ", "")), IF(ISNA(VLOOKUP(SUBSTITUTE(LEFT(MAIN!E118, IFERROR(FIND(",", MAIN!E118)-1, LEN(MAIN!E118))), " ", ""), lookup_values!$D$2:$E$197, 2, FALSE)), "--", VLOOKUP(SUBSTITUTE(LEFT(MAIN!E118, IFERROR(FIND(",", MAIN!E118)-1, LEN(MAIN!E118))), " ", ""), lookup_values!$D$2:$E$197, 2, FALSE)))))</f>
        <v>--</v>
      </c>
      <c r="F118" t="str">
        <f>IF(ISBLANK(MAIN!F118), "", IF(AND(ISNUMBER(VALUE(TRIM(MAIN!F118))), LEN(TRIM(MAIN!F118))=4), VALUE(TRIM(MAIN!F118)), ""))</f>
        <v/>
      </c>
      <c r="G118">
        <f>IF(ISBLANK(MAIN!G118), 0, IF(ISNUMBER(VALUE(TRIM(MAIN!G118))), VALUE(TRIM(MAIN!G118)), 0))</f>
        <v>0</v>
      </c>
      <c r="H118">
        <f>IF(ISBLANK(MAIN!H118), 0, IF(ISNUMBER(VALUE(TRIM(MAIN!H118))), VALUE(TRIM(MAIN!H118)), 0))</f>
        <v>0</v>
      </c>
      <c r="I118">
        <f>IF(ISBLANK(MAIN!I118), 0, IF(ISNUMBER(VALUE(TRIM(MAIN!I118))), VALUE(TRIM(MAIN!I118)), 0))</f>
        <v>0</v>
      </c>
      <c r="J118">
        <f>IF(ISBLANK(MAIN!J118), 0, IF(ISNUMBER(VALUE(TRIM(MAIN!J118))), VALUE(TRIM(MAIN!J118)), 0))</f>
        <v>0</v>
      </c>
      <c r="K118" cm="1">
        <f t="array" ref="K118">IFERROR(
    VALUE(
        IFERROR(
            UPPER(
                IF(MAX(IFERROR(SEARCH("WD",MAIN!G118:J118), 0))&gt;0, "WD",
                IF(MAX(IFERROR(SEARCH("NS",MAIN!G118:J118), 0))&gt;0, "NS",
                IF(MAX(IFERROR(SEARCH("NC",MAIN!G118:J118), 0))&gt;0, "NC",
                IF(MAX(IFERROR(SEARCH("DQ",MAIN!G118:J118), 0))&gt;0, "DQ",
                IF(ISNUMBER(SEARCH("WD",MAIN!K118)), "WD",
                IF(ISNUMBER(SEARCH("NS",MAIN!K118)), "NS",
                IF(ISNUMBER(SEARCH("NC",MAIN!K118)), "NC",
                IF(ISNUMBER(SEARCH("DQ",MAIN!K118)), "DQ",
                IF(ISNUMBER(SEARCH("A",MAIN!K118)), 0,
                IF(OR(MAIN!K118=0,MAIN!K118=""), 0, --TRIM(MAIN!K118)))))))))))),
            0
        )
    ),
    IFERROR(
        UPPER(
            IF(MAX(IFERROR(SEARCH("WD",MAIN!G118:J118), 0))&gt;0, "WD",
            IF(MAX(IFERROR(SEARCH("NS",MAIN!G118:J118), 0))&gt;0, "NS",
            IF(MAX(IFERROR(SEARCH("NC",MAIN!G118:J118), 0))&gt;0, "NC",
            IF(MAX(IFERROR(SEARCH("DQ",MAIN!G118:J118), 0))&gt;0, "DQ",
            IF(ISNUMBER(SEARCH("WD",MAIN!K118)), "WD",
            IF(ISNUMBER(SEARCH("NS",MAIN!K118)), "NS",
            IF(ISNUMBER(SEARCH("NC",MAIN!K118)), "NC",
            IF(ISNUMBER(SEARCH("DQ",MAIN!K118)), "DQ",
            IF(ISNUMBER(SEARCH("A",MAIN!K118)), 0,
            IF(OR(MAIN!K118=0,MAIN!K118=""), 0, --TRIM(MAIN!K118)))))))))))),
        0
    )
)</f>
        <v>0</v>
      </c>
    </row>
    <row r="119" spans="1:11" x14ac:dyDescent="0.25">
      <c r="A119" t="str">
        <f>IF(ISBLANK(MAIN!A119), "--", IFERROR(PROPER(SUBSTITUTE(SUBSTITUTE(SUBSTITUTE(SUBSTITUTE(SUBSTITUTE(SUBSTITUTE(SUBSTITUTE(SUBSTITUTE(SUBSTITUTE(SUBSTITUTE(LEFT(MAIN!A119, FIND(",",MAIN!A119) -1), "0", ""), "1", ""), "2", ""), "3", ""), "4", ""), "5", ""), "6", ""), "7", ""), "8", ""), "9", "")), PROPER(SUBSTITUTE(SUBSTITUTE(SUBSTITUTE(SUBSTITUTE(SUBSTITUTE(SUBSTITUTE(SUBSTITUTE(SUBSTITUTE(SUBSTITUTE(SUBSTITUTE(MAIN!A119, "0", ""), "1", ""), "2", ""), "3", ""), "4", ""), "5", ""), "6", ""), "7", ""), "8", ""), "9", ""))))</f>
        <v>--</v>
      </c>
      <c r="B119" t="str">
        <f>IF(ISBLANK(MAIN!B119), "--", IFERROR(PROPER(SUBSTITUTE(SUBSTITUTE(SUBSTITUTE(SUBSTITUTE(SUBSTITUTE(SUBSTITUTE(SUBSTITUTE(SUBSTITUTE(SUBSTITUTE(SUBSTITUTE(LEFT(MAIN!B119, FIND(",",MAIN!B119) -1), "0", ""), "1", ""), "2", ""), "3", ""), "4", ""), "5", ""), "6", ""), "7", ""), "8", ""), "9", "")), PROPER(SUBSTITUTE(SUBSTITUTE(SUBSTITUTE(SUBSTITUTE(SUBSTITUTE(SUBSTITUTE(SUBSTITUTE(SUBSTITUTE(SUBSTITUTE(SUBSTITUTE(MAIN!B119, "0", ""), "1", ""), "2", ""), "3", ""), "4", ""), "5", ""), "6", ""), "7", ""), "8", ""), "9", ""))))</f>
        <v>--</v>
      </c>
      <c r="C119" t="str">
        <f>IF(ISBLANK(MAIN!C119), "--", IFERROR(PROPER(SUBSTITUTE(SUBSTITUTE(SUBSTITUTE(SUBSTITUTE(SUBSTITUTE(SUBSTITUTE(SUBSTITUTE(SUBSTITUTE(SUBSTITUTE(SUBSTITUTE(LEFT(MAIN!C119, FIND(",",MAIN!C119) -1), "0", ""), "1", ""), "2", ""), "3", ""), "4", ""), "5", ""), "6", ""), "7", ""), "8", ""), "9", "")), PROPER(SUBSTITUTE(SUBSTITUTE(SUBSTITUTE(SUBSTITUTE(SUBSTITUTE(SUBSTITUTE(SUBSTITUTE(SUBSTITUTE(SUBSTITUTE(SUBSTITUTE(MAIN!C119, "0", ""), "1", ""), "2", ""), "3", ""), "4", ""), "5", ""), "6", ""), "7", ""), "8", ""), "9", ""))))</f>
        <v>--</v>
      </c>
      <c r="D119" t="str">
        <f>IF(ISBLANK(MAIN!D119), "--", IF(ISNUMBER(MATCH(SUBSTITUTE(LEFT(MAIN!D119, IFERROR(FIND(",", MAIN!D119)-1, LEN(MAIN!D119))), " ", ""), lookup_values!$B$2:$B$51, 0)), UPPER(SUBSTITUTE(LEFT(MAIN!D119, IFERROR(FIND(",", MAIN!D119)-1, LEN(MAIN!D119))), " ", "")), IF(ISNA(VLOOKUP(SUBSTITUTE(LEFT(MAIN!D119, IFERROR(FIND(",", MAIN!D119)-1, LEN(MAIN!D119))), " ", ""), lookup_values!$A$2:$B$51, 2, FALSE)), "--", VLOOKUP(SUBSTITUTE(LEFT(MAIN!D119, IFERROR(FIND(",", MAIN!D119)-1, LEN(MAIN!D119))), " ", ""), lookup_values!$A$2:$B$51, 2, FALSE))))</f>
        <v>--</v>
      </c>
      <c r="E119" t="str">
        <f>IF(CLEAN_DATA!D119&lt;&gt;"--","US",IF(ISBLANK(MAIN!E119), "--", IF(ISNUMBER(MATCH(SUBSTITUTE(LEFT(MAIN!E119, IFERROR(FIND(",", MAIN!E119)-1, LEN(MAIN!E119))), " ", ""), lookup_values!$E$2:$E$197, 0)), UPPER(SUBSTITUTE(LEFT(MAIN!E119, IFERROR(FIND(",", MAIN!E119)-1, LEN(MAIN!E119))), " ", "")), IF(ISNA(VLOOKUP(SUBSTITUTE(LEFT(MAIN!E119, IFERROR(FIND(",", MAIN!E119)-1, LEN(MAIN!E119))), " ", ""), lookup_values!$D$2:$E$197, 2, FALSE)), "--", VLOOKUP(SUBSTITUTE(LEFT(MAIN!E119, IFERROR(FIND(",", MAIN!E119)-1, LEN(MAIN!E119))), " ", ""), lookup_values!$D$2:$E$197, 2, FALSE)))))</f>
        <v>--</v>
      </c>
      <c r="F119" t="str">
        <f>IF(ISBLANK(MAIN!F119), "", IF(AND(ISNUMBER(VALUE(TRIM(MAIN!F119))), LEN(TRIM(MAIN!F119))=4), VALUE(TRIM(MAIN!F119)), ""))</f>
        <v/>
      </c>
      <c r="G119">
        <f>IF(ISBLANK(MAIN!G119), 0, IF(ISNUMBER(VALUE(TRIM(MAIN!G119))), VALUE(TRIM(MAIN!G119)), 0))</f>
        <v>0</v>
      </c>
      <c r="H119">
        <f>IF(ISBLANK(MAIN!H119), 0, IF(ISNUMBER(VALUE(TRIM(MAIN!H119))), VALUE(TRIM(MAIN!H119)), 0))</f>
        <v>0</v>
      </c>
      <c r="I119">
        <f>IF(ISBLANK(MAIN!I119), 0, IF(ISNUMBER(VALUE(TRIM(MAIN!I119))), VALUE(TRIM(MAIN!I119)), 0))</f>
        <v>0</v>
      </c>
      <c r="J119">
        <f>IF(ISBLANK(MAIN!J119), 0, IF(ISNUMBER(VALUE(TRIM(MAIN!J119))), VALUE(TRIM(MAIN!J119)), 0))</f>
        <v>0</v>
      </c>
      <c r="K119" cm="1">
        <f t="array" ref="K119">IFERROR(
    VALUE(
        IFERROR(
            UPPER(
                IF(MAX(IFERROR(SEARCH("WD",MAIN!G119:J119), 0))&gt;0, "WD",
                IF(MAX(IFERROR(SEARCH("NS",MAIN!G119:J119), 0))&gt;0, "NS",
                IF(MAX(IFERROR(SEARCH("NC",MAIN!G119:J119), 0))&gt;0, "NC",
                IF(MAX(IFERROR(SEARCH("DQ",MAIN!G119:J119), 0))&gt;0, "DQ",
                IF(ISNUMBER(SEARCH("WD",MAIN!K119)), "WD",
                IF(ISNUMBER(SEARCH("NS",MAIN!K119)), "NS",
                IF(ISNUMBER(SEARCH("NC",MAIN!K119)), "NC",
                IF(ISNUMBER(SEARCH("DQ",MAIN!K119)), "DQ",
                IF(ISNUMBER(SEARCH("A",MAIN!K119)), 0,
                IF(OR(MAIN!K119=0,MAIN!K119=""), 0, --TRIM(MAIN!K119)))))))))))),
            0
        )
    ),
    IFERROR(
        UPPER(
            IF(MAX(IFERROR(SEARCH("WD",MAIN!G119:J119), 0))&gt;0, "WD",
            IF(MAX(IFERROR(SEARCH("NS",MAIN!G119:J119), 0))&gt;0, "NS",
            IF(MAX(IFERROR(SEARCH("NC",MAIN!G119:J119), 0))&gt;0, "NC",
            IF(MAX(IFERROR(SEARCH("DQ",MAIN!G119:J119), 0))&gt;0, "DQ",
            IF(ISNUMBER(SEARCH("WD",MAIN!K119)), "WD",
            IF(ISNUMBER(SEARCH("NS",MAIN!K119)), "NS",
            IF(ISNUMBER(SEARCH("NC",MAIN!K119)), "NC",
            IF(ISNUMBER(SEARCH("DQ",MAIN!K119)), "DQ",
            IF(ISNUMBER(SEARCH("A",MAIN!K119)), 0,
            IF(OR(MAIN!K119=0,MAIN!K119=""), 0, --TRIM(MAIN!K119)))))))))))),
        0
    )
)</f>
        <v>0</v>
      </c>
    </row>
    <row r="120" spans="1:11" x14ac:dyDescent="0.25">
      <c r="A120" t="str">
        <f>IF(ISBLANK(MAIN!A120), "--", IFERROR(PROPER(SUBSTITUTE(SUBSTITUTE(SUBSTITUTE(SUBSTITUTE(SUBSTITUTE(SUBSTITUTE(SUBSTITUTE(SUBSTITUTE(SUBSTITUTE(SUBSTITUTE(LEFT(MAIN!A120, FIND(",",MAIN!A120) -1), "0", ""), "1", ""), "2", ""), "3", ""), "4", ""), "5", ""), "6", ""), "7", ""), "8", ""), "9", "")), PROPER(SUBSTITUTE(SUBSTITUTE(SUBSTITUTE(SUBSTITUTE(SUBSTITUTE(SUBSTITUTE(SUBSTITUTE(SUBSTITUTE(SUBSTITUTE(SUBSTITUTE(MAIN!A120, "0", ""), "1", ""), "2", ""), "3", ""), "4", ""), "5", ""), "6", ""), "7", ""), "8", ""), "9", ""))))</f>
        <v>--</v>
      </c>
      <c r="B120" t="str">
        <f>IF(ISBLANK(MAIN!B120), "--", IFERROR(PROPER(SUBSTITUTE(SUBSTITUTE(SUBSTITUTE(SUBSTITUTE(SUBSTITUTE(SUBSTITUTE(SUBSTITUTE(SUBSTITUTE(SUBSTITUTE(SUBSTITUTE(LEFT(MAIN!B120, FIND(",",MAIN!B120) -1), "0", ""), "1", ""), "2", ""), "3", ""), "4", ""), "5", ""), "6", ""), "7", ""), "8", ""), "9", "")), PROPER(SUBSTITUTE(SUBSTITUTE(SUBSTITUTE(SUBSTITUTE(SUBSTITUTE(SUBSTITUTE(SUBSTITUTE(SUBSTITUTE(SUBSTITUTE(SUBSTITUTE(MAIN!B120, "0", ""), "1", ""), "2", ""), "3", ""), "4", ""), "5", ""), "6", ""), "7", ""), "8", ""), "9", ""))))</f>
        <v>--</v>
      </c>
      <c r="C120" t="str">
        <f>IF(ISBLANK(MAIN!C120), "--", IFERROR(PROPER(SUBSTITUTE(SUBSTITUTE(SUBSTITUTE(SUBSTITUTE(SUBSTITUTE(SUBSTITUTE(SUBSTITUTE(SUBSTITUTE(SUBSTITUTE(SUBSTITUTE(LEFT(MAIN!C120, FIND(",",MAIN!C120) -1), "0", ""), "1", ""), "2", ""), "3", ""), "4", ""), "5", ""), "6", ""), "7", ""), "8", ""), "9", "")), PROPER(SUBSTITUTE(SUBSTITUTE(SUBSTITUTE(SUBSTITUTE(SUBSTITUTE(SUBSTITUTE(SUBSTITUTE(SUBSTITUTE(SUBSTITUTE(SUBSTITUTE(MAIN!C120, "0", ""), "1", ""), "2", ""), "3", ""), "4", ""), "5", ""), "6", ""), "7", ""), "8", ""), "9", ""))))</f>
        <v>--</v>
      </c>
      <c r="D120" t="str">
        <f>IF(ISBLANK(MAIN!D120), "--", IF(ISNUMBER(MATCH(SUBSTITUTE(LEFT(MAIN!D120, IFERROR(FIND(",", MAIN!D120)-1, LEN(MAIN!D120))), " ", ""), lookup_values!$B$2:$B$51, 0)), UPPER(SUBSTITUTE(LEFT(MAIN!D120, IFERROR(FIND(",", MAIN!D120)-1, LEN(MAIN!D120))), " ", "")), IF(ISNA(VLOOKUP(SUBSTITUTE(LEFT(MAIN!D120, IFERROR(FIND(",", MAIN!D120)-1, LEN(MAIN!D120))), " ", ""), lookup_values!$A$2:$B$51, 2, FALSE)), "--", VLOOKUP(SUBSTITUTE(LEFT(MAIN!D120, IFERROR(FIND(",", MAIN!D120)-1, LEN(MAIN!D120))), " ", ""), lookup_values!$A$2:$B$51, 2, FALSE))))</f>
        <v>--</v>
      </c>
      <c r="E120" t="str">
        <f>IF(CLEAN_DATA!D120&lt;&gt;"--","US",IF(ISBLANK(MAIN!E120), "--", IF(ISNUMBER(MATCH(SUBSTITUTE(LEFT(MAIN!E120, IFERROR(FIND(",", MAIN!E120)-1, LEN(MAIN!E120))), " ", ""), lookup_values!$E$2:$E$197, 0)), UPPER(SUBSTITUTE(LEFT(MAIN!E120, IFERROR(FIND(",", MAIN!E120)-1, LEN(MAIN!E120))), " ", "")), IF(ISNA(VLOOKUP(SUBSTITUTE(LEFT(MAIN!E120, IFERROR(FIND(",", MAIN!E120)-1, LEN(MAIN!E120))), " ", ""), lookup_values!$D$2:$E$197, 2, FALSE)), "--", VLOOKUP(SUBSTITUTE(LEFT(MAIN!E120, IFERROR(FIND(",", MAIN!E120)-1, LEN(MAIN!E120))), " ", ""), lookup_values!$D$2:$E$197, 2, FALSE)))))</f>
        <v>--</v>
      </c>
      <c r="F120" t="str">
        <f>IF(ISBLANK(MAIN!F120), "", IF(AND(ISNUMBER(VALUE(TRIM(MAIN!F120))), LEN(TRIM(MAIN!F120))=4), VALUE(TRIM(MAIN!F120)), ""))</f>
        <v/>
      </c>
      <c r="G120">
        <f>IF(ISBLANK(MAIN!G120), 0, IF(ISNUMBER(VALUE(TRIM(MAIN!G120))), VALUE(TRIM(MAIN!G120)), 0))</f>
        <v>0</v>
      </c>
      <c r="H120">
        <f>IF(ISBLANK(MAIN!H120), 0, IF(ISNUMBER(VALUE(TRIM(MAIN!H120))), VALUE(TRIM(MAIN!H120)), 0))</f>
        <v>0</v>
      </c>
      <c r="I120">
        <f>IF(ISBLANK(MAIN!I120), 0, IF(ISNUMBER(VALUE(TRIM(MAIN!I120))), VALUE(TRIM(MAIN!I120)), 0))</f>
        <v>0</v>
      </c>
      <c r="J120">
        <f>IF(ISBLANK(MAIN!J120), 0, IF(ISNUMBER(VALUE(TRIM(MAIN!J120))), VALUE(TRIM(MAIN!J120)), 0))</f>
        <v>0</v>
      </c>
      <c r="K120" cm="1">
        <f t="array" ref="K120">IFERROR(
    VALUE(
        IFERROR(
            UPPER(
                IF(MAX(IFERROR(SEARCH("WD",MAIN!G120:J120), 0))&gt;0, "WD",
                IF(MAX(IFERROR(SEARCH("NS",MAIN!G120:J120), 0))&gt;0, "NS",
                IF(MAX(IFERROR(SEARCH("NC",MAIN!G120:J120), 0))&gt;0, "NC",
                IF(MAX(IFERROR(SEARCH("DQ",MAIN!G120:J120), 0))&gt;0, "DQ",
                IF(ISNUMBER(SEARCH("WD",MAIN!K120)), "WD",
                IF(ISNUMBER(SEARCH("NS",MAIN!K120)), "NS",
                IF(ISNUMBER(SEARCH("NC",MAIN!K120)), "NC",
                IF(ISNUMBER(SEARCH("DQ",MAIN!K120)), "DQ",
                IF(ISNUMBER(SEARCH("A",MAIN!K120)), 0,
                IF(OR(MAIN!K120=0,MAIN!K120=""), 0, --TRIM(MAIN!K120)))))))))))),
            0
        )
    ),
    IFERROR(
        UPPER(
            IF(MAX(IFERROR(SEARCH("WD",MAIN!G120:J120), 0))&gt;0, "WD",
            IF(MAX(IFERROR(SEARCH("NS",MAIN!G120:J120), 0))&gt;0, "NS",
            IF(MAX(IFERROR(SEARCH("NC",MAIN!G120:J120), 0))&gt;0, "NC",
            IF(MAX(IFERROR(SEARCH("DQ",MAIN!G120:J120), 0))&gt;0, "DQ",
            IF(ISNUMBER(SEARCH("WD",MAIN!K120)), "WD",
            IF(ISNUMBER(SEARCH("NS",MAIN!K120)), "NS",
            IF(ISNUMBER(SEARCH("NC",MAIN!K120)), "NC",
            IF(ISNUMBER(SEARCH("DQ",MAIN!K120)), "DQ",
            IF(ISNUMBER(SEARCH("A",MAIN!K120)), 0,
            IF(OR(MAIN!K120=0,MAIN!K120=""), 0, --TRIM(MAIN!K120)))))))))))),
        0
    )
)</f>
        <v>0</v>
      </c>
    </row>
    <row r="121" spans="1:11" x14ac:dyDescent="0.25">
      <c r="A121" t="str">
        <f>IF(ISBLANK(MAIN!A121), "--", IFERROR(PROPER(SUBSTITUTE(SUBSTITUTE(SUBSTITUTE(SUBSTITUTE(SUBSTITUTE(SUBSTITUTE(SUBSTITUTE(SUBSTITUTE(SUBSTITUTE(SUBSTITUTE(LEFT(MAIN!A121, FIND(",",MAIN!A121) -1), "0", ""), "1", ""), "2", ""), "3", ""), "4", ""), "5", ""), "6", ""), "7", ""), "8", ""), "9", "")), PROPER(SUBSTITUTE(SUBSTITUTE(SUBSTITUTE(SUBSTITUTE(SUBSTITUTE(SUBSTITUTE(SUBSTITUTE(SUBSTITUTE(SUBSTITUTE(SUBSTITUTE(MAIN!A121, "0", ""), "1", ""), "2", ""), "3", ""), "4", ""), "5", ""), "6", ""), "7", ""), "8", ""), "9", ""))))</f>
        <v>--</v>
      </c>
      <c r="B121" t="str">
        <f>IF(ISBLANK(MAIN!B121), "--", IFERROR(PROPER(SUBSTITUTE(SUBSTITUTE(SUBSTITUTE(SUBSTITUTE(SUBSTITUTE(SUBSTITUTE(SUBSTITUTE(SUBSTITUTE(SUBSTITUTE(SUBSTITUTE(LEFT(MAIN!B121, FIND(",",MAIN!B121) -1), "0", ""), "1", ""), "2", ""), "3", ""), "4", ""), "5", ""), "6", ""), "7", ""), "8", ""), "9", "")), PROPER(SUBSTITUTE(SUBSTITUTE(SUBSTITUTE(SUBSTITUTE(SUBSTITUTE(SUBSTITUTE(SUBSTITUTE(SUBSTITUTE(SUBSTITUTE(SUBSTITUTE(MAIN!B121, "0", ""), "1", ""), "2", ""), "3", ""), "4", ""), "5", ""), "6", ""), "7", ""), "8", ""), "9", ""))))</f>
        <v>--</v>
      </c>
      <c r="C121" t="str">
        <f>IF(ISBLANK(MAIN!C121), "--", IFERROR(PROPER(SUBSTITUTE(SUBSTITUTE(SUBSTITUTE(SUBSTITUTE(SUBSTITUTE(SUBSTITUTE(SUBSTITUTE(SUBSTITUTE(SUBSTITUTE(SUBSTITUTE(LEFT(MAIN!C121, FIND(",",MAIN!C121) -1), "0", ""), "1", ""), "2", ""), "3", ""), "4", ""), "5", ""), "6", ""), "7", ""), "8", ""), "9", "")), PROPER(SUBSTITUTE(SUBSTITUTE(SUBSTITUTE(SUBSTITUTE(SUBSTITUTE(SUBSTITUTE(SUBSTITUTE(SUBSTITUTE(SUBSTITUTE(SUBSTITUTE(MAIN!C121, "0", ""), "1", ""), "2", ""), "3", ""), "4", ""), "5", ""), "6", ""), "7", ""), "8", ""), "9", ""))))</f>
        <v>--</v>
      </c>
      <c r="D121" t="str">
        <f>IF(ISBLANK(MAIN!D121), "--", IF(ISNUMBER(MATCH(SUBSTITUTE(LEFT(MAIN!D121, IFERROR(FIND(",", MAIN!D121)-1, LEN(MAIN!D121))), " ", ""), lookup_values!$B$2:$B$51, 0)), UPPER(SUBSTITUTE(LEFT(MAIN!D121, IFERROR(FIND(",", MAIN!D121)-1, LEN(MAIN!D121))), " ", "")), IF(ISNA(VLOOKUP(SUBSTITUTE(LEFT(MAIN!D121, IFERROR(FIND(",", MAIN!D121)-1, LEN(MAIN!D121))), " ", ""), lookup_values!$A$2:$B$51, 2, FALSE)), "--", VLOOKUP(SUBSTITUTE(LEFT(MAIN!D121, IFERROR(FIND(",", MAIN!D121)-1, LEN(MAIN!D121))), " ", ""), lookup_values!$A$2:$B$51, 2, FALSE))))</f>
        <v>--</v>
      </c>
      <c r="E121" t="str">
        <f>IF(CLEAN_DATA!D121&lt;&gt;"--","US",IF(ISBLANK(MAIN!E121), "--", IF(ISNUMBER(MATCH(SUBSTITUTE(LEFT(MAIN!E121, IFERROR(FIND(",", MAIN!E121)-1, LEN(MAIN!E121))), " ", ""), lookup_values!$E$2:$E$197, 0)), UPPER(SUBSTITUTE(LEFT(MAIN!E121, IFERROR(FIND(",", MAIN!E121)-1, LEN(MAIN!E121))), " ", "")), IF(ISNA(VLOOKUP(SUBSTITUTE(LEFT(MAIN!E121, IFERROR(FIND(",", MAIN!E121)-1, LEN(MAIN!E121))), " ", ""), lookup_values!$D$2:$E$197, 2, FALSE)), "--", VLOOKUP(SUBSTITUTE(LEFT(MAIN!E121, IFERROR(FIND(",", MAIN!E121)-1, LEN(MAIN!E121))), " ", ""), lookup_values!$D$2:$E$197, 2, FALSE)))))</f>
        <v>--</v>
      </c>
      <c r="F121" t="str">
        <f>IF(ISBLANK(MAIN!F121), "", IF(AND(ISNUMBER(VALUE(TRIM(MAIN!F121))), LEN(TRIM(MAIN!F121))=4), VALUE(TRIM(MAIN!F121)), ""))</f>
        <v/>
      </c>
      <c r="G121">
        <f>IF(ISBLANK(MAIN!G121), 0, IF(ISNUMBER(VALUE(TRIM(MAIN!G121))), VALUE(TRIM(MAIN!G121)), 0))</f>
        <v>0</v>
      </c>
      <c r="H121">
        <f>IF(ISBLANK(MAIN!H121), 0, IF(ISNUMBER(VALUE(TRIM(MAIN!H121))), VALUE(TRIM(MAIN!H121)), 0))</f>
        <v>0</v>
      </c>
      <c r="I121">
        <f>IF(ISBLANK(MAIN!I121), 0, IF(ISNUMBER(VALUE(TRIM(MAIN!I121))), VALUE(TRIM(MAIN!I121)), 0))</f>
        <v>0</v>
      </c>
      <c r="J121">
        <f>IF(ISBLANK(MAIN!J121), 0, IF(ISNUMBER(VALUE(TRIM(MAIN!J121))), VALUE(TRIM(MAIN!J121)), 0))</f>
        <v>0</v>
      </c>
      <c r="K121" cm="1">
        <f t="array" ref="K121">IFERROR(
    VALUE(
        IFERROR(
            UPPER(
                IF(MAX(IFERROR(SEARCH("WD",MAIN!G121:J121), 0))&gt;0, "WD",
                IF(MAX(IFERROR(SEARCH("NS",MAIN!G121:J121), 0))&gt;0, "NS",
                IF(MAX(IFERROR(SEARCH("NC",MAIN!G121:J121), 0))&gt;0, "NC",
                IF(MAX(IFERROR(SEARCH("DQ",MAIN!G121:J121), 0))&gt;0, "DQ",
                IF(ISNUMBER(SEARCH("WD",MAIN!K121)), "WD",
                IF(ISNUMBER(SEARCH("NS",MAIN!K121)), "NS",
                IF(ISNUMBER(SEARCH("NC",MAIN!K121)), "NC",
                IF(ISNUMBER(SEARCH("DQ",MAIN!K121)), "DQ",
                IF(ISNUMBER(SEARCH("A",MAIN!K121)), 0,
                IF(OR(MAIN!K121=0,MAIN!K121=""), 0, --TRIM(MAIN!K121)))))))))))),
            0
        )
    ),
    IFERROR(
        UPPER(
            IF(MAX(IFERROR(SEARCH("WD",MAIN!G121:J121), 0))&gt;0, "WD",
            IF(MAX(IFERROR(SEARCH("NS",MAIN!G121:J121), 0))&gt;0, "NS",
            IF(MAX(IFERROR(SEARCH("NC",MAIN!G121:J121), 0))&gt;0, "NC",
            IF(MAX(IFERROR(SEARCH("DQ",MAIN!G121:J121), 0))&gt;0, "DQ",
            IF(ISNUMBER(SEARCH("WD",MAIN!K121)), "WD",
            IF(ISNUMBER(SEARCH("NS",MAIN!K121)), "NS",
            IF(ISNUMBER(SEARCH("NC",MAIN!K121)), "NC",
            IF(ISNUMBER(SEARCH("DQ",MAIN!K121)), "DQ",
            IF(ISNUMBER(SEARCH("A",MAIN!K121)), 0,
            IF(OR(MAIN!K121=0,MAIN!K121=""), 0, --TRIM(MAIN!K121)))))))))))),
        0
    )
)</f>
        <v>0</v>
      </c>
    </row>
    <row r="122" spans="1:11" x14ac:dyDescent="0.25">
      <c r="A122" t="str">
        <f>IF(ISBLANK(MAIN!A122), "--", IFERROR(PROPER(SUBSTITUTE(SUBSTITUTE(SUBSTITUTE(SUBSTITUTE(SUBSTITUTE(SUBSTITUTE(SUBSTITUTE(SUBSTITUTE(SUBSTITUTE(SUBSTITUTE(LEFT(MAIN!A122, FIND(",",MAIN!A122) -1), "0", ""), "1", ""), "2", ""), "3", ""), "4", ""), "5", ""), "6", ""), "7", ""), "8", ""), "9", "")), PROPER(SUBSTITUTE(SUBSTITUTE(SUBSTITUTE(SUBSTITUTE(SUBSTITUTE(SUBSTITUTE(SUBSTITUTE(SUBSTITUTE(SUBSTITUTE(SUBSTITUTE(MAIN!A122, "0", ""), "1", ""), "2", ""), "3", ""), "4", ""), "5", ""), "6", ""), "7", ""), "8", ""), "9", ""))))</f>
        <v>--</v>
      </c>
      <c r="B122" t="str">
        <f>IF(ISBLANK(MAIN!B122), "--", IFERROR(PROPER(SUBSTITUTE(SUBSTITUTE(SUBSTITUTE(SUBSTITUTE(SUBSTITUTE(SUBSTITUTE(SUBSTITUTE(SUBSTITUTE(SUBSTITUTE(SUBSTITUTE(LEFT(MAIN!B122, FIND(",",MAIN!B122) -1), "0", ""), "1", ""), "2", ""), "3", ""), "4", ""), "5", ""), "6", ""), "7", ""), "8", ""), "9", "")), PROPER(SUBSTITUTE(SUBSTITUTE(SUBSTITUTE(SUBSTITUTE(SUBSTITUTE(SUBSTITUTE(SUBSTITUTE(SUBSTITUTE(SUBSTITUTE(SUBSTITUTE(MAIN!B122, "0", ""), "1", ""), "2", ""), "3", ""), "4", ""), "5", ""), "6", ""), "7", ""), "8", ""), "9", ""))))</f>
        <v>--</v>
      </c>
      <c r="C122" t="str">
        <f>IF(ISBLANK(MAIN!C122), "--", IFERROR(PROPER(SUBSTITUTE(SUBSTITUTE(SUBSTITUTE(SUBSTITUTE(SUBSTITUTE(SUBSTITUTE(SUBSTITUTE(SUBSTITUTE(SUBSTITUTE(SUBSTITUTE(LEFT(MAIN!C122, FIND(",",MAIN!C122) -1), "0", ""), "1", ""), "2", ""), "3", ""), "4", ""), "5", ""), "6", ""), "7", ""), "8", ""), "9", "")), PROPER(SUBSTITUTE(SUBSTITUTE(SUBSTITUTE(SUBSTITUTE(SUBSTITUTE(SUBSTITUTE(SUBSTITUTE(SUBSTITUTE(SUBSTITUTE(SUBSTITUTE(MAIN!C122, "0", ""), "1", ""), "2", ""), "3", ""), "4", ""), "5", ""), "6", ""), "7", ""), "8", ""), "9", ""))))</f>
        <v>--</v>
      </c>
      <c r="D122" t="str">
        <f>IF(ISBLANK(MAIN!D122), "--", IF(ISNUMBER(MATCH(SUBSTITUTE(LEFT(MAIN!D122, IFERROR(FIND(",", MAIN!D122)-1, LEN(MAIN!D122))), " ", ""), lookup_values!$B$2:$B$51, 0)), UPPER(SUBSTITUTE(LEFT(MAIN!D122, IFERROR(FIND(",", MAIN!D122)-1, LEN(MAIN!D122))), " ", "")), IF(ISNA(VLOOKUP(SUBSTITUTE(LEFT(MAIN!D122, IFERROR(FIND(",", MAIN!D122)-1, LEN(MAIN!D122))), " ", ""), lookup_values!$A$2:$B$51, 2, FALSE)), "--", VLOOKUP(SUBSTITUTE(LEFT(MAIN!D122, IFERROR(FIND(",", MAIN!D122)-1, LEN(MAIN!D122))), " ", ""), lookup_values!$A$2:$B$51, 2, FALSE))))</f>
        <v>--</v>
      </c>
      <c r="E122" t="str">
        <f>IF(CLEAN_DATA!D122&lt;&gt;"--","US",IF(ISBLANK(MAIN!E122), "--", IF(ISNUMBER(MATCH(SUBSTITUTE(LEFT(MAIN!E122, IFERROR(FIND(",", MAIN!E122)-1, LEN(MAIN!E122))), " ", ""), lookup_values!$E$2:$E$197, 0)), UPPER(SUBSTITUTE(LEFT(MAIN!E122, IFERROR(FIND(",", MAIN!E122)-1, LEN(MAIN!E122))), " ", "")), IF(ISNA(VLOOKUP(SUBSTITUTE(LEFT(MAIN!E122, IFERROR(FIND(",", MAIN!E122)-1, LEN(MAIN!E122))), " ", ""), lookup_values!$D$2:$E$197, 2, FALSE)), "--", VLOOKUP(SUBSTITUTE(LEFT(MAIN!E122, IFERROR(FIND(",", MAIN!E122)-1, LEN(MAIN!E122))), " ", ""), lookup_values!$D$2:$E$197, 2, FALSE)))))</f>
        <v>--</v>
      </c>
      <c r="F122" t="str">
        <f>IF(ISBLANK(MAIN!F122), "", IF(AND(ISNUMBER(VALUE(TRIM(MAIN!F122))), LEN(TRIM(MAIN!F122))=4), VALUE(TRIM(MAIN!F122)), ""))</f>
        <v/>
      </c>
      <c r="G122">
        <f>IF(ISBLANK(MAIN!G122), 0, IF(ISNUMBER(VALUE(TRIM(MAIN!G122))), VALUE(TRIM(MAIN!G122)), 0))</f>
        <v>0</v>
      </c>
      <c r="H122">
        <f>IF(ISBLANK(MAIN!H122), 0, IF(ISNUMBER(VALUE(TRIM(MAIN!H122))), VALUE(TRIM(MAIN!H122)), 0))</f>
        <v>0</v>
      </c>
      <c r="I122">
        <f>IF(ISBLANK(MAIN!I122), 0, IF(ISNUMBER(VALUE(TRIM(MAIN!I122))), VALUE(TRIM(MAIN!I122)), 0))</f>
        <v>0</v>
      </c>
      <c r="J122">
        <f>IF(ISBLANK(MAIN!J122), 0, IF(ISNUMBER(VALUE(TRIM(MAIN!J122))), VALUE(TRIM(MAIN!J122)), 0))</f>
        <v>0</v>
      </c>
      <c r="K122" cm="1">
        <f t="array" ref="K122">IFERROR(
    VALUE(
        IFERROR(
            UPPER(
                IF(MAX(IFERROR(SEARCH("WD",MAIN!G122:J122), 0))&gt;0, "WD",
                IF(MAX(IFERROR(SEARCH("NS",MAIN!G122:J122), 0))&gt;0, "NS",
                IF(MAX(IFERROR(SEARCH("NC",MAIN!G122:J122), 0))&gt;0, "NC",
                IF(MAX(IFERROR(SEARCH("DQ",MAIN!G122:J122), 0))&gt;0, "DQ",
                IF(ISNUMBER(SEARCH("WD",MAIN!K122)), "WD",
                IF(ISNUMBER(SEARCH("NS",MAIN!K122)), "NS",
                IF(ISNUMBER(SEARCH("NC",MAIN!K122)), "NC",
                IF(ISNUMBER(SEARCH("DQ",MAIN!K122)), "DQ",
                IF(ISNUMBER(SEARCH("A",MAIN!K122)), 0,
                IF(OR(MAIN!K122=0,MAIN!K122=""), 0, --TRIM(MAIN!K122)))))))))))),
            0
        )
    ),
    IFERROR(
        UPPER(
            IF(MAX(IFERROR(SEARCH("WD",MAIN!G122:J122), 0))&gt;0, "WD",
            IF(MAX(IFERROR(SEARCH("NS",MAIN!G122:J122), 0))&gt;0, "NS",
            IF(MAX(IFERROR(SEARCH("NC",MAIN!G122:J122), 0))&gt;0, "NC",
            IF(MAX(IFERROR(SEARCH("DQ",MAIN!G122:J122), 0))&gt;0, "DQ",
            IF(ISNUMBER(SEARCH("WD",MAIN!K122)), "WD",
            IF(ISNUMBER(SEARCH("NS",MAIN!K122)), "NS",
            IF(ISNUMBER(SEARCH("NC",MAIN!K122)), "NC",
            IF(ISNUMBER(SEARCH("DQ",MAIN!K122)), "DQ",
            IF(ISNUMBER(SEARCH("A",MAIN!K122)), 0,
            IF(OR(MAIN!K122=0,MAIN!K122=""), 0, --TRIM(MAIN!K122)))))))))))),
        0
    )
)</f>
        <v>0</v>
      </c>
    </row>
    <row r="123" spans="1:11" x14ac:dyDescent="0.25">
      <c r="A123" t="str">
        <f>IF(ISBLANK(MAIN!A123), "--", IFERROR(PROPER(SUBSTITUTE(SUBSTITUTE(SUBSTITUTE(SUBSTITUTE(SUBSTITUTE(SUBSTITUTE(SUBSTITUTE(SUBSTITUTE(SUBSTITUTE(SUBSTITUTE(LEFT(MAIN!A123, FIND(",",MAIN!A123) -1), "0", ""), "1", ""), "2", ""), "3", ""), "4", ""), "5", ""), "6", ""), "7", ""), "8", ""), "9", "")), PROPER(SUBSTITUTE(SUBSTITUTE(SUBSTITUTE(SUBSTITUTE(SUBSTITUTE(SUBSTITUTE(SUBSTITUTE(SUBSTITUTE(SUBSTITUTE(SUBSTITUTE(MAIN!A123, "0", ""), "1", ""), "2", ""), "3", ""), "4", ""), "5", ""), "6", ""), "7", ""), "8", ""), "9", ""))))</f>
        <v>--</v>
      </c>
      <c r="B123" t="str">
        <f>IF(ISBLANK(MAIN!B123), "--", IFERROR(PROPER(SUBSTITUTE(SUBSTITUTE(SUBSTITUTE(SUBSTITUTE(SUBSTITUTE(SUBSTITUTE(SUBSTITUTE(SUBSTITUTE(SUBSTITUTE(SUBSTITUTE(LEFT(MAIN!B123, FIND(",",MAIN!B123) -1), "0", ""), "1", ""), "2", ""), "3", ""), "4", ""), "5", ""), "6", ""), "7", ""), "8", ""), "9", "")), PROPER(SUBSTITUTE(SUBSTITUTE(SUBSTITUTE(SUBSTITUTE(SUBSTITUTE(SUBSTITUTE(SUBSTITUTE(SUBSTITUTE(SUBSTITUTE(SUBSTITUTE(MAIN!B123, "0", ""), "1", ""), "2", ""), "3", ""), "4", ""), "5", ""), "6", ""), "7", ""), "8", ""), "9", ""))))</f>
        <v>--</v>
      </c>
      <c r="C123" t="str">
        <f>IF(ISBLANK(MAIN!C123), "--", IFERROR(PROPER(SUBSTITUTE(SUBSTITUTE(SUBSTITUTE(SUBSTITUTE(SUBSTITUTE(SUBSTITUTE(SUBSTITUTE(SUBSTITUTE(SUBSTITUTE(SUBSTITUTE(LEFT(MAIN!C123, FIND(",",MAIN!C123) -1), "0", ""), "1", ""), "2", ""), "3", ""), "4", ""), "5", ""), "6", ""), "7", ""), "8", ""), "9", "")), PROPER(SUBSTITUTE(SUBSTITUTE(SUBSTITUTE(SUBSTITUTE(SUBSTITUTE(SUBSTITUTE(SUBSTITUTE(SUBSTITUTE(SUBSTITUTE(SUBSTITUTE(MAIN!C123, "0", ""), "1", ""), "2", ""), "3", ""), "4", ""), "5", ""), "6", ""), "7", ""), "8", ""), "9", ""))))</f>
        <v>--</v>
      </c>
      <c r="D123" t="str">
        <f>IF(ISBLANK(MAIN!D123), "--", IF(ISNUMBER(MATCH(SUBSTITUTE(LEFT(MAIN!D123, IFERROR(FIND(",", MAIN!D123)-1, LEN(MAIN!D123))), " ", ""), lookup_values!$B$2:$B$51, 0)), UPPER(SUBSTITUTE(LEFT(MAIN!D123, IFERROR(FIND(",", MAIN!D123)-1, LEN(MAIN!D123))), " ", "")), IF(ISNA(VLOOKUP(SUBSTITUTE(LEFT(MAIN!D123, IFERROR(FIND(",", MAIN!D123)-1, LEN(MAIN!D123))), " ", ""), lookup_values!$A$2:$B$51, 2, FALSE)), "--", VLOOKUP(SUBSTITUTE(LEFT(MAIN!D123, IFERROR(FIND(",", MAIN!D123)-1, LEN(MAIN!D123))), " ", ""), lookup_values!$A$2:$B$51, 2, FALSE))))</f>
        <v>--</v>
      </c>
      <c r="E123" t="str">
        <f>IF(CLEAN_DATA!D123&lt;&gt;"--","US",IF(ISBLANK(MAIN!E123), "--", IF(ISNUMBER(MATCH(SUBSTITUTE(LEFT(MAIN!E123, IFERROR(FIND(",", MAIN!E123)-1, LEN(MAIN!E123))), " ", ""), lookup_values!$E$2:$E$197, 0)), UPPER(SUBSTITUTE(LEFT(MAIN!E123, IFERROR(FIND(",", MAIN!E123)-1, LEN(MAIN!E123))), " ", "")), IF(ISNA(VLOOKUP(SUBSTITUTE(LEFT(MAIN!E123, IFERROR(FIND(",", MAIN!E123)-1, LEN(MAIN!E123))), " ", ""), lookup_values!$D$2:$E$197, 2, FALSE)), "--", VLOOKUP(SUBSTITUTE(LEFT(MAIN!E123, IFERROR(FIND(",", MAIN!E123)-1, LEN(MAIN!E123))), " ", ""), lookup_values!$D$2:$E$197, 2, FALSE)))))</f>
        <v>--</v>
      </c>
      <c r="F123" t="str">
        <f>IF(ISBLANK(MAIN!F123), "", IF(AND(ISNUMBER(VALUE(TRIM(MAIN!F123))), LEN(TRIM(MAIN!F123))=4), VALUE(TRIM(MAIN!F123)), ""))</f>
        <v/>
      </c>
      <c r="G123">
        <f>IF(ISBLANK(MAIN!G123), 0, IF(ISNUMBER(VALUE(TRIM(MAIN!G123))), VALUE(TRIM(MAIN!G123)), 0))</f>
        <v>0</v>
      </c>
      <c r="H123">
        <f>IF(ISBLANK(MAIN!H123), 0, IF(ISNUMBER(VALUE(TRIM(MAIN!H123))), VALUE(TRIM(MAIN!H123)), 0))</f>
        <v>0</v>
      </c>
      <c r="I123">
        <f>IF(ISBLANK(MAIN!I123), 0, IF(ISNUMBER(VALUE(TRIM(MAIN!I123))), VALUE(TRIM(MAIN!I123)), 0))</f>
        <v>0</v>
      </c>
      <c r="J123">
        <f>IF(ISBLANK(MAIN!J123), 0, IF(ISNUMBER(VALUE(TRIM(MAIN!J123))), VALUE(TRIM(MAIN!J123)), 0))</f>
        <v>0</v>
      </c>
      <c r="K123" cm="1">
        <f t="array" ref="K123">IFERROR(
    VALUE(
        IFERROR(
            UPPER(
                IF(MAX(IFERROR(SEARCH("WD",MAIN!G123:J123), 0))&gt;0, "WD",
                IF(MAX(IFERROR(SEARCH("NS",MAIN!G123:J123), 0))&gt;0, "NS",
                IF(MAX(IFERROR(SEARCH("NC",MAIN!G123:J123), 0))&gt;0, "NC",
                IF(MAX(IFERROR(SEARCH("DQ",MAIN!G123:J123), 0))&gt;0, "DQ",
                IF(ISNUMBER(SEARCH("WD",MAIN!K123)), "WD",
                IF(ISNUMBER(SEARCH("NS",MAIN!K123)), "NS",
                IF(ISNUMBER(SEARCH("NC",MAIN!K123)), "NC",
                IF(ISNUMBER(SEARCH("DQ",MAIN!K123)), "DQ",
                IF(ISNUMBER(SEARCH("A",MAIN!K123)), 0,
                IF(OR(MAIN!K123=0,MAIN!K123=""), 0, --TRIM(MAIN!K123)))))))))))),
            0
        )
    ),
    IFERROR(
        UPPER(
            IF(MAX(IFERROR(SEARCH("WD",MAIN!G123:J123), 0))&gt;0, "WD",
            IF(MAX(IFERROR(SEARCH("NS",MAIN!G123:J123), 0))&gt;0, "NS",
            IF(MAX(IFERROR(SEARCH("NC",MAIN!G123:J123), 0))&gt;0, "NC",
            IF(MAX(IFERROR(SEARCH("DQ",MAIN!G123:J123), 0))&gt;0, "DQ",
            IF(ISNUMBER(SEARCH("WD",MAIN!K123)), "WD",
            IF(ISNUMBER(SEARCH("NS",MAIN!K123)), "NS",
            IF(ISNUMBER(SEARCH("NC",MAIN!K123)), "NC",
            IF(ISNUMBER(SEARCH("DQ",MAIN!K123)), "DQ",
            IF(ISNUMBER(SEARCH("A",MAIN!K123)), 0,
            IF(OR(MAIN!K123=0,MAIN!K123=""), 0, --TRIM(MAIN!K123)))))))))))),
        0
    )
)</f>
        <v>0</v>
      </c>
    </row>
    <row r="124" spans="1:11" x14ac:dyDescent="0.25">
      <c r="A124" t="str">
        <f>IF(ISBLANK(MAIN!A124), "--", IFERROR(PROPER(SUBSTITUTE(SUBSTITUTE(SUBSTITUTE(SUBSTITUTE(SUBSTITUTE(SUBSTITUTE(SUBSTITUTE(SUBSTITUTE(SUBSTITUTE(SUBSTITUTE(LEFT(MAIN!A124, FIND(",",MAIN!A124) -1), "0", ""), "1", ""), "2", ""), "3", ""), "4", ""), "5", ""), "6", ""), "7", ""), "8", ""), "9", "")), PROPER(SUBSTITUTE(SUBSTITUTE(SUBSTITUTE(SUBSTITUTE(SUBSTITUTE(SUBSTITUTE(SUBSTITUTE(SUBSTITUTE(SUBSTITUTE(SUBSTITUTE(MAIN!A124, "0", ""), "1", ""), "2", ""), "3", ""), "4", ""), "5", ""), "6", ""), "7", ""), "8", ""), "9", ""))))</f>
        <v>--</v>
      </c>
      <c r="B124" t="str">
        <f>IF(ISBLANK(MAIN!B124), "--", IFERROR(PROPER(SUBSTITUTE(SUBSTITUTE(SUBSTITUTE(SUBSTITUTE(SUBSTITUTE(SUBSTITUTE(SUBSTITUTE(SUBSTITUTE(SUBSTITUTE(SUBSTITUTE(LEFT(MAIN!B124, FIND(",",MAIN!B124) -1), "0", ""), "1", ""), "2", ""), "3", ""), "4", ""), "5", ""), "6", ""), "7", ""), "8", ""), "9", "")), PROPER(SUBSTITUTE(SUBSTITUTE(SUBSTITUTE(SUBSTITUTE(SUBSTITUTE(SUBSTITUTE(SUBSTITUTE(SUBSTITUTE(SUBSTITUTE(SUBSTITUTE(MAIN!B124, "0", ""), "1", ""), "2", ""), "3", ""), "4", ""), "5", ""), "6", ""), "7", ""), "8", ""), "9", ""))))</f>
        <v>--</v>
      </c>
      <c r="C124" t="str">
        <f>IF(ISBLANK(MAIN!C124), "--", IFERROR(PROPER(SUBSTITUTE(SUBSTITUTE(SUBSTITUTE(SUBSTITUTE(SUBSTITUTE(SUBSTITUTE(SUBSTITUTE(SUBSTITUTE(SUBSTITUTE(SUBSTITUTE(LEFT(MAIN!C124, FIND(",",MAIN!C124) -1), "0", ""), "1", ""), "2", ""), "3", ""), "4", ""), "5", ""), "6", ""), "7", ""), "8", ""), "9", "")), PROPER(SUBSTITUTE(SUBSTITUTE(SUBSTITUTE(SUBSTITUTE(SUBSTITUTE(SUBSTITUTE(SUBSTITUTE(SUBSTITUTE(SUBSTITUTE(SUBSTITUTE(MAIN!C124, "0", ""), "1", ""), "2", ""), "3", ""), "4", ""), "5", ""), "6", ""), "7", ""), "8", ""), "9", ""))))</f>
        <v>--</v>
      </c>
      <c r="D124" t="str">
        <f>IF(ISBLANK(MAIN!D124), "--", IF(ISNUMBER(MATCH(SUBSTITUTE(LEFT(MAIN!D124, IFERROR(FIND(",", MAIN!D124)-1, LEN(MAIN!D124))), " ", ""), lookup_values!$B$2:$B$51, 0)), UPPER(SUBSTITUTE(LEFT(MAIN!D124, IFERROR(FIND(",", MAIN!D124)-1, LEN(MAIN!D124))), " ", "")), IF(ISNA(VLOOKUP(SUBSTITUTE(LEFT(MAIN!D124, IFERROR(FIND(",", MAIN!D124)-1, LEN(MAIN!D124))), " ", ""), lookup_values!$A$2:$B$51, 2, FALSE)), "--", VLOOKUP(SUBSTITUTE(LEFT(MAIN!D124, IFERROR(FIND(",", MAIN!D124)-1, LEN(MAIN!D124))), " ", ""), lookup_values!$A$2:$B$51, 2, FALSE))))</f>
        <v>--</v>
      </c>
      <c r="E124" t="str">
        <f>IF(CLEAN_DATA!D124&lt;&gt;"--","US",IF(ISBLANK(MAIN!E124), "--", IF(ISNUMBER(MATCH(SUBSTITUTE(LEFT(MAIN!E124, IFERROR(FIND(",", MAIN!E124)-1, LEN(MAIN!E124))), " ", ""), lookup_values!$E$2:$E$197, 0)), UPPER(SUBSTITUTE(LEFT(MAIN!E124, IFERROR(FIND(",", MAIN!E124)-1, LEN(MAIN!E124))), " ", "")), IF(ISNA(VLOOKUP(SUBSTITUTE(LEFT(MAIN!E124, IFERROR(FIND(",", MAIN!E124)-1, LEN(MAIN!E124))), " ", ""), lookup_values!$D$2:$E$197, 2, FALSE)), "--", VLOOKUP(SUBSTITUTE(LEFT(MAIN!E124, IFERROR(FIND(",", MAIN!E124)-1, LEN(MAIN!E124))), " ", ""), lookup_values!$D$2:$E$197, 2, FALSE)))))</f>
        <v>--</v>
      </c>
      <c r="F124" t="str">
        <f>IF(ISBLANK(MAIN!F124), "", IF(AND(ISNUMBER(VALUE(TRIM(MAIN!F124))), LEN(TRIM(MAIN!F124))=4), VALUE(TRIM(MAIN!F124)), ""))</f>
        <v/>
      </c>
      <c r="G124">
        <f>IF(ISBLANK(MAIN!G124), 0, IF(ISNUMBER(VALUE(TRIM(MAIN!G124))), VALUE(TRIM(MAIN!G124)), 0))</f>
        <v>0</v>
      </c>
      <c r="H124">
        <f>IF(ISBLANK(MAIN!H124), 0, IF(ISNUMBER(VALUE(TRIM(MAIN!H124))), VALUE(TRIM(MAIN!H124)), 0))</f>
        <v>0</v>
      </c>
      <c r="I124">
        <f>IF(ISBLANK(MAIN!I124), 0, IF(ISNUMBER(VALUE(TRIM(MAIN!I124))), VALUE(TRIM(MAIN!I124)), 0))</f>
        <v>0</v>
      </c>
      <c r="J124">
        <f>IF(ISBLANK(MAIN!J124), 0, IF(ISNUMBER(VALUE(TRIM(MAIN!J124))), VALUE(TRIM(MAIN!J124)), 0))</f>
        <v>0</v>
      </c>
      <c r="K124" cm="1">
        <f t="array" ref="K124">IFERROR(
    VALUE(
        IFERROR(
            UPPER(
                IF(MAX(IFERROR(SEARCH("WD",MAIN!G124:J124), 0))&gt;0, "WD",
                IF(MAX(IFERROR(SEARCH("NS",MAIN!G124:J124), 0))&gt;0, "NS",
                IF(MAX(IFERROR(SEARCH("NC",MAIN!G124:J124), 0))&gt;0, "NC",
                IF(MAX(IFERROR(SEARCH("DQ",MAIN!G124:J124), 0))&gt;0, "DQ",
                IF(ISNUMBER(SEARCH("WD",MAIN!K124)), "WD",
                IF(ISNUMBER(SEARCH("NS",MAIN!K124)), "NS",
                IF(ISNUMBER(SEARCH("NC",MAIN!K124)), "NC",
                IF(ISNUMBER(SEARCH("DQ",MAIN!K124)), "DQ",
                IF(ISNUMBER(SEARCH("A",MAIN!K124)), 0,
                IF(OR(MAIN!K124=0,MAIN!K124=""), 0, --TRIM(MAIN!K124)))))))))))),
            0
        )
    ),
    IFERROR(
        UPPER(
            IF(MAX(IFERROR(SEARCH("WD",MAIN!G124:J124), 0))&gt;0, "WD",
            IF(MAX(IFERROR(SEARCH("NS",MAIN!G124:J124), 0))&gt;0, "NS",
            IF(MAX(IFERROR(SEARCH("NC",MAIN!G124:J124), 0))&gt;0, "NC",
            IF(MAX(IFERROR(SEARCH("DQ",MAIN!G124:J124), 0))&gt;0, "DQ",
            IF(ISNUMBER(SEARCH("WD",MAIN!K124)), "WD",
            IF(ISNUMBER(SEARCH("NS",MAIN!K124)), "NS",
            IF(ISNUMBER(SEARCH("NC",MAIN!K124)), "NC",
            IF(ISNUMBER(SEARCH("DQ",MAIN!K124)), "DQ",
            IF(ISNUMBER(SEARCH("A",MAIN!K124)), 0,
            IF(OR(MAIN!K124=0,MAIN!K124=""), 0, --TRIM(MAIN!K124)))))))))))),
        0
    )
)</f>
        <v>0</v>
      </c>
    </row>
    <row r="125" spans="1:11" x14ac:dyDescent="0.25">
      <c r="A125" t="str">
        <f>IF(ISBLANK(MAIN!A125), "--", IFERROR(PROPER(SUBSTITUTE(SUBSTITUTE(SUBSTITUTE(SUBSTITUTE(SUBSTITUTE(SUBSTITUTE(SUBSTITUTE(SUBSTITUTE(SUBSTITUTE(SUBSTITUTE(LEFT(MAIN!A125, FIND(",",MAIN!A125) -1), "0", ""), "1", ""), "2", ""), "3", ""), "4", ""), "5", ""), "6", ""), "7", ""), "8", ""), "9", "")), PROPER(SUBSTITUTE(SUBSTITUTE(SUBSTITUTE(SUBSTITUTE(SUBSTITUTE(SUBSTITUTE(SUBSTITUTE(SUBSTITUTE(SUBSTITUTE(SUBSTITUTE(MAIN!A125, "0", ""), "1", ""), "2", ""), "3", ""), "4", ""), "5", ""), "6", ""), "7", ""), "8", ""), "9", ""))))</f>
        <v>--</v>
      </c>
      <c r="B125" t="str">
        <f>IF(ISBLANK(MAIN!B125), "--", IFERROR(PROPER(SUBSTITUTE(SUBSTITUTE(SUBSTITUTE(SUBSTITUTE(SUBSTITUTE(SUBSTITUTE(SUBSTITUTE(SUBSTITUTE(SUBSTITUTE(SUBSTITUTE(LEFT(MAIN!B125, FIND(",",MAIN!B125) -1), "0", ""), "1", ""), "2", ""), "3", ""), "4", ""), "5", ""), "6", ""), "7", ""), "8", ""), "9", "")), PROPER(SUBSTITUTE(SUBSTITUTE(SUBSTITUTE(SUBSTITUTE(SUBSTITUTE(SUBSTITUTE(SUBSTITUTE(SUBSTITUTE(SUBSTITUTE(SUBSTITUTE(MAIN!B125, "0", ""), "1", ""), "2", ""), "3", ""), "4", ""), "5", ""), "6", ""), "7", ""), "8", ""), "9", ""))))</f>
        <v>--</v>
      </c>
      <c r="C125" t="str">
        <f>IF(ISBLANK(MAIN!C125), "--", IFERROR(PROPER(SUBSTITUTE(SUBSTITUTE(SUBSTITUTE(SUBSTITUTE(SUBSTITUTE(SUBSTITUTE(SUBSTITUTE(SUBSTITUTE(SUBSTITUTE(SUBSTITUTE(LEFT(MAIN!C125, FIND(",",MAIN!C125) -1), "0", ""), "1", ""), "2", ""), "3", ""), "4", ""), "5", ""), "6", ""), "7", ""), "8", ""), "9", "")), PROPER(SUBSTITUTE(SUBSTITUTE(SUBSTITUTE(SUBSTITUTE(SUBSTITUTE(SUBSTITUTE(SUBSTITUTE(SUBSTITUTE(SUBSTITUTE(SUBSTITUTE(MAIN!C125, "0", ""), "1", ""), "2", ""), "3", ""), "4", ""), "5", ""), "6", ""), "7", ""), "8", ""), "9", ""))))</f>
        <v>--</v>
      </c>
      <c r="D125" t="str">
        <f>IF(ISBLANK(MAIN!D125), "--", IF(ISNUMBER(MATCH(SUBSTITUTE(LEFT(MAIN!D125, IFERROR(FIND(",", MAIN!D125)-1, LEN(MAIN!D125))), " ", ""), lookup_values!$B$2:$B$51, 0)), UPPER(SUBSTITUTE(LEFT(MAIN!D125, IFERROR(FIND(",", MAIN!D125)-1, LEN(MAIN!D125))), " ", "")), IF(ISNA(VLOOKUP(SUBSTITUTE(LEFT(MAIN!D125, IFERROR(FIND(",", MAIN!D125)-1, LEN(MAIN!D125))), " ", ""), lookup_values!$A$2:$B$51, 2, FALSE)), "--", VLOOKUP(SUBSTITUTE(LEFT(MAIN!D125, IFERROR(FIND(",", MAIN!D125)-1, LEN(MAIN!D125))), " ", ""), lookup_values!$A$2:$B$51, 2, FALSE))))</f>
        <v>--</v>
      </c>
      <c r="E125" t="str">
        <f>IF(CLEAN_DATA!D125&lt;&gt;"--","US",IF(ISBLANK(MAIN!E125), "--", IF(ISNUMBER(MATCH(SUBSTITUTE(LEFT(MAIN!E125, IFERROR(FIND(",", MAIN!E125)-1, LEN(MAIN!E125))), " ", ""), lookup_values!$E$2:$E$197, 0)), UPPER(SUBSTITUTE(LEFT(MAIN!E125, IFERROR(FIND(",", MAIN!E125)-1, LEN(MAIN!E125))), " ", "")), IF(ISNA(VLOOKUP(SUBSTITUTE(LEFT(MAIN!E125, IFERROR(FIND(",", MAIN!E125)-1, LEN(MAIN!E125))), " ", ""), lookup_values!$D$2:$E$197, 2, FALSE)), "--", VLOOKUP(SUBSTITUTE(LEFT(MAIN!E125, IFERROR(FIND(",", MAIN!E125)-1, LEN(MAIN!E125))), " ", ""), lookup_values!$D$2:$E$197, 2, FALSE)))))</f>
        <v>--</v>
      </c>
      <c r="F125" t="str">
        <f>IF(ISBLANK(MAIN!F125), "", IF(AND(ISNUMBER(VALUE(TRIM(MAIN!F125))), LEN(TRIM(MAIN!F125))=4), VALUE(TRIM(MAIN!F125)), ""))</f>
        <v/>
      </c>
      <c r="G125">
        <f>IF(ISBLANK(MAIN!G125), 0, IF(ISNUMBER(VALUE(TRIM(MAIN!G125))), VALUE(TRIM(MAIN!G125)), 0))</f>
        <v>0</v>
      </c>
      <c r="H125">
        <f>IF(ISBLANK(MAIN!H125), 0, IF(ISNUMBER(VALUE(TRIM(MAIN!H125))), VALUE(TRIM(MAIN!H125)), 0))</f>
        <v>0</v>
      </c>
      <c r="I125">
        <f>IF(ISBLANK(MAIN!I125), 0, IF(ISNUMBER(VALUE(TRIM(MAIN!I125))), VALUE(TRIM(MAIN!I125)), 0))</f>
        <v>0</v>
      </c>
      <c r="J125">
        <f>IF(ISBLANK(MAIN!J125), 0, IF(ISNUMBER(VALUE(TRIM(MAIN!J125))), VALUE(TRIM(MAIN!J125)), 0))</f>
        <v>0</v>
      </c>
      <c r="K125" cm="1">
        <f t="array" ref="K125">IFERROR(
    VALUE(
        IFERROR(
            UPPER(
                IF(MAX(IFERROR(SEARCH("WD",MAIN!G125:J125), 0))&gt;0, "WD",
                IF(MAX(IFERROR(SEARCH("NS",MAIN!G125:J125), 0))&gt;0, "NS",
                IF(MAX(IFERROR(SEARCH("NC",MAIN!G125:J125), 0))&gt;0, "NC",
                IF(MAX(IFERROR(SEARCH("DQ",MAIN!G125:J125), 0))&gt;0, "DQ",
                IF(ISNUMBER(SEARCH("WD",MAIN!K125)), "WD",
                IF(ISNUMBER(SEARCH("NS",MAIN!K125)), "NS",
                IF(ISNUMBER(SEARCH("NC",MAIN!K125)), "NC",
                IF(ISNUMBER(SEARCH("DQ",MAIN!K125)), "DQ",
                IF(ISNUMBER(SEARCH("A",MAIN!K125)), 0,
                IF(OR(MAIN!K125=0,MAIN!K125=""), 0, --TRIM(MAIN!K125)))))))))))),
            0
        )
    ),
    IFERROR(
        UPPER(
            IF(MAX(IFERROR(SEARCH("WD",MAIN!G125:J125), 0))&gt;0, "WD",
            IF(MAX(IFERROR(SEARCH("NS",MAIN!G125:J125), 0))&gt;0, "NS",
            IF(MAX(IFERROR(SEARCH("NC",MAIN!G125:J125), 0))&gt;0, "NC",
            IF(MAX(IFERROR(SEARCH("DQ",MAIN!G125:J125), 0))&gt;0, "DQ",
            IF(ISNUMBER(SEARCH("WD",MAIN!K125)), "WD",
            IF(ISNUMBER(SEARCH("NS",MAIN!K125)), "NS",
            IF(ISNUMBER(SEARCH("NC",MAIN!K125)), "NC",
            IF(ISNUMBER(SEARCH("DQ",MAIN!K125)), "DQ",
            IF(ISNUMBER(SEARCH("A",MAIN!K125)), 0,
            IF(OR(MAIN!K125=0,MAIN!K125=""), 0, --TRIM(MAIN!K125)))))))))))),
        0
    )
)</f>
        <v>0</v>
      </c>
    </row>
    <row r="126" spans="1:11" x14ac:dyDescent="0.25">
      <c r="A126" t="str">
        <f>IF(ISBLANK(MAIN!A126), "--", IFERROR(PROPER(SUBSTITUTE(SUBSTITUTE(SUBSTITUTE(SUBSTITUTE(SUBSTITUTE(SUBSTITUTE(SUBSTITUTE(SUBSTITUTE(SUBSTITUTE(SUBSTITUTE(LEFT(MAIN!A126, FIND(",",MAIN!A126) -1), "0", ""), "1", ""), "2", ""), "3", ""), "4", ""), "5", ""), "6", ""), "7", ""), "8", ""), "9", "")), PROPER(SUBSTITUTE(SUBSTITUTE(SUBSTITUTE(SUBSTITUTE(SUBSTITUTE(SUBSTITUTE(SUBSTITUTE(SUBSTITUTE(SUBSTITUTE(SUBSTITUTE(MAIN!A126, "0", ""), "1", ""), "2", ""), "3", ""), "4", ""), "5", ""), "6", ""), "7", ""), "8", ""), "9", ""))))</f>
        <v>--</v>
      </c>
      <c r="B126" t="str">
        <f>IF(ISBLANK(MAIN!B126), "--", IFERROR(PROPER(SUBSTITUTE(SUBSTITUTE(SUBSTITUTE(SUBSTITUTE(SUBSTITUTE(SUBSTITUTE(SUBSTITUTE(SUBSTITUTE(SUBSTITUTE(SUBSTITUTE(LEFT(MAIN!B126, FIND(",",MAIN!B126) -1), "0", ""), "1", ""), "2", ""), "3", ""), "4", ""), "5", ""), "6", ""), "7", ""), "8", ""), "9", "")), PROPER(SUBSTITUTE(SUBSTITUTE(SUBSTITUTE(SUBSTITUTE(SUBSTITUTE(SUBSTITUTE(SUBSTITUTE(SUBSTITUTE(SUBSTITUTE(SUBSTITUTE(MAIN!B126, "0", ""), "1", ""), "2", ""), "3", ""), "4", ""), "5", ""), "6", ""), "7", ""), "8", ""), "9", ""))))</f>
        <v>--</v>
      </c>
      <c r="C126" t="str">
        <f>IF(ISBLANK(MAIN!C126), "--", IFERROR(PROPER(SUBSTITUTE(SUBSTITUTE(SUBSTITUTE(SUBSTITUTE(SUBSTITUTE(SUBSTITUTE(SUBSTITUTE(SUBSTITUTE(SUBSTITUTE(SUBSTITUTE(LEFT(MAIN!C126, FIND(",",MAIN!C126) -1), "0", ""), "1", ""), "2", ""), "3", ""), "4", ""), "5", ""), "6", ""), "7", ""), "8", ""), "9", "")), PROPER(SUBSTITUTE(SUBSTITUTE(SUBSTITUTE(SUBSTITUTE(SUBSTITUTE(SUBSTITUTE(SUBSTITUTE(SUBSTITUTE(SUBSTITUTE(SUBSTITUTE(MAIN!C126, "0", ""), "1", ""), "2", ""), "3", ""), "4", ""), "5", ""), "6", ""), "7", ""), "8", ""), "9", ""))))</f>
        <v>--</v>
      </c>
      <c r="D126" t="str">
        <f>IF(ISBLANK(MAIN!D126), "--", IF(ISNUMBER(MATCH(SUBSTITUTE(LEFT(MAIN!D126, IFERROR(FIND(",", MAIN!D126)-1, LEN(MAIN!D126))), " ", ""), lookup_values!$B$2:$B$51, 0)), UPPER(SUBSTITUTE(LEFT(MAIN!D126, IFERROR(FIND(",", MAIN!D126)-1, LEN(MAIN!D126))), " ", "")), IF(ISNA(VLOOKUP(SUBSTITUTE(LEFT(MAIN!D126, IFERROR(FIND(",", MAIN!D126)-1, LEN(MAIN!D126))), " ", ""), lookup_values!$A$2:$B$51, 2, FALSE)), "--", VLOOKUP(SUBSTITUTE(LEFT(MAIN!D126, IFERROR(FIND(",", MAIN!D126)-1, LEN(MAIN!D126))), " ", ""), lookup_values!$A$2:$B$51, 2, FALSE))))</f>
        <v>--</v>
      </c>
      <c r="E126" t="str">
        <f>IF(CLEAN_DATA!D126&lt;&gt;"--","US",IF(ISBLANK(MAIN!E126), "--", IF(ISNUMBER(MATCH(SUBSTITUTE(LEFT(MAIN!E126, IFERROR(FIND(",", MAIN!E126)-1, LEN(MAIN!E126))), " ", ""), lookup_values!$E$2:$E$197, 0)), UPPER(SUBSTITUTE(LEFT(MAIN!E126, IFERROR(FIND(",", MAIN!E126)-1, LEN(MAIN!E126))), " ", "")), IF(ISNA(VLOOKUP(SUBSTITUTE(LEFT(MAIN!E126, IFERROR(FIND(",", MAIN!E126)-1, LEN(MAIN!E126))), " ", ""), lookup_values!$D$2:$E$197, 2, FALSE)), "--", VLOOKUP(SUBSTITUTE(LEFT(MAIN!E126, IFERROR(FIND(",", MAIN!E126)-1, LEN(MAIN!E126))), " ", ""), lookup_values!$D$2:$E$197, 2, FALSE)))))</f>
        <v>--</v>
      </c>
      <c r="F126" t="str">
        <f>IF(ISBLANK(MAIN!F126), "", IF(AND(ISNUMBER(VALUE(TRIM(MAIN!F126))), LEN(TRIM(MAIN!F126))=4), VALUE(TRIM(MAIN!F126)), ""))</f>
        <v/>
      </c>
      <c r="G126">
        <f>IF(ISBLANK(MAIN!G126), 0, IF(ISNUMBER(VALUE(TRIM(MAIN!G126))), VALUE(TRIM(MAIN!G126)), 0))</f>
        <v>0</v>
      </c>
      <c r="H126">
        <f>IF(ISBLANK(MAIN!H126), 0, IF(ISNUMBER(VALUE(TRIM(MAIN!H126))), VALUE(TRIM(MAIN!H126)), 0))</f>
        <v>0</v>
      </c>
      <c r="I126">
        <f>IF(ISBLANK(MAIN!I126), 0, IF(ISNUMBER(VALUE(TRIM(MAIN!I126))), VALUE(TRIM(MAIN!I126)), 0))</f>
        <v>0</v>
      </c>
      <c r="J126">
        <f>IF(ISBLANK(MAIN!J126), 0, IF(ISNUMBER(VALUE(TRIM(MAIN!J126))), VALUE(TRIM(MAIN!J126)), 0))</f>
        <v>0</v>
      </c>
      <c r="K126" cm="1">
        <f t="array" ref="K126">IFERROR(
    VALUE(
        IFERROR(
            UPPER(
                IF(MAX(IFERROR(SEARCH("WD",MAIN!G126:J126), 0))&gt;0, "WD",
                IF(MAX(IFERROR(SEARCH("NS",MAIN!G126:J126), 0))&gt;0, "NS",
                IF(MAX(IFERROR(SEARCH("NC",MAIN!G126:J126), 0))&gt;0, "NC",
                IF(MAX(IFERROR(SEARCH("DQ",MAIN!G126:J126), 0))&gt;0, "DQ",
                IF(ISNUMBER(SEARCH("WD",MAIN!K126)), "WD",
                IF(ISNUMBER(SEARCH("NS",MAIN!K126)), "NS",
                IF(ISNUMBER(SEARCH("NC",MAIN!K126)), "NC",
                IF(ISNUMBER(SEARCH("DQ",MAIN!K126)), "DQ",
                IF(ISNUMBER(SEARCH("A",MAIN!K126)), 0,
                IF(OR(MAIN!K126=0,MAIN!K126=""), 0, --TRIM(MAIN!K126)))))))))))),
            0
        )
    ),
    IFERROR(
        UPPER(
            IF(MAX(IFERROR(SEARCH("WD",MAIN!G126:J126), 0))&gt;0, "WD",
            IF(MAX(IFERROR(SEARCH("NS",MAIN!G126:J126), 0))&gt;0, "NS",
            IF(MAX(IFERROR(SEARCH("NC",MAIN!G126:J126), 0))&gt;0, "NC",
            IF(MAX(IFERROR(SEARCH("DQ",MAIN!G126:J126), 0))&gt;0, "DQ",
            IF(ISNUMBER(SEARCH("WD",MAIN!K126)), "WD",
            IF(ISNUMBER(SEARCH("NS",MAIN!K126)), "NS",
            IF(ISNUMBER(SEARCH("NC",MAIN!K126)), "NC",
            IF(ISNUMBER(SEARCH("DQ",MAIN!K126)), "DQ",
            IF(ISNUMBER(SEARCH("A",MAIN!K126)), 0,
            IF(OR(MAIN!K126=0,MAIN!K126=""), 0, --TRIM(MAIN!K126)))))))))))),
        0
    )
)</f>
        <v>0</v>
      </c>
    </row>
    <row r="127" spans="1:11" x14ac:dyDescent="0.25">
      <c r="A127" t="str">
        <f>IF(ISBLANK(MAIN!A127), "--", IFERROR(PROPER(SUBSTITUTE(SUBSTITUTE(SUBSTITUTE(SUBSTITUTE(SUBSTITUTE(SUBSTITUTE(SUBSTITUTE(SUBSTITUTE(SUBSTITUTE(SUBSTITUTE(LEFT(MAIN!A127, FIND(",",MAIN!A127) -1), "0", ""), "1", ""), "2", ""), "3", ""), "4", ""), "5", ""), "6", ""), "7", ""), "8", ""), "9", "")), PROPER(SUBSTITUTE(SUBSTITUTE(SUBSTITUTE(SUBSTITUTE(SUBSTITUTE(SUBSTITUTE(SUBSTITUTE(SUBSTITUTE(SUBSTITUTE(SUBSTITUTE(MAIN!A127, "0", ""), "1", ""), "2", ""), "3", ""), "4", ""), "5", ""), "6", ""), "7", ""), "8", ""), "9", ""))))</f>
        <v>--</v>
      </c>
      <c r="B127" t="str">
        <f>IF(ISBLANK(MAIN!B127), "--", IFERROR(PROPER(SUBSTITUTE(SUBSTITUTE(SUBSTITUTE(SUBSTITUTE(SUBSTITUTE(SUBSTITUTE(SUBSTITUTE(SUBSTITUTE(SUBSTITUTE(SUBSTITUTE(LEFT(MAIN!B127, FIND(",",MAIN!B127) -1), "0", ""), "1", ""), "2", ""), "3", ""), "4", ""), "5", ""), "6", ""), "7", ""), "8", ""), "9", "")), PROPER(SUBSTITUTE(SUBSTITUTE(SUBSTITUTE(SUBSTITUTE(SUBSTITUTE(SUBSTITUTE(SUBSTITUTE(SUBSTITUTE(SUBSTITUTE(SUBSTITUTE(MAIN!B127, "0", ""), "1", ""), "2", ""), "3", ""), "4", ""), "5", ""), "6", ""), "7", ""), "8", ""), "9", ""))))</f>
        <v>--</v>
      </c>
      <c r="C127" t="str">
        <f>IF(ISBLANK(MAIN!C127), "--", IFERROR(PROPER(SUBSTITUTE(SUBSTITUTE(SUBSTITUTE(SUBSTITUTE(SUBSTITUTE(SUBSTITUTE(SUBSTITUTE(SUBSTITUTE(SUBSTITUTE(SUBSTITUTE(LEFT(MAIN!C127, FIND(",",MAIN!C127) -1), "0", ""), "1", ""), "2", ""), "3", ""), "4", ""), "5", ""), "6", ""), "7", ""), "8", ""), "9", "")), PROPER(SUBSTITUTE(SUBSTITUTE(SUBSTITUTE(SUBSTITUTE(SUBSTITUTE(SUBSTITUTE(SUBSTITUTE(SUBSTITUTE(SUBSTITUTE(SUBSTITUTE(MAIN!C127, "0", ""), "1", ""), "2", ""), "3", ""), "4", ""), "5", ""), "6", ""), "7", ""), "8", ""), "9", ""))))</f>
        <v>--</v>
      </c>
      <c r="D127" t="str">
        <f>IF(ISBLANK(MAIN!D127), "--", IF(ISNUMBER(MATCH(SUBSTITUTE(LEFT(MAIN!D127, IFERROR(FIND(",", MAIN!D127)-1, LEN(MAIN!D127))), " ", ""), lookup_values!$B$2:$B$51, 0)), UPPER(SUBSTITUTE(LEFT(MAIN!D127, IFERROR(FIND(",", MAIN!D127)-1, LEN(MAIN!D127))), " ", "")), IF(ISNA(VLOOKUP(SUBSTITUTE(LEFT(MAIN!D127, IFERROR(FIND(",", MAIN!D127)-1, LEN(MAIN!D127))), " ", ""), lookup_values!$A$2:$B$51, 2, FALSE)), "--", VLOOKUP(SUBSTITUTE(LEFT(MAIN!D127, IFERROR(FIND(",", MAIN!D127)-1, LEN(MAIN!D127))), " ", ""), lookup_values!$A$2:$B$51, 2, FALSE))))</f>
        <v>--</v>
      </c>
      <c r="E127" t="str">
        <f>IF(CLEAN_DATA!D127&lt;&gt;"--","US",IF(ISBLANK(MAIN!E127), "--", IF(ISNUMBER(MATCH(SUBSTITUTE(LEFT(MAIN!E127, IFERROR(FIND(",", MAIN!E127)-1, LEN(MAIN!E127))), " ", ""), lookup_values!$E$2:$E$197, 0)), UPPER(SUBSTITUTE(LEFT(MAIN!E127, IFERROR(FIND(",", MAIN!E127)-1, LEN(MAIN!E127))), " ", "")), IF(ISNA(VLOOKUP(SUBSTITUTE(LEFT(MAIN!E127, IFERROR(FIND(",", MAIN!E127)-1, LEN(MAIN!E127))), " ", ""), lookup_values!$D$2:$E$197, 2, FALSE)), "--", VLOOKUP(SUBSTITUTE(LEFT(MAIN!E127, IFERROR(FIND(",", MAIN!E127)-1, LEN(MAIN!E127))), " ", ""), lookup_values!$D$2:$E$197, 2, FALSE)))))</f>
        <v>--</v>
      </c>
      <c r="F127" t="str">
        <f>IF(ISBLANK(MAIN!F127), "", IF(AND(ISNUMBER(VALUE(TRIM(MAIN!F127))), LEN(TRIM(MAIN!F127))=4), VALUE(TRIM(MAIN!F127)), ""))</f>
        <v/>
      </c>
      <c r="G127">
        <f>IF(ISBLANK(MAIN!G127), 0, IF(ISNUMBER(VALUE(TRIM(MAIN!G127))), VALUE(TRIM(MAIN!G127)), 0))</f>
        <v>0</v>
      </c>
      <c r="H127">
        <f>IF(ISBLANK(MAIN!H127), 0, IF(ISNUMBER(VALUE(TRIM(MAIN!H127))), VALUE(TRIM(MAIN!H127)), 0))</f>
        <v>0</v>
      </c>
      <c r="I127">
        <f>IF(ISBLANK(MAIN!I127), 0, IF(ISNUMBER(VALUE(TRIM(MAIN!I127))), VALUE(TRIM(MAIN!I127)), 0))</f>
        <v>0</v>
      </c>
      <c r="J127">
        <f>IF(ISBLANK(MAIN!J127), 0, IF(ISNUMBER(VALUE(TRIM(MAIN!J127))), VALUE(TRIM(MAIN!J127)), 0))</f>
        <v>0</v>
      </c>
      <c r="K127" cm="1">
        <f t="array" ref="K127">IFERROR(
    VALUE(
        IFERROR(
            UPPER(
                IF(MAX(IFERROR(SEARCH("WD",MAIN!G127:J127), 0))&gt;0, "WD",
                IF(MAX(IFERROR(SEARCH("NS",MAIN!G127:J127), 0))&gt;0, "NS",
                IF(MAX(IFERROR(SEARCH("NC",MAIN!G127:J127), 0))&gt;0, "NC",
                IF(MAX(IFERROR(SEARCH("DQ",MAIN!G127:J127), 0))&gt;0, "DQ",
                IF(ISNUMBER(SEARCH("WD",MAIN!K127)), "WD",
                IF(ISNUMBER(SEARCH("NS",MAIN!K127)), "NS",
                IF(ISNUMBER(SEARCH("NC",MAIN!K127)), "NC",
                IF(ISNUMBER(SEARCH("DQ",MAIN!K127)), "DQ",
                IF(ISNUMBER(SEARCH("A",MAIN!K127)), 0,
                IF(OR(MAIN!K127=0,MAIN!K127=""), 0, --TRIM(MAIN!K127)))))))))))),
            0
        )
    ),
    IFERROR(
        UPPER(
            IF(MAX(IFERROR(SEARCH("WD",MAIN!G127:J127), 0))&gt;0, "WD",
            IF(MAX(IFERROR(SEARCH("NS",MAIN!G127:J127), 0))&gt;0, "NS",
            IF(MAX(IFERROR(SEARCH("NC",MAIN!G127:J127), 0))&gt;0, "NC",
            IF(MAX(IFERROR(SEARCH("DQ",MAIN!G127:J127), 0))&gt;0, "DQ",
            IF(ISNUMBER(SEARCH("WD",MAIN!K127)), "WD",
            IF(ISNUMBER(SEARCH("NS",MAIN!K127)), "NS",
            IF(ISNUMBER(SEARCH("NC",MAIN!K127)), "NC",
            IF(ISNUMBER(SEARCH("DQ",MAIN!K127)), "DQ",
            IF(ISNUMBER(SEARCH("A",MAIN!K127)), 0,
            IF(OR(MAIN!K127=0,MAIN!K127=""), 0, --TRIM(MAIN!K127)))))))))))),
        0
    )
)</f>
        <v>0</v>
      </c>
    </row>
    <row r="128" spans="1:11" x14ac:dyDescent="0.25">
      <c r="A128" t="str">
        <f>IF(ISBLANK(MAIN!A128), "--", IFERROR(PROPER(SUBSTITUTE(SUBSTITUTE(SUBSTITUTE(SUBSTITUTE(SUBSTITUTE(SUBSTITUTE(SUBSTITUTE(SUBSTITUTE(SUBSTITUTE(SUBSTITUTE(LEFT(MAIN!A128, FIND(",",MAIN!A128) -1), "0", ""), "1", ""), "2", ""), "3", ""), "4", ""), "5", ""), "6", ""), "7", ""), "8", ""), "9", "")), PROPER(SUBSTITUTE(SUBSTITUTE(SUBSTITUTE(SUBSTITUTE(SUBSTITUTE(SUBSTITUTE(SUBSTITUTE(SUBSTITUTE(SUBSTITUTE(SUBSTITUTE(MAIN!A128, "0", ""), "1", ""), "2", ""), "3", ""), "4", ""), "5", ""), "6", ""), "7", ""), "8", ""), "9", ""))))</f>
        <v>--</v>
      </c>
      <c r="B128" t="str">
        <f>IF(ISBLANK(MAIN!B128), "--", IFERROR(PROPER(SUBSTITUTE(SUBSTITUTE(SUBSTITUTE(SUBSTITUTE(SUBSTITUTE(SUBSTITUTE(SUBSTITUTE(SUBSTITUTE(SUBSTITUTE(SUBSTITUTE(LEFT(MAIN!B128, FIND(",",MAIN!B128) -1), "0", ""), "1", ""), "2", ""), "3", ""), "4", ""), "5", ""), "6", ""), "7", ""), "8", ""), "9", "")), PROPER(SUBSTITUTE(SUBSTITUTE(SUBSTITUTE(SUBSTITUTE(SUBSTITUTE(SUBSTITUTE(SUBSTITUTE(SUBSTITUTE(SUBSTITUTE(SUBSTITUTE(MAIN!B128, "0", ""), "1", ""), "2", ""), "3", ""), "4", ""), "5", ""), "6", ""), "7", ""), "8", ""), "9", ""))))</f>
        <v>--</v>
      </c>
      <c r="C128" t="str">
        <f>IF(ISBLANK(MAIN!C128), "--", IFERROR(PROPER(SUBSTITUTE(SUBSTITUTE(SUBSTITUTE(SUBSTITUTE(SUBSTITUTE(SUBSTITUTE(SUBSTITUTE(SUBSTITUTE(SUBSTITUTE(SUBSTITUTE(LEFT(MAIN!C128, FIND(",",MAIN!C128) -1), "0", ""), "1", ""), "2", ""), "3", ""), "4", ""), "5", ""), "6", ""), "7", ""), "8", ""), "9", "")), PROPER(SUBSTITUTE(SUBSTITUTE(SUBSTITUTE(SUBSTITUTE(SUBSTITUTE(SUBSTITUTE(SUBSTITUTE(SUBSTITUTE(SUBSTITUTE(SUBSTITUTE(MAIN!C128, "0", ""), "1", ""), "2", ""), "3", ""), "4", ""), "5", ""), "6", ""), "7", ""), "8", ""), "9", ""))))</f>
        <v>--</v>
      </c>
      <c r="D128" t="str">
        <f>IF(ISBLANK(MAIN!D128), "--", IF(ISNUMBER(MATCH(SUBSTITUTE(LEFT(MAIN!D128, IFERROR(FIND(",", MAIN!D128)-1, LEN(MAIN!D128))), " ", ""), lookup_values!$B$2:$B$51, 0)), UPPER(SUBSTITUTE(LEFT(MAIN!D128, IFERROR(FIND(",", MAIN!D128)-1, LEN(MAIN!D128))), " ", "")), IF(ISNA(VLOOKUP(SUBSTITUTE(LEFT(MAIN!D128, IFERROR(FIND(",", MAIN!D128)-1, LEN(MAIN!D128))), " ", ""), lookup_values!$A$2:$B$51, 2, FALSE)), "--", VLOOKUP(SUBSTITUTE(LEFT(MAIN!D128, IFERROR(FIND(",", MAIN!D128)-1, LEN(MAIN!D128))), " ", ""), lookup_values!$A$2:$B$51, 2, FALSE))))</f>
        <v>--</v>
      </c>
      <c r="E128" t="str">
        <f>IF(CLEAN_DATA!D128&lt;&gt;"--","US",IF(ISBLANK(MAIN!E128), "--", IF(ISNUMBER(MATCH(SUBSTITUTE(LEFT(MAIN!E128, IFERROR(FIND(",", MAIN!E128)-1, LEN(MAIN!E128))), " ", ""), lookup_values!$E$2:$E$197, 0)), UPPER(SUBSTITUTE(LEFT(MAIN!E128, IFERROR(FIND(",", MAIN!E128)-1, LEN(MAIN!E128))), " ", "")), IF(ISNA(VLOOKUP(SUBSTITUTE(LEFT(MAIN!E128, IFERROR(FIND(",", MAIN!E128)-1, LEN(MAIN!E128))), " ", ""), lookup_values!$D$2:$E$197, 2, FALSE)), "--", VLOOKUP(SUBSTITUTE(LEFT(MAIN!E128, IFERROR(FIND(",", MAIN!E128)-1, LEN(MAIN!E128))), " ", ""), lookup_values!$D$2:$E$197, 2, FALSE)))))</f>
        <v>--</v>
      </c>
      <c r="F128" t="str">
        <f>IF(ISBLANK(MAIN!F128), "", IF(AND(ISNUMBER(VALUE(TRIM(MAIN!F128))), LEN(TRIM(MAIN!F128))=4), VALUE(TRIM(MAIN!F128)), ""))</f>
        <v/>
      </c>
      <c r="G128">
        <f>IF(ISBLANK(MAIN!G128), 0, IF(ISNUMBER(VALUE(TRIM(MAIN!G128))), VALUE(TRIM(MAIN!G128)), 0))</f>
        <v>0</v>
      </c>
      <c r="H128">
        <f>IF(ISBLANK(MAIN!H128), 0, IF(ISNUMBER(VALUE(TRIM(MAIN!H128))), VALUE(TRIM(MAIN!H128)), 0))</f>
        <v>0</v>
      </c>
      <c r="I128">
        <f>IF(ISBLANK(MAIN!I128), 0, IF(ISNUMBER(VALUE(TRIM(MAIN!I128))), VALUE(TRIM(MAIN!I128)), 0))</f>
        <v>0</v>
      </c>
      <c r="J128">
        <f>IF(ISBLANK(MAIN!J128), 0, IF(ISNUMBER(VALUE(TRIM(MAIN!J128))), VALUE(TRIM(MAIN!J128)), 0))</f>
        <v>0</v>
      </c>
      <c r="K128" cm="1">
        <f t="array" ref="K128">IFERROR(
    VALUE(
        IFERROR(
            UPPER(
                IF(MAX(IFERROR(SEARCH("WD",MAIN!G128:J128), 0))&gt;0, "WD",
                IF(MAX(IFERROR(SEARCH("NS",MAIN!G128:J128), 0))&gt;0, "NS",
                IF(MAX(IFERROR(SEARCH("NC",MAIN!G128:J128), 0))&gt;0, "NC",
                IF(MAX(IFERROR(SEARCH("DQ",MAIN!G128:J128), 0))&gt;0, "DQ",
                IF(ISNUMBER(SEARCH("WD",MAIN!K128)), "WD",
                IF(ISNUMBER(SEARCH("NS",MAIN!K128)), "NS",
                IF(ISNUMBER(SEARCH("NC",MAIN!K128)), "NC",
                IF(ISNUMBER(SEARCH("DQ",MAIN!K128)), "DQ",
                IF(ISNUMBER(SEARCH("A",MAIN!K128)), 0,
                IF(OR(MAIN!K128=0,MAIN!K128=""), 0, --TRIM(MAIN!K128)))))))))))),
            0
        )
    ),
    IFERROR(
        UPPER(
            IF(MAX(IFERROR(SEARCH("WD",MAIN!G128:J128), 0))&gt;0, "WD",
            IF(MAX(IFERROR(SEARCH("NS",MAIN!G128:J128), 0))&gt;0, "NS",
            IF(MAX(IFERROR(SEARCH("NC",MAIN!G128:J128), 0))&gt;0, "NC",
            IF(MAX(IFERROR(SEARCH("DQ",MAIN!G128:J128), 0))&gt;0, "DQ",
            IF(ISNUMBER(SEARCH("WD",MAIN!K128)), "WD",
            IF(ISNUMBER(SEARCH("NS",MAIN!K128)), "NS",
            IF(ISNUMBER(SEARCH("NC",MAIN!K128)), "NC",
            IF(ISNUMBER(SEARCH("DQ",MAIN!K128)), "DQ",
            IF(ISNUMBER(SEARCH("A",MAIN!K128)), 0,
            IF(OR(MAIN!K128=0,MAIN!K128=""), 0, --TRIM(MAIN!K128)))))))))))),
        0
    )
)</f>
        <v>0</v>
      </c>
    </row>
    <row r="129" spans="1:11" x14ac:dyDescent="0.25">
      <c r="A129" t="str">
        <f>IF(ISBLANK(MAIN!A129), "--", IFERROR(PROPER(SUBSTITUTE(SUBSTITUTE(SUBSTITUTE(SUBSTITUTE(SUBSTITUTE(SUBSTITUTE(SUBSTITUTE(SUBSTITUTE(SUBSTITUTE(SUBSTITUTE(LEFT(MAIN!A129, FIND(",",MAIN!A129) -1), "0", ""), "1", ""), "2", ""), "3", ""), "4", ""), "5", ""), "6", ""), "7", ""), "8", ""), "9", "")), PROPER(SUBSTITUTE(SUBSTITUTE(SUBSTITUTE(SUBSTITUTE(SUBSTITUTE(SUBSTITUTE(SUBSTITUTE(SUBSTITUTE(SUBSTITUTE(SUBSTITUTE(MAIN!A129, "0", ""), "1", ""), "2", ""), "3", ""), "4", ""), "5", ""), "6", ""), "7", ""), "8", ""), "9", ""))))</f>
        <v>--</v>
      </c>
      <c r="B129" t="str">
        <f>IF(ISBLANK(MAIN!B129), "--", IFERROR(PROPER(SUBSTITUTE(SUBSTITUTE(SUBSTITUTE(SUBSTITUTE(SUBSTITUTE(SUBSTITUTE(SUBSTITUTE(SUBSTITUTE(SUBSTITUTE(SUBSTITUTE(LEFT(MAIN!B129, FIND(",",MAIN!B129) -1), "0", ""), "1", ""), "2", ""), "3", ""), "4", ""), "5", ""), "6", ""), "7", ""), "8", ""), "9", "")), PROPER(SUBSTITUTE(SUBSTITUTE(SUBSTITUTE(SUBSTITUTE(SUBSTITUTE(SUBSTITUTE(SUBSTITUTE(SUBSTITUTE(SUBSTITUTE(SUBSTITUTE(MAIN!B129, "0", ""), "1", ""), "2", ""), "3", ""), "4", ""), "5", ""), "6", ""), "7", ""), "8", ""), "9", ""))))</f>
        <v>--</v>
      </c>
      <c r="C129" t="str">
        <f>IF(ISBLANK(MAIN!C129), "--", IFERROR(PROPER(SUBSTITUTE(SUBSTITUTE(SUBSTITUTE(SUBSTITUTE(SUBSTITUTE(SUBSTITUTE(SUBSTITUTE(SUBSTITUTE(SUBSTITUTE(SUBSTITUTE(LEFT(MAIN!C129, FIND(",",MAIN!C129) -1), "0", ""), "1", ""), "2", ""), "3", ""), "4", ""), "5", ""), "6", ""), "7", ""), "8", ""), "9", "")), PROPER(SUBSTITUTE(SUBSTITUTE(SUBSTITUTE(SUBSTITUTE(SUBSTITUTE(SUBSTITUTE(SUBSTITUTE(SUBSTITUTE(SUBSTITUTE(SUBSTITUTE(MAIN!C129, "0", ""), "1", ""), "2", ""), "3", ""), "4", ""), "5", ""), "6", ""), "7", ""), "8", ""), "9", ""))))</f>
        <v>--</v>
      </c>
      <c r="D129" t="str">
        <f>IF(ISBLANK(MAIN!D129), "--", IF(ISNUMBER(MATCH(SUBSTITUTE(LEFT(MAIN!D129, IFERROR(FIND(",", MAIN!D129)-1, LEN(MAIN!D129))), " ", ""), lookup_values!$B$2:$B$51, 0)), UPPER(SUBSTITUTE(LEFT(MAIN!D129, IFERROR(FIND(",", MAIN!D129)-1, LEN(MAIN!D129))), " ", "")), IF(ISNA(VLOOKUP(SUBSTITUTE(LEFT(MAIN!D129, IFERROR(FIND(",", MAIN!D129)-1, LEN(MAIN!D129))), " ", ""), lookup_values!$A$2:$B$51, 2, FALSE)), "--", VLOOKUP(SUBSTITUTE(LEFT(MAIN!D129, IFERROR(FIND(",", MAIN!D129)-1, LEN(MAIN!D129))), " ", ""), lookup_values!$A$2:$B$51, 2, FALSE))))</f>
        <v>--</v>
      </c>
      <c r="E129" t="str">
        <f>IF(CLEAN_DATA!D129&lt;&gt;"--","US",IF(ISBLANK(MAIN!E129), "--", IF(ISNUMBER(MATCH(SUBSTITUTE(LEFT(MAIN!E129, IFERROR(FIND(",", MAIN!E129)-1, LEN(MAIN!E129))), " ", ""), lookup_values!$E$2:$E$197, 0)), UPPER(SUBSTITUTE(LEFT(MAIN!E129, IFERROR(FIND(",", MAIN!E129)-1, LEN(MAIN!E129))), " ", "")), IF(ISNA(VLOOKUP(SUBSTITUTE(LEFT(MAIN!E129, IFERROR(FIND(",", MAIN!E129)-1, LEN(MAIN!E129))), " ", ""), lookup_values!$D$2:$E$197, 2, FALSE)), "--", VLOOKUP(SUBSTITUTE(LEFT(MAIN!E129, IFERROR(FIND(",", MAIN!E129)-1, LEN(MAIN!E129))), " ", ""), lookup_values!$D$2:$E$197, 2, FALSE)))))</f>
        <v>--</v>
      </c>
      <c r="F129" t="str">
        <f>IF(ISBLANK(MAIN!F129), "", IF(AND(ISNUMBER(VALUE(TRIM(MAIN!F129))), LEN(TRIM(MAIN!F129))=4), VALUE(TRIM(MAIN!F129)), ""))</f>
        <v/>
      </c>
      <c r="G129">
        <f>IF(ISBLANK(MAIN!G129), 0, IF(ISNUMBER(VALUE(TRIM(MAIN!G129))), VALUE(TRIM(MAIN!G129)), 0))</f>
        <v>0</v>
      </c>
      <c r="H129">
        <f>IF(ISBLANK(MAIN!H129), 0, IF(ISNUMBER(VALUE(TRIM(MAIN!H129))), VALUE(TRIM(MAIN!H129)), 0))</f>
        <v>0</v>
      </c>
      <c r="I129">
        <f>IF(ISBLANK(MAIN!I129), 0, IF(ISNUMBER(VALUE(TRIM(MAIN!I129))), VALUE(TRIM(MAIN!I129)), 0))</f>
        <v>0</v>
      </c>
      <c r="J129">
        <f>IF(ISBLANK(MAIN!J129), 0, IF(ISNUMBER(VALUE(TRIM(MAIN!J129))), VALUE(TRIM(MAIN!J129)), 0))</f>
        <v>0</v>
      </c>
      <c r="K129" cm="1">
        <f t="array" ref="K129">IFERROR(
    VALUE(
        IFERROR(
            UPPER(
                IF(MAX(IFERROR(SEARCH("WD",MAIN!G129:J129), 0))&gt;0, "WD",
                IF(MAX(IFERROR(SEARCH("NS",MAIN!G129:J129), 0))&gt;0, "NS",
                IF(MAX(IFERROR(SEARCH("NC",MAIN!G129:J129), 0))&gt;0, "NC",
                IF(MAX(IFERROR(SEARCH("DQ",MAIN!G129:J129), 0))&gt;0, "DQ",
                IF(ISNUMBER(SEARCH("WD",MAIN!K129)), "WD",
                IF(ISNUMBER(SEARCH("NS",MAIN!K129)), "NS",
                IF(ISNUMBER(SEARCH("NC",MAIN!K129)), "NC",
                IF(ISNUMBER(SEARCH("DQ",MAIN!K129)), "DQ",
                IF(ISNUMBER(SEARCH("A",MAIN!K129)), 0,
                IF(OR(MAIN!K129=0,MAIN!K129=""), 0, --TRIM(MAIN!K129)))))))))))),
            0
        )
    ),
    IFERROR(
        UPPER(
            IF(MAX(IFERROR(SEARCH("WD",MAIN!G129:J129), 0))&gt;0, "WD",
            IF(MAX(IFERROR(SEARCH("NS",MAIN!G129:J129), 0))&gt;0, "NS",
            IF(MAX(IFERROR(SEARCH("NC",MAIN!G129:J129), 0))&gt;0, "NC",
            IF(MAX(IFERROR(SEARCH("DQ",MAIN!G129:J129), 0))&gt;0, "DQ",
            IF(ISNUMBER(SEARCH("WD",MAIN!K129)), "WD",
            IF(ISNUMBER(SEARCH("NS",MAIN!K129)), "NS",
            IF(ISNUMBER(SEARCH("NC",MAIN!K129)), "NC",
            IF(ISNUMBER(SEARCH("DQ",MAIN!K129)), "DQ",
            IF(ISNUMBER(SEARCH("A",MAIN!K129)), 0,
            IF(OR(MAIN!K129=0,MAIN!K129=""), 0, --TRIM(MAIN!K129)))))))))))),
        0
    )
)</f>
        <v>0</v>
      </c>
    </row>
    <row r="130" spans="1:11" x14ac:dyDescent="0.25">
      <c r="A130" t="str">
        <f>IF(ISBLANK(MAIN!A130), "--", IFERROR(PROPER(SUBSTITUTE(SUBSTITUTE(SUBSTITUTE(SUBSTITUTE(SUBSTITUTE(SUBSTITUTE(SUBSTITUTE(SUBSTITUTE(SUBSTITUTE(SUBSTITUTE(LEFT(MAIN!A130, FIND(",",MAIN!A130) -1), "0", ""), "1", ""), "2", ""), "3", ""), "4", ""), "5", ""), "6", ""), "7", ""), "8", ""), "9", "")), PROPER(SUBSTITUTE(SUBSTITUTE(SUBSTITUTE(SUBSTITUTE(SUBSTITUTE(SUBSTITUTE(SUBSTITUTE(SUBSTITUTE(SUBSTITUTE(SUBSTITUTE(MAIN!A130, "0", ""), "1", ""), "2", ""), "3", ""), "4", ""), "5", ""), "6", ""), "7", ""), "8", ""), "9", ""))))</f>
        <v>--</v>
      </c>
      <c r="B130" t="str">
        <f>IF(ISBLANK(MAIN!B130), "--", IFERROR(PROPER(SUBSTITUTE(SUBSTITUTE(SUBSTITUTE(SUBSTITUTE(SUBSTITUTE(SUBSTITUTE(SUBSTITUTE(SUBSTITUTE(SUBSTITUTE(SUBSTITUTE(LEFT(MAIN!B130, FIND(",",MAIN!B130) -1), "0", ""), "1", ""), "2", ""), "3", ""), "4", ""), "5", ""), "6", ""), "7", ""), "8", ""), "9", "")), PROPER(SUBSTITUTE(SUBSTITUTE(SUBSTITUTE(SUBSTITUTE(SUBSTITUTE(SUBSTITUTE(SUBSTITUTE(SUBSTITUTE(SUBSTITUTE(SUBSTITUTE(MAIN!B130, "0", ""), "1", ""), "2", ""), "3", ""), "4", ""), "5", ""), "6", ""), "7", ""), "8", ""), "9", ""))))</f>
        <v>--</v>
      </c>
      <c r="C130" t="str">
        <f>IF(ISBLANK(MAIN!C130), "--", IFERROR(PROPER(SUBSTITUTE(SUBSTITUTE(SUBSTITUTE(SUBSTITUTE(SUBSTITUTE(SUBSTITUTE(SUBSTITUTE(SUBSTITUTE(SUBSTITUTE(SUBSTITUTE(LEFT(MAIN!C130, FIND(",",MAIN!C130) -1), "0", ""), "1", ""), "2", ""), "3", ""), "4", ""), "5", ""), "6", ""), "7", ""), "8", ""), "9", "")), PROPER(SUBSTITUTE(SUBSTITUTE(SUBSTITUTE(SUBSTITUTE(SUBSTITUTE(SUBSTITUTE(SUBSTITUTE(SUBSTITUTE(SUBSTITUTE(SUBSTITUTE(MAIN!C130, "0", ""), "1", ""), "2", ""), "3", ""), "4", ""), "5", ""), "6", ""), "7", ""), "8", ""), "9", ""))))</f>
        <v>--</v>
      </c>
      <c r="D130" t="str">
        <f>IF(ISBLANK(MAIN!D130), "--", IF(ISNUMBER(MATCH(SUBSTITUTE(LEFT(MAIN!D130, IFERROR(FIND(",", MAIN!D130)-1, LEN(MAIN!D130))), " ", ""), lookup_values!$B$2:$B$51, 0)), UPPER(SUBSTITUTE(LEFT(MAIN!D130, IFERROR(FIND(",", MAIN!D130)-1, LEN(MAIN!D130))), " ", "")), IF(ISNA(VLOOKUP(SUBSTITUTE(LEFT(MAIN!D130, IFERROR(FIND(",", MAIN!D130)-1, LEN(MAIN!D130))), " ", ""), lookup_values!$A$2:$B$51, 2, FALSE)), "--", VLOOKUP(SUBSTITUTE(LEFT(MAIN!D130, IFERROR(FIND(",", MAIN!D130)-1, LEN(MAIN!D130))), " ", ""), lookup_values!$A$2:$B$51, 2, FALSE))))</f>
        <v>--</v>
      </c>
      <c r="E130" t="str">
        <f>IF(CLEAN_DATA!D130&lt;&gt;"--","US",IF(ISBLANK(MAIN!E130), "--", IF(ISNUMBER(MATCH(SUBSTITUTE(LEFT(MAIN!E130, IFERROR(FIND(",", MAIN!E130)-1, LEN(MAIN!E130))), " ", ""), lookup_values!$E$2:$E$197, 0)), UPPER(SUBSTITUTE(LEFT(MAIN!E130, IFERROR(FIND(",", MAIN!E130)-1, LEN(MAIN!E130))), " ", "")), IF(ISNA(VLOOKUP(SUBSTITUTE(LEFT(MAIN!E130, IFERROR(FIND(",", MAIN!E130)-1, LEN(MAIN!E130))), " ", ""), lookup_values!$D$2:$E$197, 2, FALSE)), "--", VLOOKUP(SUBSTITUTE(LEFT(MAIN!E130, IFERROR(FIND(",", MAIN!E130)-1, LEN(MAIN!E130))), " ", ""), lookup_values!$D$2:$E$197, 2, FALSE)))))</f>
        <v>--</v>
      </c>
      <c r="F130" t="str">
        <f>IF(ISBLANK(MAIN!F130), "", IF(AND(ISNUMBER(VALUE(TRIM(MAIN!F130))), LEN(TRIM(MAIN!F130))=4), VALUE(TRIM(MAIN!F130)), ""))</f>
        <v/>
      </c>
      <c r="G130">
        <f>IF(ISBLANK(MAIN!G130), 0, IF(ISNUMBER(VALUE(TRIM(MAIN!G130))), VALUE(TRIM(MAIN!G130)), 0))</f>
        <v>0</v>
      </c>
      <c r="H130">
        <f>IF(ISBLANK(MAIN!H130), 0, IF(ISNUMBER(VALUE(TRIM(MAIN!H130))), VALUE(TRIM(MAIN!H130)), 0))</f>
        <v>0</v>
      </c>
      <c r="I130">
        <f>IF(ISBLANK(MAIN!I130), 0, IF(ISNUMBER(VALUE(TRIM(MAIN!I130))), VALUE(TRIM(MAIN!I130)), 0))</f>
        <v>0</v>
      </c>
      <c r="J130">
        <f>IF(ISBLANK(MAIN!J130), 0, IF(ISNUMBER(VALUE(TRIM(MAIN!J130))), VALUE(TRIM(MAIN!J130)), 0))</f>
        <v>0</v>
      </c>
      <c r="K130" cm="1">
        <f t="array" ref="K130">IFERROR(
    VALUE(
        IFERROR(
            UPPER(
                IF(MAX(IFERROR(SEARCH("WD",MAIN!G130:J130), 0))&gt;0, "WD",
                IF(MAX(IFERROR(SEARCH("NS",MAIN!G130:J130), 0))&gt;0, "NS",
                IF(MAX(IFERROR(SEARCH("NC",MAIN!G130:J130), 0))&gt;0, "NC",
                IF(MAX(IFERROR(SEARCH("DQ",MAIN!G130:J130), 0))&gt;0, "DQ",
                IF(ISNUMBER(SEARCH("WD",MAIN!K130)), "WD",
                IF(ISNUMBER(SEARCH("NS",MAIN!K130)), "NS",
                IF(ISNUMBER(SEARCH("NC",MAIN!K130)), "NC",
                IF(ISNUMBER(SEARCH("DQ",MAIN!K130)), "DQ",
                IF(ISNUMBER(SEARCH("A",MAIN!K130)), 0,
                IF(OR(MAIN!K130=0,MAIN!K130=""), 0, --TRIM(MAIN!K130)))))))))))),
            0
        )
    ),
    IFERROR(
        UPPER(
            IF(MAX(IFERROR(SEARCH("WD",MAIN!G130:J130), 0))&gt;0, "WD",
            IF(MAX(IFERROR(SEARCH("NS",MAIN!G130:J130), 0))&gt;0, "NS",
            IF(MAX(IFERROR(SEARCH("NC",MAIN!G130:J130), 0))&gt;0, "NC",
            IF(MAX(IFERROR(SEARCH("DQ",MAIN!G130:J130), 0))&gt;0, "DQ",
            IF(ISNUMBER(SEARCH("WD",MAIN!K130)), "WD",
            IF(ISNUMBER(SEARCH("NS",MAIN!K130)), "NS",
            IF(ISNUMBER(SEARCH("NC",MAIN!K130)), "NC",
            IF(ISNUMBER(SEARCH("DQ",MAIN!K130)), "DQ",
            IF(ISNUMBER(SEARCH("A",MAIN!K130)), 0,
            IF(OR(MAIN!K130=0,MAIN!K130=""), 0, --TRIM(MAIN!K130)))))))))))),
        0
    )
)</f>
        <v>0</v>
      </c>
    </row>
    <row r="131" spans="1:11" x14ac:dyDescent="0.25">
      <c r="A131" t="str">
        <f>IF(ISBLANK(MAIN!A131), "--", IFERROR(PROPER(SUBSTITUTE(SUBSTITUTE(SUBSTITUTE(SUBSTITUTE(SUBSTITUTE(SUBSTITUTE(SUBSTITUTE(SUBSTITUTE(SUBSTITUTE(SUBSTITUTE(LEFT(MAIN!A131, FIND(",",MAIN!A131) -1), "0", ""), "1", ""), "2", ""), "3", ""), "4", ""), "5", ""), "6", ""), "7", ""), "8", ""), "9", "")), PROPER(SUBSTITUTE(SUBSTITUTE(SUBSTITUTE(SUBSTITUTE(SUBSTITUTE(SUBSTITUTE(SUBSTITUTE(SUBSTITUTE(SUBSTITUTE(SUBSTITUTE(MAIN!A131, "0", ""), "1", ""), "2", ""), "3", ""), "4", ""), "5", ""), "6", ""), "7", ""), "8", ""), "9", ""))))</f>
        <v>--</v>
      </c>
      <c r="B131" t="str">
        <f>IF(ISBLANK(MAIN!B131), "--", IFERROR(PROPER(SUBSTITUTE(SUBSTITUTE(SUBSTITUTE(SUBSTITUTE(SUBSTITUTE(SUBSTITUTE(SUBSTITUTE(SUBSTITUTE(SUBSTITUTE(SUBSTITUTE(LEFT(MAIN!B131, FIND(",",MAIN!B131) -1), "0", ""), "1", ""), "2", ""), "3", ""), "4", ""), "5", ""), "6", ""), "7", ""), "8", ""), "9", "")), PROPER(SUBSTITUTE(SUBSTITUTE(SUBSTITUTE(SUBSTITUTE(SUBSTITUTE(SUBSTITUTE(SUBSTITUTE(SUBSTITUTE(SUBSTITUTE(SUBSTITUTE(MAIN!B131, "0", ""), "1", ""), "2", ""), "3", ""), "4", ""), "5", ""), "6", ""), "7", ""), "8", ""), "9", ""))))</f>
        <v>--</v>
      </c>
      <c r="C131" t="str">
        <f>IF(ISBLANK(MAIN!C131), "--", IFERROR(PROPER(SUBSTITUTE(SUBSTITUTE(SUBSTITUTE(SUBSTITUTE(SUBSTITUTE(SUBSTITUTE(SUBSTITUTE(SUBSTITUTE(SUBSTITUTE(SUBSTITUTE(LEFT(MAIN!C131, FIND(",",MAIN!C131) -1), "0", ""), "1", ""), "2", ""), "3", ""), "4", ""), "5", ""), "6", ""), "7", ""), "8", ""), "9", "")), PROPER(SUBSTITUTE(SUBSTITUTE(SUBSTITUTE(SUBSTITUTE(SUBSTITUTE(SUBSTITUTE(SUBSTITUTE(SUBSTITUTE(SUBSTITUTE(SUBSTITUTE(MAIN!C131, "0", ""), "1", ""), "2", ""), "3", ""), "4", ""), "5", ""), "6", ""), "7", ""), "8", ""), "9", ""))))</f>
        <v>--</v>
      </c>
      <c r="D131" t="str">
        <f>IF(ISBLANK(MAIN!D131), "--", IF(ISNUMBER(MATCH(SUBSTITUTE(LEFT(MAIN!D131, IFERROR(FIND(",", MAIN!D131)-1, LEN(MAIN!D131))), " ", ""), lookup_values!$B$2:$B$51, 0)), UPPER(SUBSTITUTE(LEFT(MAIN!D131, IFERROR(FIND(",", MAIN!D131)-1, LEN(MAIN!D131))), " ", "")), IF(ISNA(VLOOKUP(SUBSTITUTE(LEFT(MAIN!D131, IFERROR(FIND(",", MAIN!D131)-1, LEN(MAIN!D131))), " ", ""), lookup_values!$A$2:$B$51, 2, FALSE)), "--", VLOOKUP(SUBSTITUTE(LEFT(MAIN!D131, IFERROR(FIND(",", MAIN!D131)-1, LEN(MAIN!D131))), " ", ""), lookup_values!$A$2:$B$51, 2, FALSE))))</f>
        <v>--</v>
      </c>
      <c r="E131" t="str">
        <f>IF(CLEAN_DATA!D131&lt;&gt;"--","US",IF(ISBLANK(MAIN!E131), "--", IF(ISNUMBER(MATCH(SUBSTITUTE(LEFT(MAIN!E131, IFERROR(FIND(",", MAIN!E131)-1, LEN(MAIN!E131))), " ", ""), lookup_values!$E$2:$E$197, 0)), UPPER(SUBSTITUTE(LEFT(MAIN!E131, IFERROR(FIND(",", MAIN!E131)-1, LEN(MAIN!E131))), " ", "")), IF(ISNA(VLOOKUP(SUBSTITUTE(LEFT(MAIN!E131, IFERROR(FIND(",", MAIN!E131)-1, LEN(MAIN!E131))), " ", ""), lookup_values!$D$2:$E$197, 2, FALSE)), "--", VLOOKUP(SUBSTITUTE(LEFT(MAIN!E131, IFERROR(FIND(",", MAIN!E131)-1, LEN(MAIN!E131))), " ", ""), lookup_values!$D$2:$E$197, 2, FALSE)))))</f>
        <v>--</v>
      </c>
      <c r="F131" t="str">
        <f>IF(ISBLANK(MAIN!F131), "", IF(AND(ISNUMBER(VALUE(TRIM(MAIN!F131))), LEN(TRIM(MAIN!F131))=4), VALUE(TRIM(MAIN!F131)), ""))</f>
        <v/>
      </c>
      <c r="G131">
        <f>IF(ISBLANK(MAIN!G131), 0, IF(ISNUMBER(VALUE(TRIM(MAIN!G131))), VALUE(TRIM(MAIN!G131)), 0))</f>
        <v>0</v>
      </c>
      <c r="H131">
        <f>IF(ISBLANK(MAIN!H131), 0, IF(ISNUMBER(VALUE(TRIM(MAIN!H131))), VALUE(TRIM(MAIN!H131)), 0))</f>
        <v>0</v>
      </c>
      <c r="I131">
        <f>IF(ISBLANK(MAIN!I131), 0, IF(ISNUMBER(VALUE(TRIM(MAIN!I131))), VALUE(TRIM(MAIN!I131)), 0))</f>
        <v>0</v>
      </c>
      <c r="J131">
        <f>IF(ISBLANK(MAIN!J131), 0, IF(ISNUMBER(VALUE(TRIM(MAIN!J131))), VALUE(TRIM(MAIN!J131)), 0))</f>
        <v>0</v>
      </c>
      <c r="K131" cm="1">
        <f t="array" ref="K131">IFERROR(
    VALUE(
        IFERROR(
            UPPER(
                IF(MAX(IFERROR(SEARCH("WD",MAIN!G131:J131), 0))&gt;0, "WD",
                IF(MAX(IFERROR(SEARCH("NS",MAIN!G131:J131), 0))&gt;0, "NS",
                IF(MAX(IFERROR(SEARCH("NC",MAIN!G131:J131), 0))&gt;0, "NC",
                IF(MAX(IFERROR(SEARCH("DQ",MAIN!G131:J131), 0))&gt;0, "DQ",
                IF(ISNUMBER(SEARCH("WD",MAIN!K131)), "WD",
                IF(ISNUMBER(SEARCH("NS",MAIN!K131)), "NS",
                IF(ISNUMBER(SEARCH("NC",MAIN!K131)), "NC",
                IF(ISNUMBER(SEARCH("DQ",MAIN!K131)), "DQ",
                IF(ISNUMBER(SEARCH("A",MAIN!K131)), 0,
                IF(OR(MAIN!K131=0,MAIN!K131=""), 0, --TRIM(MAIN!K131)))))))))))),
            0
        )
    ),
    IFERROR(
        UPPER(
            IF(MAX(IFERROR(SEARCH("WD",MAIN!G131:J131), 0))&gt;0, "WD",
            IF(MAX(IFERROR(SEARCH("NS",MAIN!G131:J131), 0))&gt;0, "NS",
            IF(MAX(IFERROR(SEARCH("NC",MAIN!G131:J131), 0))&gt;0, "NC",
            IF(MAX(IFERROR(SEARCH("DQ",MAIN!G131:J131), 0))&gt;0, "DQ",
            IF(ISNUMBER(SEARCH("WD",MAIN!K131)), "WD",
            IF(ISNUMBER(SEARCH("NS",MAIN!K131)), "NS",
            IF(ISNUMBER(SEARCH("NC",MAIN!K131)), "NC",
            IF(ISNUMBER(SEARCH("DQ",MAIN!K131)), "DQ",
            IF(ISNUMBER(SEARCH("A",MAIN!K131)), 0,
            IF(OR(MAIN!K131=0,MAIN!K131=""), 0, --TRIM(MAIN!K131)))))))))))),
        0
    )
)</f>
        <v>0</v>
      </c>
    </row>
    <row r="132" spans="1:11" x14ac:dyDescent="0.25">
      <c r="A132" t="str">
        <f>IF(ISBLANK(MAIN!A132), "--", IFERROR(PROPER(SUBSTITUTE(SUBSTITUTE(SUBSTITUTE(SUBSTITUTE(SUBSTITUTE(SUBSTITUTE(SUBSTITUTE(SUBSTITUTE(SUBSTITUTE(SUBSTITUTE(LEFT(MAIN!A132, FIND(",",MAIN!A132) -1), "0", ""), "1", ""), "2", ""), "3", ""), "4", ""), "5", ""), "6", ""), "7", ""), "8", ""), "9", "")), PROPER(SUBSTITUTE(SUBSTITUTE(SUBSTITUTE(SUBSTITUTE(SUBSTITUTE(SUBSTITUTE(SUBSTITUTE(SUBSTITUTE(SUBSTITUTE(SUBSTITUTE(MAIN!A132, "0", ""), "1", ""), "2", ""), "3", ""), "4", ""), "5", ""), "6", ""), "7", ""), "8", ""), "9", ""))))</f>
        <v>--</v>
      </c>
      <c r="B132" t="str">
        <f>IF(ISBLANK(MAIN!B132), "--", IFERROR(PROPER(SUBSTITUTE(SUBSTITUTE(SUBSTITUTE(SUBSTITUTE(SUBSTITUTE(SUBSTITUTE(SUBSTITUTE(SUBSTITUTE(SUBSTITUTE(SUBSTITUTE(LEFT(MAIN!B132, FIND(",",MAIN!B132) -1), "0", ""), "1", ""), "2", ""), "3", ""), "4", ""), "5", ""), "6", ""), "7", ""), "8", ""), "9", "")), PROPER(SUBSTITUTE(SUBSTITUTE(SUBSTITUTE(SUBSTITUTE(SUBSTITUTE(SUBSTITUTE(SUBSTITUTE(SUBSTITUTE(SUBSTITUTE(SUBSTITUTE(MAIN!B132, "0", ""), "1", ""), "2", ""), "3", ""), "4", ""), "5", ""), "6", ""), "7", ""), "8", ""), "9", ""))))</f>
        <v>--</v>
      </c>
      <c r="C132" t="str">
        <f>IF(ISBLANK(MAIN!C132), "--", IFERROR(PROPER(SUBSTITUTE(SUBSTITUTE(SUBSTITUTE(SUBSTITUTE(SUBSTITUTE(SUBSTITUTE(SUBSTITUTE(SUBSTITUTE(SUBSTITUTE(SUBSTITUTE(LEFT(MAIN!C132, FIND(",",MAIN!C132) -1), "0", ""), "1", ""), "2", ""), "3", ""), "4", ""), "5", ""), "6", ""), "7", ""), "8", ""), "9", "")), PROPER(SUBSTITUTE(SUBSTITUTE(SUBSTITUTE(SUBSTITUTE(SUBSTITUTE(SUBSTITUTE(SUBSTITUTE(SUBSTITUTE(SUBSTITUTE(SUBSTITUTE(MAIN!C132, "0", ""), "1", ""), "2", ""), "3", ""), "4", ""), "5", ""), "6", ""), "7", ""), "8", ""), "9", ""))))</f>
        <v>--</v>
      </c>
      <c r="D132" t="str">
        <f>IF(ISBLANK(MAIN!D132), "--", IF(ISNUMBER(MATCH(SUBSTITUTE(LEFT(MAIN!D132, IFERROR(FIND(",", MAIN!D132)-1, LEN(MAIN!D132))), " ", ""), lookup_values!$B$2:$B$51, 0)), UPPER(SUBSTITUTE(LEFT(MAIN!D132, IFERROR(FIND(",", MAIN!D132)-1, LEN(MAIN!D132))), " ", "")), IF(ISNA(VLOOKUP(SUBSTITUTE(LEFT(MAIN!D132, IFERROR(FIND(",", MAIN!D132)-1, LEN(MAIN!D132))), " ", ""), lookup_values!$A$2:$B$51, 2, FALSE)), "--", VLOOKUP(SUBSTITUTE(LEFT(MAIN!D132, IFERROR(FIND(",", MAIN!D132)-1, LEN(MAIN!D132))), " ", ""), lookup_values!$A$2:$B$51, 2, FALSE))))</f>
        <v>--</v>
      </c>
      <c r="E132" t="str">
        <f>IF(CLEAN_DATA!D132&lt;&gt;"--","US",IF(ISBLANK(MAIN!E132), "--", IF(ISNUMBER(MATCH(SUBSTITUTE(LEFT(MAIN!E132, IFERROR(FIND(",", MAIN!E132)-1, LEN(MAIN!E132))), " ", ""), lookup_values!$E$2:$E$197, 0)), UPPER(SUBSTITUTE(LEFT(MAIN!E132, IFERROR(FIND(",", MAIN!E132)-1, LEN(MAIN!E132))), " ", "")), IF(ISNA(VLOOKUP(SUBSTITUTE(LEFT(MAIN!E132, IFERROR(FIND(",", MAIN!E132)-1, LEN(MAIN!E132))), " ", ""), lookup_values!$D$2:$E$197, 2, FALSE)), "--", VLOOKUP(SUBSTITUTE(LEFT(MAIN!E132, IFERROR(FIND(",", MAIN!E132)-1, LEN(MAIN!E132))), " ", ""), lookup_values!$D$2:$E$197, 2, FALSE)))))</f>
        <v>--</v>
      </c>
      <c r="F132" t="str">
        <f>IF(ISBLANK(MAIN!F132), "", IF(AND(ISNUMBER(VALUE(TRIM(MAIN!F132))), LEN(TRIM(MAIN!F132))=4), VALUE(TRIM(MAIN!F132)), ""))</f>
        <v/>
      </c>
      <c r="G132">
        <f>IF(ISBLANK(MAIN!G132), 0, IF(ISNUMBER(VALUE(TRIM(MAIN!G132))), VALUE(TRIM(MAIN!G132)), 0))</f>
        <v>0</v>
      </c>
      <c r="H132">
        <f>IF(ISBLANK(MAIN!H132), 0, IF(ISNUMBER(VALUE(TRIM(MAIN!H132))), VALUE(TRIM(MAIN!H132)), 0))</f>
        <v>0</v>
      </c>
      <c r="I132">
        <f>IF(ISBLANK(MAIN!I132), 0, IF(ISNUMBER(VALUE(TRIM(MAIN!I132))), VALUE(TRIM(MAIN!I132)), 0))</f>
        <v>0</v>
      </c>
      <c r="J132">
        <f>IF(ISBLANK(MAIN!J132), 0, IF(ISNUMBER(VALUE(TRIM(MAIN!J132))), VALUE(TRIM(MAIN!J132)), 0))</f>
        <v>0</v>
      </c>
      <c r="K132" cm="1">
        <f t="array" ref="K132">IFERROR(
    VALUE(
        IFERROR(
            UPPER(
                IF(MAX(IFERROR(SEARCH("WD",MAIN!G132:J132), 0))&gt;0, "WD",
                IF(MAX(IFERROR(SEARCH("NS",MAIN!G132:J132), 0))&gt;0, "NS",
                IF(MAX(IFERROR(SEARCH("NC",MAIN!G132:J132), 0))&gt;0, "NC",
                IF(MAX(IFERROR(SEARCH("DQ",MAIN!G132:J132), 0))&gt;0, "DQ",
                IF(ISNUMBER(SEARCH("WD",MAIN!K132)), "WD",
                IF(ISNUMBER(SEARCH("NS",MAIN!K132)), "NS",
                IF(ISNUMBER(SEARCH("NC",MAIN!K132)), "NC",
                IF(ISNUMBER(SEARCH("DQ",MAIN!K132)), "DQ",
                IF(ISNUMBER(SEARCH("A",MAIN!K132)), 0,
                IF(OR(MAIN!K132=0,MAIN!K132=""), 0, --TRIM(MAIN!K132)))))))))))),
            0
        )
    ),
    IFERROR(
        UPPER(
            IF(MAX(IFERROR(SEARCH("WD",MAIN!G132:J132), 0))&gt;0, "WD",
            IF(MAX(IFERROR(SEARCH("NS",MAIN!G132:J132), 0))&gt;0, "NS",
            IF(MAX(IFERROR(SEARCH("NC",MAIN!G132:J132), 0))&gt;0, "NC",
            IF(MAX(IFERROR(SEARCH("DQ",MAIN!G132:J132), 0))&gt;0, "DQ",
            IF(ISNUMBER(SEARCH("WD",MAIN!K132)), "WD",
            IF(ISNUMBER(SEARCH("NS",MAIN!K132)), "NS",
            IF(ISNUMBER(SEARCH("NC",MAIN!K132)), "NC",
            IF(ISNUMBER(SEARCH("DQ",MAIN!K132)), "DQ",
            IF(ISNUMBER(SEARCH("A",MAIN!K132)), 0,
            IF(OR(MAIN!K132=0,MAIN!K132=""), 0, --TRIM(MAIN!K132)))))))))))),
        0
    )
)</f>
        <v>0</v>
      </c>
    </row>
    <row r="133" spans="1:11" x14ac:dyDescent="0.25">
      <c r="A133" t="str">
        <f>IF(ISBLANK(MAIN!A133), "--", IFERROR(PROPER(SUBSTITUTE(SUBSTITUTE(SUBSTITUTE(SUBSTITUTE(SUBSTITUTE(SUBSTITUTE(SUBSTITUTE(SUBSTITUTE(SUBSTITUTE(SUBSTITUTE(LEFT(MAIN!A133, FIND(",",MAIN!A133) -1), "0", ""), "1", ""), "2", ""), "3", ""), "4", ""), "5", ""), "6", ""), "7", ""), "8", ""), "9", "")), PROPER(SUBSTITUTE(SUBSTITUTE(SUBSTITUTE(SUBSTITUTE(SUBSTITUTE(SUBSTITUTE(SUBSTITUTE(SUBSTITUTE(SUBSTITUTE(SUBSTITUTE(MAIN!A133, "0", ""), "1", ""), "2", ""), "3", ""), "4", ""), "5", ""), "6", ""), "7", ""), "8", ""), "9", ""))))</f>
        <v>--</v>
      </c>
      <c r="B133" t="str">
        <f>IF(ISBLANK(MAIN!B133), "--", IFERROR(PROPER(SUBSTITUTE(SUBSTITUTE(SUBSTITUTE(SUBSTITUTE(SUBSTITUTE(SUBSTITUTE(SUBSTITUTE(SUBSTITUTE(SUBSTITUTE(SUBSTITUTE(LEFT(MAIN!B133, FIND(",",MAIN!B133) -1), "0", ""), "1", ""), "2", ""), "3", ""), "4", ""), "5", ""), "6", ""), "7", ""), "8", ""), "9", "")), PROPER(SUBSTITUTE(SUBSTITUTE(SUBSTITUTE(SUBSTITUTE(SUBSTITUTE(SUBSTITUTE(SUBSTITUTE(SUBSTITUTE(SUBSTITUTE(SUBSTITUTE(MAIN!B133, "0", ""), "1", ""), "2", ""), "3", ""), "4", ""), "5", ""), "6", ""), "7", ""), "8", ""), "9", ""))))</f>
        <v>--</v>
      </c>
      <c r="C133" t="str">
        <f>IF(ISBLANK(MAIN!C133), "--", IFERROR(PROPER(SUBSTITUTE(SUBSTITUTE(SUBSTITUTE(SUBSTITUTE(SUBSTITUTE(SUBSTITUTE(SUBSTITUTE(SUBSTITUTE(SUBSTITUTE(SUBSTITUTE(LEFT(MAIN!C133, FIND(",",MAIN!C133) -1), "0", ""), "1", ""), "2", ""), "3", ""), "4", ""), "5", ""), "6", ""), "7", ""), "8", ""), "9", "")), PROPER(SUBSTITUTE(SUBSTITUTE(SUBSTITUTE(SUBSTITUTE(SUBSTITUTE(SUBSTITUTE(SUBSTITUTE(SUBSTITUTE(SUBSTITUTE(SUBSTITUTE(MAIN!C133, "0", ""), "1", ""), "2", ""), "3", ""), "4", ""), "5", ""), "6", ""), "7", ""), "8", ""), "9", ""))))</f>
        <v>--</v>
      </c>
      <c r="D133" t="str">
        <f>IF(ISBLANK(MAIN!D133), "--", IF(ISNUMBER(MATCH(SUBSTITUTE(LEFT(MAIN!D133, IFERROR(FIND(",", MAIN!D133)-1, LEN(MAIN!D133))), " ", ""), lookup_values!$B$2:$B$51, 0)), UPPER(SUBSTITUTE(LEFT(MAIN!D133, IFERROR(FIND(",", MAIN!D133)-1, LEN(MAIN!D133))), " ", "")), IF(ISNA(VLOOKUP(SUBSTITUTE(LEFT(MAIN!D133, IFERROR(FIND(",", MAIN!D133)-1, LEN(MAIN!D133))), " ", ""), lookup_values!$A$2:$B$51, 2, FALSE)), "--", VLOOKUP(SUBSTITUTE(LEFT(MAIN!D133, IFERROR(FIND(",", MAIN!D133)-1, LEN(MAIN!D133))), " ", ""), lookup_values!$A$2:$B$51, 2, FALSE))))</f>
        <v>--</v>
      </c>
      <c r="E133" t="str">
        <f>IF(CLEAN_DATA!D133&lt;&gt;"--","US",IF(ISBLANK(MAIN!E133), "--", IF(ISNUMBER(MATCH(SUBSTITUTE(LEFT(MAIN!E133, IFERROR(FIND(",", MAIN!E133)-1, LEN(MAIN!E133))), " ", ""), lookup_values!$E$2:$E$197, 0)), UPPER(SUBSTITUTE(LEFT(MAIN!E133, IFERROR(FIND(",", MAIN!E133)-1, LEN(MAIN!E133))), " ", "")), IF(ISNA(VLOOKUP(SUBSTITUTE(LEFT(MAIN!E133, IFERROR(FIND(",", MAIN!E133)-1, LEN(MAIN!E133))), " ", ""), lookup_values!$D$2:$E$197, 2, FALSE)), "--", VLOOKUP(SUBSTITUTE(LEFT(MAIN!E133, IFERROR(FIND(",", MAIN!E133)-1, LEN(MAIN!E133))), " ", ""), lookup_values!$D$2:$E$197, 2, FALSE)))))</f>
        <v>--</v>
      </c>
      <c r="F133" t="str">
        <f>IF(ISBLANK(MAIN!F133), "", IF(AND(ISNUMBER(VALUE(TRIM(MAIN!F133))), LEN(TRIM(MAIN!F133))=4), VALUE(TRIM(MAIN!F133)), ""))</f>
        <v/>
      </c>
      <c r="G133">
        <f>IF(ISBLANK(MAIN!G133), 0, IF(ISNUMBER(VALUE(TRIM(MAIN!G133))), VALUE(TRIM(MAIN!G133)), 0))</f>
        <v>0</v>
      </c>
      <c r="H133">
        <f>IF(ISBLANK(MAIN!H133), 0, IF(ISNUMBER(VALUE(TRIM(MAIN!H133))), VALUE(TRIM(MAIN!H133)), 0))</f>
        <v>0</v>
      </c>
      <c r="I133">
        <f>IF(ISBLANK(MAIN!I133), 0, IF(ISNUMBER(VALUE(TRIM(MAIN!I133))), VALUE(TRIM(MAIN!I133)), 0))</f>
        <v>0</v>
      </c>
      <c r="J133">
        <f>IF(ISBLANK(MAIN!J133), 0, IF(ISNUMBER(VALUE(TRIM(MAIN!J133))), VALUE(TRIM(MAIN!J133)), 0))</f>
        <v>0</v>
      </c>
      <c r="K133" cm="1">
        <f t="array" ref="K133">IFERROR(
    VALUE(
        IFERROR(
            UPPER(
                IF(MAX(IFERROR(SEARCH("WD",MAIN!G133:J133), 0))&gt;0, "WD",
                IF(MAX(IFERROR(SEARCH("NS",MAIN!G133:J133), 0))&gt;0, "NS",
                IF(MAX(IFERROR(SEARCH("NC",MAIN!G133:J133), 0))&gt;0, "NC",
                IF(MAX(IFERROR(SEARCH("DQ",MAIN!G133:J133), 0))&gt;0, "DQ",
                IF(ISNUMBER(SEARCH("WD",MAIN!K133)), "WD",
                IF(ISNUMBER(SEARCH("NS",MAIN!K133)), "NS",
                IF(ISNUMBER(SEARCH("NC",MAIN!K133)), "NC",
                IF(ISNUMBER(SEARCH("DQ",MAIN!K133)), "DQ",
                IF(ISNUMBER(SEARCH("A",MAIN!K133)), 0,
                IF(OR(MAIN!K133=0,MAIN!K133=""), 0, --TRIM(MAIN!K133)))))))))))),
            0
        )
    ),
    IFERROR(
        UPPER(
            IF(MAX(IFERROR(SEARCH("WD",MAIN!G133:J133), 0))&gt;0, "WD",
            IF(MAX(IFERROR(SEARCH("NS",MAIN!G133:J133), 0))&gt;0, "NS",
            IF(MAX(IFERROR(SEARCH("NC",MAIN!G133:J133), 0))&gt;0, "NC",
            IF(MAX(IFERROR(SEARCH("DQ",MAIN!G133:J133), 0))&gt;0, "DQ",
            IF(ISNUMBER(SEARCH("WD",MAIN!K133)), "WD",
            IF(ISNUMBER(SEARCH("NS",MAIN!K133)), "NS",
            IF(ISNUMBER(SEARCH("NC",MAIN!K133)), "NC",
            IF(ISNUMBER(SEARCH("DQ",MAIN!K133)), "DQ",
            IF(ISNUMBER(SEARCH("A",MAIN!K133)), 0,
            IF(OR(MAIN!K133=0,MAIN!K133=""), 0, --TRIM(MAIN!K133)))))))))))),
        0
    )
)</f>
        <v>0</v>
      </c>
    </row>
    <row r="134" spans="1:11" x14ac:dyDescent="0.25">
      <c r="A134" t="str">
        <f>IF(ISBLANK(MAIN!A134), "--", IFERROR(PROPER(SUBSTITUTE(SUBSTITUTE(SUBSTITUTE(SUBSTITUTE(SUBSTITUTE(SUBSTITUTE(SUBSTITUTE(SUBSTITUTE(SUBSTITUTE(SUBSTITUTE(LEFT(MAIN!A134, FIND(",",MAIN!A134) -1), "0", ""), "1", ""), "2", ""), "3", ""), "4", ""), "5", ""), "6", ""), "7", ""), "8", ""), "9", "")), PROPER(SUBSTITUTE(SUBSTITUTE(SUBSTITUTE(SUBSTITUTE(SUBSTITUTE(SUBSTITUTE(SUBSTITUTE(SUBSTITUTE(SUBSTITUTE(SUBSTITUTE(MAIN!A134, "0", ""), "1", ""), "2", ""), "3", ""), "4", ""), "5", ""), "6", ""), "7", ""), "8", ""), "9", ""))))</f>
        <v>--</v>
      </c>
      <c r="B134" t="str">
        <f>IF(ISBLANK(MAIN!B134), "--", IFERROR(PROPER(SUBSTITUTE(SUBSTITUTE(SUBSTITUTE(SUBSTITUTE(SUBSTITUTE(SUBSTITUTE(SUBSTITUTE(SUBSTITUTE(SUBSTITUTE(SUBSTITUTE(LEFT(MAIN!B134, FIND(",",MAIN!B134) -1), "0", ""), "1", ""), "2", ""), "3", ""), "4", ""), "5", ""), "6", ""), "7", ""), "8", ""), "9", "")), PROPER(SUBSTITUTE(SUBSTITUTE(SUBSTITUTE(SUBSTITUTE(SUBSTITUTE(SUBSTITUTE(SUBSTITUTE(SUBSTITUTE(SUBSTITUTE(SUBSTITUTE(MAIN!B134, "0", ""), "1", ""), "2", ""), "3", ""), "4", ""), "5", ""), "6", ""), "7", ""), "8", ""), "9", ""))))</f>
        <v>--</v>
      </c>
      <c r="C134" t="str">
        <f>IF(ISBLANK(MAIN!C134), "--", IFERROR(PROPER(SUBSTITUTE(SUBSTITUTE(SUBSTITUTE(SUBSTITUTE(SUBSTITUTE(SUBSTITUTE(SUBSTITUTE(SUBSTITUTE(SUBSTITUTE(SUBSTITUTE(LEFT(MAIN!C134, FIND(",",MAIN!C134) -1), "0", ""), "1", ""), "2", ""), "3", ""), "4", ""), "5", ""), "6", ""), "7", ""), "8", ""), "9", "")), PROPER(SUBSTITUTE(SUBSTITUTE(SUBSTITUTE(SUBSTITUTE(SUBSTITUTE(SUBSTITUTE(SUBSTITUTE(SUBSTITUTE(SUBSTITUTE(SUBSTITUTE(MAIN!C134, "0", ""), "1", ""), "2", ""), "3", ""), "4", ""), "5", ""), "6", ""), "7", ""), "8", ""), "9", ""))))</f>
        <v>--</v>
      </c>
      <c r="D134" t="str">
        <f>IF(ISBLANK(MAIN!D134), "--", IF(ISNUMBER(MATCH(SUBSTITUTE(LEFT(MAIN!D134, IFERROR(FIND(",", MAIN!D134)-1, LEN(MAIN!D134))), " ", ""), lookup_values!$B$2:$B$51, 0)), UPPER(SUBSTITUTE(LEFT(MAIN!D134, IFERROR(FIND(",", MAIN!D134)-1, LEN(MAIN!D134))), " ", "")), IF(ISNA(VLOOKUP(SUBSTITUTE(LEFT(MAIN!D134, IFERROR(FIND(",", MAIN!D134)-1, LEN(MAIN!D134))), " ", ""), lookup_values!$A$2:$B$51, 2, FALSE)), "--", VLOOKUP(SUBSTITUTE(LEFT(MAIN!D134, IFERROR(FIND(",", MAIN!D134)-1, LEN(MAIN!D134))), " ", ""), lookup_values!$A$2:$B$51, 2, FALSE))))</f>
        <v>--</v>
      </c>
      <c r="E134" t="str">
        <f>IF(CLEAN_DATA!D134&lt;&gt;"--","US",IF(ISBLANK(MAIN!E134), "--", IF(ISNUMBER(MATCH(SUBSTITUTE(LEFT(MAIN!E134, IFERROR(FIND(",", MAIN!E134)-1, LEN(MAIN!E134))), " ", ""), lookup_values!$E$2:$E$197, 0)), UPPER(SUBSTITUTE(LEFT(MAIN!E134, IFERROR(FIND(",", MAIN!E134)-1, LEN(MAIN!E134))), " ", "")), IF(ISNA(VLOOKUP(SUBSTITUTE(LEFT(MAIN!E134, IFERROR(FIND(",", MAIN!E134)-1, LEN(MAIN!E134))), " ", ""), lookup_values!$D$2:$E$197, 2, FALSE)), "--", VLOOKUP(SUBSTITUTE(LEFT(MAIN!E134, IFERROR(FIND(",", MAIN!E134)-1, LEN(MAIN!E134))), " ", ""), lookup_values!$D$2:$E$197, 2, FALSE)))))</f>
        <v>--</v>
      </c>
      <c r="F134" t="str">
        <f>IF(ISBLANK(MAIN!F134), "", IF(AND(ISNUMBER(VALUE(TRIM(MAIN!F134))), LEN(TRIM(MAIN!F134))=4), VALUE(TRIM(MAIN!F134)), ""))</f>
        <v/>
      </c>
      <c r="G134">
        <f>IF(ISBLANK(MAIN!G134), 0, IF(ISNUMBER(VALUE(TRIM(MAIN!G134))), VALUE(TRIM(MAIN!G134)), 0))</f>
        <v>0</v>
      </c>
      <c r="H134">
        <f>IF(ISBLANK(MAIN!H134), 0, IF(ISNUMBER(VALUE(TRIM(MAIN!H134))), VALUE(TRIM(MAIN!H134)), 0))</f>
        <v>0</v>
      </c>
      <c r="I134">
        <f>IF(ISBLANK(MAIN!I134), 0, IF(ISNUMBER(VALUE(TRIM(MAIN!I134))), VALUE(TRIM(MAIN!I134)), 0))</f>
        <v>0</v>
      </c>
      <c r="J134">
        <f>IF(ISBLANK(MAIN!J134), 0, IF(ISNUMBER(VALUE(TRIM(MAIN!J134))), VALUE(TRIM(MAIN!J134)), 0))</f>
        <v>0</v>
      </c>
      <c r="K134" cm="1">
        <f t="array" ref="K134">IFERROR(
    VALUE(
        IFERROR(
            UPPER(
                IF(MAX(IFERROR(SEARCH("WD",MAIN!G134:J134), 0))&gt;0, "WD",
                IF(MAX(IFERROR(SEARCH("NS",MAIN!G134:J134), 0))&gt;0, "NS",
                IF(MAX(IFERROR(SEARCH("NC",MAIN!G134:J134), 0))&gt;0, "NC",
                IF(MAX(IFERROR(SEARCH("DQ",MAIN!G134:J134), 0))&gt;0, "DQ",
                IF(ISNUMBER(SEARCH("WD",MAIN!K134)), "WD",
                IF(ISNUMBER(SEARCH("NS",MAIN!K134)), "NS",
                IF(ISNUMBER(SEARCH("NC",MAIN!K134)), "NC",
                IF(ISNUMBER(SEARCH("DQ",MAIN!K134)), "DQ",
                IF(ISNUMBER(SEARCH("A",MAIN!K134)), 0,
                IF(OR(MAIN!K134=0,MAIN!K134=""), 0, --TRIM(MAIN!K134)))))))))))),
            0
        )
    ),
    IFERROR(
        UPPER(
            IF(MAX(IFERROR(SEARCH("WD",MAIN!G134:J134), 0))&gt;0, "WD",
            IF(MAX(IFERROR(SEARCH("NS",MAIN!G134:J134), 0))&gt;0, "NS",
            IF(MAX(IFERROR(SEARCH("NC",MAIN!G134:J134), 0))&gt;0, "NC",
            IF(MAX(IFERROR(SEARCH("DQ",MAIN!G134:J134), 0))&gt;0, "DQ",
            IF(ISNUMBER(SEARCH("WD",MAIN!K134)), "WD",
            IF(ISNUMBER(SEARCH("NS",MAIN!K134)), "NS",
            IF(ISNUMBER(SEARCH("NC",MAIN!K134)), "NC",
            IF(ISNUMBER(SEARCH("DQ",MAIN!K134)), "DQ",
            IF(ISNUMBER(SEARCH("A",MAIN!K134)), 0,
            IF(OR(MAIN!K134=0,MAIN!K134=""), 0, --TRIM(MAIN!K134)))))))))))),
        0
    )
)</f>
        <v>0</v>
      </c>
    </row>
    <row r="135" spans="1:11" x14ac:dyDescent="0.25">
      <c r="A135" t="str">
        <f>IF(ISBLANK(MAIN!A135), "--", IFERROR(PROPER(SUBSTITUTE(SUBSTITUTE(SUBSTITUTE(SUBSTITUTE(SUBSTITUTE(SUBSTITUTE(SUBSTITUTE(SUBSTITUTE(SUBSTITUTE(SUBSTITUTE(LEFT(MAIN!A135, FIND(",",MAIN!A135) -1), "0", ""), "1", ""), "2", ""), "3", ""), "4", ""), "5", ""), "6", ""), "7", ""), "8", ""), "9", "")), PROPER(SUBSTITUTE(SUBSTITUTE(SUBSTITUTE(SUBSTITUTE(SUBSTITUTE(SUBSTITUTE(SUBSTITUTE(SUBSTITUTE(SUBSTITUTE(SUBSTITUTE(MAIN!A135, "0", ""), "1", ""), "2", ""), "3", ""), "4", ""), "5", ""), "6", ""), "7", ""), "8", ""), "9", ""))))</f>
        <v>--</v>
      </c>
      <c r="B135" t="str">
        <f>IF(ISBLANK(MAIN!B135), "--", IFERROR(PROPER(SUBSTITUTE(SUBSTITUTE(SUBSTITUTE(SUBSTITUTE(SUBSTITUTE(SUBSTITUTE(SUBSTITUTE(SUBSTITUTE(SUBSTITUTE(SUBSTITUTE(LEFT(MAIN!B135, FIND(",",MAIN!B135) -1), "0", ""), "1", ""), "2", ""), "3", ""), "4", ""), "5", ""), "6", ""), "7", ""), "8", ""), "9", "")), PROPER(SUBSTITUTE(SUBSTITUTE(SUBSTITUTE(SUBSTITUTE(SUBSTITUTE(SUBSTITUTE(SUBSTITUTE(SUBSTITUTE(SUBSTITUTE(SUBSTITUTE(MAIN!B135, "0", ""), "1", ""), "2", ""), "3", ""), "4", ""), "5", ""), "6", ""), "7", ""), "8", ""), "9", ""))))</f>
        <v>--</v>
      </c>
      <c r="C135" t="str">
        <f>IF(ISBLANK(MAIN!C135), "--", IFERROR(PROPER(SUBSTITUTE(SUBSTITUTE(SUBSTITUTE(SUBSTITUTE(SUBSTITUTE(SUBSTITUTE(SUBSTITUTE(SUBSTITUTE(SUBSTITUTE(SUBSTITUTE(LEFT(MAIN!C135, FIND(",",MAIN!C135) -1), "0", ""), "1", ""), "2", ""), "3", ""), "4", ""), "5", ""), "6", ""), "7", ""), "8", ""), "9", "")), PROPER(SUBSTITUTE(SUBSTITUTE(SUBSTITUTE(SUBSTITUTE(SUBSTITUTE(SUBSTITUTE(SUBSTITUTE(SUBSTITUTE(SUBSTITUTE(SUBSTITUTE(MAIN!C135, "0", ""), "1", ""), "2", ""), "3", ""), "4", ""), "5", ""), "6", ""), "7", ""), "8", ""), "9", ""))))</f>
        <v>--</v>
      </c>
      <c r="D135" t="str">
        <f>IF(ISBLANK(MAIN!D135), "--", IF(ISNUMBER(MATCH(SUBSTITUTE(LEFT(MAIN!D135, IFERROR(FIND(",", MAIN!D135)-1, LEN(MAIN!D135))), " ", ""), lookup_values!$B$2:$B$51, 0)), UPPER(SUBSTITUTE(LEFT(MAIN!D135, IFERROR(FIND(",", MAIN!D135)-1, LEN(MAIN!D135))), " ", "")), IF(ISNA(VLOOKUP(SUBSTITUTE(LEFT(MAIN!D135, IFERROR(FIND(",", MAIN!D135)-1, LEN(MAIN!D135))), " ", ""), lookup_values!$A$2:$B$51, 2, FALSE)), "--", VLOOKUP(SUBSTITUTE(LEFT(MAIN!D135, IFERROR(FIND(",", MAIN!D135)-1, LEN(MAIN!D135))), " ", ""), lookup_values!$A$2:$B$51, 2, FALSE))))</f>
        <v>--</v>
      </c>
      <c r="E135" t="str">
        <f>IF(CLEAN_DATA!D135&lt;&gt;"--","US",IF(ISBLANK(MAIN!E135), "--", IF(ISNUMBER(MATCH(SUBSTITUTE(LEFT(MAIN!E135, IFERROR(FIND(",", MAIN!E135)-1, LEN(MAIN!E135))), " ", ""), lookup_values!$E$2:$E$197, 0)), UPPER(SUBSTITUTE(LEFT(MAIN!E135, IFERROR(FIND(",", MAIN!E135)-1, LEN(MAIN!E135))), " ", "")), IF(ISNA(VLOOKUP(SUBSTITUTE(LEFT(MAIN!E135, IFERROR(FIND(",", MAIN!E135)-1, LEN(MAIN!E135))), " ", ""), lookup_values!$D$2:$E$197, 2, FALSE)), "--", VLOOKUP(SUBSTITUTE(LEFT(MAIN!E135, IFERROR(FIND(",", MAIN!E135)-1, LEN(MAIN!E135))), " ", ""), lookup_values!$D$2:$E$197, 2, FALSE)))))</f>
        <v>--</v>
      </c>
      <c r="F135" t="str">
        <f>IF(ISBLANK(MAIN!F135), "", IF(AND(ISNUMBER(VALUE(TRIM(MAIN!F135))), LEN(TRIM(MAIN!F135))=4), VALUE(TRIM(MAIN!F135)), ""))</f>
        <v/>
      </c>
      <c r="G135">
        <f>IF(ISBLANK(MAIN!G135), 0, IF(ISNUMBER(VALUE(TRIM(MAIN!G135))), VALUE(TRIM(MAIN!G135)), 0))</f>
        <v>0</v>
      </c>
      <c r="H135">
        <f>IF(ISBLANK(MAIN!H135), 0, IF(ISNUMBER(VALUE(TRIM(MAIN!H135))), VALUE(TRIM(MAIN!H135)), 0))</f>
        <v>0</v>
      </c>
      <c r="I135">
        <f>IF(ISBLANK(MAIN!I135), 0, IF(ISNUMBER(VALUE(TRIM(MAIN!I135))), VALUE(TRIM(MAIN!I135)), 0))</f>
        <v>0</v>
      </c>
      <c r="J135">
        <f>IF(ISBLANK(MAIN!J135), 0, IF(ISNUMBER(VALUE(TRIM(MAIN!J135))), VALUE(TRIM(MAIN!J135)), 0))</f>
        <v>0</v>
      </c>
      <c r="K135" cm="1">
        <f t="array" ref="K135">IFERROR(
    VALUE(
        IFERROR(
            UPPER(
                IF(MAX(IFERROR(SEARCH("WD",MAIN!G135:J135), 0))&gt;0, "WD",
                IF(MAX(IFERROR(SEARCH("NS",MAIN!G135:J135), 0))&gt;0, "NS",
                IF(MAX(IFERROR(SEARCH("NC",MAIN!G135:J135), 0))&gt;0, "NC",
                IF(MAX(IFERROR(SEARCH("DQ",MAIN!G135:J135), 0))&gt;0, "DQ",
                IF(ISNUMBER(SEARCH("WD",MAIN!K135)), "WD",
                IF(ISNUMBER(SEARCH("NS",MAIN!K135)), "NS",
                IF(ISNUMBER(SEARCH("NC",MAIN!K135)), "NC",
                IF(ISNUMBER(SEARCH("DQ",MAIN!K135)), "DQ",
                IF(ISNUMBER(SEARCH("A",MAIN!K135)), 0,
                IF(OR(MAIN!K135=0,MAIN!K135=""), 0, --TRIM(MAIN!K135)))))))))))),
            0
        )
    ),
    IFERROR(
        UPPER(
            IF(MAX(IFERROR(SEARCH("WD",MAIN!G135:J135), 0))&gt;0, "WD",
            IF(MAX(IFERROR(SEARCH("NS",MAIN!G135:J135), 0))&gt;0, "NS",
            IF(MAX(IFERROR(SEARCH("NC",MAIN!G135:J135), 0))&gt;0, "NC",
            IF(MAX(IFERROR(SEARCH("DQ",MAIN!G135:J135), 0))&gt;0, "DQ",
            IF(ISNUMBER(SEARCH("WD",MAIN!K135)), "WD",
            IF(ISNUMBER(SEARCH("NS",MAIN!K135)), "NS",
            IF(ISNUMBER(SEARCH("NC",MAIN!K135)), "NC",
            IF(ISNUMBER(SEARCH("DQ",MAIN!K135)), "DQ",
            IF(ISNUMBER(SEARCH("A",MAIN!K135)), 0,
            IF(OR(MAIN!K135=0,MAIN!K135=""), 0, --TRIM(MAIN!K135)))))))))))),
        0
    )
)</f>
        <v>0</v>
      </c>
    </row>
    <row r="136" spans="1:11" x14ac:dyDescent="0.25">
      <c r="A136" t="str">
        <f>IF(ISBLANK(MAIN!A136), "--", IFERROR(PROPER(SUBSTITUTE(SUBSTITUTE(SUBSTITUTE(SUBSTITUTE(SUBSTITUTE(SUBSTITUTE(SUBSTITUTE(SUBSTITUTE(SUBSTITUTE(SUBSTITUTE(LEFT(MAIN!A136, FIND(",",MAIN!A136) -1), "0", ""), "1", ""), "2", ""), "3", ""), "4", ""), "5", ""), "6", ""), "7", ""), "8", ""), "9", "")), PROPER(SUBSTITUTE(SUBSTITUTE(SUBSTITUTE(SUBSTITUTE(SUBSTITUTE(SUBSTITUTE(SUBSTITUTE(SUBSTITUTE(SUBSTITUTE(SUBSTITUTE(MAIN!A136, "0", ""), "1", ""), "2", ""), "3", ""), "4", ""), "5", ""), "6", ""), "7", ""), "8", ""), "9", ""))))</f>
        <v>--</v>
      </c>
      <c r="B136" t="str">
        <f>IF(ISBLANK(MAIN!B136), "--", IFERROR(PROPER(SUBSTITUTE(SUBSTITUTE(SUBSTITUTE(SUBSTITUTE(SUBSTITUTE(SUBSTITUTE(SUBSTITUTE(SUBSTITUTE(SUBSTITUTE(SUBSTITUTE(LEFT(MAIN!B136, FIND(",",MAIN!B136) -1), "0", ""), "1", ""), "2", ""), "3", ""), "4", ""), "5", ""), "6", ""), "7", ""), "8", ""), "9", "")), PROPER(SUBSTITUTE(SUBSTITUTE(SUBSTITUTE(SUBSTITUTE(SUBSTITUTE(SUBSTITUTE(SUBSTITUTE(SUBSTITUTE(SUBSTITUTE(SUBSTITUTE(MAIN!B136, "0", ""), "1", ""), "2", ""), "3", ""), "4", ""), "5", ""), "6", ""), "7", ""), "8", ""), "9", ""))))</f>
        <v>--</v>
      </c>
      <c r="C136" t="str">
        <f>IF(ISBLANK(MAIN!C136), "--", IFERROR(PROPER(SUBSTITUTE(SUBSTITUTE(SUBSTITUTE(SUBSTITUTE(SUBSTITUTE(SUBSTITUTE(SUBSTITUTE(SUBSTITUTE(SUBSTITUTE(SUBSTITUTE(LEFT(MAIN!C136, FIND(",",MAIN!C136) -1), "0", ""), "1", ""), "2", ""), "3", ""), "4", ""), "5", ""), "6", ""), "7", ""), "8", ""), "9", "")), PROPER(SUBSTITUTE(SUBSTITUTE(SUBSTITUTE(SUBSTITUTE(SUBSTITUTE(SUBSTITUTE(SUBSTITUTE(SUBSTITUTE(SUBSTITUTE(SUBSTITUTE(MAIN!C136, "0", ""), "1", ""), "2", ""), "3", ""), "4", ""), "5", ""), "6", ""), "7", ""), "8", ""), "9", ""))))</f>
        <v>--</v>
      </c>
      <c r="D136" t="str">
        <f>IF(ISBLANK(MAIN!D136), "--", IF(ISNUMBER(MATCH(SUBSTITUTE(LEFT(MAIN!D136, IFERROR(FIND(",", MAIN!D136)-1, LEN(MAIN!D136))), " ", ""), lookup_values!$B$2:$B$51, 0)), UPPER(SUBSTITUTE(LEFT(MAIN!D136, IFERROR(FIND(",", MAIN!D136)-1, LEN(MAIN!D136))), " ", "")), IF(ISNA(VLOOKUP(SUBSTITUTE(LEFT(MAIN!D136, IFERROR(FIND(",", MAIN!D136)-1, LEN(MAIN!D136))), " ", ""), lookup_values!$A$2:$B$51, 2, FALSE)), "--", VLOOKUP(SUBSTITUTE(LEFT(MAIN!D136, IFERROR(FIND(",", MAIN!D136)-1, LEN(MAIN!D136))), " ", ""), lookup_values!$A$2:$B$51, 2, FALSE))))</f>
        <v>--</v>
      </c>
      <c r="E136" t="str">
        <f>IF(CLEAN_DATA!D136&lt;&gt;"--","US",IF(ISBLANK(MAIN!E136), "--", IF(ISNUMBER(MATCH(SUBSTITUTE(LEFT(MAIN!E136, IFERROR(FIND(",", MAIN!E136)-1, LEN(MAIN!E136))), " ", ""), lookup_values!$E$2:$E$197, 0)), UPPER(SUBSTITUTE(LEFT(MAIN!E136, IFERROR(FIND(",", MAIN!E136)-1, LEN(MAIN!E136))), " ", "")), IF(ISNA(VLOOKUP(SUBSTITUTE(LEFT(MAIN!E136, IFERROR(FIND(",", MAIN!E136)-1, LEN(MAIN!E136))), " ", ""), lookup_values!$D$2:$E$197, 2, FALSE)), "--", VLOOKUP(SUBSTITUTE(LEFT(MAIN!E136, IFERROR(FIND(",", MAIN!E136)-1, LEN(MAIN!E136))), " ", ""), lookup_values!$D$2:$E$197, 2, FALSE)))))</f>
        <v>--</v>
      </c>
      <c r="F136" t="str">
        <f>IF(ISBLANK(MAIN!F136), "", IF(AND(ISNUMBER(VALUE(TRIM(MAIN!F136))), LEN(TRIM(MAIN!F136))=4), VALUE(TRIM(MAIN!F136)), ""))</f>
        <v/>
      </c>
      <c r="G136">
        <f>IF(ISBLANK(MAIN!G136), 0, IF(ISNUMBER(VALUE(TRIM(MAIN!G136))), VALUE(TRIM(MAIN!G136)), 0))</f>
        <v>0</v>
      </c>
      <c r="H136">
        <f>IF(ISBLANK(MAIN!H136), 0, IF(ISNUMBER(VALUE(TRIM(MAIN!H136))), VALUE(TRIM(MAIN!H136)), 0))</f>
        <v>0</v>
      </c>
      <c r="I136">
        <f>IF(ISBLANK(MAIN!I136), 0, IF(ISNUMBER(VALUE(TRIM(MAIN!I136))), VALUE(TRIM(MAIN!I136)), 0))</f>
        <v>0</v>
      </c>
      <c r="J136">
        <f>IF(ISBLANK(MAIN!J136), 0, IF(ISNUMBER(VALUE(TRIM(MAIN!J136))), VALUE(TRIM(MAIN!J136)), 0))</f>
        <v>0</v>
      </c>
      <c r="K136" cm="1">
        <f t="array" ref="K136">IFERROR(
    VALUE(
        IFERROR(
            UPPER(
                IF(MAX(IFERROR(SEARCH("WD",MAIN!G136:J136), 0))&gt;0, "WD",
                IF(MAX(IFERROR(SEARCH("NS",MAIN!G136:J136), 0))&gt;0, "NS",
                IF(MAX(IFERROR(SEARCH("NC",MAIN!G136:J136), 0))&gt;0, "NC",
                IF(MAX(IFERROR(SEARCH("DQ",MAIN!G136:J136), 0))&gt;0, "DQ",
                IF(ISNUMBER(SEARCH("WD",MAIN!K136)), "WD",
                IF(ISNUMBER(SEARCH("NS",MAIN!K136)), "NS",
                IF(ISNUMBER(SEARCH("NC",MAIN!K136)), "NC",
                IF(ISNUMBER(SEARCH("DQ",MAIN!K136)), "DQ",
                IF(ISNUMBER(SEARCH("A",MAIN!K136)), 0,
                IF(OR(MAIN!K136=0,MAIN!K136=""), 0, --TRIM(MAIN!K136)))))))))))),
            0
        )
    ),
    IFERROR(
        UPPER(
            IF(MAX(IFERROR(SEARCH("WD",MAIN!G136:J136), 0))&gt;0, "WD",
            IF(MAX(IFERROR(SEARCH("NS",MAIN!G136:J136), 0))&gt;0, "NS",
            IF(MAX(IFERROR(SEARCH("NC",MAIN!G136:J136), 0))&gt;0, "NC",
            IF(MAX(IFERROR(SEARCH("DQ",MAIN!G136:J136), 0))&gt;0, "DQ",
            IF(ISNUMBER(SEARCH("WD",MAIN!K136)), "WD",
            IF(ISNUMBER(SEARCH("NS",MAIN!K136)), "NS",
            IF(ISNUMBER(SEARCH("NC",MAIN!K136)), "NC",
            IF(ISNUMBER(SEARCH("DQ",MAIN!K136)), "DQ",
            IF(ISNUMBER(SEARCH("A",MAIN!K136)), 0,
            IF(OR(MAIN!K136=0,MAIN!K136=""), 0, --TRIM(MAIN!K136)))))))))))),
        0
    )
)</f>
        <v>0</v>
      </c>
    </row>
    <row r="137" spans="1:11" x14ac:dyDescent="0.25">
      <c r="A137" t="str">
        <f>IF(ISBLANK(MAIN!A137), "--", IFERROR(PROPER(SUBSTITUTE(SUBSTITUTE(SUBSTITUTE(SUBSTITUTE(SUBSTITUTE(SUBSTITUTE(SUBSTITUTE(SUBSTITUTE(SUBSTITUTE(SUBSTITUTE(LEFT(MAIN!A137, FIND(",",MAIN!A137) -1), "0", ""), "1", ""), "2", ""), "3", ""), "4", ""), "5", ""), "6", ""), "7", ""), "8", ""), "9", "")), PROPER(SUBSTITUTE(SUBSTITUTE(SUBSTITUTE(SUBSTITUTE(SUBSTITUTE(SUBSTITUTE(SUBSTITUTE(SUBSTITUTE(SUBSTITUTE(SUBSTITUTE(MAIN!A137, "0", ""), "1", ""), "2", ""), "3", ""), "4", ""), "5", ""), "6", ""), "7", ""), "8", ""), "9", ""))))</f>
        <v>--</v>
      </c>
      <c r="B137" t="str">
        <f>IF(ISBLANK(MAIN!B137), "--", IFERROR(PROPER(SUBSTITUTE(SUBSTITUTE(SUBSTITUTE(SUBSTITUTE(SUBSTITUTE(SUBSTITUTE(SUBSTITUTE(SUBSTITUTE(SUBSTITUTE(SUBSTITUTE(LEFT(MAIN!B137, FIND(",",MAIN!B137) -1), "0", ""), "1", ""), "2", ""), "3", ""), "4", ""), "5", ""), "6", ""), "7", ""), "8", ""), "9", "")), PROPER(SUBSTITUTE(SUBSTITUTE(SUBSTITUTE(SUBSTITUTE(SUBSTITUTE(SUBSTITUTE(SUBSTITUTE(SUBSTITUTE(SUBSTITUTE(SUBSTITUTE(MAIN!B137, "0", ""), "1", ""), "2", ""), "3", ""), "4", ""), "5", ""), "6", ""), "7", ""), "8", ""), "9", ""))))</f>
        <v>--</v>
      </c>
      <c r="C137" t="str">
        <f>IF(ISBLANK(MAIN!C137), "--", IFERROR(PROPER(SUBSTITUTE(SUBSTITUTE(SUBSTITUTE(SUBSTITUTE(SUBSTITUTE(SUBSTITUTE(SUBSTITUTE(SUBSTITUTE(SUBSTITUTE(SUBSTITUTE(LEFT(MAIN!C137, FIND(",",MAIN!C137) -1), "0", ""), "1", ""), "2", ""), "3", ""), "4", ""), "5", ""), "6", ""), "7", ""), "8", ""), "9", "")), PROPER(SUBSTITUTE(SUBSTITUTE(SUBSTITUTE(SUBSTITUTE(SUBSTITUTE(SUBSTITUTE(SUBSTITUTE(SUBSTITUTE(SUBSTITUTE(SUBSTITUTE(MAIN!C137, "0", ""), "1", ""), "2", ""), "3", ""), "4", ""), "5", ""), "6", ""), "7", ""), "8", ""), "9", ""))))</f>
        <v>--</v>
      </c>
      <c r="D137" t="str">
        <f>IF(ISBLANK(MAIN!D137), "--", IF(ISNUMBER(MATCH(SUBSTITUTE(LEFT(MAIN!D137, IFERROR(FIND(",", MAIN!D137)-1, LEN(MAIN!D137))), " ", ""), lookup_values!$B$2:$B$51, 0)), UPPER(SUBSTITUTE(LEFT(MAIN!D137, IFERROR(FIND(",", MAIN!D137)-1, LEN(MAIN!D137))), " ", "")), IF(ISNA(VLOOKUP(SUBSTITUTE(LEFT(MAIN!D137, IFERROR(FIND(",", MAIN!D137)-1, LEN(MAIN!D137))), " ", ""), lookup_values!$A$2:$B$51, 2, FALSE)), "--", VLOOKUP(SUBSTITUTE(LEFT(MAIN!D137, IFERROR(FIND(",", MAIN!D137)-1, LEN(MAIN!D137))), " ", ""), lookup_values!$A$2:$B$51, 2, FALSE))))</f>
        <v>--</v>
      </c>
      <c r="E137" t="str">
        <f>IF(CLEAN_DATA!D137&lt;&gt;"--","US",IF(ISBLANK(MAIN!E137), "--", IF(ISNUMBER(MATCH(SUBSTITUTE(LEFT(MAIN!E137, IFERROR(FIND(",", MAIN!E137)-1, LEN(MAIN!E137))), " ", ""), lookup_values!$E$2:$E$197, 0)), UPPER(SUBSTITUTE(LEFT(MAIN!E137, IFERROR(FIND(",", MAIN!E137)-1, LEN(MAIN!E137))), " ", "")), IF(ISNA(VLOOKUP(SUBSTITUTE(LEFT(MAIN!E137, IFERROR(FIND(",", MAIN!E137)-1, LEN(MAIN!E137))), " ", ""), lookup_values!$D$2:$E$197, 2, FALSE)), "--", VLOOKUP(SUBSTITUTE(LEFT(MAIN!E137, IFERROR(FIND(",", MAIN!E137)-1, LEN(MAIN!E137))), " ", ""), lookup_values!$D$2:$E$197, 2, FALSE)))))</f>
        <v>--</v>
      </c>
      <c r="F137" t="str">
        <f>IF(ISBLANK(MAIN!F137), "", IF(AND(ISNUMBER(VALUE(TRIM(MAIN!F137))), LEN(TRIM(MAIN!F137))=4), VALUE(TRIM(MAIN!F137)), ""))</f>
        <v/>
      </c>
      <c r="G137">
        <f>IF(ISBLANK(MAIN!G137), 0, IF(ISNUMBER(VALUE(TRIM(MAIN!G137))), VALUE(TRIM(MAIN!G137)), 0))</f>
        <v>0</v>
      </c>
      <c r="H137">
        <f>IF(ISBLANK(MAIN!H137), 0, IF(ISNUMBER(VALUE(TRIM(MAIN!H137))), VALUE(TRIM(MAIN!H137)), 0))</f>
        <v>0</v>
      </c>
      <c r="I137">
        <f>IF(ISBLANK(MAIN!I137), 0, IF(ISNUMBER(VALUE(TRIM(MAIN!I137))), VALUE(TRIM(MAIN!I137)), 0))</f>
        <v>0</v>
      </c>
      <c r="J137">
        <f>IF(ISBLANK(MAIN!J137), 0, IF(ISNUMBER(VALUE(TRIM(MAIN!J137))), VALUE(TRIM(MAIN!J137)), 0))</f>
        <v>0</v>
      </c>
      <c r="K137" cm="1">
        <f t="array" ref="K137">IFERROR(
    VALUE(
        IFERROR(
            UPPER(
                IF(MAX(IFERROR(SEARCH("WD",MAIN!G137:J137), 0))&gt;0, "WD",
                IF(MAX(IFERROR(SEARCH("NS",MAIN!G137:J137), 0))&gt;0, "NS",
                IF(MAX(IFERROR(SEARCH("NC",MAIN!G137:J137), 0))&gt;0, "NC",
                IF(MAX(IFERROR(SEARCH("DQ",MAIN!G137:J137), 0))&gt;0, "DQ",
                IF(ISNUMBER(SEARCH("WD",MAIN!K137)), "WD",
                IF(ISNUMBER(SEARCH("NS",MAIN!K137)), "NS",
                IF(ISNUMBER(SEARCH("NC",MAIN!K137)), "NC",
                IF(ISNUMBER(SEARCH("DQ",MAIN!K137)), "DQ",
                IF(ISNUMBER(SEARCH("A",MAIN!K137)), 0,
                IF(OR(MAIN!K137=0,MAIN!K137=""), 0, --TRIM(MAIN!K137)))))))))))),
            0
        )
    ),
    IFERROR(
        UPPER(
            IF(MAX(IFERROR(SEARCH("WD",MAIN!G137:J137), 0))&gt;0, "WD",
            IF(MAX(IFERROR(SEARCH("NS",MAIN!G137:J137), 0))&gt;0, "NS",
            IF(MAX(IFERROR(SEARCH("NC",MAIN!G137:J137), 0))&gt;0, "NC",
            IF(MAX(IFERROR(SEARCH("DQ",MAIN!G137:J137), 0))&gt;0, "DQ",
            IF(ISNUMBER(SEARCH("WD",MAIN!K137)), "WD",
            IF(ISNUMBER(SEARCH("NS",MAIN!K137)), "NS",
            IF(ISNUMBER(SEARCH("NC",MAIN!K137)), "NC",
            IF(ISNUMBER(SEARCH("DQ",MAIN!K137)), "DQ",
            IF(ISNUMBER(SEARCH("A",MAIN!K137)), 0,
            IF(OR(MAIN!K137=0,MAIN!K137=""), 0, --TRIM(MAIN!K137)))))))))))),
        0
    )
)</f>
        <v>0</v>
      </c>
    </row>
    <row r="138" spans="1:11" x14ac:dyDescent="0.25">
      <c r="A138" t="str">
        <f>IF(ISBLANK(MAIN!A138), "--", IFERROR(PROPER(SUBSTITUTE(SUBSTITUTE(SUBSTITUTE(SUBSTITUTE(SUBSTITUTE(SUBSTITUTE(SUBSTITUTE(SUBSTITUTE(SUBSTITUTE(SUBSTITUTE(LEFT(MAIN!A138, FIND(",",MAIN!A138) -1), "0", ""), "1", ""), "2", ""), "3", ""), "4", ""), "5", ""), "6", ""), "7", ""), "8", ""), "9", "")), PROPER(SUBSTITUTE(SUBSTITUTE(SUBSTITUTE(SUBSTITUTE(SUBSTITUTE(SUBSTITUTE(SUBSTITUTE(SUBSTITUTE(SUBSTITUTE(SUBSTITUTE(MAIN!A138, "0", ""), "1", ""), "2", ""), "3", ""), "4", ""), "5", ""), "6", ""), "7", ""), "8", ""), "9", ""))))</f>
        <v>--</v>
      </c>
      <c r="B138" t="str">
        <f>IF(ISBLANK(MAIN!B138), "--", IFERROR(PROPER(SUBSTITUTE(SUBSTITUTE(SUBSTITUTE(SUBSTITUTE(SUBSTITUTE(SUBSTITUTE(SUBSTITUTE(SUBSTITUTE(SUBSTITUTE(SUBSTITUTE(LEFT(MAIN!B138, FIND(",",MAIN!B138) -1), "0", ""), "1", ""), "2", ""), "3", ""), "4", ""), "5", ""), "6", ""), "7", ""), "8", ""), "9", "")), PROPER(SUBSTITUTE(SUBSTITUTE(SUBSTITUTE(SUBSTITUTE(SUBSTITUTE(SUBSTITUTE(SUBSTITUTE(SUBSTITUTE(SUBSTITUTE(SUBSTITUTE(MAIN!B138, "0", ""), "1", ""), "2", ""), "3", ""), "4", ""), "5", ""), "6", ""), "7", ""), "8", ""), "9", ""))))</f>
        <v>--</v>
      </c>
      <c r="C138" t="str">
        <f>IF(ISBLANK(MAIN!C138), "--", IFERROR(PROPER(SUBSTITUTE(SUBSTITUTE(SUBSTITUTE(SUBSTITUTE(SUBSTITUTE(SUBSTITUTE(SUBSTITUTE(SUBSTITUTE(SUBSTITUTE(SUBSTITUTE(LEFT(MAIN!C138, FIND(",",MAIN!C138) -1), "0", ""), "1", ""), "2", ""), "3", ""), "4", ""), "5", ""), "6", ""), "7", ""), "8", ""), "9", "")), PROPER(SUBSTITUTE(SUBSTITUTE(SUBSTITUTE(SUBSTITUTE(SUBSTITUTE(SUBSTITUTE(SUBSTITUTE(SUBSTITUTE(SUBSTITUTE(SUBSTITUTE(MAIN!C138, "0", ""), "1", ""), "2", ""), "3", ""), "4", ""), "5", ""), "6", ""), "7", ""), "8", ""), "9", ""))))</f>
        <v>--</v>
      </c>
      <c r="D138" t="str">
        <f>IF(ISBLANK(MAIN!D138), "--", IF(ISNUMBER(MATCH(SUBSTITUTE(LEFT(MAIN!D138, IFERROR(FIND(",", MAIN!D138)-1, LEN(MAIN!D138))), " ", ""), lookup_values!$B$2:$B$51, 0)), UPPER(SUBSTITUTE(LEFT(MAIN!D138, IFERROR(FIND(",", MAIN!D138)-1, LEN(MAIN!D138))), " ", "")), IF(ISNA(VLOOKUP(SUBSTITUTE(LEFT(MAIN!D138, IFERROR(FIND(",", MAIN!D138)-1, LEN(MAIN!D138))), " ", ""), lookup_values!$A$2:$B$51, 2, FALSE)), "--", VLOOKUP(SUBSTITUTE(LEFT(MAIN!D138, IFERROR(FIND(",", MAIN!D138)-1, LEN(MAIN!D138))), " ", ""), lookup_values!$A$2:$B$51, 2, FALSE))))</f>
        <v>--</v>
      </c>
      <c r="E138" t="str">
        <f>IF(CLEAN_DATA!D138&lt;&gt;"--","US",IF(ISBLANK(MAIN!E138), "--", IF(ISNUMBER(MATCH(SUBSTITUTE(LEFT(MAIN!E138, IFERROR(FIND(",", MAIN!E138)-1, LEN(MAIN!E138))), " ", ""), lookup_values!$E$2:$E$197, 0)), UPPER(SUBSTITUTE(LEFT(MAIN!E138, IFERROR(FIND(",", MAIN!E138)-1, LEN(MAIN!E138))), " ", "")), IF(ISNA(VLOOKUP(SUBSTITUTE(LEFT(MAIN!E138, IFERROR(FIND(",", MAIN!E138)-1, LEN(MAIN!E138))), " ", ""), lookup_values!$D$2:$E$197, 2, FALSE)), "--", VLOOKUP(SUBSTITUTE(LEFT(MAIN!E138, IFERROR(FIND(",", MAIN!E138)-1, LEN(MAIN!E138))), " ", ""), lookup_values!$D$2:$E$197, 2, FALSE)))))</f>
        <v>--</v>
      </c>
      <c r="F138" t="str">
        <f>IF(ISBLANK(MAIN!F138), "", IF(AND(ISNUMBER(VALUE(TRIM(MAIN!F138))), LEN(TRIM(MAIN!F138))=4), VALUE(TRIM(MAIN!F138)), ""))</f>
        <v/>
      </c>
      <c r="G138">
        <f>IF(ISBLANK(MAIN!G138), 0, IF(ISNUMBER(VALUE(TRIM(MAIN!G138))), VALUE(TRIM(MAIN!G138)), 0))</f>
        <v>0</v>
      </c>
      <c r="H138">
        <f>IF(ISBLANK(MAIN!H138), 0, IF(ISNUMBER(VALUE(TRIM(MAIN!H138))), VALUE(TRIM(MAIN!H138)), 0))</f>
        <v>0</v>
      </c>
      <c r="I138">
        <f>IF(ISBLANK(MAIN!I138), 0, IF(ISNUMBER(VALUE(TRIM(MAIN!I138))), VALUE(TRIM(MAIN!I138)), 0))</f>
        <v>0</v>
      </c>
      <c r="J138">
        <f>IF(ISBLANK(MAIN!J138), 0, IF(ISNUMBER(VALUE(TRIM(MAIN!J138))), VALUE(TRIM(MAIN!J138)), 0))</f>
        <v>0</v>
      </c>
      <c r="K138" cm="1">
        <f t="array" ref="K138">IFERROR(
    VALUE(
        IFERROR(
            UPPER(
                IF(MAX(IFERROR(SEARCH("WD",MAIN!G138:J138), 0))&gt;0, "WD",
                IF(MAX(IFERROR(SEARCH("NS",MAIN!G138:J138), 0))&gt;0, "NS",
                IF(MAX(IFERROR(SEARCH("NC",MAIN!G138:J138), 0))&gt;0, "NC",
                IF(MAX(IFERROR(SEARCH("DQ",MAIN!G138:J138), 0))&gt;0, "DQ",
                IF(ISNUMBER(SEARCH("WD",MAIN!K138)), "WD",
                IF(ISNUMBER(SEARCH("NS",MAIN!K138)), "NS",
                IF(ISNUMBER(SEARCH("NC",MAIN!K138)), "NC",
                IF(ISNUMBER(SEARCH("DQ",MAIN!K138)), "DQ",
                IF(ISNUMBER(SEARCH("A",MAIN!K138)), 0,
                IF(OR(MAIN!K138=0,MAIN!K138=""), 0, --TRIM(MAIN!K138)))))))))))),
            0
        )
    ),
    IFERROR(
        UPPER(
            IF(MAX(IFERROR(SEARCH("WD",MAIN!G138:J138), 0))&gt;0, "WD",
            IF(MAX(IFERROR(SEARCH("NS",MAIN!G138:J138), 0))&gt;0, "NS",
            IF(MAX(IFERROR(SEARCH("NC",MAIN!G138:J138), 0))&gt;0, "NC",
            IF(MAX(IFERROR(SEARCH("DQ",MAIN!G138:J138), 0))&gt;0, "DQ",
            IF(ISNUMBER(SEARCH("WD",MAIN!K138)), "WD",
            IF(ISNUMBER(SEARCH("NS",MAIN!K138)), "NS",
            IF(ISNUMBER(SEARCH("NC",MAIN!K138)), "NC",
            IF(ISNUMBER(SEARCH("DQ",MAIN!K138)), "DQ",
            IF(ISNUMBER(SEARCH("A",MAIN!K138)), 0,
            IF(OR(MAIN!K138=0,MAIN!K138=""), 0, --TRIM(MAIN!K138)))))))))))),
        0
    )
)</f>
        <v>0</v>
      </c>
    </row>
    <row r="139" spans="1:11" x14ac:dyDescent="0.25">
      <c r="A139" t="str">
        <f>IF(ISBLANK(MAIN!A139), "--", IFERROR(PROPER(SUBSTITUTE(SUBSTITUTE(SUBSTITUTE(SUBSTITUTE(SUBSTITUTE(SUBSTITUTE(SUBSTITUTE(SUBSTITUTE(SUBSTITUTE(SUBSTITUTE(LEFT(MAIN!A139, FIND(",",MAIN!A139) -1), "0", ""), "1", ""), "2", ""), "3", ""), "4", ""), "5", ""), "6", ""), "7", ""), "8", ""), "9", "")), PROPER(SUBSTITUTE(SUBSTITUTE(SUBSTITUTE(SUBSTITUTE(SUBSTITUTE(SUBSTITUTE(SUBSTITUTE(SUBSTITUTE(SUBSTITUTE(SUBSTITUTE(MAIN!A139, "0", ""), "1", ""), "2", ""), "3", ""), "4", ""), "5", ""), "6", ""), "7", ""), "8", ""), "9", ""))))</f>
        <v>--</v>
      </c>
      <c r="B139" t="str">
        <f>IF(ISBLANK(MAIN!B139), "--", IFERROR(PROPER(SUBSTITUTE(SUBSTITUTE(SUBSTITUTE(SUBSTITUTE(SUBSTITUTE(SUBSTITUTE(SUBSTITUTE(SUBSTITUTE(SUBSTITUTE(SUBSTITUTE(LEFT(MAIN!B139, FIND(",",MAIN!B139) -1), "0", ""), "1", ""), "2", ""), "3", ""), "4", ""), "5", ""), "6", ""), "7", ""), "8", ""), "9", "")), PROPER(SUBSTITUTE(SUBSTITUTE(SUBSTITUTE(SUBSTITUTE(SUBSTITUTE(SUBSTITUTE(SUBSTITUTE(SUBSTITUTE(SUBSTITUTE(SUBSTITUTE(MAIN!B139, "0", ""), "1", ""), "2", ""), "3", ""), "4", ""), "5", ""), "6", ""), "7", ""), "8", ""), "9", ""))))</f>
        <v>--</v>
      </c>
      <c r="C139" t="str">
        <f>IF(ISBLANK(MAIN!C139), "--", IFERROR(PROPER(SUBSTITUTE(SUBSTITUTE(SUBSTITUTE(SUBSTITUTE(SUBSTITUTE(SUBSTITUTE(SUBSTITUTE(SUBSTITUTE(SUBSTITUTE(SUBSTITUTE(LEFT(MAIN!C139, FIND(",",MAIN!C139) -1), "0", ""), "1", ""), "2", ""), "3", ""), "4", ""), "5", ""), "6", ""), "7", ""), "8", ""), "9", "")), PROPER(SUBSTITUTE(SUBSTITUTE(SUBSTITUTE(SUBSTITUTE(SUBSTITUTE(SUBSTITUTE(SUBSTITUTE(SUBSTITUTE(SUBSTITUTE(SUBSTITUTE(MAIN!C139, "0", ""), "1", ""), "2", ""), "3", ""), "4", ""), "5", ""), "6", ""), "7", ""), "8", ""), "9", ""))))</f>
        <v>--</v>
      </c>
      <c r="D139" t="str">
        <f>IF(ISBLANK(MAIN!D139), "--", IF(ISNUMBER(MATCH(SUBSTITUTE(LEFT(MAIN!D139, IFERROR(FIND(",", MAIN!D139)-1, LEN(MAIN!D139))), " ", ""), lookup_values!$B$2:$B$51, 0)), UPPER(SUBSTITUTE(LEFT(MAIN!D139, IFERROR(FIND(",", MAIN!D139)-1, LEN(MAIN!D139))), " ", "")), IF(ISNA(VLOOKUP(SUBSTITUTE(LEFT(MAIN!D139, IFERROR(FIND(",", MAIN!D139)-1, LEN(MAIN!D139))), " ", ""), lookup_values!$A$2:$B$51, 2, FALSE)), "--", VLOOKUP(SUBSTITUTE(LEFT(MAIN!D139, IFERROR(FIND(",", MAIN!D139)-1, LEN(MAIN!D139))), " ", ""), lookup_values!$A$2:$B$51, 2, FALSE))))</f>
        <v>--</v>
      </c>
      <c r="E139" t="str">
        <f>IF(CLEAN_DATA!D139&lt;&gt;"--","US",IF(ISBLANK(MAIN!E139), "--", IF(ISNUMBER(MATCH(SUBSTITUTE(LEFT(MAIN!E139, IFERROR(FIND(",", MAIN!E139)-1, LEN(MAIN!E139))), " ", ""), lookup_values!$E$2:$E$197, 0)), UPPER(SUBSTITUTE(LEFT(MAIN!E139, IFERROR(FIND(",", MAIN!E139)-1, LEN(MAIN!E139))), " ", "")), IF(ISNA(VLOOKUP(SUBSTITUTE(LEFT(MAIN!E139, IFERROR(FIND(",", MAIN!E139)-1, LEN(MAIN!E139))), " ", ""), lookup_values!$D$2:$E$197, 2, FALSE)), "--", VLOOKUP(SUBSTITUTE(LEFT(MAIN!E139, IFERROR(FIND(",", MAIN!E139)-1, LEN(MAIN!E139))), " ", ""), lookup_values!$D$2:$E$197, 2, FALSE)))))</f>
        <v>--</v>
      </c>
      <c r="F139" t="str">
        <f>IF(ISBLANK(MAIN!F139), "", IF(AND(ISNUMBER(VALUE(TRIM(MAIN!F139))), LEN(TRIM(MAIN!F139))=4), VALUE(TRIM(MAIN!F139)), ""))</f>
        <v/>
      </c>
      <c r="G139">
        <f>IF(ISBLANK(MAIN!G139), 0, IF(ISNUMBER(VALUE(TRIM(MAIN!G139))), VALUE(TRIM(MAIN!G139)), 0))</f>
        <v>0</v>
      </c>
      <c r="H139">
        <f>IF(ISBLANK(MAIN!H139), 0, IF(ISNUMBER(VALUE(TRIM(MAIN!H139))), VALUE(TRIM(MAIN!H139)), 0))</f>
        <v>0</v>
      </c>
      <c r="I139">
        <f>IF(ISBLANK(MAIN!I139), 0, IF(ISNUMBER(VALUE(TRIM(MAIN!I139))), VALUE(TRIM(MAIN!I139)), 0))</f>
        <v>0</v>
      </c>
      <c r="J139">
        <f>IF(ISBLANK(MAIN!J139), 0, IF(ISNUMBER(VALUE(TRIM(MAIN!J139))), VALUE(TRIM(MAIN!J139)), 0))</f>
        <v>0</v>
      </c>
      <c r="K139" cm="1">
        <f t="array" ref="K139">IFERROR(
    VALUE(
        IFERROR(
            UPPER(
                IF(MAX(IFERROR(SEARCH("WD",MAIN!G139:J139), 0))&gt;0, "WD",
                IF(MAX(IFERROR(SEARCH("NS",MAIN!G139:J139), 0))&gt;0, "NS",
                IF(MAX(IFERROR(SEARCH("NC",MAIN!G139:J139), 0))&gt;0, "NC",
                IF(MAX(IFERROR(SEARCH("DQ",MAIN!G139:J139), 0))&gt;0, "DQ",
                IF(ISNUMBER(SEARCH("WD",MAIN!K139)), "WD",
                IF(ISNUMBER(SEARCH("NS",MAIN!K139)), "NS",
                IF(ISNUMBER(SEARCH("NC",MAIN!K139)), "NC",
                IF(ISNUMBER(SEARCH("DQ",MAIN!K139)), "DQ",
                IF(ISNUMBER(SEARCH("A",MAIN!K139)), 0,
                IF(OR(MAIN!K139=0,MAIN!K139=""), 0, --TRIM(MAIN!K139)))))))))))),
            0
        )
    ),
    IFERROR(
        UPPER(
            IF(MAX(IFERROR(SEARCH("WD",MAIN!G139:J139), 0))&gt;0, "WD",
            IF(MAX(IFERROR(SEARCH("NS",MAIN!G139:J139), 0))&gt;0, "NS",
            IF(MAX(IFERROR(SEARCH("NC",MAIN!G139:J139), 0))&gt;0, "NC",
            IF(MAX(IFERROR(SEARCH("DQ",MAIN!G139:J139), 0))&gt;0, "DQ",
            IF(ISNUMBER(SEARCH("WD",MAIN!K139)), "WD",
            IF(ISNUMBER(SEARCH("NS",MAIN!K139)), "NS",
            IF(ISNUMBER(SEARCH("NC",MAIN!K139)), "NC",
            IF(ISNUMBER(SEARCH("DQ",MAIN!K139)), "DQ",
            IF(ISNUMBER(SEARCH("A",MAIN!K139)), 0,
            IF(OR(MAIN!K139=0,MAIN!K139=""), 0, --TRIM(MAIN!K139)))))))))))),
        0
    )
)</f>
        <v>0</v>
      </c>
    </row>
    <row r="140" spans="1:11" x14ac:dyDescent="0.25">
      <c r="A140" t="str">
        <f>IF(ISBLANK(MAIN!A140), "--", IFERROR(PROPER(SUBSTITUTE(SUBSTITUTE(SUBSTITUTE(SUBSTITUTE(SUBSTITUTE(SUBSTITUTE(SUBSTITUTE(SUBSTITUTE(SUBSTITUTE(SUBSTITUTE(LEFT(MAIN!A140, FIND(",",MAIN!A140) -1), "0", ""), "1", ""), "2", ""), "3", ""), "4", ""), "5", ""), "6", ""), "7", ""), "8", ""), "9", "")), PROPER(SUBSTITUTE(SUBSTITUTE(SUBSTITUTE(SUBSTITUTE(SUBSTITUTE(SUBSTITUTE(SUBSTITUTE(SUBSTITUTE(SUBSTITUTE(SUBSTITUTE(MAIN!A140, "0", ""), "1", ""), "2", ""), "3", ""), "4", ""), "5", ""), "6", ""), "7", ""), "8", ""), "9", ""))))</f>
        <v>--</v>
      </c>
      <c r="B140" t="str">
        <f>IF(ISBLANK(MAIN!B140), "--", IFERROR(PROPER(SUBSTITUTE(SUBSTITUTE(SUBSTITUTE(SUBSTITUTE(SUBSTITUTE(SUBSTITUTE(SUBSTITUTE(SUBSTITUTE(SUBSTITUTE(SUBSTITUTE(LEFT(MAIN!B140, FIND(",",MAIN!B140) -1), "0", ""), "1", ""), "2", ""), "3", ""), "4", ""), "5", ""), "6", ""), "7", ""), "8", ""), "9", "")), PROPER(SUBSTITUTE(SUBSTITUTE(SUBSTITUTE(SUBSTITUTE(SUBSTITUTE(SUBSTITUTE(SUBSTITUTE(SUBSTITUTE(SUBSTITUTE(SUBSTITUTE(MAIN!B140, "0", ""), "1", ""), "2", ""), "3", ""), "4", ""), "5", ""), "6", ""), "7", ""), "8", ""), "9", ""))))</f>
        <v>--</v>
      </c>
      <c r="C140" t="str">
        <f>IF(ISBLANK(MAIN!C140), "--", IFERROR(PROPER(SUBSTITUTE(SUBSTITUTE(SUBSTITUTE(SUBSTITUTE(SUBSTITUTE(SUBSTITUTE(SUBSTITUTE(SUBSTITUTE(SUBSTITUTE(SUBSTITUTE(LEFT(MAIN!C140, FIND(",",MAIN!C140) -1), "0", ""), "1", ""), "2", ""), "3", ""), "4", ""), "5", ""), "6", ""), "7", ""), "8", ""), "9", "")), PROPER(SUBSTITUTE(SUBSTITUTE(SUBSTITUTE(SUBSTITUTE(SUBSTITUTE(SUBSTITUTE(SUBSTITUTE(SUBSTITUTE(SUBSTITUTE(SUBSTITUTE(MAIN!C140, "0", ""), "1", ""), "2", ""), "3", ""), "4", ""), "5", ""), "6", ""), "7", ""), "8", ""), "9", ""))))</f>
        <v>--</v>
      </c>
      <c r="D140" t="str">
        <f>IF(ISBLANK(MAIN!D140), "--", IF(ISNUMBER(MATCH(SUBSTITUTE(LEFT(MAIN!D140, IFERROR(FIND(",", MAIN!D140)-1, LEN(MAIN!D140))), " ", ""), lookup_values!$B$2:$B$51, 0)), UPPER(SUBSTITUTE(LEFT(MAIN!D140, IFERROR(FIND(",", MAIN!D140)-1, LEN(MAIN!D140))), " ", "")), IF(ISNA(VLOOKUP(SUBSTITUTE(LEFT(MAIN!D140, IFERROR(FIND(",", MAIN!D140)-1, LEN(MAIN!D140))), " ", ""), lookup_values!$A$2:$B$51, 2, FALSE)), "--", VLOOKUP(SUBSTITUTE(LEFT(MAIN!D140, IFERROR(FIND(",", MAIN!D140)-1, LEN(MAIN!D140))), " ", ""), lookup_values!$A$2:$B$51, 2, FALSE))))</f>
        <v>--</v>
      </c>
      <c r="E140" t="str">
        <f>IF(CLEAN_DATA!D140&lt;&gt;"--","US",IF(ISBLANK(MAIN!E140), "--", IF(ISNUMBER(MATCH(SUBSTITUTE(LEFT(MAIN!E140, IFERROR(FIND(",", MAIN!E140)-1, LEN(MAIN!E140))), " ", ""), lookup_values!$E$2:$E$197, 0)), UPPER(SUBSTITUTE(LEFT(MAIN!E140, IFERROR(FIND(",", MAIN!E140)-1, LEN(MAIN!E140))), " ", "")), IF(ISNA(VLOOKUP(SUBSTITUTE(LEFT(MAIN!E140, IFERROR(FIND(",", MAIN!E140)-1, LEN(MAIN!E140))), " ", ""), lookup_values!$D$2:$E$197, 2, FALSE)), "--", VLOOKUP(SUBSTITUTE(LEFT(MAIN!E140, IFERROR(FIND(",", MAIN!E140)-1, LEN(MAIN!E140))), " ", ""), lookup_values!$D$2:$E$197, 2, FALSE)))))</f>
        <v>--</v>
      </c>
      <c r="F140" t="str">
        <f>IF(ISBLANK(MAIN!F140), "", IF(AND(ISNUMBER(VALUE(TRIM(MAIN!F140))), LEN(TRIM(MAIN!F140))=4), VALUE(TRIM(MAIN!F140)), ""))</f>
        <v/>
      </c>
      <c r="G140">
        <f>IF(ISBLANK(MAIN!G140), 0, IF(ISNUMBER(VALUE(TRIM(MAIN!G140))), VALUE(TRIM(MAIN!G140)), 0))</f>
        <v>0</v>
      </c>
      <c r="H140">
        <f>IF(ISBLANK(MAIN!H140), 0, IF(ISNUMBER(VALUE(TRIM(MAIN!H140))), VALUE(TRIM(MAIN!H140)), 0))</f>
        <v>0</v>
      </c>
      <c r="I140">
        <f>IF(ISBLANK(MAIN!I140), 0, IF(ISNUMBER(VALUE(TRIM(MAIN!I140))), VALUE(TRIM(MAIN!I140)), 0))</f>
        <v>0</v>
      </c>
      <c r="J140">
        <f>IF(ISBLANK(MAIN!J140), 0, IF(ISNUMBER(VALUE(TRIM(MAIN!J140))), VALUE(TRIM(MAIN!J140)), 0))</f>
        <v>0</v>
      </c>
      <c r="K140" cm="1">
        <f t="array" ref="K140">IFERROR(
    VALUE(
        IFERROR(
            UPPER(
                IF(MAX(IFERROR(SEARCH("WD",MAIN!G140:J140), 0))&gt;0, "WD",
                IF(MAX(IFERROR(SEARCH("NS",MAIN!G140:J140), 0))&gt;0, "NS",
                IF(MAX(IFERROR(SEARCH("NC",MAIN!G140:J140), 0))&gt;0, "NC",
                IF(MAX(IFERROR(SEARCH("DQ",MAIN!G140:J140), 0))&gt;0, "DQ",
                IF(ISNUMBER(SEARCH("WD",MAIN!K140)), "WD",
                IF(ISNUMBER(SEARCH("NS",MAIN!K140)), "NS",
                IF(ISNUMBER(SEARCH("NC",MAIN!K140)), "NC",
                IF(ISNUMBER(SEARCH("DQ",MAIN!K140)), "DQ",
                IF(ISNUMBER(SEARCH("A",MAIN!K140)), 0,
                IF(OR(MAIN!K140=0,MAIN!K140=""), 0, --TRIM(MAIN!K140)))))))))))),
            0
        )
    ),
    IFERROR(
        UPPER(
            IF(MAX(IFERROR(SEARCH("WD",MAIN!G140:J140), 0))&gt;0, "WD",
            IF(MAX(IFERROR(SEARCH("NS",MAIN!G140:J140), 0))&gt;0, "NS",
            IF(MAX(IFERROR(SEARCH("NC",MAIN!G140:J140), 0))&gt;0, "NC",
            IF(MAX(IFERROR(SEARCH("DQ",MAIN!G140:J140), 0))&gt;0, "DQ",
            IF(ISNUMBER(SEARCH("WD",MAIN!K140)), "WD",
            IF(ISNUMBER(SEARCH("NS",MAIN!K140)), "NS",
            IF(ISNUMBER(SEARCH("NC",MAIN!K140)), "NC",
            IF(ISNUMBER(SEARCH("DQ",MAIN!K140)), "DQ",
            IF(ISNUMBER(SEARCH("A",MAIN!K140)), 0,
            IF(OR(MAIN!K140=0,MAIN!K140=""), 0, --TRIM(MAIN!K140)))))))))))),
        0
    )
)</f>
        <v>0</v>
      </c>
    </row>
    <row r="141" spans="1:11" x14ac:dyDescent="0.25">
      <c r="A141" t="str">
        <f>IF(ISBLANK(MAIN!A141), "--", IFERROR(PROPER(SUBSTITUTE(SUBSTITUTE(SUBSTITUTE(SUBSTITUTE(SUBSTITUTE(SUBSTITUTE(SUBSTITUTE(SUBSTITUTE(SUBSTITUTE(SUBSTITUTE(LEFT(MAIN!A141, FIND(",",MAIN!A141) -1), "0", ""), "1", ""), "2", ""), "3", ""), "4", ""), "5", ""), "6", ""), "7", ""), "8", ""), "9", "")), PROPER(SUBSTITUTE(SUBSTITUTE(SUBSTITUTE(SUBSTITUTE(SUBSTITUTE(SUBSTITUTE(SUBSTITUTE(SUBSTITUTE(SUBSTITUTE(SUBSTITUTE(MAIN!A141, "0", ""), "1", ""), "2", ""), "3", ""), "4", ""), "5", ""), "6", ""), "7", ""), "8", ""), "9", ""))))</f>
        <v>--</v>
      </c>
      <c r="B141" t="str">
        <f>IF(ISBLANK(MAIN!B141), "--", IFERROR(PROPER(SUBSTITUTE(SUBSTITUTE(SUBSTITUTE(SUBSTITUTE(SUBSTITUTE(SUBSTITUTE(SUBSTITUTE(SUBSTITUTE(SUBSTITUTE(SUBSTITUTE(LEFT(MAIN!B141, FIND(",",MAIN!B141) -1), "0", ""), "1", ""), "2", ""), "3", ""), "4", ""), "5", ""), "6", ""), "7", ""), "8", ""), "9", "")), PROPER(SUBSTITUTE(SUBSTITUTE(SUBSTITUTE(SUBSTITUTE(SUBSTITUTE(SUBSTITUTE(SUBSTITUTE(SUBSTITUTE(SUBSTITUTE(SUBSTITUTE(MAIN!B141, "0", ""), "1", ""), "2", ""), "3", ""), "4", ""), "5", ""), "6", ""), "7", ""), "8", ""), "9", ""))))</f>
        <v>--</v>
      </c>
      <c r="C141" t="str">
        <f>IF(ISBLANK(MAIN!C141), "--", IFERROR(PROPER(SUBSTITUTE(SUBSTITUTE(SUBSTITUTE(SUBSTITUTE(SUBSTITUTE(SUBSTITUTE(SUBSTITUTE(SUBSTITUTE(SUBSTITUTE(SUBSTITUTE(LEFT(MAIN!C141, FIND(",",MAIN!C141) -1), "0", ""), "1", ""), "2", ""), "3", ""), "4", ""), "5", ""), "6", ""), "7", ""), "8", ""), "9", "")), PROPER(SUBSTITUTE(SUBSTITUTE(SUBSTITUTE(SUBSTITUTE(SUBSTITUTE(SUBSTITUTE(SUBSTITUTE(SUBSTITUTE(SUBSTITUTE(SUBSTITUTE(MAIN!C141, "0", ""), "1", ""), "2", ""), "3", ""), "4", ""), "5", ""), "6", ""), "7", ""), "8", ""), "9", ""))))</f>
        <v>--</v>
      </c>
      <c r="D141" t="str">
        <f>IF(ISBLANK(MAIN!D141), "--", IF(ISNUMBER(MATCH(SUBSTITUTE(LEFT(MAIN!D141, IFERROR(FIND(",", MAIN!D141)-1, LEN(MAIN!D141))), " ", ""), lookup_values!$B$2:$B$51, 0)), UPPER(SUBSTITUTE(LEFT(MAIN!D141, IFERROR(FIND(",", MAIN!D141)-1, LEN(MAIN!D141))), " ", "")), IF(ISNA(VLOOKUP(SUBSTITUTE(LEFT(MAIN!D141, IFERROR(FIND(",", MAIN!D141)-1, LEN(MAIN!D141))), " ", ""), lookup_values!$A$2:$B$51, 2, FALSE)), "--", VLOOKUP(SUBSTITUTE(LEFT(MAIN!D141, IFERROR(FIND(",", MAIN!D141)-1, LEN(MAIN!D141))), " ", ""), lookup_values!$A$2:$B$51, 2, FALSE))))</f>
        <v>--</v>
      </c>
      <c r="E141" t="str">
        <f>IF(CLEAN_DATA!D141&lt;&gt;"--","US",IF(ISBLANK(MAIN!E141), "--", IF(ISNUMBER(MATCH(SUBSTITUTE(LEFT(MAIN!E141, IFERROR(FIND(",", MAIN!E141)-1, LEN(MAIN!E141))), " ", ""), lookup_values!$E$2:$E$197, 0)), UPPER(SUBSTITUTE(LEFT(MAIN!E141, IFERROR(FIND(",", MAIN!E141)-1, LEN(MAIN!E141))), " ", "")), IF(ISNA(VLOOKUP(SUBSTITUTE(LEFT(MAIN!E141, IFERROR(FIND(",", MAIN!E141)-1, LEN(MAIN!E141))), " ", ""), lookup_values!$D$2:$E$197, 2, FALSE)), "--", VLOOKUP(SUBSTITUTE(LEFT(MAIN!E141, IFERROR(FIND(",", MAIN!E141)-1, LEN(MAIN!E141))), " ", ""), lookup_values!$D$2:$E$197, 2, FALSE)))))</f>
        <v>--</v>
      </c>
      <c r="F141" t="str">
        <f>IF(ISBLANK(MAIN!F141), "", IF(AND(ISNUMBER(VALUE(TRIM(MAIN!F141))), LEN(TRIM(MAIN!F141))=4), VALUE(TRIM(MAIN!F141)), ""))</f>
        <v/>
      </c>
      <c r="G141">
        <f>IF(ISBLANK(MAIN!G141), 0, IF(ISNUMBER(VALUE(TRIM(MAIN!G141))), VALUE(TRIM(MAIN!G141)), 0))</f>
        <v>0</v>
      </c>
      <c r="H141">
        <f>IF(ISBLANK(MAIN!H141), 0, IF(ISNUMBER(VALUE(TRIM(MAIN!H141))), VALUE(TRIM(MAIN!H141)), 0))</f>
        <v>0</v>
      </c>
      <c r="I141">
        <f>IF(ISBLANK(MAIN!I141), 0, IF(ISNUMBER(VALUE(TRIM(MAIN!I141))), VALUE(TRIM(MAIN!I141)), 0))</f>
        <v>0</v>
      </c>
      <c r="J141">
        <f>IF(ISBLANK(MAIN!J141), 0, IF(ISNUMBER(VALUE(TRIM(MAIN!J141))), VALUE(TRIM(MAIN!J141)), 0))</f>
        <v>0</v>
      </c>
      <c r="K141" cm="1">
        <f t="array" ref="K141">IFERROR(
    VALUE(
        IFERROR(
            UPPER(
                IF(MAX(IFERROR(SEARCH("WD",MAIN!G141:J141), 0))&gt;0, "WD",
                IF(MAX(IFERROR(SEARCH("NS",MAIN!G141:J141), 0))&gt;0, "NS",
                IF(MAX(IFERROR(SEARCH("NC",MAIN!G141:J141), 0))&gt;0, "NC",
                IF(MAX(IFERROR(SEARCH("DQ",MAIN!G141:J141), 0))&gt;0, "DQ",
                IF(ISNUMBER(SEARCH("WD",MAIN!K141)), "WD",
                IF(ISNUMBER(SEARCH("NS",MAIN!K141)), "NS",
                IF(ISNUMBER(SEARCH("NC",MAIN!K141)), "NC",
                IF(ISNUMBER(SEARCH("DQ",MAIN!K141)), "DQ",
                IF(ISNUMBER(SEARCH("A",MAIN!K141)), 0,
                IF(OR(MAIN!K141=0,MAIN!K141=""), 0, --TRIM(MAIN!K141)))))))))))),
            0
        )
    ),
    IFERROR(
        UPPER(
            IF(MAX(IFERROR(SEARCH("WD",MAIN!G141:J141), 0))&gt;0, "WD",
            IF(MAX(IFERROR(SEARCH("NS",MAIN!G141:J141), 0))&gt;0, "NS",
            IF(MAX(IFERROR(SEARCH("NC",MAIN!G141:J141), 0))&gt;0, "NC",
            IF(MAX(IFERROR(SEARCH("DQ",MAIN!G141:J141), 0))&gt;0, "DQ",
            IF(ISNUMBER(SEARCH("WD",MAIN!K141)), "WD",
            IF(ISNUMBER(SEARCH("NS",MAIN!K141)), "NS",
            IF(ISNUMBER(SEARCH("NC",MAIN!K141)), "NC",
            IF(ISNUMBER(SEARCH("DQ",MAIN!K141)), "DQ",
            IF(ISNUMBER(SEARCH("A",MAIN!K141)), 0,
            IF(OR(MAIN!K141=0,MAIN!K141=""), 0, --TRIM(MAIN!K141)))))))))))),
        0
    )
)</f>
        <v>0</v>
      </c>
    </row>
    <row r="142" spans="1:11" x14ac:dyDescent="0.25">
      <c r="A142" t="str">
        <f>IF(ISBLANK(MAIN!A142), "--", IFERROR(PROPER(SUBSTITUTE(SUBSTITUTE(SUBSTITUTE(SUBSTITUTE(SUBSTITUTE(SUBSTITUTE(SUBSTITUTE(SUBSTITUTE(SUBSTITUTE(SUBSTITUTE(LEFT(MAIN!A142, FIND(",",MAIN!A142) -1), "0", ""), "1", ""), "2", ""), "3", ""), "4", ""), "5", ""), "6", ""), "7", ""), "8", ""), "9", "")), PROPER(SUBSTITUTE(SUBSTITUTE(SUBSTITUTE(SUBSTITUTE(SUBSTITUTE(SUBSTITUTE(SUBSTITUTE(SUBSTITUTE(SUBSTITUTE(SUBSTITUTE(MAIN!A142, "0", ""), "1", ""), "2", ""), "3", ""), "4", ""), "5", ""), "6", ""), "7", ""), "8", ""), "9", ""))))</f>
        <v>--</v>
      </c>
      <c r="B142" t="str">
        <f>IF(ISBLANK(MAIN!B142), "--", IFERROR(PROPER(SUBSTITUTE(SUBSTITUTE(SUBSTITUTE(SUBSTITUTE(SUBSTITUTE(SUBSTITUTE(SUBSTITUTE(SUBSTITUTE(SUBSTITUTE(SUBSTITUTE(LEFT(MAIN!B142, FIND(",",MAIN!B142) -1), "0", ""), "1", ""), "2", ""), "3", ""), "4", ""), "5", ""), "6", ""), "7", ""), "8", ""), "9", "")), PROPER(SUBSTITUTE(SUBSTITUTE(SUBSTITUTE(SUBSTITUTE(SUBSTITUTE(SUBSTITUTE(SUBSTITUTE(SUBSTITUTE(SUBSTITUTE(SUBSTITUTE(MAIN!B142, "0", ""), "1", ""), "2", ""), "3", ""), "4", ""), "5", ""), "6", ""), "7", ""), "8", ""), "9", ""))))</f>
        <v>--</v>
      </c>
      <c r="C142" t="str">
        <f>IF(ISBLANK(MAIN!C142), "--", IFERROR(PROPER(SUBSTITUTE(SUBSTITUTE(SUBSTITUTE(SUBSTITUTE(SUBSTITUTE(SUBSTITUTE(SUBSTITUTE(SUBSTITUTE(SUBSTITUTE(SUBSTITUTE(LEFT(MAIN!C142, FIND(",",MAIN!C142) -1), "0", ""), "1", ""), "2", ""), "3", ""), "4", ""), "5", ""), "6", ""), "7", ""), "8", ""), "9", "")), PROPER(SUBSTITUTE(SUBSTITUTE(SUBSTITUTE(SUBSTITUTE(SUBSTITUTE(SUBSTITUTE(SUBSTITUTE(SUBSTITUTE(SUBSTITUTE(SUBSTITUTE(MAIN!C142, "0", ""), "1", ""), "2", ""), "3", ""), "4", ""), "5", ""), "6", ""), "7", ""), "8", ""), "9", ""))))</f>
        <v>--</v>
      </c>
      <c r="D142" t="str">
        <f>IF(ISBLANK(MAIN!D142), "--", IF(ISNUMBER(MATCH(SUBSTITUTE(LEFT(MAIN!D142, IFERROR(FIND(",", MAIN!D142)-1, LEN(MAIN!D142))), " ", ""), lookup_values!$B$2:$B$51, 0)), UPPER(SUBSTITUTE(LEFT(MAIN!D142, IFERROR(FIND(",", MAIN!D142)-1, LEN(MAIN!D142))), " ", "")), IF(ISNA(VLOOKUP(SUBSTITUTE(LEFT(MAIN!D142, IFERROR(FIND(",", MAIN!D142)-1, LEN(MAIN!D142))), " ", ""), lookup_values!$A$2:$B$51, 2, FALSE)), "--", VLOOKUP(SUBSTITUTE(LEFT(MAIN!D142, IFERROR(FIND(",", MAIN!D142)-1, LEN(MAIN!D142))), " ", ""), lookup_values!$A$2:$B$51, 2, FALSE))))</f>
        <v>--</v>
      </c>
      <c r="E142" t="str">
        <f>IF(CLEAN_DATA!D142&lt;&gt;"--","US",IF(ISBLANK(MAIN!E142), "--", IF(ISNUMBER(MATCH(SUBSTITUTE(LEFT(MAIN!E142, IFERROR(FIND(",", MAIN!E142)-1, LEN(MAIN!E142))), " ", ""), lookup_values!$E$2:$E$197, 0)), UPPER(SUBSTITUTE(LEFT(MAIN!E142, IFERROR(FIND(",", MAIN!E142)-1, LEN(MAIN!E142))), " ", "")), IF(ISNA(VLOOKUP(SUBSTITUTE(LEFT(MAIN!E142, IFERROR(FIND(",", MAIN!E142)-1, LEN(MAIN!E142))), " ", ""), lookup_values!$D$2:$E$197, 2, FALSE)), "--", VLOOKUP(SUBSTITUTE(LEFT(MAIN!E142, IFERROR(FIND(",", MAIN!E142)-1, LEN(MAIN!E142))), " ", ""), lookup_values!$D$2:$E$197, 2, FALSE)))))</f>
        <v>--</v>
      </c>
      <c r="F142" t="str">
        <f>IF(ISBLANK(MAIN!F142), "", IF(AND(ISNUMBER(VALUE(TRIM(MAIN!F142))), LEN(TRIM(MAIN!F142))=4), VALUE(TRIM(MAIN!F142)), ""))</f>
        <v/>
      </c>
      <c r="G142">
        <f>IF(ISBLANK(MAIN!G142), 0, IF(ISNUMBER(VALUE(TRIM(MAIN!G142))), VALUE(TRIM(MAIN!G142)), 0))</f>
        <v>0</v>
      </c>
      <c r="H142">
        <f>IF(ISBLANK(MAIN!H142), 0, IF(ISNUMBER(VALUE(TRIM(MAIN!H142))), VALUE(TRIM(MAIN!H142)), 0))</f>
        <v>0</v>
      </c>
      <c r="I142">
        <f>IF(ISBLANK(MAIN!I142), 0, IF(ISNUMBER(VALUE(TRIM(MAIN!I142))), VALUE(TRIM(MAIN!I142)), 0))</f>
        <v>0</v>
      </c>
      <c r="J142">
        <f>IF(ISBLANK(MAIN!J142), 0, IF(ISNUMBER(VALUE(TRIM(MAIN!J142))), VALUE(TRIM(MAIN!J142)), 0))</f>
        <v>0</v>
      </c>
      <c r="K142" cm="1">
        <f t="array" ref="K142">IFERROR(
    VALUE(
        IFERROR(
            UPPER(
                IF(MAX(IFERROR(SEARCH("WD",MAIN!G142:J142), 0))&gt;0, "WD",
                IF(MAX(IFERROR(SEARCH("NS",MAIN!G142:J142), 0))&gt;0, "NS",
                IF(MAX(IFERROR(SEARCH("NC",MAIN!G142:J142), 0))&gt;0, "NC",
                IF(MAX(IFERROR(SEARCH("DQ",MAIN!G142:J142), 0))&gt;0, "DQ",
                IF(ISNUMBER(SEARCH("WD",MAIN!K142)), "WD",
                IF(ISNUMBER(SEARCH("NS",MAIN!K142)), "NS",
                IF(ISNUMBER(SEARCH("NC",MAIN!K142)), "NC",
                IF(ISNUMBER(SEARCH("DQ",MAIN!K142)), "DQ",
                IF(ISNUMBER(SEARCH("A",MAIN!K142)), 0,
                IF(OR(MAIN!K142=0,MAIN!K142=""), 0, --TRIM(MAIN!K142)))))))))))),
            0
        )
    ),
    IFERROR(
        UPPER(
            IF(MAX(IFERROR(SEARCH("WD",MAIN!G142:J142), 0))&gt;0, "WD",
            IF(MAX(IFERROR(SEARCH("NS",MAIN!G142:J142), 0))&gt;0, "NS",
            IF(MAX(IFERROR(SEARCH("NC",MAIN!G142:J142), 0))&gt;0, "NC",
            IF(MAX(IFERROR(SEARCH("DQ",MAIN!G142:J142), 0))&gt;0, "DQ",
            IF(ISNUMBER(SEARCH("WD",MAIN!K142)), "WD",
            IF(ISNUMBER(SEARCH("NS",MAIN!K142)), "NS",
            IF(ISNUMBER(SEARCH("NC",MAIN!K142)), "NC",
            IF(ISNUMBER(SEARCH("DQ",MAIN!K142)), "DQ",
            IF(ISNUMBER(SEARCH("A",MAIN!K142)), 0,
            IF(OR(MAIN!K142=0,MAIN!K142=""), 0, --TRIM(MAIN!K142)))))))))))),
        0
    )
)</f>
        <v>0</v>
      </c>
    </row>
    <row r="143" spans="1:11" x14ac:dyDescent="0.25">
      <c r="A143" t="str">
        <f>IF(ISBLANK(MAIN!A143), "--", IFERROR(PROPER(SUBSTITUTE(SUBSTITUTE(SUBSTITUTE(SUBSTITUTE(SUBSTITUTE(SUBSTITUTE(SUBSTITUTE(SUBSTITUTE(SUBSTITUTE(SUBSTITUTE(LEFT(MAIN!A143, FIND(",",MAIN!A143) -1), "0", ""), "1", ""), "2", ""), "3", ""), "4", ""), "5", ""), "6", ""), "7", ""), "8", ""), "9", "")), PROPER(SUBSTITUTE(SUBSTITUTE(SUBSTITUTE(SUBSTITUTE(SUBSTITUTE(SUBSTITUTE(SUBSTITUTE(SUBSTITUTE(SUBSTITUTE(SUBSTITUTE(MAIN!A143, "0", ""), "1", ""), "2", ""), "3", ""), "4", ""), "5", ""), "6", ""), "7", ""), "8", ""), "9", ""))))</f>
        <v>--</v>
      </c>
      <c r="B143" t="str">
        <f>IF(ISBLANK(MAIN!B143), "--", IFERROR(PROPER(SUBSTITUTE(SUBSTITUTE(SUBSTITUTE(SUBSTITUTE(SUBSTITUTE(SUBSTITUTE(SUBSTITUTE(SUBSTITUTE(SUBSTITUTE(SUBSTITUTE(LEFT(MAIN!B143, FIND(",",MAIN!B143) -1), "0", ""), "1", ""), "2", ""), "3", ""), "4", ""), "5", ""), "6", ""), "7", ""), "8", ""), "9", "")), PROPER(SUBSTITUTE(SUBSTITUTE(SUBSTITUTE(SUBSTITUTE(SUBSTITUTE(SUBSTITUTE(SUBSTITUTE(SUBSTITUTE(SUBSTITUTE(SUBSTITUTE(MAIN!B143, "0", ""), "1", ""), "2", ""), "3", ""), "4", ""), "5", ""), "6", ""), "7", ""), "8", ""), "9", ""))))</f>
        <v>--</v>
      </c>
      <c r="C143" t="str">
        <f>IF(ISBLANK(MAIN!C143), "--", IFERROR(PROPER(SUBSTITUTE(SUBSTITUTE(SUBSTITUTE(SUBSTITUTE(SUBSTITUTE(SUBSTITUTE(SUBSTITUTE(SUBSTITUTE(SUBSTITUTE(SUBSTITUTE(LEFT(MAIN!C143, FIND(",",MAIN!C143) -1), "0", ""), "1", ""), "2", ""), "3", ""), "4", ""), "5", ""), "6", ""), "7", ""), "8", ""), "9", "")), PROPER(SUBSTITUTE(SUBSTITUTE(SUBSTITUTE(SUBSTITUTE(SUBSTITUTE(SUBSTITUTE(SUBSTITUTE(SUBSTITUTE(SUBSTITUTE(SUBSTITUTE(MAIN!C143, "0", ""), "1", ""), "2", ""), "3", ""), "4", ""), "5", ""), "6", ""), "7", ""), "8", ""), "9", ""))))</f>
        <v>--</v>
      </c>
      <c r="D143" t="str">
        <f>IF(ISBLANK(MAIN!D143), "--", IF(ISNUMBER(MATCH(SUBSTITUTE(LEFT(MAIN!D143, IFERROR(FIND(",", MAIN!D143)-1, LEN(MAIN!D143))), " ", ""), lookup_values!$B$2:$B$51, 0)), UPPER(SUBSTITUTE(LEFT(MAIN!D143, IFERROR(FIND(",", MAIN!D143)-1, LEN(MAIN!D143))), " ", "")), IF(ISNA(VLOOKUP(SUBSTITUTE(LEFT(MAIN!D143, IFERROR(FIND(",", MAIN!D143)-1, LEN(MAIN!D143))), " ", ""), lookup_values!$A$2:$B$51, 2, FALSE)), "--", VLOOKUP(SUBSTITUTE(LEFT(MAIN!D143, IFERROR(FIND(",", MAIN!D143)-1, LEN(MAIN!D143))), " ", ""), lookup_values!$A$2:$B$51, 2, FALSE))))</f>
        <v>--</v>
      </c>
      <c r="E143" t="str">
        <f>IF(CLEAN_DATA!D143&lt;&gt;"--","US",IF(ISBLANK(MAIN!E143), "--", IF(ISNUMBER(MATCH(SUBSTITUTE(LEFT(MAIN!E143, IFERROR(FIND(",", MAIN!E143)-1, LEN(MAIN!E143))), " ", ""), lookup_values!$E$2:$E$197, 0)), UPPER(SUBSTITUTE(LEFT(MAIN!E143, IFERROR(FIND(",", MAIN!E143)-1, LEN(MAIN!E143))), " ", "")), IF(ISNA(VLOOKUP(SUBSTITUTE(LEFT(MAIN!E143, IFERROR(FIND(",", MAIN!E143)-1, LEN(MAIN!E143))), " ", ""), lookup_values!$D$2:$E$197, 2, FALSE)), "--", VLOOKUP(SUBSTITUTE(LEFT(MAIN!E143, IFERROR(FIND(",", MAIN!E143)-1, LEN(MAIN!E143))), " ", ""), lookup_values!$D$2:$E$197, 2, FALSE)))))</f>
        <v>--</v>
      </c>
      <c r="F143" t="str">
        <f>IF(ISBLANK(MAIN!F143), "", IF(AND(ISNUMBER(VALUE(TRIM(MAIN!F143))), LEN(TRIM(MAIN!F143))=4), VALUE(TRIM(MAIN!F143)), ""))</f>
        <v/>
      </c>
      <c r="G143">
        <f>IF(ISBLANK(MAIN!G143), 0, IF(ISNUMBER(VALUE(TRIM(MAIN!G143))), VALUE(TRIM(MAIN!G143)), 0))</f>
        <v>0</v>
      </c>
      <c r="H143">
        <f>IF(ISBLANK(MAIN!H143), 0, IF(ISNUMBER(VALUE(TRIM(MAIN!H143))), VALUE(TRIM(MAIN!H143)), 0))</f>
        <v>0</v>
      </c>
      <c r="I143">
        <f>IF(ISBLANK(MAIN!I143), 0, IF(ISNUMBER(VALUE(TRIM(MAIN!I143))), VALUE(TRIM(MAIN!I143)), 0))</f>
        <v>0</v>
      </c>
      <c r="J143">
        <f>IF(ISBLANK(MAIN!J143), 0, IF(ISNUMBER(VALUE(TRIM(MAIN!J143))), VALUE(TRIM(MAIN!J143)), 0))</f>
        <v>0</v>
      </c>
      <c r="K143" cm="1">
        <f t="array" ref="K143">IFERROR(
    VALUE(
        IFERROR(
            UPPER(
                IF(MAX(IFERROR(SEARCH("WD",MAIN!G143:J143), 0))&gt;0, "WD",
                IF(MAX(IFERROR(SEARCH("NS",MAIN!G143:J143), 0))&gt;0, "NS",
                IF(MAX(IFERROR(SEARCH("NC",MAIN!G143:J143), 0))&gt;0, "NC",
                IF(MAX(IFERROR(SEARCH("DQ",MAIN!G143:J143), 0))&gt;0, "DQ",
                IF(ISNUMBER(SEARCH("WD",MAIN!K143)), "WD",
                IF(ISNUMBER(SEARCH("NS",MAIN!K143)), "NS",
                IF(ISNUMBER(SEARCH("NC",MAIN!K143)), "NC",
                IF(ISNUMBER(SEARCH("DQ",MAIN!K143)), "DQ",
                IF(ISNUMBER(SEARCH("A",MAIN!K143)), 0,
                IF(OR(MAIN!K143=0,MAIN!K143=""), 0, --TRIM(MAIN!K143)))))))))))),
            0
        )
    ),
    IFERROR(
        UPPER(
            IF(MAX(IFERROR(SEARCH("WD",MAIN!G143:J143), 0))&gt;0, "WD",
            IF(MAX(IFERROR(SEARCH("NS",MAIN!G143:J143), 0))&gt;0, "NS",
            IF(MAX(IFERROR(SEARCH("NC",MAIN!G143:J143), 0))&gt;0, "NC",
            IF(MAX(IFERROR(SEARCH("DQ",MAIN!G143:J143), 0))&gt;0, "DQ",
            IF(ISNUMBER(SEARCH("WD",MAIN!K143)), "WD",
            IF(ISNUMBER(SEARCH("NS",MAIN!K143)), "NS",
            IF(ISNUMBER(SEARCH("NC",MAIN!K143)), "NC",
            IF(ISNUMBER(SEARCH("DQ",MAIN!K143)), "DQ",
            IF(ISNUMBER(SEARCH("A",MAIN!K143)), 0,
            IF(OR(MAIN!K143=0,MAIN!K143=""), 0, --TRIM(MAIN!K143)))))))))))),
        0
    )
)</f>
        <v>0</v>
      </c>
    </row>
    <row r="144" spans="1:11" x14ac:dyDescent="0.25">
      <c r="A144" t="str">
        <f>IF(ISBLANK(MAIN!A144), "--", IFERROR(PROPER(SUBSTITUTE(SUBSTITUTE(SUBSTITUTE(SUBSTITUTE(SUBSTITUTE(SUBSTITUTE(SUBSTITUTE(SUBSTITUTE(SUBSTITUTE(SUBSTITUTE(LEFT(MAIN!A144, FIND(",",MAIN!A144) -1), "0", ""), "1", ""), "2", ""), "3", ""), "4", ""), "5", ""), "6", ""), "7", ""), "8", ""), "9", "")), PROPER(SUBSTITUTE(SUBSTITUTE(SUBSTITUTE(SUBSTITUTE(SUBSTITUTE(SUBSTITUTE(SUBSTITUTE(SUBSTITUTE(SUBSTITUTE(SUBSTITUTE(MAIN!A144, "0", ""), "1", ""), "2", ""), "3", ""), "4", ""), "5", ""), "6", ""), "7", ""), "8", ""), "9", ""))))</f>
        <v>--</v>
      </c>
      <c r="B144" t="str">
        <f>IF(ISBLANK(MAIN!B144), "--", IFERROR(PROPER(SUBSTITUTE(SUBSTITUTE(SUBSTITUTE(SUBSTITUTE(SUBSTITUTE(SUBSTITUTE(SUBSTITUTE(SUBSTITUTE(SUBSTITUTE(SUBSTITUTE(LEFT(MAIN!B144, FIND(",",MAIN!B144) -1), "0", ""), "1", ""), "2", ""), "3", ""), "4", ""), "5", ""), "6", ""), "7", ""), "8", ""), "9", "")), PROPER(SUBSTITUTE(SUBSTITUTE(SUBSTITUTE(SUBSTITUTE(SUBSTITUTE(SUBSTITUTE(SUBSTITUTE(SUBSTITUTE(SUBSTITUTE(SUBSTITUTE(MAIN!B144, "0", ""), "1", ""), "2", ""), "3", ""), "4", ""), "5", ""), "6", ""), "7", ""), "8", ""), "9", ""))))</f>
        <v>--</v>
      </c>
      <c r="C144" t="str">
        <f>IF(ISBLANK(MAIN!C144), "--", IFERROR(PROPER(SUBSTITUTE(SUBSTITUTE(SUBSTITUTE(SUBSTITUTE(SUBSTITUTE(SUBSTITUTE(SUBSTITUTE(SUBSTITUTE(SUBSTITUTE(SUBSTITUTE(LEFT(MAIN!C144, FIND(",",MAIN!C144) -1), "0", ""), "1", ""), "2", ""), "3", ""), "4", ""), "5", ""), "6", ""), "7", ""), "8", ""), "9", "")), PROPER(SUBSTITUTE(SUBSTITUTE(SUBSTITUTE(SUBSTITUTE(SUBSTITUTE(SUBSTITUTE(SUBSTITUTE(SUBSTITUTE(SUBSTITUTE(SUBSTITUTE(MAIN!C144, "0", ""), "1", ""), "2", ""), "3", ""), "4", ""), "5", ""), "6", ""), "7", ""), "8", ""), "9", ""))))</f>
        <v>--</v>
      </c>
      <c r="D144" t="str">
        <f>IF(ISBLANK(MAIN!D144), "--", IF(ISNUMBER(MATCH(SUBSTITUTE(LEFT(MAIN!D144, IFERROR(FIND(",", MAIN!D144)-1, LEN(MAIN!D144))), " ", ""), lookup_values!$B$2:$B$51, 0)), UPPER(SUBSTITUTE(LEFT(MAIN!D144, IFERROR(FIND(",", MAIN!D144)-1, LEN(MAIN!D144))), " ", "")), IF(ISNA(VLOOKUP(SUBSTITUTE(LEFT(MAIN!D144, IFERROR(FIND(",", MAIN!D144)-1, LEN(MAIN!D144))), " ", ""), lookup_values!$A$2:$B$51, 2, FALSE)), "--", VLOOKUP(SUBSTITUTE(LEFT(MAIN!D144, IFERROR(FIND(",", MAIN!D144)-1, LEN(MAIN!D144))), " ", ""), lookup_values!$A$2:$B$51, 2, FALSE))))</f>
        <v>--</v>
      </c>
      <c r="E144" t="str">
        <f>IF(CLEAN_DATA!D144&lt;&gt;"--","US",IF(ISBLANK(MAIN!E144), "--", IF(ISNUMBER(MATCH(SUBSTITUTE(LEFT(MAIN!E144, IFERROR(FIND(",", MAIN!E144)-1, LEN(MAIN!E144))), " ", ""), lookup_values!$E$2:$E$197, 0)), UPPER(SUBSTITUTE(LEFT(MAIN!E144, IFERROR(FIND(",", MAIN!E144)-1, LEN(MAIN!E144))), " ", "")), IF(ISNA(VLOOKUP(SUBSTITUTE(LEFT(MAIN!E144, IFERROR(FIND(",", MAIN!E144)-1, LEN(MAIN!E144))), " ", ""), lookup_values!$D$2:$E$197, 2, FALSE)), "--", VLOOKUP(SUBSTITUTE(LEFT(MAIN!E144, IFERROR(FIND(",", MAIN!E144)-1, LEN(MAIN!E144))), " ", ""), lookup_values!$D$2:$E$197, 2, FALSE)))))</f>
        <v>--</v>
      </c>
      <c r="F144" t="str">
        <f>IF(ISBLANK(MAIN!F144), "", IF(AND(ISNUMBER(VALUE(TRIM(MAIN!F144))), LEN(TRIM(MAIN!F144))=4), VALUE(TRIM(MAIN!F144)), ""))</f>
        <v/>
      </c>
      <c r="G144">
        <f>IF(ISBLANK(MAIN!G144), 0, IF(ISNUMBER(VALUE(TRIM(MAIN!G144))), VALUE(TRIM(MAIN!G144)), 0))</f>
        <v>0</v>
      </c>
      <c r="H144">
        <f>IF(ISBLANK(MAIN!H144), 0, IF(ISNUMBER(VALUE(TRIM(MAIN!H144))), VALUE(TRIM(MAIN!H144)), 0))</f>
        <v>0</v>
      </c>
      <c r="I144">
        <f>IF(ISBLANK(MAIN!I144), 0, IF(ISNUMBER(VALUE(TRIM(MAIN!I144))), VALUE(TRIM(MAIN!I144)), 0))</f>
        <v>0</v>
      </c>
      <c r="J144">
        <f>IF(ISBLANK(MAIN!J144), 0, IF(ISNUMBER(VALUE(TRIM(MAIN!J144))), VALUE(TRIM(MAIN!J144)), 0))</f>
        <v>0</v>
      </c>
      <c r="K144" cm="1">
        <f t="array" ref="K144">IFERROR(
    VALUE(
        IFERROR(
            UPPER(
                IF(MAX(IFERROR(SEARCH("WD",MAIN!G144:J144), 0))&gt;0, "WD",
                IF(MAX(IFERROR(SEARCH("NS",MAIN!G144:J144), 0))&gt;0, "NS",
                IF(MAX(IFERROR(SEARCH("NC",MAIN!G144:J144), 0))&gt;0, "NC",
                IF(MAX(IFERROR(SEARCH("DQ",MAIN!G144:J144), 0))&gt;0, "DQ",
                IF(ISNUMBER(SEARCH("WD",MAIN!K144)), "WD",
                IF(ISNUMBER(SEARCH("NS",MAIN!K144)), "NS",
                IF(ISNUMBER(SEARCH("NC",MAIN!K144)), "NC",
                IF(ISNUMBER(SEARCH("DQ",MAIN!K144)), "DQ",
                IF(ISNUMBER(SEARCH("A",MAIN!K144)), 0,
                IF(OR(MAIN!K144=0,MAIN!K144=""), 0, --TRIM(MAIN!K144)))))))))))),
            0
        )
    ),
    IFERROR(
        UPPER(
            IF(MAX(IFERROR(SEARCH("WD",MAIN!G144:J144), 0))&gt;0, "WD",
            IF(MAX(IFERROR(SEARCH("NS",MAIN!G144:J144), 0))&gt;0, "NS",
            IF(MAX(IFERROR(SEARCH("NC",MAIN!G144:J144), 0))&gt;0, "NC",
            IF(MAX(IFERROR(SEARCH("DQ",MAIN!G144:J144), 0))&gt;0, "DQ",
            IF(ISNUMBER(SEARCH("WD",MAIN!K144)), "WD",
            IF(ISNUMBER(SEARCH("NS",MAIN!K144)), "NS",
            IF(ISNUMBER(SEARCH("NC",MAIN!K144)), "NC",
            IF(ISNUMBER(SEARCH("DQ",MAIN!K144)), "DQ",
            IF(ISNUMBER(SEARCH("A",MAIN!K144)), 0,
            IF(OR(MAIN!K144=0,MAIN!K144=""), 0, --TRIM(MAIN!K144)))))))))))),
        0
    )
)</f>
        <v>0</v>
      </c>
    </row>
    <row r="145" spans="1:11" x14ac:dyDescent="0.25">
      <c r="A145" t="str">
        <f>IF(ISBLANK(MAIN!A145), "--", IFERROR(PROPER(SUBSTITUTE(SUBSTITUTE(SUBSTITUTE(SUBSTITUTE(SUBSTITUTE(SUBSTITUTE(SUBSTITUTE(SUBSTITUTE(SUBSTITUTE(SUBSTITUTE(LEFT(MAIN!A145, FIND(",",MAIN!A145) -1), "0", ""), "1", ""), "2", ""), "3", ""), "4", ""), "5", ""), "6", ""), "7", ""), "8", ""), "9", "")), PROPER(SUBSTITUTE(SUBSTITUTE(SUBSTITUTE(SUBSTITUTE(SUBSTITUTE(SUBSTITUTE(SUBSTITUTE(SUBSTITUTE(SUBSTITUTE(SUBSTITUTE(MAIN!A145, "0", ""), "1", ""), "2", ""), "3", ""), "4", ""), "5", ""), "6", ""), "7", ""), "8", ""), "9", ""))))</f>
        <v>--</v>
      </c>
      <c r="B145" t="str">
        <f>IF(ISBLANK(MAIN!B145), "--", IFERROR(PROPER(SUBSTITUTE(SUBSTITUTE(SUBSTITUTE(SUBSTITUTE(SUBSTITUTE(SUBSTITUTE(SUBSTITUTE(SUBSTITUTE(SUBSTITUTE(SUBSTITUTE(LEFT(MAIN!B145, FIND(",",MAIN!B145) -1), "0", ""), "1", ""), "2", ""), "3", ""), "4", ""), "5", ""), "6", ""), "7", ""), "8", ""), "9", "")), PROPER(SUBSTITUTE(SUBSTITUTE(SUBSTITUTE(SUBSTITUTE(SUBSTITUTE(SUBSTITUTE(SUBSTITUTE(SUBSTITUTE(SUBSTITUTE(SUBSTITUTE(MAIN!B145, "0", ""), "1", ""), "2", ""), "3", ""), "4", ""), "5", ""), "6", ""), "7", ""), "8", ""), "9", ""))))</f>
        <v>--</v>
      </c>
      <c r="C145" t="str">
        <f>IF(ISBLANK(MAIN!C145), "--", IFERROR(PROPER(SUBSTITUTE(SUBSTITUTE(SUBSTITUTE(SUBSTITUTE(SUBSTITUTE(SUBSTITUTE(SUBSTITUTE(SUBSTITUTE(SUBSTITUTE(SUBSTITUTE(LEFT(MAIN!C145, FIND(",",MAIN!C145) -1), "0", ""), "1", ""), "2", ""), "3", ""), "4", ""), "5", ""), "6", ""), "7", ""), "8", ""), "9", "")), PROPER(SUBSTITUTE(SUBSTITUTE(SUBSTITUTE(SUBSTITUTE(SUBSTITUTE(SUBSTITUTE(SUBSTITUTE(SUBSTITUTE(SUBSTITUTE(SUBSTITUTE(MAIN!C145, "0", ""), "1", ""), "2", ""), "3", ""), "4", ""), "5", ""), "6", ""), "7", ""), "8", ""), "9", ""))))</f>
        <v>--</v>
      </c>
      <c r="D145" t="str">
        <f>IF(ISBLANK(MAIN!D145), "--", IF(ISNUMBER(MATCH(SUBSTITUTE(LEFT(MAIN!D145, IFERROR(FIND(",", MAIN!D145)-1, LEN(MAIN!D145))), " ", ""), lookup_values!$B$2:$B$51, 0)), UPPER(SUBSTITUTE(LEFT(MAIN!D145, IFERROR(FIND(",", MAIN!D145)-1, LEN(MAIN!D145))), " ", "")), IF(ISNA(VLOOKUP(SUBSTITUTE(LEFT(MAIN!D145, IFERROR(FIND(",", MAIN!D145)-1, LEN(MAIN!D145))), " ", ""), lookup_values!$A$2:$B$51, 2, FALSE)), "--", VLOOKUP(SUBSTITUTE(LEFT(MAIN!D145, IFERROR(FIND(",", MAIN!D145)-1, LEN(MAIN!D145))), " ", ""), lookup_values!$A$2:$B$51, 2, FALSE))))</f>
        <v>--</v>
      </c>
      <c r="E145" t="str">
        <f>IF(CLEAN_DATA!D145&lt;&gt;"--","US",IF(ISBLANK(MAIN!E145), "--", IF(ISNUMBER(MATCH(SUBSTITUTE(LEFT(MAIN!E145, IFERROR(FIND(",", MAIN!E145)-1, LEN(MAIN!E145))), " ", ""), lookup_values!$E$2:$E$197, 0)), UPPER(SUBSTITUTE(LEFT(MAIN!E145, IFERROR(FIND(",", MAIN!E145)-1, LEN(MAIN!E145))), " ", "")), IF(ISNA(VLOOKUP(SUBSTITUTE(LEFT(MAIN!E145, IFERROR(FIND(",", MAIN!E145)-1, LEN(MAIN!E145))), " ", ""), lookup_values!$D$2:$E$197, 2, FALSE)), "--", VLOOKUP(SUBSTITUTE(LEFT(MAIN!E145, IFERROR(FIND(",", MAIN!E145)-1, LEN(MAIN!E145))), " ", ""), lookup_values!$D$2:$E$197, 2, FALSE)))))</f>
        <v>--</v>
      </c>
      <c r="F145" t="str">
        <f>IF(ISBLANK(MAIN!F145), "", IF(AND(ISNUMBER(VALUE(TRIM(MAIN!F145))), LEN(TRIM(MAIN!F145))=4), VALUE(TRIM(MAIN!F145)), ""))</f>
        <v/>
      </c>
      <c r="G145">
        <f>IF(ISBLANK(MAIN!G145), 0, IF(ISNUMBER(VALUE(TRIM(MAIN!G145))), VALUE(TRIM(MAIN!G145)), 0))</f>
        <v>0</v>
      </c>
      <c r="H145">
        <f>IF(ISBLANK(MAIN!H145), 0, IF(ISNUMBER(VALUE(TRIM(MAIN!H145))), VALUE(TRIM(MAIN!H145)), 0))</f>
        <v>0</v>
      </c>
      <c r="I145">
        <f>IF(ISBLANK(MAIN!I145), 0, IF(ISNUMBER(VALUE(TRIM(MAIN!I145))), VALUE(TRIM(MAIN!I145)), 0))</f>
        <v>0</v>
      </c>
      <c r="J145">
        <f>IF(ISBLANK(MAIN!J145), 0, IF(ISNUMBER(VALUE(TRIM(MAIN!J145))), VALUE(TRIM(MAIN!J145)), 0))</f>
        <v>0</v>
      </c>
      <c r="K145" cm="1">
        <f t="array" ref="K145">IFERROR(
    VALUE(
        IFERROR(
            UPPER(
                IF(MAX(IFERROR(SEARCH("WD",MAIN!G145:J145), 0))&gt;0, "WD",
                IF(MAX(IFERROR(SEARCH("NS",MAIN!G145:J145), 0))&gt;0, "NS",
                IF(MAX(IFERROR(SEARCH("NC",MAIN!G145:J145), 0))&gt;0, "NC",
                IF(MAX(IFERROR(SEARCH("DQ",MAIN!G145:J145), 0))&gt;0, "DQ",
                IF(ISNUMBER(SEARCH("WD",MAIN!K145)), "WD",
                IF(ISNUMBER(SEARCH("NS",MAIN!K145)), "NS",
                IF(ISNUMBER(SEARCH("NC",MAIN!K145)), "NC",
                IF(ISNUMBER(SEARCH("DQ",MAIN!K145)), "DQ",
                IF(ISNUMBER(SEARCH("A",MAIN!K145)), 0,
                IF(OR(MAIN!K145=0,MAIN!K145=""), 0, --TRIM(MAIN!K145)))))))))))),
            0
        )
    ),
    IFERROR(
        UPPER(
            IF(MAX(IFERROR(SEARCH("WD",MAIN!G145:J145), 0))&gt;0, "WD",
            IF(MAX(IFERROR(SEARCH("NS",MAIN!G145:J145), 0))&gt;0, "NS",
            IF(MAX(IFERROR(SEARCH("NC",MAIN!G145:J145), 0))&gt;0, "NC",
            IF(MAX(IFERROR(SEARCH("DQ",MAIN!G145:J145), 0))&gt;0, "DQ",
            IF(ISNUMBER(SEARCH("WD",MAIN!K145)), "WD",
            IF(ISNUMBER(SEARCH("NS",MAIN!K145)), "NS",
            IF(ISNUMBER(SEARCH("NC",MAIN!K145)), "NC",
            IF(ISNUMBER(SEARCH("DQ",MAIN!K145)), "DQ",
            IF(ISNUMBER(SEARCH("A",MAIN!K145)), 0,
            IF(OR(MAIN!K145=0,MAIN!K145=""), 0, --TRIM(MAIN!K145)))))))))))),
        0
    )
)</f>
        <v>0</v>
      </c>
    </row>
    <row r="146" spans="1:11" x14ac:dyDescent="0.25">
      <c r="A146" t="str">
        <f>IF(ISBLANK(MAIN!A146), "--", IFERROR(PROPER(SUBSTITUTE(SUBSTITUTE(SUBSTITUTE(SUBSTITUTE(SUBSTITUTE(SUBSTITUTE(SUBSTITUTE(SUBSTITUTE(SUBSTITUTE(SUBSTITUTE(LEFT(MAIN!A146, FIND(",",MAIN!A146) -1), "0", ""), "1", ""), "2", ""), "3", ""), "4", ""), "5", ""), "6", ""), "7", ""), "8", ""), "9", "")), PROPER(SUBSTITUTE(SUBSTITUTE(SUBSTITUTE(SUBSTITUTE(SUBSTITUTE(SUBSTITUTE(SUBSTITUTE(SUBSTITUTE(SUBSTITUTE(SUBSTITUTE(MAIN!A146, "0", ""), "1", ""), "2", ""), "3", ""), "4", ""), "5", ""), "6", ""), "7", ""), "8", ""), "9", ""))))</f>
        <v>--</v>
      </c>
      <c r="B146" t="str">
        <f>IF(ISBLANK(MAIN!B146), "--", IFERROR(PROPER(SUBSTITUTE(SUBSTITUTE(SUBSTITUTE(SUBSTITUTE(SUBSTITUTE(SUBSTITUTE(SUBSTITUTE(SUBSTITUTE(SUBSTITUTE(SUBSTITUTE(LEFT(MAIN!B146, FIND(",",MAIN!B146) -1), "0", ""), "1", ""), "2", ""), "3", ""), "4", ""), "5", ""), "6", ""), "7", ""), "8", ""), "9", "")), PROPER(SUBSTITUTE(SUBSTITUTE(SUBSTITUTE(SUBSTITUTE(SUBSTITUTE(SUBSTITUTE(SUBSTITUTE(SUBSTITUTE(SUBSTITUTE(SUBSTITUTE(MAIN!B146, "0", ""), "1", ""), "2", ""), "3", ""), "4", ""), "5", ""), "6", ""), "7", ""), "8", ""), "9", ""))))</f>
        <v>--</v>
      </c>
      <c r="C146" t="str">
        <f>IF(ISBLANK(MAIN!C146), "--", IFERROR(PROPER(SUBSTITUTE(SUBSTITUTE(SUBSTITUTE(SUBSTITUTE(SUBSTITUTE(SUBSTITUTE(SUBSTITUTE(SUBSTITUTE(SUBSTITUTE(SUBSTITUTE(LEFT(MAIN!C146, FIND(",",MAIN!C146) -1), "0", ""), "1", ""), "2", ""), "3", ""), "4", ""), "5", ""), "6", ""), "7", ""), "8", ""), "9", "")), PROPER(SUBSTITUTE(SUBSTITUTE(SUBSTITUTE(SUBSTITUTE(SUBSTITUTE(SUBSTITUTE(SUBSTITUTE(SUBSTITUTE(SUBSTITUTE(SUBSTITUTE(MAIN!C146, "0", ""), "1", ""), "2", ""), "3", ""), "4", ""), "5", ""), "6", ""), "7", ""), "8", ""), "9", ""))))</f>
        <v>--</v>
      </c>
      <c r="D146" t="str">
        <f>IF(ISBLANK(MAIN!D146), "--", IF(ISNUMBER(MATCH(SUBSTITUTE(LEFT(MAIN!D146, IFERROR(FIND(",", MAIN!D146)-1, LEN(MAIN!D146))), " ", ""), lookup_values!$B$2:$B$51, 0)), UPPER(SUBSTITUTE(LEFT(MAIN!D146, IFERROR(FIND(",", MAIN!D146)-1, LEN(MAIN!D146))), " ", "")), IF(ISNA(VLOOKUP(SUBSTITUTE(LEFT(MAIN!D146, IFERROR(FIND(",", MAIN!D146)-1, LEN(MAIN!D146))), " ", ""), lookup_values!$A$2:$B$51, 2, FALSE)), "--", VLOOKUP(SUBSTITUTE(LEFT(MAIN!D146, IFERROR(FIND(",", MAIN!D146)-1, LEN(MAIN!D146))), " ", ""), lookup_values!$A$2:$B$51, 2, FALSE))))</f>
        <v>--</v>
      </c>
      <c r="E146" t="str">
        <f>IF(CLEAN_DATA!D146&lt;&gt;"--","US",IF(ISBLANK(MAIN!E146), "--", IF(ISNUMBER(MATCH(SUBSTITUTE(LEFT(MAIN!E146, IFERROR(FIND(",", MAIN!E146)-1, LEN(MAIN!E146))), " ", ""), lookup_values!$E$2:$E$197, 0)), UPPER(SUBSTITUTE(LEFT(MAIN!E146, IFERROR(FIND(",", MAIN!E146)-1, LEN(MAIN!E146))), " ", "")), IF(ISNA(VLOOKUP(SUBSTITUTE(LEFT(MAIN!E146, IFERROR(FIND(",", MAIN!E146)-1, LEN(MAIN!E146))), " ", ""), lookup_values!$D$2:$E$197, 2, FALSE)), "--", VLOOKUP(SUBSTITUTE(LEFT(MAIN!E146, IFERROR(FIND(",", MAIN!E146)-1, LEN(MAIN!E146))), " ", ""), lookup_values!$D$2:$E$197, 2, FALSE)))))</f>
        <v>--</v>
      </c>
      <c r="F146" t="str">
        <f>IF(ISBLANK(MAIN!F146), "", IF(AND(ISNUMBER(VALUE(TRIM(MAIN!F146))), LEN(TRIM(MAIN!F146))=4), VALUE(TRIM(MAIN!F146)), ""))</f>
        <v/>
      </c>
      <c r="G146">
        <f>IF(ISBLANK(MAIN!G146), 0, IF(ISNUMBER(VALUE(TRIM(MAIN!G146))), VALUE(TRIM(MAIN!G146)), 0))</f>
        <v>0</v>
      </c>
      <c r="H146">
        <f>IF(ISBLANK(MAIN!H146), 0, IF(ISNUMBER(VALUE(TRIM(MAIN!H146))), VALUE(TRIM(MAIN!H146)), 0))</f>
        <v>0</v>
      </c>
      <c r="I146">
        <f>IF(ISBLANK(MAIN!I146), 0, IF(ISNUMBER(VALUE(TRIM(MAIN!I146))), VALUE(TRIM(MAIN!I146)), 0))</f>
        <v>0</v>
      </c>
      <c r="J146">
        <f>IF(ISBLANK(MAIN!J146), 0, IF(ISNUMBER(VALUE(TRIM(MAIN!J146))), VALUE(TRIM(MAIN!J146)), 0))</f>
        <v>0</v>
      </c>
      <c r="K146" cm="1">
        <f t="array" ref="K146">IFERROR(
    VALUE(
        IFERROR(
            UPPER(
                IF(MAX(IFERROR(SEARCH("WD",MAIN!G146:J146), 0))&gt;0, "WD",
                IF(MAX(IFERROR(SEARCH("NS",MAIN!G146:J146), 0))&gt;0, "NS",
                IF(MAX(IFERROR(SEARCH("NC",MAIN!G146:J146), 0))&gt;0, "NC",
                IF(MAX(IFERROR(SEARCH("DQ",MAIN!G146:J146), 0))&gt;0, "DQ",
                IF(ISNUMBER(SEARCH("WD",MAIN!K146)), "WD",
                IF(ISNUMBER(SEARCH("NS",MAIN!K146)), "NS",
                IF(ISNUMBER(SEARCH("NC",MAIN!K146)), "NC",
                IF(ISNUMBER(SEARCH("DQ",MAIN!K146)), "DQ",
                IF(ISNUMBER(SEARCH("A",MAIN!K146)), 0,
                IF(OR(MAIN!K146=0,MAIN!K146=""), 0, --TRIM(MAIN!K146)))))))))))),
            0
        )
    ),
    IFERROR(
        UPPER(
            IF(MAX(IFERROR(SEARCH("WD",MAIN!G146:J146), 0))&gt;0, "WD",
            IF(MAX(IFERROR(SEARCH("NS",MAIN!G146:J146), 0))&gt;0, "NS",
            IF(MAX(IFERROR(SEARCH("NC",MAIN!G146:J146), 0))&gt;0, "NC",
            IF(MAX(IFERROR(SEARCH("DQ",MAIN!G146:J146), 0))&gt;0, "DQ",
            IF(ISNUMBER(SEARCH("WD",MAIN!K146)), "WD",
            IF(ISNUMBER(SEARCH("NS",MAIN!K146)), "NS",
            IF(ISNUMBER(SEARCH("NC",MAIN!K146)), "NC",
            IF(ISNUMBER(SEARCH("DQ",MAIN!K146)), "DQ",
            IF(ISNUMBER(SEARCH("A",MAIN!K146)), 0,
            IF(OR(MAIN!K146=0,MAIN!K146=""), 0, --TRIM(MAIN!K146)))))))))))),
        0
    )
)</f>
        <v>0</v>
      </c>
    </row>
    <row r="147" spans="1:11" x14ac:dyDescent="0.25">
      <c r="A147" t="str">
        <f>IF(ISBLANK(MAIN!A147), "--", IFERROR(PROPER(SUBSTITUTE(SUBSTITUTE(SUBSTITUTE(SUBSTITUTE(SUBSTITUTE(SUBSTITUTE(SUBSTITUTE(SUBSTITUTE(SUBSTITUTE(SUBSTITUTE(LEFT(MAIN!A147, FIND(",",MAIN!A147) -1), "0", ""), "1", ""), "2", ""), "3", ""), "4", ""), "5", ""), "6", ""), "7", ""), "8", ""), "9", "")), PROPER(SUBSTITUTE(SUBSTITUTE(SUBSTITUTE(SUBSTITUTE(SUBSTITUTE(SUBSTITUTE(SUBSTITUTE(SUBSTITUTE(SUBSTITUTE(SUBSTITUTE(MAIN!A147, "0", ""), "1", ""), "2", ""), "3", ""), "4", ""), "5", ""), "6", ""), "7", ""), "8", ""), "9", ""))))</f>
        <v>--</v>
      </c>
      <c r="B147" t="str">
        <f>IF(ISBLANK(MAIN!B147), "--", IFERROR(PROPER(SUBSTITUTE(SUBSTITUTE(SUBSTITUTE(SUBSTITUTE(SUBSTITUTE(SUBSTITUTE(SUBSTITUTE(SUBSTITUTE(SUBSTITUTE(SUBSTITUTE(LEFT(MAIN!B147, FIND(",",MAIN!B147) -1), "0", ""), "1", ""), "2", ""), "3", ""), "4", ""), "5", ""), "6", ""), "7", ""), "8", ""), "9", "")), PROPER(SUBSTITUTE(SUBSTITUTE(SUBSTITUTE(SUBSTITUTE(SUBSTITUTE(SUBSTITUTE(SUBSTITUTE(SUBSTITUTE(SUBSTITUTE(SUBSTITUTE(MAIN!B147, "0", ""), "1", ""), "2", ""), "3", ""), "4", ""), "5", ""), "6", ""), "7", ""), "8", ""), "9", ""))))</f>
        <v>--</v>
      </c>
      <c r="C147" t="str">
        <f>IF(ISBLANK(MAIN!C147), "--", IFERROR(PROPER(SUBSTITUTE(SUBSTITUTE(SUBSTITUTE(SUBSTITUTE(SUBSTITUTE(SUBSTITUTE(SUBSTITUTE(SUBSTITUTE(SUBSTITUTE(SUBSTITUTE(LEFT(MAIN!C147, FIND(",",MAIN!C147) -1), "0", ""), "1", ""), "2", ""), "3", ""), "4", ""), "5", ""), "6", ""), "7", ""), "8", ""), "9", "")), PROPER(SUBSTITUTE(SUBSTITUTE(SUBSTITUTE(SUBSTITUTE(SUBSTITUTE(SUBSTITUTE(SUBSTITUTE(SUBSTITUTE(SUBSTITUTE(SUBSTITUTE(MAIN!C147, "0", ""), "1", ""), "2", ""), "3", ""), "4", ""), "5", ""), "6", ""), "7", ""), "8", ""), "9", ""))))</f>
        <v>--</v>
      </c>
      <c r="D147" t="str">
        <f>IF(ISBLANK(MAIN!D147), "--", IF(ISNUMBER(MATCH(SUBSTITUTE(LEFT(MAIN!D147, IFERROR(FIND(",", MAIN!D147)-1, LEN(MAIN!D147))), " ", ""), lookup_values!$B$2:$B$51, 0)), UPPER(SUBSTITUTE(LEFT(MAIN!D147, IFERROR(FIND(",", MAIN!D147)-1, LEN(MAIN!D147))), " ", "")), IF(ISNA(VLOOKUP(SUBSTITUTE(LEFT(MAIN!D147, IFERROR(FIND(",", MAIN!D147)-1, LEN(MAIN!D147))), " ", ""), lookup_values!$A$2:$B$51, 2, FALSE)), "--", VLOOKUP(SUBSTITUTE(LEFT(MAIN!D147, IFERROR(FIND(",", MAIN!D147)-1, LEN(MAIN!D147))), " ", ""), lookup_values!$A$2:$B$51, 2, FALSE))))</f>
        <v>--</v>
      </c>
      <c r="E147" t="str">
        <f>IF(CLEAN_DATA!D147&lt;&gt;"--","US",IF(ISBLANK(MAIN!E147), "--", IF(ISNUMBER(MATCH(SUBSTITUTE(LEFT(MAIN!E147, IFERROR(FIND(",", MAIN!E147)-1, LEN(MAIN!E147))), " ", ""), lookup_values!$E$2:$E$197, 0)), UPPER(SUBSTITUTE(LEFT(MAIN!E147, IFERROR(FIND(",", MAIN!E147)-1, LEN(MAIN!E147))), " ", "")), IF(ISNA(VLOOKUP(SUBSTITUTE(LEFT(MAIN!E147, IFERROR(FIND(",", MAIN!E147)-1, LEN(MAIN!E147))), " ", ""), lookup_values!$D$2:$E$197, 2, FALSE)), "--", VLOOKUP(SUBSTITUTE(LEFT(MAIN!E147, IFERROR(FIND(",", MAIN!E147)-1, LEN(MAIN!E147))), " ", ""), lookup_values!$D$2:$E$197, 2, FALSE)))))</f>
        <v>--</v>
      </c>
      <c r="F147" t="str">
        <f>IF(ISBLANK(MAIN!F147), "", IF(AND(ISNUMBER(VALUE(TRIM(MAIN!F147))), LEN(TRIM(MAIN!F147))=4), VALUE(TRIM(MAIN!F147)), ""))</f>
        <v/>
      </c>
      <c r="G147">
        <f>IF(ISBLANK(MAIN!G147), 0, IF(ISNUMBER(VALUE(TRIM(MAIN!G147))), VALUE(TRIM(MAIN!G147)), 0))</f>
        <v>0</v>
      </c>
      <c r="H147">
        <f>IF(ISBLANK(MAIN!H147), 0, IF(ISNUMBER(VALUE(TRIM(MAIN!H147))), VALUE(TRIM(MAIN!H147)), 0))</f>
        <v>0</v>
      </c>
      <c r="I147">
        <f>IF(ISBLANK(MAIN!I147), 0, IF(ISNUMBER(VALUE(TRIM(MAIN!I147))), VALUE(TRIM(MAIN!I147)), 0))</f>
        <v>0</v>
      </c>
      <c r="J147">
        <f>IF(ISBLANK(MAIN!J147), 0, IF(ISNUMBER(VALUE(TRIM(MAIN!J147))), VALUE(TRIM(MAIN!J147)), 0))</f>
        <v>0</v>
      </c>
      <c r="K147" cm="1">
        <f t="array" ref="K147">IFERROR(
    VALUE(
        IFERROR(
            UPPER(
                IF(MAX(IFERROR(SEARCH("WD",MAIN!G147:J147), 0))&gt;0, "WD",
                IF(MAX(IFERROR(SEARCH("NS",MAIN!G147:J147), 0))&gt;0, "NS",
                IF(MAX(IFERROR(SEARCH("NC",MAIN!G147:J147), 0))&gt;0, "NC",
                IF(MAX(IFERROR(SEARCH("DQ",MAIN!G147:J147), 0))&gt;0, "DQ",
                IF(ISNUMBER(SEARCH("WD",MAIN!K147)), "WD",
                IF(ISNUMBER(SEARCH("NS",MAIN!K147)), "NS",
                IF(ISNUMBER(SEARCH("NC",MAIN!K147)), "NC",
                IF(ISNUMBER(SEARCH("DQ",MAIN!K147)), "DQ",
                IF(ISNUMBER(SEARCH("A",MAIN!K147)), 0,
                IF(OR(MAIN!K147=0,MAIN!K147=""), 0, --TRIM(MAIN!K147)))))))))))),
            0
        )
    ),
    IFERROR(
        UPPER(
            IF(MAX(IFERROR(SEARCH("WD",MAIN!G147:J147), 0))&gt;0, "WD",
            IF(MAX(IFERROR(SEARCH("NS",MAIN!G147:J147), 0))&gt;0, "NS",
            IF(MAX(IFERROR(SEARCH("NC",MAIN!G147:J147), 0))&gt;0, "NC",
            IF(MAX(IFERROR(SEARCH("DQ",MAIN!G147:J147), 0))&gt;0, "DQ",
            IF(ISNUMBER(SEARCH("WD",MAIN!K147)), "WD",
            IF(ISNUMBER(SEARCH("NS",MAIN!K147)), "NS",
            IF(ISNUMBER(SEARCH("NC",MAIN!K147)), "NC",
            IF(ISNUMBER(SEARCH("DQ",MAIN!K147)), "DQ",
            IF(ISNUMBER(SEARCH("A",MAIN!K147)), 0,
            IF(OR(MAIN!K147=0,MAIN!K147=""), 0, --TRIM(MAIN!K147)))))))))))),
        0
    )
)</f>
        <v>0</v>
      </c>
    </row>
    <row r="148" spans="1:11" x14ac:dyDescent="0.25">
      <c r="A148" t="str">
        <f>IF(ISBLANK(MAIN!A148), "--", IFERROR(PROPER(SUBSTITUTE(SUBSTITUTE(SUBSTITUTE(SUBSTITUTE(SUBSTITUTE(SUBSTITUTE(SUBSTITUTE(SUBSTITUTE(SUBSTITUTE(SUBSTITUTE(LEFT(MAIN!A148, FIND(",",MAIN!A148) -1), "0", ""), "1", ""), "2", ""), "3", ""), "4", ""), "5", ""), "6", ""), "7", ""), "8", ""), "9", "")), PROPER(SUBSTITUTE(SUBSTITUTE(SUBSTITUTE(SUBSTITUTE(SUBSTITUTE(SUBSTITUTE(SUBSTITUTE(SUBSTITUTE(SUBSTITUTE(SUBSTITUTE(MAIN!A148, "0", ""), "1", ""), "2", ""), "3", ""), "4", ""), "5", ""), "6", ""), "7", ""), "8", ""), "9", ""))))</f>
        <v>--</v>
      </c>
      <c r="B148" t="str">
        <f>IF(ISBLANK(MAIN!B148), "--", IFERROR(PROPER(SUBSTITUTE(SUBSTITUTE(SUBSTITUTE(SUBSTITUTE(SUBSTITUTE(SUBSTITUTE(SUBSTITUTE(SUBSTITUTE(SUBSTITUTE(SUBSTITUTE(LEFT(MAIN!B148, FIND(",",MAIN!B148) -1), "0", ""), "1", ""), "2", ""), "3", ""), "4", ""), "5", ""), "6", ""), "7", ""), "8", ""), "9", "")), PROPER(SUBSTITUTE(SUBSTITUTE(SUBSTITUTE(SUBSTITUTE(SUBSTITUTE(SUBSTITUTE(SUBSTITUTE(SUBSTITUTE(SUBSTITUTE(SUBSTITUTE(MAIN!B148, "0", ""), "1", ""), "2", ""), "3", ""), "4", ""), "5", ""), "6", ""), "7", ""), "8", ""), "9", ""))))</f>
        <v>--</v>
      </c>
      <c r="C148" t="str">
        <f>IF(ISBLANK(MAIN!C148), "--", IFERROR(PROPER(SUBSTITUTE(SUBSTITUTE(SUBSTITUTE(SUBSTITUTE(SUBSTITUTE(SUBSTITUTE(SUBSTITUTE(SUBSTITUTE(SUBSTITUTE(SUBSTITUTE(LEFT(MAIN!C148, FIND(",",MAIN!C148) -1), "0", ""), "1", ""), "2", ""), "3", ""), "4", ""), "5", ""), "6", ""), "7", ""), "8", ""), "9", "")), PROPER(SUBSTITUTE(SUBSTITUTE(SUBSTITUTE(SUBSTITUTE(SUBSTITUTE(SUBSTITUTE(SUBSTITUTE(SUBSTITUTE(SUBSTITUTE(SUBSTITUTE(MAIN!C148, "0", ""), "1", ""), "2", ""), "3", ""), "4", ""), "5", ""), "6", ""), "7", ""), "8", ""), "9", ""))))</f>
        <v>--</v>
      </c>
      <c r="D148" t="str">
        <f>IF(ISBLANK(MAIN!D148), "--", IF(ISNUMBER(MATCH(SUBSTITUTE(LEFT(MAIN!D148, IFERROR(FIND(",", MAIN!D148)-1, LEN(MAIN!D148))), " ", ""), lookup_values!$B$2:$B$51, 0)), UPPER(SUBSTITUTE(LEFT(MAIN!D148, IFERROR(FIND(",", MAIN!D148)-1, LEN(MAIN!D148))), " ", "")), IF(ISNA(VLOOKUP(SUBSTITUTE(LEFT(MAIN!D148, IFERROR(FIND(",", MAIN!D148)-1, LEN(MAIN!D148))), " ", ""), lookup_values!$A$2:$B$51, 2, FALSE)), "--", VLOOKUP(SUBSTITUTE(LEFT(MAIN!D148, IFERROR(FIND(",", MAIN!D148)-1, LEN(MAIN!D148))), " ", ""), lookup_values!$A$2:$B$51, 2, FALSE))))</f>
        <v>--</v>
      </c>
      <c r="E148" t="str">
        <f>IF(CLEAN_DATA!D148&lt;&gt;"--","US",IF(ISBLANK(MAIN!E148), "--", IF(ISNUMBER(MATCH(SUBSTITUTE(LEFT(MAIN!E148, IFERROR(FIND(",", MAIN!E148)-1, LEN(MAIN!E148))), " ", ""), lookup_values!$E$2:$E$197, 0)), UPPER(SUBSTITUTE(LEFT(MAIN!E148, IFERROR(FIND(",", MAIN!E148)-1, LEN(MAIN!E148))), " ", "")), IF(ISNA(VLOOKUP(SUBSTITUTE(LEFT(MAIN!E148, IFERROR(FIND(",", MAIN!E148)-1, LEN(MAIN!E148))), " ", ""), lookup_values!$D$2:$E$197, 2, FALSE)), "--", VLOOKUP(SUBSTITUTE(LEFT(MAIN!E148, IFERROR(FIND(",", MAIN!E148)-1, LEN(MAIN!E148))), " ", ""), lookup_values!$D$2:$E$197, 2, FALSE)))))</f>
        <v>--</v>
      </c>
      <c r="F148" t="str">
        <f>IF(ISBLANK(MAIN!F148), "", IF(AND(ISNUMBER(VALUE(TRIM(MAIN!F148))), LEN(TRIM(MAIN!F148))=4), VALUE(TRIM(MAIN!F148)), ""))</f>
        <v/>
      </c>
      <c r="G148">
        <f>IF(ISBLANK(MAIN!G148), 0, IF(ISNUMBER(VALUE(TRIM(MAIN!G148))), VALUE(TRIM(MAIN!G148)), 0))</f>
        <v>0</v>
      </c>
      <c r="H148">
        <f>IF(ISBLANK(MAIN!H148), 0, IF(ISNUMBER(VALUE(TRIM(MAIN!H148))), VALUE(TRIM(MAIN!H148)), 0))</f>
        <v>0</v>
      </c>
      <c r="I148">
        <f>IF(ISBLANK(MAIN!I148), 0, IF(ISNUMBER(VALUE(TRIM(MAIN!I148))), VALUE(TRIM(MAIN!I148)), 0))</f>
        <v>0</v>
      </c>
      <c r="J148">
        <f>IF(ISBLANK(MAIN!J148), 0, IF(ISNUMBER(VALUE(TRIM(MAIN!J148))), VALUE(TRIM(MAIN!J148)), 0))</f>
        <v>0</v>
      </c>
      <c r="K148" cm="1">
        <f t="array" ref="K148">IFERROR(
    VALUE(
        IFERROR(
            UPPER(
                IF(MAX(IFERROR(SEARCH("WD",MAIN!G148:J148), 0))&gt;0, "WD",
                IF(MAX(IFERROR(SEARCH("NS",MAIN!G148:J148), 0))&gt;0, "NS",
                IF(MAX(IFERROR(SEARCH("NC",MAIN!G148:J148), 0))&gt;0, "NC",
                IF(MAX(IFERROR(SEARCH("DQ",MAIN!G148:J148), 0))&gt;0, "DQ",
                IF(ISNUMBER(SEARCH("WD",MAIN!K148)), "WD",
                IF(ISNUMBER(SEARCH("NS",MAIN!K148)), "NS",
                IF(ISNUMBER(SEARCH("NC",MAIN!K148)), "NC",
                IF(ISNUMBER(SEARCH("DQ",MAIN!K148)), "DQ",
                IF(ISNUMBER(SEARCH("A",MAIN!K148)), 0,
                IF(OR(MAIN!K148=0,MAIN!K148=""), 0, --TRIM(MAIN!K148)))))))))))),
            0
        )
    ),
    IFERROR(
        UPPER(
            IF(MAX(IFERROR(SEARCH("WD",MAIN!G148:J148), 0))&gt;0, "WD",
            IF(MAX(IFERROR(SEARCH("NS",MAIN!G148:J148), 0))&gt;0, "NS",
            IF(MAX(IFERROR(SEARCH("NC",MAIN!G148:J148), 0))&gt;0, "NC",
            IF(MAX(IFERROR(SEARCH("DQ",MAIN!G148:J148), 0))&gt;0, "DQ",
            IF(ISNUMBER(SEARCH("WD",MAIN!K148)), "WD",
            IF(ISNUMBER(SEARCH("NS",MAIN!K148)), "NS",
            IF(ISNUMBER(SEARCH("NC",MAIN!K148)), "NC",
            IF(ISNUMBER(SEARCH("DQ",MAIN!K148)), "DQ",
            IF(ISNUMBER(SEARCH("A",MAIN!K148)), 0,
            IF(OR(MAIN!K148=0,MAIN!K148=""), 0, --TRIM(MAIN!K148)))))))))))),
        0
    )
)</f>
        <v>0</v>
      </c>
    </row>
    <row r="149" spans="1:11" x14ac:dyDescent="0.25">
      <c r="A149" t="str">
        <f>IF(ISBLANK(MAIN!A149), "--", IFERROR(PROPER(SUBSTITUTE(SUBSTITUTE(SUBSTITUTE(SUBSTITUTE(SUBSTITUTE(SUBSTITUTE(SUBSTITUTE(SUBSTITUTE(SUBSTITUTE(SUBSTITUTE(LEFT(MAIN!A149, FIND(",",MAIN!A149) -1), "0", ""), "1", ""), "2", ""), "3", ""), "4", ""), "5", ""), "6", ""), "7", ""), "8", ""), "9", "")), PROPER(SUBSTITUTE(SUBSTITUTE(SUBSTITUTE(SUBSTITUTE(SUBSTITUTE(SUBSTITUTE(SUBSTITUTE(SUBSTITUTE(SUBSTITUTE(SUBSTITUTE(MAIN!A149, "0", ""), "1", ""), "2", ""), "3", ""), "4", ""), "5", ""), "6", ""), "7", ""), "8", ""), "9", ""))))</f>
        <v>--</v>
      </c>
      <c r="B149" t="str">
        <f>IF(ISBLANK(MAIN!B149), "--", IFERROR(PROPER(SUBSTITUTE(SUBSTITUTE(SUBSTITUTE(SUBSTITUTE(SUBSTITUTE(SUBSTITUTE(SUBSTITUTE(SUBSTITUTE(SUBSTITUTE(SUBSTITUTE(LEFT(MAIN!B149, FIND(",",MAIN!B149) -1), "0", ""), "1", ""), "2", ""), "3", ""), "4", ""), "5", ""), "6", ""), "7", ""), "8", ""), "9", "")), PROPER(SUBSTITUTE(SUBSTITUTE(SUBSTITUTE(SUBSTITUTE(SUBSTITUTE(SUBSTITUTE(SUBSTITUTE(SUBSTITUTE(SUBSTITUTE(SUBSTITUTE(MAIN!B149, "0", ""), "1", ""), "2", ""), "3", ""), "4", ""), "5", ""), "6", ""), "7", ""), "8", ""), "9", ""))))</f>
        <v>--</v>
      </c>
      <c r="C149" t="str">
        <f>IF(ISBLANK(MAIN!C149), "--", IFERROR(PROPER(SUBSTITUTE(SUBSTITUTE(SUBSTITUTE(SUBSTITUTE(SUBSTITUTE(SUBSTITUTE(SUBSTITUTE(SUBSTITUTE(SUBSTITUTE(SUBSTITUTE(LEFT(MAIN!C149, FIND(",",MAIN!C149) -1), "0", ""), "1", ""), "2", ""), "3", ""), "4", ""), "5", ""), "6", ""), "7", ""), "8", ""), "9", "")), PROPER(SUBSTITUTE(SUBSTITUTE(SUBSTITUTE(SUBSTITUTE(SUBSTITUTE(SUBSTITUTE(SUBSTITUTE(SUBSTITUTE(SUBSTITUTE(SUBSTITUTE(MAIN!C149, "0", ""), "1", ""), "2", ""), "3", ""), "4", ""), "5", ""), "6", ""), "7", ""), "8", ""), "9", ""))))</f>
        <v>--</v>
      </c>
      <c r="D149" t="str">
        <f>IF(ISBLANK(MAIN!D149), "--", IF(ISNUMBER(MATCH(SUBSTITUTE(LEFT(MAIN!D149, IFERROR(FIND(",", MAIN!D149)-1, LEN(MAIN!D149))), " ", ""), lookup_values!$B$2:$B$51, 0)), UPPER(SUBSTITUTE(LEFT(MAIN!D149, IFERROR(FIND(",", MAIN!D149)-1, LEN(MAIN!D149))), " ", "")), IF(ISNA(VLOOKUP(SUBSTITUTE(LEFT(MAIN!D149, IFERROR(FIND(",", MAIN!D149)-1, LEN(MAIN!D149))), " ", ""), lookup_values!$A$2:$B$51, 2, FALSE)), "--", VLOOKUP(SUBSTITUTE(LEFT(MAIN!D149, IFERROR(FIND(",", MAIN!D149)-1, LEN(MAIN!D149))), " ", ""), lookup_values!$A$2:$B$51, 2, FALSE))))</f>
        <v>--</v>
      </c>
      <c r="E149" t="str">
        <f>IF(CLEAN_DATA!D149&lt;&gt;"--","US",IF(ISBLANK(MAIN!E149), "--", IF(ISNUMBER(MATCH(SUBSTITUTE(LEFT(MAIN!E149, IFERROR(FIND(",", MAIN!E149)-1, LEN(MAIN!E149))), " ", ""), lookup_values!$E$2:$E$197, 0)), UPPER(SUBSTITUTE(LEFT(MAIN!E149, IFERROR(FIND(",", MAIN!E149)-1, LEN(MAIN!E149))), " ", "")), IF(ISNA(VLOOKUP(SUBSTITUTE(LEFT(MAIN!E149, IFERROR(FIND(",", MAIN!E149)-1, LEN(MAIN!E149))), " ", ""), lookup_values!$D$2:$E$197, 2, FALSE)), "--", VLOOKUP(SUBSTITUTE(LEFT(MAIN!E149, IFERROR(FIND(",", MAIN!E149)-1, LEN(MAIN!E149))), " ", ""), lookup_values!$D$2:$E$197, 2, FALSE)))))</f>
        <v>--</v>
      </c>
      <c r="F149" t="str">
        <f>IF(ISBLANK(MAIN!F149), "", IF(AND(ISNUMBER(VALUE(TRIM(MAIN!F149))), LEN(TRIM(MAIN!F149))=4), VALUE(TRIM(MAIN!F149)), ""))</f>
        <v/>
      </c>
      <c r="G149">
        <f>IF(ISBLANK(MAIN!G149), 0, IF(ISNUMBER(VALUE(TRIM(MAIN!G149))), VALUE(TRIM(MAIN!G149)), 0))</f>
        <v>0</v>
      </c>
      <c r="H149">
        <f>IF(ISBLANK(MAIN!H149), 0, IF(ISNUMBER(VALUE(TRIM(MAIN!H149))), VALUE(TRIM(MAIN!H149)), 0))</f>
        <v>0</v>
      </c>
      <c r="I149">
        <f>IF(ISBLANK(MAIN!I149), 0, IF(ISNUMBER(VALUE(TRIM(MAIN!I149))), VALUE(TRIM(MAIN!I149)), 0))</f>
        <v>0</v>
      </c>
      <c r="J149">
        <f>IF(ISBLANK(MAIN!J149), 0, IF(ISNUMBER(VALUE(TRIM(MAIN!J149))), VALUE(TRIM(MAIN!J149)), 0))</f>
        <v>0</v>
      </c>
      <c r="K149" cm="1">
        <f t="array" ref="K149">IFERROR(
    VALUE(
        IFERROR(
            UPPER(
                IF(MAX(IFERROR(SEARCH("WD",MAIN!G149:J149), 0))&gt;0, "WD",
                IF(MAX(IFERROR(SEARCH("NS",MAIN!G149:J149), 0))&gt;0, "NS",
                IF(MAX(IFERROR(SEARCH("NC",MAIN!G149:J149), 0))&gt;0, "NC",
                IF(MAX(IFERROR(SEARCH("DQ",MAIN!G149:J149), 0))&gt;0, "DQ",
                IF(ISNUMBER(SEARCH("WD",MAIN!K149)), "WD",
                IF(ISNUMBER(SEARCH("NS",MAIN!K149)), "NS",
                IF(ISNUMBER(SEARCH("NC",MAIN!K149)), "NC",
                IF(ISNUMBER(SEARCH("DQ",MAIN!K149)), "DQ",
                IF(ISNUMBER(SEARCH("A",MAIN!K149)), 0,
                IF(OR(MAIN!K149=0,MAIN!K149=""), 0, --TRIM(MAIN!K149)))))))))))),
            0
        )
    ),
    IFERROR(
        UPPER(
            IF(MAX(IFERROR(SEARCH("WD",MAIN!G149:J149), 0))&gt;0, "WD",
            IF(MAX(IFERROR(SEARCH("NS",MAIN!G149:J149), 0))&gt;0, "NS",
            IF(MAX(IFERROR(SEARCH("NC",MAIN!G149:J149), 0))&gt;0, "NC",
            IF(MAX(IFERROR(SEARCH("DQ",MAIN!G149:J149), 0))&gt;0, "DQ",
            IF(ISNUMBER(SEARCH("WD",MAIN!K149)), "WD",
            IF(ISNUMBER(SEARCH("NS",MAIN!K149)), "NS",
            IF(ISNUMBER(SEARCH("NC",MAIN!K149)), "NC",
            IF(ISNUMBER(SEARCH("DQ",MAIN!K149)), "DQ",
            IF(ISNUMBER(SEARCH("A",MAIN!K149)), 0,
            IF(OR(MAIN!K149=0,MAIN!K149=""), 0, --TRIM(MAIN!K149)))))))))))),
        0
    )
)</f>
        <v>0</v>
      </c>
    </row>
    <row r="150" spans="1:11" x14ac:dyDescent="0.25">
      <c r="A150" t="str">
        <f>IF(ISBLANK(MAIN!A150), "--", IFERROR(PROPER(SUBSTITUTE(SUBSTITUTE(SUBSTITUTE(SUBSTITUTE(SUBSTITUTE(SUBSTITUTE(SUBSTITUTE(SUBSTITUTE(SUBSTITUTE(SUBSTITUTE(LEFT(MAIN!A150, FIND(",",MAIN!A150) -1), "0", ""), "1", ""), "2", ""), "3", ""), "4", ""), "5", ""), "6", ""), "7", ""), "8", ""), "9", "")), PROPER(SUBSTITUTE(SUBSTITUTE(SUBSTITUTE(SUBSTITUTE(SUBSTITUTE(SUBSTITUTE(SUBSTITUTE(SUBSTITUTE(SUBSTITUTE(SUBSTITUTE(MAIN!A150, "0", ""), "1", ""), "2", ""), "3", ""), "4", ""), "5", ""), "6", ""), "7", ""), "8", ""), "9", ""))))</f>
        <v>--</v>
      </c>
      <c r="B150" t="str">
        <f>IF(ISBLANK(MAIN!B150), "--", IFERROR(PROPER(SUBSTITUTE(SUBSTITUTE(SUBSTITUTE(SUBSTITUTE(SUBSTITUTE(SUBSTITUTE(SUBSTITUTE(SUBSTITUTE(SUBSTITUTE(SUBSTITUTE(LEFT(MAIN!B150, FIND(",",MAIN!B150) -1), "0", ""), "1", ""), "2", ""), "3", ""), "4", ""), "5", ""), "6", ""), "7", ""), "8", ""), "9", "")), PROPER(SUBSTITUTE(SUBSTITUTE(SUBSTITUTE(SUBSTITUTE(SUBSTITUTE(SUBSTITUTE(SUBSTITUTE(SUBSTITUTE(SUBSTITUTE(SUBSTITUTE(MAIN!B150, "0", ""), "1", ""), "2", ""), "3", ""), "4", ""), "5", ""), "6", ""), "7", ""), "8", ""), "9", ""))))</f>
        <v>--</v>
      </c>
      <c r="C150" t="str">
        <f>IF(ISBLANK(MAIN!C150), "--", IFERROR(PROPER(SUBSTITUTE(SUBSTITUTE(SUBSTITUTE(SUBSTITUTE(SUBSTITUTE(SUBSTITUTE(SUBSTITUTE(SUBSTITUTE(SUBSTITUTE(SUBSTITUTE(LEFT(MAIN!C150, FIND(",",MAIN!C150) -1), "0", ""), "1", ""), "2", ""), "3", ""), "4", ""), "5", ""), "6", ""), "7", ""), "8", ""), "9", "")), PROPER(SUBSTITUTE(SUBSTITUTE(SUBSTITUTE(SUBSTITUTE(SUBSTITUTE(SUBSTITUTE(SUBSTITUTE(SUBSTITUTE(SUBSTITUTE(SUBSTITUTE(MAIN!C150, "0", ""), "1", ""), "2", ""), "3", ""), "4", ""), "5", ""), "6", ""), "7", ""), "8", ""), "9", ""))))</f>
        <v>--</v>
      </c>
      <c r="D150" t="str">
        <f>IF(ISBLANK(MAIN!D150), "--", IF(ISNUMBER(MATCH(SUBSTITUTE(LEFT(MAIN!D150, IFERROR(FIND(",", MAIN!D150)-1, LEN(MAIN!D150))), " ", ""), lookup_values!$B$2:$B$51, 0)), UPPER(SUBSTITUTE(LEFT(MAIN!D150, IFERROR(FIND(",", MAIN!D150)-1, LEN(MAIN!D150))), " ", "")), IF(ISNA(VLOOKUP(SUBSTITUTE(LEFT(MAIN!D150, IFERROR(FIND(",", MAIN!D150)-1, LEN(MAIN!D150))), " ", ""), lookup_values!$A$2:$B$51, 2, FALSE)), "--", VLOOKUP(SUBSTITUTE(LEFT(MAIN!D150, IFERROR(FIND(",", MAIN!D150)-1, LEN(MAIN!D150))), " ", ""), lookup_values!$A$2:$B$51, 2, FALSE))))</f>
        <v>--</v>
      </c>
      <c r="E150" t="str">
        <f>IF(CLEAN_DATA!D150&lt;&gt;"--","US",IF(ISBLANK(MAIN!E150), "--", IF(ISNUMBER(MATCH(SUBSTITUTE(LEFT(MAIN!E150, IFERROR(FIND(",", MAIN!E150)-1, LEN(MAIN!E150))), " ", ""), lookup_values!$E$2:$E$197, 0)), UPPER(SUBSTITUTE(LEFT(MAIN!E150, IFERROR(FIND(",", MAIN!E150)-1, LEN(MAIN!E150))), " ", "")), IF(ISNA(VLOOKUP(SUBSTITUTE(LEFT(MAIN!E150, IFERROR(FIND(",", MAIN!E150)-1, LEN(MAIN!E150))), " ", ""), lookup_values!$D$2:$E$197, 2, FALSE)), "--", VLOOKUP(SUBSTITUTE(LEFT(MAIN!E150, IFERROR(FIND(",", MAIN!E150)-1, LEN(MAIN!E150))), " ", ""), lookup_values!$D$2:$E$197, 2, FALSE)))))</f>
        <v>--</v>
      </c>
      <c r="F150" t="str">
        <f>IF(ISBLANK(MAIN!F150), "", IF(AND(ISNUMBER(VALUE(TRIM(MAIN!F150))), LEN(TRIM(MAIN!F150))=4), VALUE(TRIM(MAIN!F150)), ""))</f>
        <v/>
      </c>
      <c r="G150">
        <f>IF(ISBLANK(MAIN!G150), 0, IF(ISNUMBER(VALUE(TRIM(MAIN!G150))), VALUE(TRIM(MAIN!G150)), 0))</f>
        <v>0</v>
      </c>
      <c r="H150">
        <f>IF(ISBLANK(MAIN!H150), 0, IF(ISNUMBER(VALUE(TRIM(MAIN!H150))), VALUE(TRIM(MAIN!H150)), 0))</f>
        <v>0</v>
      </c>
      <c r="I150">
        <f>IF(ISBLANK(MAIN!I150), 0, IF(ISNUMBER(VALUE(TRIM(MAIN!I150))), VALUE(TRIM(MAIN!I150)), 0))</f>
        <v>0</v>
      </c>
      <c r="J150">
        <f>IF(ISBLANK(MAIN!J150), 0, IF(ISNUMBER(VALUE(TRIM(MAIN!J150))), VALUE(TRIM(MAIN!J150)), 0))</f>
        <v>0</v>
      </c>
      <c r="K150" cm="1">
        <f t="array" ref="K150">IFERROR(
    VALUE(
        IFERROR(
            UPPER(
                IF(MAX(IFERROR(SEARCH("WD",MAIN!G150:J150), 0))&gt;0, "WD",
                IF(MAX(IFERROR(SEARCH("NS",MAIN!G150:J150), 0))&gt;0, "NS",
                IF(MAX(IFERROR(SEARCH("NC",MAIN!G150:J150), 0))&gt;0, "NC",
                IF(MAX(IFERROR(SEARCH("DQ",MAIN!G150:J150), 0))&gt;0, "DQ",
                IF(ISNUMBER(SEARCH("WD",MAIN!K150)), "WD",
                IF(ISNUMBER(SEARCH("NS",MAIN!K150)), "NS",
                IF(ISNUMBER(SEARCH("NC",MAIN!K150)), "NC",
                IF(ISNUMBER(SEARCH("DQ",MAIN!K150)), "DQ",
                IF(ISNUMBER(SEARCH("A",MAIN!K150)), 0,
                IF(OR(MAIN!K150=0,MAIN!K150=""), 0, --TRIM(MAIN!K150)))))))))))),
            0
        )
    ),
    IFERROR(
        UPPER(
            IF(MAX(IFERROR(SEARCH("WD",MAIN!G150:J150), 0))&gt;0, "WD",
            IF(MAX(IFERROR(SEARCH("NS",MAIN!G150:J150), 0))&gt;0, "NS",
            IF(MAX(IFERROR(SEARCH("NC",MAIN!G150:J150), 0))&gt;0, "NC",
            IF(MAX(IFERROR(SEARCH("DQ",MAIN!G150:J150), 0))&gt;0, "DQ",
            IF(ISNUMBER(SEARCH("WD",MAIN!K150)), "WD",
            IF(ISNUMBER(SEARCH("NS",MAIN!K150)), "NS",
            IF(ISNUMBER(SEARCH("NC",MAIN!K150)), "NC",
            IF(ISNUMBER(SEARCH("DQ",MAIN!K150)), "DQ",
            IF(ISNUMBER(SEARCH("A",MAIN!K150)), 0,
            IF(OR(MAIN!K150=0,MAIN!K150=""), 0, --TRIM(MAIN!K150)))))))))))),
        0
    )
)</f>
        <v>0</v>
      </c>
    </row>
    <row r="151" spans="1:11" x14ac:dyDescent="0.25">
      <c r="A151" t="str">
        <f>IF(ISBLANK(MAIN!A151), "--", IFERROR(PROPER(SUBSTITUTE(SUBSTITUTE(SUBSTITUTE(SUBSTITUTE(SUBSTITUTE(SUBSTITUTE(SUBSTITUTE(SUBSTITUTE(SUBSTITUTE(SUBSTITUTE(LEFT(MAIN!A151, FIND(",",MAIN!A151) -1), "0", ""), "1", ""), "2", ""), "3", ""), "4", ""), "5", ""), "6", ""), "7", ""), "8", ""), "9", "")), PROPER(SUBSTITUTE(SUBSTITUTE(SUBSTITUTE(SUBSTITUTE(SUBSTITUTE(SUBSTITUTE(SUBSTITUTE(SUBSTITUTE(SUBSTITUTE(SUBSTITUTE(MAIN!A151, "0", ""), "1", ""), "2", ""), "3", ""), "4", ""), "5", ""), "6", ""), "7", ""), "8", ""), "9", ""))))</f>
        <v>--</v>
      </c>
      <c r="B151" t="str">
        <f>IF(ISBLANK(MAIN!B151), "--", IFERROR(PROPER(SUBSTITUTE(SUBSTITUTE(SUBSTITUTE(SUBSTITUTE(SUBSTITUTE(SUBSTITUTE(SUBSTITUTE(SUBSTITUTE(SUBSTITUTE(SUBSTITUTE(LEFT(MAIN!B151, FIND(",",MAIN!B151) -1), "0", ""), "1", ""), "2", ""), "3", ""), "4", ""), "5", ""), "6", ""), "7", ""), "8", ""), "9", "")), PROPER(SUBSTITUTE(SUBSTITUTE(SUBSTITUTE(SUBSTITUTE(SUBSTITUTE(SUBSTITUTE(SUBSTITUTE(SUBSTITUTE(SUBSTITUTE(SUBSTITUTE(MAIN!B151, "0", ""), "1", ""), "2", ""), "3", ""), "4", ""), "5", ""), "6", ""), "7", ""), "8", ""), "9", ""))))</f>
        <v>--</v>
      </c>
      <c r="C151" t="str">
        <f>IF(ISBLANK(MAIN!C151), "--", IFERROR(PROPER(SUBSTITUTE(SUBSTITUTE(SUBSTITUTE(SUBSTITUTE(SUBSTITUTE(SUBSTITUTE(SUBSTITUTE(SUBSTITUTE(SUBSTITUTE(SUBSTITUTE(LEFT(MAIN!C151, FIND(",",MAIN!C151) -1), "0", ""), "1", ""), "2", ""), "3", ""), "4", ""), "5", ""), "6", ""), "7", ""), "8", ""), "9", "")), PROPER(SUBSTITUTE(SUBSTITUTE(SUBSTITUTE(SUBSTITUTE(SUBSTITUTE(SUBSTITUTE(SUBSTITUTE(SUBSTITUTE(SUBSTITUTE(SUBSTITUTE(MAIN!C151, "0", ""), "1", ""), "2", ""), "3", ""), "4", ""), "5", ""), "6", ""), "7", ""), "8", ""), "9", ""))))</f>
        <v>--</v>
      </c>
      <c r="D151" t="str">
        <f>IF(ISBLANK(MAIN!D151), "--", IF(ISNUMBER(MATCH(SUBSTITUTE(LEFT(MAIN!D151, IFERROR(FIND(",", MAIN!D151)-1, LEN(MAIN!D151))), " ", ""), lookup_values!$B$2:$B$51, 0)), UPPER(SUBSTITUTE(LEFT(MAIN!D151, IFERROR(FIND(",", MAIN!D151)-1, LEN(MAIN!D151))), " ", "")), IF(ISNA(VLOOKUP(SUBSTITUTE(LEFT(MAIN!D151, IFERROR(FIND(",", MAIN!D151)-1, LEN(MAIN!D151))), " ", ""), lookup_values!$A$2:$B$51, 2, FALSE)), "--", VLOOKUP(SUBSTITUTE(LEFT(MAIN!D151, IFERROR(FIND(",", MAIN!D151)-1, LEN(MAIN!D151))), " ", ""), lookup_values!$A$2:$B$51, 2, FALSE))))</f>
        <v>--</v>
      </c>
      <c r="E151" t="str">
        <f>IF(CLEAN_DATA!D151&lt;&gt;"--","US",IF(ISBLANK(MAIN!E151), "--", IF(ISNUMBER(MATCH(SUBSTITUTE(LEFT(MAIN!E151, IFERROR(FIND(",", MAIN!E151)-1, LEN(MAIN!E151))), " ", ""), lookup_values!$E$2:$E$197, 0)), UPPER(SUBSTITUTE(LEFT(MAIN!E151, IFERROR(FIND(",", MAIN!E151)-1, LEN(MAIN!E151))), " ", "")), IF(ISNA(VLOOKUP(SUBSTITUTE(LEFT(MAIN!E151, IFERROR(FIND(",", MAIN!E151)-1, LEN(MAIN!E151))), " ", ""), lookup_values!$D$2:$E$197, 2, FALSE)), "--", VLOOKUP(SUBSTITUTE(LEFT(MAIN!E151, IFERROR(FIND(",", MAIN!E151)-1, LEN(MAIN!E151))), " ", ""), lookup_values!$D$2:$E$197, 2, FALSE)))))</f>
        <v>--</v>
      </c>
      <c r="F151" t="str">
        <f>IF(ISBLANK(MAIN!F151), "", IF(AND(ISNUMBER(VALUE(TRIM(MAIN!F151))), LEN(TRIM(MAIN!F151))=4), VALUE(TRIM(MAIN!F151)), ""))</f>
        <v/>
      </c>
      <c r="G151">
        <f>IF(ISBLANK(MAIN!G151), 0, IF(ISNUMBER(VALUE(TRIM(MAIN!G151))), VALUE(TRIM(MAIN!G151)), 0))</f>
        <v>0</v>
      </c>
      <c r="H151">
        <f>IF(ISBLANK(MAIN!H151), 0, IF(ISNUMBER(VALUE(TRIM(MAIN!H151))), VALUE(TRIM(MAIN!H151)), 0))</f>
        <v>0</v>
      </c>
      <c r="I151">
        <f>IF(ISBLANK(MAIN!I151), 0, IF(ISNUMBER(VALUE(TRIM(MAIN!I151))), VALUE(TRIM(MAIN!I151)), 0))</f>
        <v>0</v>
      </c>
      <c r="J151">
        <f>IF(ISBLANK(MAIN!J151), 0, IF(ISNUMBER(VALUE(TRIM(MAIN!J151))), VALUE(TRIM(MAIN!J151)), 0))</f>
        <v>0</v>
      </c>
      <c r="K151" cm="1">
        <f t="array" ref="K151">IFERROR(
    VALUE(
        IFERROR(
            UPPER(
                IF(MAX(IFERROR(SEARCH("WD",MAIN!G151:J151), 0))&gt;0, "WD",
                IF(MAX(IFERROR(SEARCH("NS",MAIN!G151:J151), 0))&gt;0, "NS",
                IF(MAX(IFERROR(SEARCH("NC",MAIN!G151:J151), 0))&gt;0, "NC",
                IF(MAX(IFERROR(SEARCH("DQ",MAIN!G151:J151), 0))&gt;0, "DQ",
                IF(ISNUMBER(SEARCH("WD",MAIN!K151)), "WD",
                IF(ISNUMBER(SEARCH("NS",MAIN!K151)), "NS",
                IF(ISNUMBER(SEARCH("NC",MAIN!K151)), "NC",
                IF(ISNUMBER(SEARCH("DQ",MAIN!K151)), "DQ",
                IF(ISNUMBER(SEARCH("A",MAIN!K151)), 0,
                IF(OR(MAIN!K151=0,MAIN!K151=""), 0, --TRIM(MAIN!K151)))))))))))),
            0
        )
    ),
    IFERROR(
        UPPER(
            IF(MAX(IFERROR(SEARCH("WD",MAIN!G151:J151), 0))&gt;0, "WD",
            IF(MAX(IFERROR(SEARCH("NS",MAIN!G151:J151), 0))&gt;0, "NS",
            IF(MAX(IFERROR(SEARCH("NC",MAIN!G151:J151), 0))&gt;0, "NC",
            IF(MAX(IFERROR(SEARCH("DQ",MAIN!G151:J151), 0))&gt;0, "DQ",
            IF(ISNUMBER(SEARCH("WD",MAIN!K151)), "WD",
            IF(ISNUMBER(SEARCH("NS",MAIN!K151)), "NS",
            IF(ISNUMBER(SEARCH("NC",MAIN!K151)), "NC",
            IF(ISNUMBER(SEARCH("DQ",MAIN!K151)), "DQ",
            IF(ISNUMBER(SEARCH("A",MAIN!K151)), 0,
            IF(OR(MAIN!K151=0,MAIN!K151=""), 0, --TRIM(MAIN!K151)))))))))))),
        0
    )
)</f>
        <v>0</v>
      </c>
    </row>
    <row r="152" spans="1:11" x14ac:dyDescent="0.25">
      <c r="A152" t="str">
        <f>IF(ISBLANK(MAIN!A152), "--", IFERROR(PROPER(SUBSTITUTE(SUBSTITUTE(SUBSTITUTE(SUBSTITUTE(SUBSTITUTE(SUBSTITUTE(SUBSTITUTE(SUBSTITUTE(SUBSTITUTE(SUBSTITUTE(LEFT(MAIN!A152, FIND(",",MAIN!A152) -1), "0", ""), "1", ""), "2", ""), "3", ""), "4", ""), "5", ""), "6", ""), "7", ""), "8", ""), "9", "")), PROPER(SUBSTITUTE(SUBSTITUTE(SUBSTITUTE(SUBSTITUTE(SUBSTITUTE(SUBSTITUTE(SUBSTITUTE(SUBSTITUTE(SUBSTITUTE(SUBSTITUTE(MAIN!A152, "0", ""), "1", ""), "2", ""), "3", ""), "4", ""), "5", ""), "6", ""), "7", ""), "8", ""), "9", ""))))</f>
        <v>--</v>
      </c>
      <c r="B152" t="str">
        <f>IF(ISBLANK(MAIN!B152), "--", IFERROR(PROPER(SUBSTITUTE(SUBSTITUTE(SUBSTITUTE(SUBSTITUTE(SUBSTITUTE(SUBSTITUTE(SUBSTITUTE(SUBSTITUTE(SUBSTITUTE(SUBSTITUTE(LEFT(MAIN!B152, FIND(",",MAIN!B152) -1), "0", ""), "1", ""), "2", ""), "3", ""), "4", ""), "5", ""), "6", ""), "7", ""), "8", ""), "9", "")), PROPER(SUBSTITUTE(SUBSTITUTE(SUBSTITUTE(SUBSTITUTE(SUBSTITUTE(SUBSTITUTE(SUBSTITUTE(SUBSTITUTE(SUBSTITUTE(SUBSTITUTE(MAIN!B152, "0", ""), "1", ""), "2", ""), "3", ""), "4", ""), "5", ""), "6", ""), "7", ""), "8", ""), "9", ""))))</f>
        <v>--</v>
      </c>
      <c r="C152" t="str">
        <f>IF(ISBLANK(MAIN!C152), "--", IFERROR(PROPER(SUBSTITUTE(SUBSTITUTE(SUBSTITUTE(SUBSTITUTE(SUBSTITUTE(SUBSTITUTE(SUBSTITUTE(SUBSTITUTE(SUBSTITUTE(SUBSTITUTE(LEFT(MAIN!C152, FIND(",",MAIN!C152) -1), "0", ""), "1", ""), "2", ""), "3", ""), "4", ""), "5", ""), "6", ""), "7", ""), "8", ""), "9", "")), PROPER(SUBSTITUTE(SUBSTITUTE(SUBSTITUTE(SUBSTITUTE(SUBSTITUTE(SUBSTITUTE(SUBSTITUTE(SUBSTITUTE(SUBSTITUTE(SUBSTITUTE(MAIN!C152, "0", ""), "1", ""), "2", ""), "3", ""), "4", ""), "5", ""), "6", ""), "7", ""), "8", ""), "9", ""))))</f>
        <v>--</v>
      </c>
      <c r="D152" t="str">
        <f>IF(ISBLANK(MAIN!D152), "--", IF(ISNUMBER(MATCH(SUBSTITUTE(LEFT(MAIN!D152, IFERROR(FIND(",", MAIN!D152)-1, LEN(MAIN!D152))), " ", ""), lookup_values!$B$2:$B$51, 0)), UPPER(SUBSTITUTE(LEFT(MAIN!D152, IFERROR(FIND(",", MAIN!D152)-1, LEN(MAIN!D152))), " ", "")), IF(ISNA(VLOOKUP(SUBSTITUTE(LEFT(MAIN!D152, IFERROR(FIND(",", MAIN!D152)-1, LEN(MAIN!D152))), " ", ""), lookup_values!$A$2:$B$51, 2, FALSE)), "--", VLOOKUP(SUBSTITUTE(LEFT(MAIN!D152, IFERROR(FIND(",", MAIN!D152)-1, LEN(MAIN!D152))), " ", ""), lookup_values!$A$2:$B$51, 2, FALSE))))</f>
        <v>--</v>
      </c>
      <c r="E152" t="str">
        <f>IF(CLEAN_DATA!D152&lt;&gt;"--","US",IF(ISBLANK(MAIN!E152), "--", IF(ISNUMBER(MATCH(SUBSTITUTE(LEFT(MAIN!E152, IFERROR(FIND(",", MAIN!E152)-1, LEN(MAIN!E152))), " ", ""), lookup_values!$E$2:$E$197, 0)), UPPER(SUBSTITUTE(LEFT(MAIN!E152, IFERROR(FIND(",", MAIN!E152)-1, LEN(MAIN!E152))), " ", "")), IF(ISNA(VLOOKUP(SUBSTITUTE(LEFT(MAIN!E152, IFERROR(FIND(",", MAIN!E152)-1, LEN(MAIN!E152))), " ", ""), lookup_values!$D$2:$E$197, 2, FALSE)), "--", VLOOKUP(SUBSTITUTE(LEFT(MAIN!E152, IFERROR(FIND(",", MAIN!E152)-1, LEN(MAIN!E152))), " ", ""), lookup_values!$D$2:$E$197, 2, FALSE)))))</f>
        <v>--</v>
      </c>
      <c r="F152" t="str">
        <f>IF(ISBLANK(MAIN!F152), "", IF(AND(ISNUMBER(VALUE(TRIM(MAIN!F152))), LEN(TRIM(MAIN!F152))=4), VALUE(TRIM(MAIN!F152)), ""))</f>
        <v/>
      </c>
      <c r="G152">
        <f>IF(ISBLANK(MAIN!G152), 0, IF(ISNUMBER(VALUE(TRIM(MAIN!G152))), VALUE(TRIM(MAIN!G152)), 0))</f>
        <v>0</v>
      </c>
      <c r="H152">
        <f>IF(ISBLANK(MAIN!H152), 0, IF(ISNUMBER(VALUE(TRIM(MAIN!H152))), VALUE(TRIM(MAIN!H152)), 0))</f>
        <v>0</v>
      </c>
      <c r="I152">
        <f>IF(ISBLANK(MAIN!I152), 0, IF(ISNUMBER(VALUE(TRIM(MAIN!I152))), VALUE(TRIM(MAIN!I152)), 0))</f>
        <v>0</v>
      </c>
      <c r="J152">
        <f>IF(ISBLANK(MAIN!J152), 0, IF(ISNUMBER(VALUE(TRIM(MAIN!J152))), VALUE(TRIM(MAIN!J152)), 0))</f>
        <v>0</v>
      </c>
      <c r="K152" cm="1">
        <f t="array" ref="K152">IFERROR(
    VALUE(
        IFERROR(
            UPPER(
                IF(MAX(IFERROR(SEARCH("WD",MAIN!G152:J152), 0))&gt;0, "WD",
                IF(MAX(IFERROR(SEARCH("NS",MAIN!G152:J152), 0))&gt;0, "NS",
                IF(MAX(IFERROR(SEARCH("NC",MAIN!G152:J152), 0))&gt;0, "NC",
                IF(MAX(IFERROR(SEARCH("DQ",MAIN!G152:J152), 0))&gt;0, "DQ",
                IF(ISNUMBER(SEARCH("WD",MAIN!K152)), "WD",
                IF(ISNUMBER(SEARCH("NS",MAIN!K152)), "NS",
                IF(ISNUMBER(SEARCH("NC",MAIN!K152)), "NC",
                IF(ISNUMBER(SEARCH("DQ",MAIN!K152)), "DQ",
                IF(ISNUMBER(SEARCH("A",MAIN!K152)), 0,
                IF(OR(MAIN!K152=0,MAIN!K152=""), 0, --TRIM(MAIN!K152)))))))))))),
            0
        )
    ),
    IFERROR(
        UPPER(
            IF(MAX(IFERROR(SEARCH("WD",MAIN!G152:J152), 0))&gt;0, "WD",
            IF(MAX(IFERROR(SEARCH("NS",MAIN!G152:J152), 0))&gt;0, "NS",
            IF(MAX(IFERROR(SEARCH("NC",MAIN!G152:J152), 0))&gt;0, "NC",
            IF(MAX(IFERROR(SEARCH("DQ",MAIN!G152:J152), 0))&gt;0, "DQ",
            IF(ISNUMBER(SEARCH("WD",MAIN!K152)), "WD",
            IF(ISNUMBER(SEARCH("NS",MAIN!K152)), "NS",
            IF(ISNUMBER(SEARCH("NC",MAIN!K152)), "NC",
            IF(ISNUMBER(SEARCH("DQ",MAIN!K152)), "DQ",
            IF(ISNUMBER(SEARCH("A",MAIN!K152)), 0,
            IF(OR(MAIN!K152=0,MAIN!K152=""), 0, --TRIM(MAIN!K152)))))))))))),
        0
    )
)</f>
        <v>0</v>
      </c>
    </row>
    <row r="153" spans="1:11" x14ac:dyDescent="0.25">
      <c r="A153" t="str">
        <f>IF(ISBLANK(MAIN!A153), "--", IFERROR(PROPER(SUBSTITUTE(SUBSTITUTE(SUBSTITUTE(SUBSTITUTE(SUBSTITUTE(SUBSTITUTE(SUBSTITUTE(SUBSTITUTE(SUBSTITUTE(SUBSTITUTE(LEFT(MAIN!A153, FIND(",",MAIN!A153) -1), "0", ""), "1", ""), "2", ""), "3", ""), "4", ""), "5", ""), "6", ""), "7", ""), "8", ""), "9", "")), PROPER(SUBSTITUTE(SUBSTITUTE(SUBSTITUTE(SUBSTITUTE(SUBSTITUTE(SUBSTITUTE(SUBSTITUTE(SUBSTITUTE(SUBSTITUTE(SUBSTITUTE(MAIN!A153, "0", ""), "1", ""), "2", ""), "3", ""), "4", ""), "5", ""), "6", ""), "7", ""), "8", ""), "9", ""))))</f>
        <v>--</v>
      </c>
      <c r="B153" t="str">
        <f>IF(ISBLANK(MAIN!B153), "--", IFERROR(PROPER(SUBSTITUTE(SUBSTITUTE(SUBSTITUTE(SUBSTITUTE(SUBSTITUTE(SUBSTITUTE(SUBSTITUTE(SUBSTITUTE(SUBSTITUTE(SUBSTITUTE(LEFT(MAIN!B153, FIND(",",MAIN!B153) -1), "0", ""), "1", ""), "2", ""), "3", ""), "4", ""), "5", ""), "6", ""), "7", ""), "8", ""), "9", "")), PROPER(SUBSTITUTE(SUBSTITUTE(SUBSTITUTE(SUBSTITUTE(SUBSTITUTE(SUBSTITUTE(SUBSTITUTE(SUBSTITUTE(SUBSTITUTE(SUBSTITUTE(MAIN!B153, "0", ""), "1", ""), "2", ""), "3", ""), "4", ""), "5", ""), "6", ""), "7", ""), "8", ""), "9", ""))))</f>
        <v>--</v>
      </c>
      <c r="C153" t="str">
        <f>IF(ISBLANK(MAIN!C153), "--", IFERROR(PROPER(SUBSTITUTE(SUBSTITUTE(SUBSTITUTE(SUBSTITUTE(SUBSTITUTE(SUBSTITUTE(SUBSTITUTE(SUBSTITUTE(SUBSTITUTE(SUBSTITUTE(LEFT(MAIN!C153, FIND(",",MAIN!C153) -1), "0", ""), "1", ""), "2", ""), "3", ""), "4", ""), "5", ""), "6", ""), "7", ""), "8", ""), "9", "")), PROPER(SUBSTITUTE(SUBSTITUTE(SUBSTITUTE(SUBSTITUTE(SUBSTITUTE(SUBSTITUTE(SUBSTITUTE(SUBSTITUTE(SUBSTITUTE(SUBSTITUTE(MAIN!C153, "0", ""), "1", ""), "2", ""), "3", ""), "4", ""), "5", ""), "6", ""), "7", ""), "8", ""), "9", ""))))</f>
        <v>--</v>
      </c>
      <c r="D153" t="str">
        <f>IF(ISBLANK(MAIN!D153), "--", IF(ISNUMBER(MATCH(SUBSTITUTE(LEFT(MAIN!D153, IFERROR(FIND(",", MAIN!D153)-1, LEN(MAIN!D153))), " ", ""), lookup_values!$B$2:$B$51, 0)), UPPER(SUBSTITUTE(LEFT(MAIN!D153, IFERROR(FIND(",", MAIN!D153)-1, LEN(MAIN!D153))), " ", "")), IF(ISNA(VLOOKUP(SUBSTITUTE(LEFT(MAIN!D153, IFERROR(FIND(",", MAIN!D153)-1, LEN(MAIN!D153))), " ", ""), lookup_values!$A$2:$B$51, 2, FALSE)), "--", VLOOKUP(SUBSTITUTE(LEFT(MAIN!D153, IFERROR(FIND(",", MAIN!D153)-1, LEN(MAIN!D153))), " ", ""), lookup_values!$A$2:$B$51, 2, FALSE))))</f>
        <v>--</v>
      </c>
      <c r="E153" t="str">
        <f>IF(CLEAN_DATA!D153&lt;&gt;"--","US",IF(ISBLANK(MAIN!E153), "--", IF(ISNUMBER(MATCH(SUBSTITUTE(LEFT(MAIN!E153, IFERROR(FIND(",", MAIN!E153)-1, LEN(MAIN!E153))), " ", ""), lookup_values!$E$2:$E$197, 0)), UPPER(SUBSTITUTE(LEFT(MAIN!E153, IFERROR(FIND(",", MAIN!E153)-1, LEN(MAIN!E153))), " ", "")), IF(ISNA(VLOOKUP(SUBSTITUTE(LEFT(MAIN!E153, IFERROR(FIND(",", MAIN!E153)-1, LEN(MAIN!E153))), " ", ""), lookup_values!$D$2:$E$197, 2, FALSE)), "--", VLOOKUP(SUBSTITUTE(LEFT(MAIN!E153, IFERROR(FIND(",", MAIN!E153)-1, LEN(MAIN!E153))), " ", ""), lookup_values!$D$2:$E$197, 2, FALSE)))))</f>
        <v>--</v>
      </c>
      <c r="F153" t="str">
        <f>IF(ISBLANK(MAIN!F153), "", IF(AND(ISNUMBER(VALUE(TRIM(MAIN!F153))), LEN(TRIM(MAIN!F153))=4), VALUE(TRIM(MAIN!F153)), ""))</f>
        <v/>
      </c>
      <c r="G153">
        <f>IF(ISBLANK(MAIN!G153), 0, IF(ISNUMBER(VALUE(TRIM(MAIN!G153))), VALUE(TRIM(MAIN!G153)), 0))</f>
        <v>0</v>
      </c>
      <c r="H153">
        <f>IF(ISBLANK(MAIN!H153), 0, IF(ISNUMBER(VALUE(TRIM(MAIN!H153))), VALUE(TRIM(MAIN!H153)), 0))</f>
        <v>0</v>
      </c>
      <c r="I153">
        <f>IF(ISBLANK(MAIN!I153), 0, IF(ISNUMBER(VALUE(TRIM(MAIN!I153))), VALUE(TRIM(MAIN!I153)), 0))</f>
        <v>0</v>
      </c>
      <c r="J153">
        <f>IF(ISBLANK(MAIN!J153), 0, IF(ISNUMBER(VALUE(TRIM(MAIN!J153))), VALUE(TRIM(MAIN!J153)), 0))</f>
        <v>0</v>
      </c>
      <c r="K153" cm="1">
        <f t="array" ref="K153">IFERROR(
    VALUE(
        IFERROR(
            UPPER(
                IF(MAX(IFERROR(SEARCH("WD",MAIN!G153:J153), 0))&gt;0, "WD",
                IF(MAX(IFERROR(SEARCH("NS",MAIN!G153:J153), 0))&gt;0, "NS",
                IF(MAX(IFERROR(SEARCH("NC",MAIN!G153:J153), 0))&gt;0, "NC",
                IF(MAX(IFERROR(SEARCH("DQ",MAIN!G153:J153), 0))&gt;0, "DQ",
                IF(ISNUMBER(SEARCH("WD",MAIN!K153)), "WD",
                IF(ISNUMBER(SEARCH("NS",MAIN!K153)), "NS",
                IF(ISNUMBER(SEARCH("NC",MAIN!K153)), "NC",
                IF(ISNUMBER(SEARCH("DQ",MAIN!K153)), "DQ",
                IF(ISNUMBER(SEARCH("A",MAIN!K153)), 0,
                IF(OR(MAIN!K153=0,MAIN!K153=""), 0, --TRIM(MAIN!K153)))))))))))),
            0
        )
    ),
    IFERROR(
        UPPER(
            IF(MAX(IFERROR(SEARCH("WD",MAIN!G153:J153), 0))&gt;0, "WD",
            IF(MAX(IFERROR(SEARCH("NS",MAIN!G153:J153), 0))&gt;0, "NS",
            IF(MAX(IFERROR(SEARCH("NC",MAIN!G153:J153), 0))&gt;0, "NC",
            IF(MAX(IFERROR(SEARCH("DQ",MAIN!G153:J153), 0))&gt;0, "DQ",
            IF(ISNUMBER(SEARCH("WD",MAIN!K153)), "WD",
            IF(ISNUMBER(SEARCH("NS",MAIN!K153)), "NS",
            IF(ISNUMBER(SEARCH("NC",MAIN!K153)), "NC",
            IF(ISNUMBER(SEARCH("DQ",MAIN!K153)), "DQ",
            IF(ISNUMBER(SEARCH("A",MAIN!K153)), 0,
            IF(OR(MAIN!K153=0,MAIN!K153=""), 0, --TRIM(MAIN!K153)))))))))))),
        0
    )
)</f>
        <v>0</v>
      </c>
    </row>
    <row r="154" spans="1:11" x14ac:dyDescent="0.25">
      <c r="A154" t="str">
        <f>IF(ISBLANK(MAIN!A154), "--", IFERROR(PROPER(SUBSTITUTE(SUBSTITUTE(SUBSTITUTE(SUBSTITUTE(SUBSTITUTE(SUBSTITUTE(SUBSTITUTE(SUBSTITUTE(SUBSTITUTE(SUBSTITUTE(LEFT(MAIN!A154, FIND(",",MAIN!A154) -1), "0", ""), "1", ""), "2", ""), "3", ""), "4", ""), "5", ""), "6", ""), "7", ""), "8", ""), "9", "")), PROPER(SUBSTITUTE(SUBSTITUTE(SUBSTITUTE(SUBSTITUTE(SUBSTITUTE(SUBSTITUTE(SUBSTITUTE(SUBSTITUTE(SUBSTITUTE(SUBSTITUTE(MAIN!A154, "0", ""), "1", ""), "2", ""), "3", ""), "4", ""), "5", ""), "6", ""), "7", ""), "8", ""), "9", ""))))</f>
        <v>--</v>
      </c>
      <c r="B154" t="str">
        <f>IF(ISBLANK(MAIN!B154), "--", IFERROR(PROPER(SUBSTITUTE(SUBSTITUTE(SUBSTITUTE(SUBSTITUTE(SUBSTITUTE(SUBSTITUTE(SUBSTITUTE(SUBSTITUTE(SUBSTITUTE(SUBSTITUTE(LEFT(MAIN!B154, FIND(",",MAIN!B154) -1), "0", ""), "1", ""), "2", ""), "3", ""), "4", ""), "5", ""), "6", ""), "7", ""), "8", ""), "9", "")), PROPER(SUBSTITUTE(SUBSTITUTE(SUBSTITUTE(SUBSTITUTE(SUBSTITUTE(SUBSTITUTE(SUBSTITUTE(SUBSTITUTE(SUBSTITUTE(SUBSTITUTE(MAIN!B154, "0", ""), "1", ""), "2", ""), "3", ""), "4", ""), "5", ""), "6", ""), "7", ""), "8", ""), "9", ""))))</f>
        <v>--</v>
      </c>
      <c r="C154" t="str">
        <f>IF(ISBLANK(MAIN!C154), "--", IFERROR(PROPER(SUBSTITUTE(SUBSTITUTE(SUBSTITUTE(SUBSTITUTE(SUBSTITUTE(SUBSTITUTE(SUBSTITUTE(SUBSTITUTE(SUBSTITUTE(SUBSTITUTE(LEFT(MAIN!C154, FIND(",",MAIN!C154) -1), "0", ""), "1", ""), "2", ""), "3", ""), "4", ""), "5", ""), "6", ""), "7", ""), "8", ""), "9", "")), PROPER(SUBSTITUTE(SUBSTITUTE(SUBSTITUTE(SUBSTITUTE(SUBSTITUTE(SUBSTITUTE(SUBSTITUTE(SUBSTITUTE(SUBSTITUTE(SUBSTITUTE(MAIN!C154, "0", ""), "1", ""), "2", ""), "3", ""), "4", ""), "5", ""), "6", ""), "7", ""), "8", ""), "9", ""))))</f>
        <v>--</v>
      </c>
      <c r="D154" t="str">
        <f>IF(ISBLANK(MAIN!D154), "--", IF(ISNUMBER(MATCH(SUBSTITUTE(LEFT(MAIN!D154, IFERROR(FIND(",", MAIN!D154)-1, LEN(MAIN!D154))), " ", ""), lookup_values!$B$2:$B$51, 0)), UPPER(SUBSTITUTE(LEFT(MAIN!D154, IFERROR(FIND(",", MAIN!D154)-1, LEN(MAIN!D154))), " ", "")), IF(ISNA(VLOOKUP(SUBSTITUTE(LEFT(MAIN!D154, IFERROR(FIND(",", MAIN!D154)-1, LEN(MAIN!D154))), " ", ""), lookup_values!$A$2:$B$51, 2, FALSE)), "--", VLOOKUP(SUBSTITUTE(LEFT(MAIN!D154, IFERROR(FIND(",", MAIN!D154)-1, LEN(MAIN!D154))), " ", ""), lookup_values!$A$2:$B$51, 2, FALSE))))</f>
        <v>--</v>
      </c>
      <c r="E154" t="str">
        <f>IF(CLEAN_DATA!D154&lt;&gt;"--","US",IF(ISBLANK(MAIN!E154), "--", IF(ISNUMBER(MATCH(SUBSTITUTE(LEFT(MAIN!E154, IFERROR(FIND(",", MAIN!E154)-1, LEN(MAIN!E154))), " ", ""), lookup_values!$E$2:$E$197, 0)), UPPER(SUBSTITUTE(LEFT(MAIN!E154, IFERROR(FIND(",", MAIN!E154)-1, LEN(MAIN!E154))), " ", "")), IF(ISNA(VLOOKUP(SUBSTITUTE(LEFT(MAIN!E154, IFERROR(FIND(",", MAIN!E154)-1, LEN(MAIN!E154))), " ", ""), lookup_values!$D$2:$E$197, 2, FALSE)), "--", VLOOKUP(SUBSTITUTE(LEFT(MAIN!E154, IFERROR(FIND(",", MAIN!E154)-1, LEN(MAIN!E154))), " ", ""), lookup_values!$D$2:$E$197, 2, FALSE)))))</f>
        <v>--</v>
      </c>
      <c r="F154" t="str">
        <f>IF(ISBLANK(MAIN!F154), "", IF(AND(ISNUMBER(VALUE(TRIM(MAIN!F154))), LEN(TRIM(MAIN!F154))=4), VALUE(TRIM(MAIN!F154)), ""))</f>
        <v/>
      </c>
      <c r="G154">
        <f>IF(ISBLANK(MAIN!G154), 0, IF(ISNUMBER(VALUE(TRIM(MAIN!G154))), VALUE(TRIM(MAIN!G154)), 0))</f>
        <v>0</v>
      </c>
      <c r="H154">
        <f>IF(ISBLANK(MAIN!H154), 0, IF(ISNUMBER(VALUE(TRIM(MAIN!H154))), VALUE(TRIM(MAIN!H154)), 0))</f>
        <v>0</v>
      </c>
      <c r="I154">
        <f>IF(ISBLANK(MAIN!I154), 0, IF(ISNUMBER(VALUE(TRIM(MAIN!I154))), VALUE(TRIM(MAIN!I154)), 0))</f>
        <v>0</v>
      </c>
      <c r="J154">
        <f>IF(ISBLANK(MAIN!J154), 0, IF(ISNUMBER(VALUE(TRIM(MAIN!J154))), VALUE(TRIM(MAIN!J154)), 0))</f>
        <v>0</v>
      </c>
      <c r="K154" cm="1">
        <f t="array" ref="K154">IFERROR(
    VALUE(
        IFERROR(
            UPPER(
                IF(MAX(IFERROR(SEARCH("WD",MAIN!G154:J154), 0))&gt;0, "WD",
                IF(MAX(IFERROR(SEARCH("NS",MAIN!G154:J154), 0))&gt;0, "NS",
                IF(MAX(IFERROR(SEARCH("NC",MAIN!G154:J154), 0))&gt;0, "NC",
                IF(MAX(IFERROR(SEARCH("DQ",MAIN!G154:J154), 0))&gt;0, "DQ",
                IF(ISNUMBER(SEARCH("WD",MAIN!K154)), "WD",
                IF(ISNUMBER(SEARCH("NS",MAIN!K154)), "NS",
                IF(ISNUMBER(SEARCH("NC",MAIN!K154)), "NC",
                IF(ISNUMBER(SEARCH("DQ",MAIN!K154)), "DQ",
                IF(ISNUMBER(SEARCH("A",MAIN!K154)), 0,
                IF(OR(MAIN!K154=0,MAIN!K154=""), 0, --TRIM(MAIN!K154)))))))))))),
            0
        )
    ),
    IFERROR(
        UPPER(
            IF(MAX(IFERROR(SEARCH("WD",MAIN!G154:J154), 0))&gt;0, "WD",
            IF(MAX(IFERROR(SEARCH("NS",MAIN!G154:J154), 0))&gt;0, "NS",
            IF(MAX(IFERROR(SEARCH("NC",MAIN!G154:J154), 0))&gt;0, "NC",
            IF(MAX(IFERROR(SEARCH("DQ",MAIN!G154:J154), 0))&gt;0, "DQ",
            IF(ISNUMBER(SEARCH("WD",MAIN!K154)), "WD",
            IF(ISNUMBER(SEARCH("NS",MAIN!K154)), "NS",
            IF(ISNUMBER(SEARCH("NC",MAIN!K154)), "NC",
            IF(ISNUMBER(SEARCH("DQ",MAIN!K154)), "DQ",
            IF(ISNUMBER(SEARCH("A",MAIN!K154)), 0,
            IF(OR(MAIN!K154=0,MAIN!K154=""), 0, --TRIM(MAIN!K154)))))))))))),
        0
    )
)</f>
        <v>0</v>
      </c>
    </row>
    <row r="155" spans="1:11" x14ac:dyDescent="0.25">
      <c r="A155" t="str">
        <f>IF(ISBLANK(MAIN!A155), "--", IFERROR(PROPER(SUBSTITUTE(SUBSTITUTE(SUBSTITUTE(SUBSTITUTE(SUBSTITUTE(SUBSTITUTE(SUBSTITUTE(SUBSTITUTE(SUBSTITUTE(SUBSTITUTE(LEFT(MAIN!A155, FIND(",",MAIN!A155) -1), "0", ""), "1", ""), "2", ""), "3", ""), "4", ""), "5", ""), "6", ""), "7", ""), "8", ""), "9", "")), PROPER(SUBSTITUTE(SUBSTITUTE(SUBSTITUTE(SUBSTITUTE(SUBSTITUTE(SUBSTITUTE(SUBSTITUTE(SUBSTITUTE(SUBSTITUTE(SUBSTITUTE(MAIN!A155, "0", ""), "1", ""), "2", ""), "3", ""), "4", ""), "5", ""), "6", ""), "7", ""), "8", ""), "9", ""))))</f>
        <v>--</v>
      </c>
      <c r="B155" t="str">
        <f>IF(ISBLANK(MAIN!B155), "--", IFERROR(PROPER(SUBSTITUTE(SUBSTITUTE(SUBSTITUTE(SUBSTITUTE(SUBSTITUTE(SUBSTITUTE(SUBSTITUTE(SUBSTITUTE(SUBSTITUTE(SUBSTITUTE(LEFT(MAIN!B155, FIND(",",MAIN!B155) -1), "0", ""), "1", ""), "2", ""), "3", ""), "4", ""), "5", ""), "6", ""), "7", ""), "8", ""), "9", "")), PROPER(SUBSTITUTE(SUBSTITUTE(SUBSTITUTE(SUBSTITUTE(SUBSTITUTE(SUBSTITUTE(SUBSTITUTE(SUBSTITUTE(SUBSTITUTE(SUBSTITUTE(MAIN!B155, "0", ""), "1", ""), "2", ""), "3", ""), "4", ""), "5", ""), "6", ""), "7", ""), "8", ""), "9", ""))))</f>
        <v>--</v>
      </c>
      <c r="C155" t="str">
        <f>IF(ISBLANK(MAIN!C155), "--", IFERROR(PROPER(SUBSTITUTE(SUBSTITUTE(SUBSTITUTE(SUBSTITUTE(SUBSTITUTE(SUBSTITUTE(SUBSTITUTE(SUBSTITUTE(SUBSTITUTE(SUBSTITUTE(LEFT(MAIN!C155, FIND(",",MAIN!C155) -1), "0", ""), "1", ""), "2", ""), "3", ""), "4", ""), "5", ""), "6", ""), "7", ""), "8", ""), "9", "")), PROPER(SUBSTITUTE(SUBSTITUTE(SUBSTITUTE(SUBSTITUTE(SUBSTITUTE(SUBSTITUTE(SUBSTITUTE(SUBSTITUTE(SUBSTITUTE(SUBSTITUTE(MAIN!C155, "0", ""), "1", ""), "2", ""), "3", ""), "4", ""), "5", ""), "6", ""), "7", ""), "8", ""), "9", ""))))</f>
        <v>--</v>
      </c>
      <c r="D155" t="str">
        <f>IF(ISBLANK(MAIN!D155), "--", IF(ISNUMBER(MATCH(SUBSTITUTE(LEFT(MAIN!D155, IFERROR(FIND(",", MAIN!D155)-1, LEN(MAIN!D155))), " ", ""), lookup_values!$B$2:$B$51, 0)), UPPER(SUBSTITUTE(LEFT(MAIN!D155, IFERROR(FIND(",", MAIN!D155)-1, LEN(MAIN!D155))), " ", "")), IF(ISNA(VLOOKUP(SUBSTITUTE(LEFT(MAIN!D155, IFERROR(FIND(",", MAIN!D155)-1, LEN(MAIN!D155))), " ", ""), lookup_values!$A$2:$B$51, 2, FALSE)), "--", VLOOKUP(SUBSTITUTE(LEFT(MAIN!D155, IFERROR(FIND(",", MAIN!D155)-1, LEN(MAIN!D155))), " ", ""), lookup_values!$A$2:$B$51, 2, FALSE))))</f>
        <v>--</v>
      </c>
      <c r="E155" t="str">
        <f>IF(CLEAN_DATA!D155&lt;&gt;"--","US",IF(ISBLANK(MAIN!E155), "--", IF(ISNUMBER(MATCH(SUBSTITUTE(LEFT(MAIN!E155, IFERROR(FIND(",", MAIN!E155)-1, LEN(MAIN!E155))), " ", ""), lookup_values!$E$2:$E$197, 0)), UPPER(SUBSTITUTE(LEFT(MAIN!E155, IFERROR(FIND(",", MAIN!E155)-1, LEN(MAIN!E155))), " ", "")), IF(ISNA(VLOOKUP(SUBSTITUTE(LEFT(MAIN!E155, IFERROR(FIND(",", MAIN!E155)-1, LEN(MAIN!E155))), " ", ""), lookup_values!$D$2:$E$197, 2, FALSE)), "--", VLOOKUP(SUBSTITUTE(LEFT(MAIN!E155, IFERROR(FIND(",", MAIN!E155)-1, LEN(MAIN!E155))), " ", ""), lookup_values!$D$2:$E$197, 2, FALSE)))))</f>
        <v>--</v>
      </c>
      <c r="F155" t="str">
        <f>IF(ISBLANK(MAIN!F155), "", IF(AND(ISNUMBER(VALUE(TRIM(MAIN!F155))), LEN(TRIM(MAIN!F155))=4), VALUE(TRIM(MAIN!F155)), ""))</f>
        <v/>
      </c>
      <c r="G155">
        <f>IF(ISBLANK(MAIN!G155), 0, IF(ISNUMBER(VALUE(TRIM(MAIN!G155))), VALUE(TRIM(MAIN!G155)), 0))</f>
        <v>0</v>
      </c>
      <c r="H155">
        <f>IF(ISBLANK(MAIN!H155), 0, IF(ISNUMBER(VALUE(TRIM(MAIN!H155))), VALUE(TRIM(MAIN!H155)), 0))</f>
        <v>0</v>
      </c>
      <c r="I155">
        <f>IF(ISBLANK(MAIN!I155), 0, IF(ISNUMBER(VALUE(TRIM(MAIN!I155))), VALUE(TRIM(MAIN!I155)), 0))</f>
        <v>0</v>
      </c>
      <c r="J155">
        <f>IF(ISBLANK(MAIN!J155), 0, IF(ISNUMBER(VALUE(TRIM(MAIN!J155))), VALUE(TRIM(MAIN!J155)), 0))</f>
        <v>0</v>
      </c>
      <c r="K155" cm="1">
        <f t="array" ref="K155">IFERROR(
    VALUE(
        IFERROR(
            UPPER(
                IF(MAX(IFERROR(SEARCH("WD",MAIN!G155:J155), 0))&gt;0, "WD",
                IF(MAX(IFERROR(SEARCH("NS",MAIN!G155:J155), 0))&gt;0, "NS",
                IF(MAX(IFERROR(SEARCH("NC",MAIN!G155:J155), 0))&gt;0, "NC",
                IF(MAX(IFERROR(SEARCH("DQ",MAIN!G155:J155), 0))&gt;0, "DQ",
                IF(ISNUMBER(SEARCH("WD",MAIN!K155)), "WD",
                IF(ISNUMBER(SEARCH("NS",MAIN!K155)), "NS",
                IF(ISNUMBER(SEARCH("NC",MAIN!K155)), "NC",
                IF(ISNUMBER(SEARCH("DQ",MAIN!K155)), "DQ",
                IF(ISNUMBER(SEARCH("A",MAIN!K155)), 0,
                IF(OR(MAIN!K155=0,MAIN!K155=""), 0, --TRIM(MAIN!K155)))))))))))),
            0
        )
    ),
    IFERROR(
        UPPER(
            IF(MAX(IFERROR(SEARCH("WD",MAIN!G155:J155), 0))&gt;0, "WD",
            IF(MAX(IFERROR(SEARCH("NS",MAIN!G155:J155), 0))&gt;0, "NS",
            IF(MAX(IFERROR(SEARCH("NC",MAIN!G155:J155), 0))&gt;0, "NC",
            IF(MAX(IFERROR(SEARCH("DQ",MAIN!G155:J155), 0))&gt;0, "DQ",
            IF(ISNUMBER(SEARCH("WD",MAIN!K155)), "WD",
            IF(ISNUMBER(SEARCH("NS",MAIN!K155)), "NS",
            IF(ISNUMBER(SEARCH("NC",MAIN!K155)), "NC",
            IF(ISNUMBER(SEARCH("DQ",MAIN!K155)), "DQ",
            IF(ISNUMBER(SEARCH("A",MAIN!K155)), 0,
            IF(OR(MAIN!K155=0,MAIN!K155=""), 0, --TRIM(MAIN!K155)))))))))))),
        0
    )
)</f>
        <v>0</v>
      </c>
    </row>
    <row r="156" spans="1:11" x14ac:dyDescent="0.25">
      <c r="A156" t="str">
        <f>IF(ISBLANK(MAIN!A156), "--", IFERROR(PROPER(SUBSTITUTE(SUBSTITUTE(SUBSTITUTE(SUBSTITUTE(SUBSTITUTE(SUBSTITUTE(SUBSTITUTE(SUBSTITUTE(SUBSTITUTE(SUBSTITUTE(LEFT(MAIN!A156, FIND(",",MAIN!A156) -1), "0", ""), "1", ""), "2", ""), "3", ""), "4", ""), "5", ""), "6", ""), "7", ""), "8", ""), "9", "")), PROPER(SUBSTITUTE(SUBSTITUTE(SUBSTITUTE(SUBSTITUTE(SUBSTITUTE(SUBSTITUTE(SUBSTITUTE(SUBSTITUTE(SUBSTITUTE(SUBSTITUTE(MAIN!A156, "0", ""), "1", ""), "2", ""), "3", ""), "4", ""), "5", ""), "6", ""), "7", ""), "8", ""), "9", ""))))</f>
        <v>--</v>
      </c>
      <c r="B156" t="str">
        <f>IF(ISBLANK(MAIN!B156), "--", IFERROR(PROPER(SUBSTITUTE(SUBSTITUTE(SUBSTITUTE(SUBSTITUTE(SUBSTITUTE(SUBSTITUTE(SUBSTITUTE(SUBSTITUTE(SUBSTITUTE(SUBSTITUTE(LEFT(MAIN!B156, FIND(",",MAIN!B156) -1), "0", ""), "1", ""), "2", ""), "3", ""), "4", ""), "5", ""), "6", ""), "7", ""), "8", ""), "9", "")), PROPER(SUBSTITUTE(SUBSTITUTE(SUBSTITUTE(SUBSTITUTE(SUBSTITUTE(SUBSTITUTE(SUBSTITUTE(SUBSTITUTE(SUBSTITUTE(SUBSTITUTE(MAIN!B156, "0", ""), "1", ""), "2", ""), "3", ""), "4", ""), "5", ""), "6", ""), "7", ""), "8", ""), "9", ""))))</f>
        <v>--</v>
      </c>
      <c r="C156" t="str">
        <f>IF(ISBLANK(MAIN!C156), "--", IFERROR(PROPER(SUBSTITUTE(SUBSTITUTE(SUBSTITUTE(SUBSTITUTE(SUBSTITUTE(SUBSTITUTE(SUBSTITUTE(SUBSTITUTE(SUBSTITUTE(SUBSTITUTE(LEFT(MAIN!C156, FIND(",",MAIN!C156) -1), "0", ""), "1", ""), "2", ""), "3", ""), "4", ""), "5", ""), "6", ""), "7", ""), "8", ""), "9", "")), PROPER(SUBSTITUTE(SUBSTITUTE(SUBSTITUTE(SUBSTITUTE(SUBSTITUTE(SUBSTITUTE(SUBSTITUTE(SUBSTITUTE(SUBSTITUTE(SUBSTITUTE(MAIN!C156, "0", ""), "1", ""), "2", ""), "3", ""), "4", ""), "5", ""), "6", ""), "7", ""), "8", ""), "9", ""))))</f>
        <v>--</v>
      </c>
      <c r="D156" t="str">
        <f>IF(ISBLANK(MAIN!D156), "--", IF(ISNUMBER(MATCH(SUBSTITUTE(LEFT(MAIN!D156, IFERROR(FIND(",", MAIN!D156)-1, LEN(MAIN!D156))), " ", ""), lookup_values!$B$2:$B$51, 0)), UPPER(SUBSTITUTE(LEFT(MAIN!D156, IFERROR(FIND(",", MAIN!D156)-1, LEN(MAIN!D156))), " ", "")), IF(ISNA(VLOOKUP(SUBSTITUTE(LEFT(MAIN!D156, IFERROR(FIND(",", MAIN!D156)-1, LEN(MAIN!D156))), " ", ""), lookup_values!$A$2:$B$51, 2, FALSE)), "--", VLOOKUP(SUBSTITUTE(LEFT(MAIN!D156, IFERROR(FIND(",", MAIN!D156)-1, LEN(MAIN!D156))), " ", ""), lookup_values!$A$2:$B$51, 2, FALSE))))</f>
        <v>--</v>
      </c>
      <c r="E156" t="str">
        <f>IF(CLEAN_DATA!D156&lt;&gt;"--","US",IF(ISBLANK(MAIN!E156), "--", IF(ISNUMBER(MATCH(SUBSTITUTE(LEFT(MAIN!E156, IFERROR(FIND(",", MAIN!E156)-1, LEN(MAIN!E156))), " ", ""), lookup_values!$E$2:$E$197, 0)), UPPER(SUBSTITUTE(LEFT(MAIN!E156, IFERROR(FIND(",", MAIN!E156)-1, LEN(MAIN!E156))), " ", "")), IF(ISNA(VLOOKUP(SUBSTITUTE(LEFT(MAIN!E156, IFERROR(FIND(",", MAIN!E156)-1, LEN(MAIN!E156))), " ", ""), lookup_values!$D$2:$E$197, 2, FALSE)), "--", VLOOKUP(SUBSTITUTE(LEFT(MAIN!E156, IFERROR(FIND(",", MAIN!E156)-1, LEN(MAIN!E156))), " ", ""), lookup_values!$D$2:$E$197, 2, FALSE)))))</f>
        <v>--</v>
      </c>
      <c r="F156" t="str">
        <f>IF(ISBLANK(MAIN!F156), "", IF(AND(ISNUMBER(VALUE(TRIM(MAIN!F156))), LEN(TRIM(MAIN!F156))=4), VALUE(TRIM(MAIN!F156)), ""))</f>
        <v/>
      </c>
      <c r="G156">
        <f>IF(ISBLANK(MAIN!G156), 0, IF(ISNUMBER(VALUE(TRIM(MAIN!G156))), VALUE(TRIM(MAIN!G156)), 0))</f>
        <v>0</v>
      </c>
      <c r="H156">
        <f>IF(ISBLANK(MAIN!H156), 0, IF(ISNUMBER(VALUE(TRIM(MAIN!H156))), VALUE(TRIM(MAIN!H156)), 0))</f>
        <v>0</v>
      </c>
      <c r="I156">
        <f>IF(ISBLANK(MAIN!I156), 0, IF(ISNUMBER(VALUE(TRIM(MAIN!I156))), VALUE(TRIM(MAIN!I156)), 0))</f>
        <v>0</v>
      </c>
      <c r="J156">
        <f>IF(ISBLANK(MAIN!J156), 0, IF(ISNUMBER(VALUE(TRIM(MAIN!J156))), VALUE(TRIM(MAIN!J156)), 0))</f>
        <v>0</v>
      </c>
      <c r="K156" cm="1">
        <f t="array" ref="K156">IFERROR(
    VALUE(
        IFERROR(
            UPPER(
                IF(MAX(IFERROR(SEARCH("WD",MAIN!G156:J156), 0))&gt;0, "WD",
                IF(MAX(IFERROR(SEARCH("NS",MAIN!G156:J156), 0))&gt;0, "NS",
                IF(MAX(IFERROR(SEARCH("NC",MAIN!G156:J156), 0))&gt;0, "NC",
                IF(MAX(IFERROR(SEARCH("DQ",MAIN!G156:J156), 0))&gt;0, "DQ",
                IF(ISNUMBER(SEARCH("WD",MAIN!K156)), "WD",
                IF(ISNUMBER(SEARCH("NS",MAIN!K156)), "NS",
                IF(ISNUMBER(SEARCH("NC",MAIN!K156)), "NC",
                IF(ISNUMBER(SEARCH("DQ",MAIN!K156)), "DQ",
                IF(ISNUMBER(SEARCH("A",MAIN!K156)), 0,
                IF(OR(MAIN!K156=0,MAIN!K156=""), 0, --TRIM(MAIN!K156)))))))))))),
            0
        )
    ),
    IFERROR(
        UPPER(
            IF(MAX(IFERROR(SEARCH("WD",MAIN!G156:J156), 0))&gt;0, "WD",
            IF(MAX(IFERROR(SEARCH("NS",MAIN!G156:J156), 0))&gt;0, "NS",
            IF(MAX(IFERROR(SEARCH("NC",MAIN!G156:J156), 0))&gt;0, "NC",
            IF(MAX(IFERROR(SEARCH("DQ",MAIN!G156:J156), 0))&gt;0, "DQ",
            IF(ISNUMBER(SEARCH("WD",MAIN!K156)), "WD",
            IF(ISNUMBER(SEARCH("NS",MAIN!K156)), "NS",
            IF(ISNUMBER(SEARCH("NC",MAIN!K156)), "NC",
            IF(ISNUMBER(SEARCH("DQ",MAIN!K156)), "DQ",
            IF(ISNUMBER(SEARCH("A",MAIN!K156)), 0,
            IF(OR(MAIN!K156=0,MAIN!K156=""), 0, --TRIM(MAIN!K156)))))))))))),
        0
    )
)</f>
        <v>0</v>
      </c>
    </row>
    <row r="157" spans="1:11" x14ac:dyDescent="0.25">
      <c r="A157" t="str">
        <f>IF(ISBLANK(MAIN!A157), "--", IFERROR(PROPER(SUBSTITUTE(SUBSTITUTE(SUBSTITUTE(SUBSTITUTE(SUBSTITUTE(SUBSTITUTE(SUBSTITUTE(SUBSTITUTE(SUBSTITUTE(SUBSTITUTE(LEFT(MAIN!A157, FIND(",",MAIN!A157) -1), "0", ""), "1", ""), "2", ""), "3", ""), "4", ""), "5", ""), "6", ""), "7", ""), "8", ""), "9", "")), PROPER(SUBSTITUTE(SUBSTITUTE(SUBSTITUTE(SUBSTITUTE(SUBSTITUTE(SUBSTITUTE(SUBSTITUTE(SUBSTITUTE(SUBSTITUTE(SUBSTITUTE(MAIN!A157, "0", ""), "1", ""), "2", ""), "3", ""), "4", ""), "5", ""), "6", ""), "7", ""), "8", ""), "9", ""))))</f>
        <v>--</v>
      </c>
      <c r="B157" t="str">
        <f>IF(ISBLANK(MAIN!B157), "--", IFERROR(PROPER(SUBSTITUTE(SUBSTITUTE(SUBSTITUTE(SUBSTITUTE(SUBSTITUTE(SUBSTITUTE(SUBSTITUTE(SUBSTITUTE(SUBSTITUTE(SUBSTITUTE(LEFT(MAIN!B157, FIND(",",MAIN!B157) -1), "0", ""), "1", ""), "2", ""), "3", ""), "4", ""), "5", ""), "6", ""), "7", ""), "8", ""), "9", "")), PROPER(SUBSTITUTE(SUBSTITUTE(SUBSTITUTE(SUBSTITUTE(SUBSTITUTE(SUBSTITUTE(SUBSTITUTE(SUBSTITUTE(SUBSTITUTE(SUBSTITUTE(MAIN!B157, "0", ""), "1", ""), "2", ""), "3", ""), "4", ""), "5", ""), "6", ""), "7", ""), "8", ""), "9", ""))))</f>
        <v>--</v>
      </c>
      <c r="C157" t="str">
        <f>IF(ISBLANK(MAIN!C157), "--", IFERROR(PROPER(SUBSTITUTE(SUBSTITUTE(SUBSTITUTE(SUBSTITUTE(SUBSTITUTE(SUBSTITUTE(SUBSTITUTE(SUBSTITUTE(SUBSTITUTE(SUBSTITUTE(LEFT(MAIN!C157, FIND(",",MAIN!C157) -1), "0", ""), "1", ""), "2", ""), "3", ""), "4", ""), "5", ""), "6", ""), "7", ""), "8", ""), "9", "")), PROPER(SUBSTITUTE(SUBSTITUTE(SUBSTITUTE(SUBSTITUTE(SUBSTITUTE(SUBSTITUTE(SUBSTITUTE(SUBSTITUTE(SUBSTITUTE(SUBSTITUTE(MAIN!C157, "0", ""), "1", ""), "2", ""), "3", ""), "4", ""), "5", ""), "6", ""), "7", ""), "8", ""), "9", ""))))</f>
        <v>--</v>
      </c>
      <c r="D157" t="str">
        <f>IF(ISBLANK(MAIN!D157), "--", IF(ISNUMBER(MATCH(SUBSTITUTE(LEFT(MAIN!D157, IFERROR(FIND(",", MAIN!D157)-1, LEN(MAIN!D157))), " ", ""), lookup_values!$B$2:$B$51, 0)), UPPER(SUBSTITUTE(LEFT(MAIN!D157, IFERROR(FIND(",", MAIN!D157)-1, LEN(MAIN!D157))), " ", "")), IF(ISNA(VLOOKUP(SUBSTITUTE(LEFT(MAIN!D157, IFERROR(FIND(",", MAIN!D157)-1, LEN(MAIN!D157))), " ", ""), lookup_values!$A$2:$B$51, 2, FALSE)), "--", VLOOKUP(SUBSTITUTE(LEFT(MAIN!D157, IFERROR(FIND(",", MAIN!D157)-1, LEN(MAIN!D157))), " ", ""), lookup_values!$A$2:$B$51, 2, FALSE))))</f>
        <v>--</v>
      </c>
      <c r="E157" t="str">
        <f>IF(CLEAN_DATA!D157&lt;&gt;"--","US",IF(ISBLANK(MAIN!E157), "--", IF(ISNUMBER(MATCH(SUBSTITUTE(LEFT(MAIN!E157, IFERROR(FIND(",", MAIN!E157)-1, LEN(MAIN!E157))), " ", ""), lookup_values!$E$2:$E$197, 0)), UPPER(SUBSTITUTE(LEFT(MAIN!E157, IFERROR(FIND(",", MAIN!E157)-1, LEN(MAIN!E157))), " ", "")), IF(ISNA(VLOOKUP(SUBSTITUTE(LEFT(MAIN!E157, IFERROR(FIND(",", MAIN!E157)-1, LEN(MAIN!E157))), " ", ""), lookup_values!$D$2:$E$197, 2, FALSE)), "--", VLOOKUP(SUBSTITUTE(LEFT(MAIN!E157, IFERROR(FIND(",", MAIN!E157)-1, LEN(MAIN!E157))), " ", ""), lookup_values!$D$2:$E$197, 2, FALSE)))))</f>
        <v>--</v>
      </c>
      <c r="F157" t="str">
        <f>IF(ISBLANK(MAIN!F157), "", IF(AND(ISNUMBER(VALUE(TRIM(MAIN!F157))), LEN(TRIM(MAIN!F157))=4), VALUE(TRIM(MAIN!F157)), ""))</f>
        <v/>
      </c>
      <c r="G157">
        <f>IF(ISBLANK(MAIN!G157), 0, IF(ISNUMBER(VALUE(TRIM(MAIN!G157))), VALUE(TRIM(MAIN!G157)), 0))</f>
        <v>0</v>
      </c>
      <c r="H157">
        <f>IF(ISBLANK(MAIN!H157), 0, IF(ISNUMBER(VALUE(TRIM(MAIN!H157))), VALUE(TRIM(MAIN!H157)), 0))</f>
        <v>0</v>
      </c>
      <c r="I157">
        <f>IF(ISBLANK(MAIN!I157), 0, IF(ISNUMBER(VALUE(TRIM(MAIN!I157))), VALUE(TRIM(MAIN!I157)), 0))</f>
        <v>0</v>
      </c>
      <c r="J157">
        <f>IF(ISBLANK(MAIN!J157), 0, IF(ISNUMBER(VALUE(TRIM(MAIN!J157))), VALUE(TRIM(MAIN!J157)), 0))</f>
        <v>0</v>
      </c>
      <c r="K157" cm="1">
        <f t="array" ref="K157">IFERROR(
    VALUE(
        IFERROR(
            UPPER(
                IF(MAX(IFERROR(SEARCH("WD",MAIN!G157:J157), 0))&gt;0, "WD",
                IF(MAX(IFERROR(SEARCH("NS",MAIN!G157:J157), 0))&gt;0, "NS",
                IF(MAX(IFERROR(SEARCH("NC",MAIN!G157:J157), 0))&gt;0, "NC",
                IF(MAX(IFERROR(SEARCH("DQ",MAIN!G157:J157), 0))&gt;0, "DQ",
                IF(ISNUMBER(SEARCH("WD",MAIN!K157)), "WD",
                IF(ISNUMBER(SEARCH("NS",MAIN!K157)), "NS",
                IF(ISNUMBER(SEARCH("NC",MAIN!K157)), "NC",
                IF(ISNUMBER(SEARCH("DQ",MAIN!K157)), "DQ",
                IF(ISNUMBER(SEARCH("A",MAIN!K157)), 0,
                IF(OR(MAIN!K157=0,MAIN!K157=""), 0, --TRIM(MAIN!K157)))))))))))),
            0
        )
    ),
    IFERROR(
        UPPER(
            IF(MAX(IFERROR(SEARCH("WD",MAIN!G157:J157), 0))&gt;0, "WD",
            IF(MAX(IFERROR(SEARCH("NS",MAIN!G157:J157), 0))&gt;0, "NS",
            IF(MAX(IFERROR(SEARCH("NC",MAIN!G157:J157), 0))&gt;0, "NC",
            IF(MAX(IFERROR(SEARCH("DQ",MAIN!G157:J157), 0))&gt;0, "DQ",
            IF(ISNUMBER(SEARCH("WD",MAIN!K157)), "WD",
            IF(ISNUMBER(SEARCH("NS",MAIN!K157)), "NS",
            IF(ISNUMBER(SEARCH("NC",MAIN!K157)), "NC",
            IF(ISNUMBER(SEARCH("DQ",MAIN!K157)), "DQ",
            IF(ISNUMBER(SEARCH("A",MAIN!K157)), 0,
            IF(OR(MAIN!K157=0,MAIN!K157=""), 0, --TRIM(MAIN!K157)))))))))))),
        0
    )
)</f>
        <v>0</v>
      </c>
    </row>
    <row r="158" spans="1:11" x14ac:dyDescent="0.25">
      <c r="A158" t="str">
        <f>IF(ISBLANK(MAIN!A158), "--", IFERROR(PROPER(SUBSTITUTE(SUBSTITUTE(SUBSTITUTE(SUBSTITUTE(SUBSTITUTE(SUBSTITUTE(SUBSTITUTE(SUBSTITUTE(SUBSTITUTE(SUBSTITUTE(LEFT(MAIN!A158, FIND(",",MAIN!A158) -1), "0", ""), "1", ""), "2", ""), "3", ""), "4", ""), "5", ""), "6", ""), "7", ""), "8", ""), "9", "")), PROPER(SUBSTITUTE(SUBSTITUTE(SUBSTITUTE(SUBSTITUTE(SUBSTITUTE(SUBSTITUTE(SUBSTITUTE(SUBSTITUTE(SUBSTITUTE(SUBSTITUTE(MAIN!A158, "0", ""), "1", ""), "2", ""), "3", ""), "4", ""), "5", ""), "6", ""), "7", ""), "8", ""), "9", ""))))</f>
        <v>--</v>
      </c>
      <c r="B158" t="str">
        <f>IF(ISBLANK(MAIN!B158), "--", IFERROR(PROPER(SUBSTITUTE(SUBSTITUTE(SUBSTITUTE(SUBSTITUTE(SUBSTITUTE(SUBSTITUTE(SUBSTITUTE(SUBSTITUTE(SUBSTITUTE(SUBSTITUTE(LEFT(MAIN!B158, FIND(",",MAIN!B158) -1), "0", ""), "1", ""), "2", ""), "3", ""), "4", ""), "5", ""), "6", ""), "7", ""), "8", ""), "9", "")), PROPER(SUBSTITUTE(SUBSTITUTE(SUBSTITUTE(SUBSTITUTE(SUBSTITUTE(SUBSTITUTE(SUBSTITUTE(SUBSTITUTE(SUBSTITUTE(SUBSTITUTE(MAIN!B158, "0", ""), "1", ""), "2", ""), "3", ""), "4", ""), "5", ""), "6", ""), "7", ""), "8", ""), "9", ""))))</f>
        <v>--</v>
      </c>
      <c r="C158" t="str">
        <f>IF(ISBLANK(MAIN!C158), "--", IFERROR(PROPER(SUBSTITUTE(SUBSTITUTE(SUBSTITUTE(SUBSTITUTE(SUBSTITUTE(SUBSTITUTE(SUBSTITUTE(SUBSTITUTE(SUBSTITUTE(SUBSTITUTE(LEFT(MAIN!C158, FIND(",",MAIN!C158) -1), "0", ""), "1", ""), "2", ""), "3", ""), "4", ""), "5", ""), "6", ""), "7", ""), "8", ""), "9", "")), PROPER(SUBSTITUTE(SUBSTITUTE(SUBSTITUTE(SUBSTITUTE(SUBSTITUTE(SUBSTITUTE(SUBSTITUTE(SUBSTITUTE(SUBSTITUTE(SUBSTITUTE(MAIN!C158, "0", ""), "1", ""), "2", ""), "3", ""), "4", ""), "5", ""), "6", ""), "7", ""), "8", ""), "9", ""))))</f>
        <v>--</v>
      </c>
      <c r="D158" t="str">
        <f>IF(ISBLANK(MAIN!D158), "--", IF(ISNUMBER(MATCH(SUBSTITUTE(LEFT(MAIN!D158, IFERROR(FIND(",", MAIN!D158)-1, LEN(MAIN!D158))), " ", ""), lookup_values!$B$2:$B$51, 0)), UPPER(SUBSTITUTE(LEFT(MAIN!D158, IFERROR(FIND(",", MAIN!D158)-1, LEN(MAIN!D158))), " ", "")), IF(ISNA(VLOOKUP(SUBSTITUTE(LEFT(MAIN!D158, IFERROR(FIND(",", MAIN!D158)-1, LEN(MAIN!D158))), " ", ""), lookup_values!$A$2:$B$51, 2, FALSE)), "--", VLOOKUP(SUBSTITUTE(LEFT(MAIN!D158, IFERROR(FIND(",", MAIN!D158)-1, LEN(MAIN!D158))), " ", ""), lookup_values!$A$2:$B$51, 2, FALSE))))</f>
        <v>--</v>
      </c>
      <c r="E158" t="str">
        <f>IF(CLEAN_DATA!D158&lt;&gt;"--","US",IF(ISBLANK(MAIN!E158), "--", IF(ISNUMBER(MATCH(SUBSTITUTE(LEFT(MAIN!E158, IFERROR(FIND(",", MAIN!E158)-1, LEN(MAIN!E158))), " ", ""), lookup_values!$E$2:$E$197, 0)), UPPER(SUBSTITUTE(LEFT(MAIN!E158, IFERROR(FIND(",", MAIN!E158)-1, LEN(MAIN!E158))), " ", "")), IF(ISNA(VLOOKUP(SUBSTITUTE(LEFT(MAIN!E158, IFERROR(FIND(",", MAIN!E158)-1, LEN(MAIN!E158))), " ", ""), lookup_values!$D$2:$E$197, 2, FALSE)), "--", VLOOKUP(SUBSTITUTE(LEFT(MAIN!E158, IFERROR(FIND(",", MAIN!E158)-1, LEN(MAIN!E158))), " ", ""), lookup_values!$D$2:$E$197, 2, FALSE)))))</f>
        <v>--</v>
      </c>
      <c r="F158" t="str">
        <f>IF(ISBLANK(MAIN!F158), "", IF(AND(ISNUMBER(VALUE(TRIM(MAIN!F158))), LEN(TRIM(MAIN!F158))=4), VALUE(TRIM(MAIN!F158)), ""))</f>
        <v/>
      </c>
      <c r="G158">
        <f>IF(ISBLANK(MAIN!G158), 0, IF(ISNUMBER(VALUE(TRIM(MAIN!G158))), VALUE(TRIM(MAIN!G158)), 0))</f>
        <v>0</v>
      </c>
      <c r="H158">
        <f>IF(ISBLANK(MAIN!H158), 0, IF(ISNUMBER(VALUE(TRIM(MAIN!H158))), VALUE(TRIM(MAIN!H158)), 0))</f>
        <v>0</v>
      </c>
      <c r="I158">
        <f>IF(ISBLANK(MAIN!I158), 0, IF(ISNUMBER(VALUE(TRIM(MAIN!I158))), VALUE(TRIM(MAIN!I158)), 0))</f>
        <v>0</v>
      </c>
      <c r="J158">
        <f>IF(ISBLANK(MAIN!J158), 0, IF(ISNUMBER(VALUE(TRIM(MAIN!J158))), VALUE(TRIM(MAIN!J158)), 0))</f>
        <v>0</v>
      </c>
      <c r="K158" cm="1">
        <f t="array" ref="K158">IFERROR(
    VALUE(
        IFERROR(
            UPPER(
                IF(MAX(IFERROR(SEARCH("WD",MAIN!G158:J158), 0))&gt;0, "WD",
                IF(MAX(IFERROR(SEARCH("NS",MAIN!G158:J158), 0))&gt;0, "NS",
                IF(MAX(IFERROR(SEARCH("NC",MAIN!G158:J158), 0))&gt;0, "NC",
                IF(MAX(IFERROR(SEARCH("DQ",MAIN!G158:J158), 0))&gt;0, "DQ",
                IF(ISNUMBER(SEARCH("WD",MAIN!K158)), "WD",
                IF(ISNUMBER(SEARCH("NS",MAIN!K158)), "NS",
                IF(ISNUMBER(SEARCH("NC",MAIN!K158)), "NC",
                IF(ISNUMBER(SEARCH("DQ",MAIN!K158)), "DQ",
                IF(ISNUMBER(SEARCH("A",MAIN!K158)), 0,
                IF(OR(MAIN!K158=0,MAIN!K158=""), 0, --TRIM(MAIN!K158)))))))))))),
            0
        )
    ),
    IFERROR(
        UPPER(
            IF(MAX(IFERROR(SEARCH("WD",MAIN!G158:J158), 0))&gt;0, "WD",
            IF(MAX(IFERROR(SEARCH("NS",MAIN!G158:J158), 0))&gt;0, "NS",
            IF(MAX(IFERROR(SEARCH("NC",MAIN!G158:J158), 0))&gt;0, "NC",
            IF(MAX(IFERROR(SEARCH("DQ",MAIN!G158:J158), 0))&gt;0, "DQ",
            IF(ISNUMBER(SEARCH("WD",MAIN!K158)), "WD",
            IF(ISNUMBER(SEARCH("NS",MAIN!K158)), "NS",
            IF(ISNUMBER(SEARCH("NC",MAIN!K158)), "NC",
            IF(ISNUMBER(SEARCH("DQ",MAIN!K158)), "DQ",
            IF(ISNUMBER(SEARCH("A",MAIN!K158)), 0,
            IF(OR(MAIN!K158=0,MAIN!K158=""), 0, --TRIM(MAIN!K158)))))))))))),
        0
    )
)</f>
        <v>0</v>
      </c>
    </row>
    <row r="159" spans="1:11" x14ac:dyDescent="0.25">
      <c r="A159" t="str">
        <f>IF(ISBLANK(MAIN!A159), "--", IFERROR(PROPER(SUBSTITUTE(SUBSTITUTE(SUBSTITUTE(SUBSTITUTE(SUBSTITUTE(SUBSTITUTE(SUBSTITUTE(SUBSTITUTE(SUBSTITUTE(SUBSTITUTE(LEFT(MAIN!A159, FIND(",",MAIN!A159) -1), "0", ""), "1", ""), "2", ""), "3", ""), "4", ""), "5", ""), "6", ""), "7", ""), "8", ""), "9", "")), PROPER(SUBSTITUTE(SUBSTITUTE(SUBSTITUTE(SUBSTITUTE(SUBSTITUTE(SUBSTITUTE(SUBSTITUTE(SUBSTITUTE(SUBSTITUTE(SUBSTITUTE(MAIN!A159, "0", ""), "1", ""), "2", ""), "3", ""), "4", ""), "5", ""), "6", ""), "7", ""), "8", ""), "9", ""))))</f>
        <v>--</v>
      </c>
      <c r="B159" t="str">
        <f>IF(ISBLANK(MAIN!B159), "--", IFERROR(PROPER(SUBSTITUTE(SUBSTITUTE(SUBSTITUTE(SUBSTITUTE(SUBSTITUTE(SUBSTITUTE(SUBSTITUTE(SUBSTITUTE(SUBSTITUTE(SUBSTITUTE(LEFT(MAIN!B159, FIND(",",MAIN!B159) -1), "0", ""), "1", ""), "2", ""), "3", ""), "4", ""), "5", ""), "6", ""), "7", ""), "8", ""), "9", "")), PROPER(SUBSTITUTE(SUBSTITUTE(SUBSTITUTE(SUBSTITUTE(SUBSTITUTE(SUBSTITUTE(SUBSTITUTE(SUBSTITUTE(SUBSTITUTE(SUBSTITUTE(MAIN!B159, "0", ""), "1", ""), "2", ""), "3", ""), "4", ""), "5", ""), "6", ""), "7", ""), "8", ""), "9", ""))))</f>
        <v>--</v>
      </c>
      <c r="C159" t="str">
        <f>IF(ISBLANK(MAIN!C159), "--", IFERROR(PROPER(SUBSTITUTE(SUBSTITUTE(SUBSTITUTE(SUBSTITUTE(SUBSTITUTE(SUBSTITUTE(SUBSTITUTE(SUBSTITUTE(SUBSTITUTE(SUBSTITUTE(LEFT(MAIN!C159, FIND(",",MAIN!C159) -1), "0", ""), "1", ""), "2", ""), "3", ""), "4", ""), "5", ""), "6", ""), "7", ""), "8", ""), "9", "")), PROPER(SUBSTITUTE(SUBSTITUTE(SUBSTITUTE(SUBSTITUTE(SUBSTITUTE(SUBSTITUTE(SUBSTITUTE(SUBSTITUTE(SUBSTITUTE(SUBSTITUTE(MAIN!C159, "0", ""), "1", ""), "2", ""), "3", ""), "4", ""), "5", ""), "6", ""), "7", ""), "8", ""), "9", ""))))</f>
        <v>--</v>
      </c>
      <c r="D159" t="str">
        <f>IF(ISBLANK(MAIN!D159), "--", IF(ISNUMBER(MATCH(SUBSTITUTE(LEFT(MAIN!D159, IFERROR(FIND(",", MAIN!D159)-1, LEN(MAIN!D159))), " ", ""), lookup_values!$B$2:$B$51, 0)), UPPER(SUBSTITUTE(LEFT(MAIN!D159, IFERROR(FIND(",", MAIN!D159)-1, LEN(MAIN!D159))), " ", "")), IF(ISNA(VLOOKUP(SUBSTITUTE(LEFT(MAIN!D159, IFERROR(FIND(",", MAIN!D159)-1, LEN(MAIN!D159))), " ", ""), lookup_values!$A$2:$B$51, 2, FALSE)), "--", VLOOKUP(SUBSTITUTE(LEFT(MAIN!D159, IFERROR(FIND(",", MAIN!D159)-1, LEN(MAIN!D159))), " ", ""), lookup_values!$A$2:$B$51, 2, FALSE))))</f>
        <v>--</v>
      </c>
      <c r="E159" t="str">
        <f>IF(CLEAN_DATA!D159&lt;&gt;"--","US",IF(ISBLANK(MAIN!E159), "--", IF(ISNUMBER(MATCH(SUBSTITUTE(LEFT(MAIN!E159, IFERROR(FIND(",", MAIN!E159)-1, LEN(MAIN!E159))), " ", ""), lookup_values!$E$2:$E$197, 0)), UPPER(SUBSTITUTE(LEFT(MAIN!E159, IFERROR(FIND(",", MAIN!E159)-1, LEN(MAIN!E159))), " ", "")), IF(ISNA(VLOOKUP(SUBSTITUTE(LEFT(MAIN!E159, IFERROR(FIND(",", MAIN!E159)-1, LEN(MAIN!E159))), " ", ""), lookup_values!$D$2:$E$197, 2, FALSE)), "--", VLOOKUP(SUBSTITUTE(LEFT(MAIN!E159, IFERROR(FIND(",", MAIN!E159)-1, LEN(MAIN!E159))), " ", ""), lookup_values!$D$2:$E$197, 2, FALSE)))))</f>
        <v>--</v>
      </c>
      <c r="F159" t="str">
        <f>IF(ISBLANK(MAIN!F159), "", IF(AND(ISNUMBER(VALUE(TRIM(MAIN!F159))), LEN(TRIM(MAIN!F159))=4), VALUE(TRIM(MAIN!F159)), ""))</f>
        <v/>
      </c>
      <c r="G159">
        <f>IF(ISBLANK(MAIN!G159), 0, IF(ISNUMBER(VALUE(TRIM(MAIN!G159))), VALUE(TRIM(MAIN!G159)), 0))</f>
        <v>0</v>
      </c>
      <c r="H159">
        <f>IF(ISBLANK(MAIN!H159), 0, IF(ISNUMBER(VALUE(TRIM(MAIN!H159))), VALUE(TRIM(MAIN!H159)), 0))</f>
        <v>0</v>
      </c>
      <c r="I159">
        <f>IF(ISBLANK(MAIN!I159), 0, IF(ISNUMBER(VALUE(TRIM(MAIN!I159))), VALUE(TRIM(MAIN!I159)), 0))</f>
        <v>0</v>
      </c>
      <c r="J159">
        <f>IF(ISBLANK(MAIN!J159), 0, IF(ISNUMBER(VALUE(TRIM(MAIN!J159))), VALUE(TRIM(MAIN!J159)), 0))</f>
        <v>0</v>
      </c>
      <c r="K159" cm="1">
        <f t="array" ref="K159">IFERROR(
    VALUE(
        IFERROR(
            UPPER(
                IF(MAX(IFERROR(SEARCH("WD",MAIN!G159:J159), 0))&gt;0, "WD",
                IF(MAX(IFERROR(SEARCH("NS",MAIN!G159:J159), 0))&gt;0, "NS",
                IF(MAX(IFERROR(SEARCH("NC",MAIN!G159:J159), 0))&gt;0, "NC",
                IF(MAX(IFERROR(SEARCH("DQ",MAIN!G159:J159), 0))&gt;0, "DQ",
                IF(ISNUMBER(SEARCH("WD",MAIN!K159)), "WD",
                IF(ISNUMBER(SEARCH("NS",MAIN!K159)), "NS",
                IF(ISNUMBER(SEARCH("NC",MAIN!K159)), "NC",
                IF(ISNUMBER(SEARCH("DQ",MAIN!K159)), "DQ",
                IF(ISNUMBER(SEARCH("A",MAIN!K159)), 0,
                IF(OR(MAIN!K159=0,MAIN!K159=""), 0, --TRIM(MAIN!K159)))))))))))),
            0
        )
    ),
    IFERROR(
        UPPER(
            IF(MAX(IFERROR(SEARCH("WD",MAIN!G159:J159), 0))&gt;0, "WD",
            IF(MAX(IFERROR(SEARCH("NS",MAIN!G159:J159), 0))&gt;0, "NS",
            IF(MAX(IFERROR(SEARCH("NC",MAIN!G159:J159), 0))&gt;0, "NC",
            IF(MAX(IFERROR(SEARCH("DQ",MAIN!G159:J159), 0))&gt;0, "DQ",
            IF(ISNUMBER(SEARCH("WD",MAIN!K159)), "WD",
            IF(ISNUMBER(SEARCH("NS",MAIN!K159)), "NS",
            IF(ISNUMBER(SEARCH("NC",MAIN!K159)), "NC",
            IF(ISNUMBER(SEARCH("DQ",MAIN!K159)), "DQ",
            IF(ISNUMBER(SEARCH("A",MAIN!K159)), 0,
            IF(OR(MAIN!K159=0,MAIN!K159=""), 0, --TRIM(MAIN!K159)))))))))))),
        0
    )
)</f>
        <v>0</v>
      </c>
    </row>
    <row r="160" spans="1:11" x14ac:dyDescent="0.25">
      <c r="A160" t="str">
        <f>IF(ISBLANK(MAIN!A160), "--", IFERROR(PROPER(SUBSTITUTE(SUBSTITUTE(SUBSTITUTE(SUBSTITUTE(SUBSTITUTE(SUBSTITUTE(SUBSTITUTE(SUBSTITUTE(SUBSTITUTE(SUBSTITUTE(LEFT(MAIN!A160, FIND(",",MAIN!A160) -1), "0", ""), "1", ""), "2", ""), "3", ""), "4", ""), "5", ""), "6", ""), "7", ""), "8", ""), "9", "")), PROPER(SUBSTITUTE(SUBSTITUTE(SUBSTITUTE(SUBSTITUTE(SUBSTITUTE(SUBSTITUTE(SUBSTITUTE(SUBSTITUTE(SUBSTITUTE(SUBSTITUTE(MAIN!A160, "0", ""), "1", ""), "2", ""), "3", ""), "4", ""), "5", ""), "6", ""), "7", ""), "8", ""), "9", ""))))</f>
        <v>--</v>
      </c>
      <c r="B160" t="str">
        <f>IF(ISBLANK(MAIN!B160), "--", IFERROR(PROPER(SUBSTITUTE(SUBSTITUTE(SUBSTITUTE(SUBSTITUTE(SUBSTITUTE(SUBSTITUTE(SUBSTITUTE(SUBSTITUTE(SUBSTITUTE(SUBSTITUTE(LEFT(MAIN!B160, FIND(",",MAIN!B160) -1), "0", ""), "1", ""), "2", ""), "3", ""), "4", ""), "5", ""), "6", ""), "7", ""), "8", ""), "9", "")), PROPER(SUBSTITUTE(SUBSTITUTE(SUBSTITUTE(SUBSTITUTE(SUBSTITUTE(SUBSTITUTE(SUBSTITUTE(SUBSTITUTE(SUBSTITUTE(SUBSTITUTE(MAIN!B160, "0", ""), "1", ""), "2", ""), "3", ""), "4", ""), "5", ""), "6", ""), "7", ""), "8", ""), "9", ""))))</f>
        <v>--</v>
      </c>
      <c r="C160" t="str">
        <f>IF(ISBLANK(MAIN!C160), "--", IFERROR(PROPER(SUBSTITUTE(SUBSTITUTE(SUBSTITUTE(SUBSTITUTE(SUBSTITUTE(SUBSTITUTE(SUBSTITUTE(SUBSTITUTE(SUBSTITUTE(SUBSTITUTE(LEFT(MAIN!C160, FIND(",",MAIN!C160) -1), "0", ""), "1", ""), "2", ""), "3", ""), "4", ""), "5", ""), "6", ""), "7", ""), "8", ""), "9", "")), PROPER(SUBSTITUTE(SUBSTITUTE(SUBSTITUTE(SUBSTITUTE(SUBSTITUTE(SUBSTITUTE(SUBSTITUTE(SUBSTITUTE(SUBSTITUTE(SUBSTITUTE(MAIN!C160, "0", ""), "1", ""), "2", ""), "3", ""), "4", ""), "5", ""), "6", ""), "7", ""), "8", ""), "9", ""))))</f>
        <v>--</v>
      </c>
      <c r="D160" t="str">
        <f>IF(ISBLANK(MAIN!D160), "--", IF(ISNUMBER(MATCH(SUBSTITUTE(LEFT(MAIN!D160, IFERROR(FIND(",", MAIN!D160)-1, LEN(MAIN!D160))), " ", ""), lookup_values!$B$2:$B$51, 0)), UPPER(SUBSTITUTE(LEFT(MAIN!D160, IFERROR(FIND(",", MAIN!D160)-1, LEN(MAIN!D160))), " ", "")), IF(ISNA(VLOOKUP(SUBSTITUTE(LEFT(MAIN!D160, IFERROR(FIND(",", MAIN!D160)-1, LEN(MAIN!D160))), " ", ""), lookup_values!$A$2:$B$51, 2, FALSE)), "--", VLOOKUP(SUBSTITUTE(LEFT(MAIN!D160, IFERROR(FIND(",", MAIN!D160)-1, LEN(MAIN!D160))), " ", ""), lookup_values!$A$2:$B$51, 2, FALSE))))</f>
        <v>--</v>
      </c>
      <c r="E160" t="str">
        <f>IF(CLEAN_DATA!D160&lt;&gt;"--","US",IF(ISBLANK(MAIN!E160), "--", IF(ISNUMBER(MATCH(SUBSTITUTE(LEFT(MAIN!E160, IFERROR(FIND(",", MAIN!E160)-1, LEN(MAIN!E160))), " ", ""), lookup_values!$E$2:$E$197, 0)), UPPER(SUBSTITUTE(LEFT(MAIN!E160, IFERROR(FIND(",", MAIN!E160)-1, LEN(MAIN!E160))), " ", "")), IF(ISNA(VLOOKUP(SUBSTITUTE(LEFT(MAIN!E160, IFERROR(FIND(",", MAIN!E160)-1, LEN(MAIN!E160))), " ", ""), lookup_values!$D$2:$E$197, 2, FALSE)), "--", VLOOKUP(SUBSTITUTE(LEFT(MAIN!E160, IFERROR(FIND(",", MAIN!E160)-1, LEN(MAIN!E160))), " ", ""), lookup_values!$D$2:$E$197, 2, FALSE)))))</f>
        <v>--</v>
      </c>
      <c r="F160" t="str">
        <f>IF(ISBLANK(MAIN!F160), "", IF(AND(ISNUMBER(VALUE(TRIM(MAIN!F160))), LEN(TRIM(MAIN!F160))=4), VALUE(TRIM(MAIN!F160)), ""))</f>
        <v/>
      </c>
      <c r="G160">
        <f>IF(ISBLANK(MAIN!G160), 0, IF(ISNUMBER(VALUE(TRIM(MAIN!G160))), VALUE(TRIM(MAIN!G160)), 0))</f>
        <v>0</v>
      </c>
      <c r="H160">
        <f>IF(ISBLANK(MAIN!H160), 0, IF(ISNUMBER(VALUE(TRIM(MAIN!H160))), VALUE(TRIM(MAIN!H160)), 0))</f>
        <v>0</v>
      </c>
      <c r="I160">
        <f>IF(ISBLANK(MAIN!I160), 0, IF(ISNUMBER(VALUE(TRIM(MAIN!I160))), VALUE(TRIM(MAIN!I160)), 0))</f>
        <v>0</v>
      </c>
      <c r="J160">
        <f>IF(ISBLANK(MAIN!J160), 0, IF(ISNUMBER(VALUE(TRIM(MAIN!J160))), VALUE(TRIM(MAIN!J160)), 0))</f>
        <v>0</v>
      </c>
      <c r="K160" cm="1">
        <f t="array" ref="K160">IFERROR(
    VALUE(
        IFERROR(
            UPPER(
                IF(MAX(IFERROR(SEARCH("WD",MAIN!G160:J160), 0))&gt;0, "WD",
                IF(MAX(IFERROR(SEARCH("NS",MAIN!G160:J160), 0))&gt;0, "NS",
                IF(MAX(IFERROR(SEARCH("NC",MAIN!G160:J160), 0))&gt;0, "NC",
                IF(MAX(IFERROR(SEARCH("DQ",MAIN!G160:J160), 0))&gt;0, "DQ",
                IF(ISNUMBER(SEARCH("WD",MAIN!K160)), "WD",
                IF(ISNUMBER(SEARCH("NS",MAIN!K160)), "NS",
                IF(ISNUMBER(SEARCH("NC",MAIN!K160)), "NC",
                IF(ISNUMBER(SEARCH("DQ",MAIN!K160)), "DQ",
                IF(ISNUMBER(SEARCH("A",MAIN!K160)), 0,
                IF(OR(MAIN!K160=0,MAIN!K160=""), 0, --TRIM(MAIN!K160)))))))))))),
            0
        )
    ),
    IFERROR(
        UPPER(
            IF(MAX(IFERROR(SEARCH("WD",MAIN!G160:J160), 0))&gt;0, "WD",
            IF(MAX(IFERROR(SEARCH("NS",MAIN!G160:J160), 0))&gt;0, "NS",
            IF(MAX(IFERROR(SEARCH("NC",MAIN!G160:J160), 0))&gt;0, "NC",
            IF(MAX(IFERROR(SEARCH("DQ",MAIN!G160:J160), 0))&gt;0, "DQ",
            IF(ISNUMBER(SEARCH("WD",MAIN!K160)), "WD",
            IF(ISNUMBER(SEARCH("NS",MAIN!K160)), "NS",
            IF(ISNUMBER(SEARCH("NC",MAIN!K160)), "NC",
            IF(ISNUMBER(SEARCH("DQ",MAIN!K160)), "DQ",
            IF(ISNUMBER(SEARCH("A",MAIN!K160)), 0,
            IF(OR(MAIN!K160=0,MAIN!K160=""), 0, --TRIM(MAIN!K160)))))))))))),
        0
    )
)</f>
        <v>0</v>
      </c>
    </row>
    <row r="161" spans="1:11" x14ac:dyDescent="0.25">
      <c r="A161" t="str">
        <f>IF(ISBLANK(MAIN!A161), "--", IFERROR(PROPER(SUBSTITUTE(SUBSTITUTE(SUBSTITUTE(SUBSTITUTE(SUBSTITUTE(SUBSTITUTE(SUBSTITUTE(SUBSTITUTE(SUBSTITUTE(SUBSTITUTE(LEFT(MAIN!A161, FIND(",",MAIN!A161) -1), "0", ""), "1", ""), "2", ""), "3", ""), "4", ""), "5", ""), "6", ""), "7", ""), "8", ""), "9", "")), PROPER(SUBSTITUTE(SUBSTITUTE(SUBSTITUTE(SUBSTITUTE(SUBSTITUTE(SUBSTITUTE(SUBSTITUTE(SUBSTITUTE(SUBSTITUTE(SUBSTITUTE(MAIN!A161, "0", ""), "1", ""), "2", ""), "3", ""), "4", ""), "5", ""), "6", ""), "7", ""), "8", ""), "9", ""))))</f>
        <v>--</v>
      </c>
      <c r="B161" t="str">
        <f>IF(ISBLANK(MAIN!B161), "--", IFERROR(PROPER(SUBSTITUTE(SUBSTITUTE(SUBSTITUTE(SUBSTITUTE(SUBSTITUTE(SUBSTITUTE(SUBSTITUTE(SUBSTITUTE(SUBSTITUTE(SUBSTITUTE(LEFT(MAIN!B161, FIND(",",MAIN!B161) -1), "0", ""), "1", ""), "2", ""), "3", ""), "4", ""), "5", ""), "6", ""), "7", ""), "8", ""), "9", "")), PROPER(SUBSTITUTE(SUBSTITUTE(SUBSTITUTE(SUBSTITUTE(SUBSTITUTE(SUBSTITUTE(SUBSTITUTE(SUBSTITUTE(SUBSTITUTE(SUBSTITUTE(MAIN!B161, "0", ""), "1", ""), "2", ""), "3", ""), "4", ""), "5", ""), "6", ""), "7", ""), "8", ""), "9", ""))))</f>
        <v>--</v>
      </c>
      <c r="C161" t="str">
        <f>IF(ISBLANK(MAIN!C161), "--", IFERROR(PROPER(SUBSTITUTE(SUBSTITUTE(SUBSTITUTE(SUBSTITUTE(SUBSTITUTE(SUBSTITUTE(SUBSTITUTE(SUBSTITUTE(SUBSTITUTE(SUBSTITUTE(LEFT(MAIN!C161, FIND(",",MAIN!C161) -1), "0", ""), "1", ""), "2", ""), "3", ""), "4", ""), "5", ""), "6", ""), "7", ""), "8", ""), "9", "")), PROPER(SUBSTITUTE(SUBSTITUTE(SUBSTITUTE(SUBSTITUTE(SUBSTITUTE(SUBSTITUTE(SUBSTITUTE(SUBSTITUTE(SUBSTITUTE(SUBSTITUTE(MAIN!C161, "0", ""), "1", ""), "2", ""), "3", ""), "4", ""), "5", ""), "6", ""), "7", ""), "8", ""), "9", ""))))</f>
        <v>--</v>
      </c>
      <c r="D161" t="str">
        <f>IF(ISBLANK(MAIN!D161), "--", IF(ISNUMBER(MATCH(SUBSTITUTE(LEFT(MAIN!D161, IFERROR(FIND(",", MAIN!D161)-1, LEN(MAIN!D161))), " ", ""), lookup_values!$B$2:$B$51, 0)), UPPER(SUBSTITUTE(LEFT(MAIN!D161, IFERROR(FIND(",", MAIN!D161)-1, LEN(MAIN!D161))), " ", "")), IF(ISNA(VLOOKUP(SUBSTITUTE(LEFT(MAIN!D161, IFERROR(FIND(",", MAIN!D161)-1, LEN(MAIN!D161))), " ", ""), lookup_values!$A$2:$B$51, 2, FALSE)), "--", VLOOKUP(SUBSTITUTE(LEFT(MAIN!D161, IFERROR(FIND(",", MAIN!D161)-1, LEN(MAIN!D161))), " ", ""), lookup_values!$A$2:$B$51, 2, FALSE))))</f>
        <v>--</v>
      </c>
      <c r="E161" t="str">
        <f>IF(CLEAN_DATA!D161&lt;&gt;"--","US",IF(ISBLANK(MAIN!E161), "--", IF(ISNUMBER(MATCH(SUBSTITUTE(LEFT(MAIN!E161, IFERROR(FIND(",", MAIN!E161)-1, LEN(MAIN!E161))), " ", ""), lookup_values!$E$2:$E$197, 0)), UPPER(SUBSTITUTE(LEFT(MAIN!E161, IFERROR(FIND(",", MAIN!E161)-1, LEN(MAIN!E161))), " ", "")), IF(ISNA(VLOOKUP(SUBSTITUTE(LEFT(MAIN!E161, IFERROR(FIND(",", MAIN!E161)-1, LEN(MAIN!E161))), " ", ""), lookup_values!$D$2:$E$197, 2, FALSE)), "--", VLOOKUP(SUBSTITUTE(LEFT(MAIN!E161, IFERROR(FIND(",", MAIN!E161)-1, LEN(MAIN!E161))), " ", ""), lookup_values!$D$2:$E$197, 2, FALSE)))))</f>
        <v>--</v>
      </c>
      <c r="F161" t="str">
        <f>IF(ISBLANK(MAIN!F161), "", IF(AND(ISNUMBER(VALUE(TRIM(MAIN!F161))), LEN(TRIM(MAIN!F161))=4), VALUE(TRIM(MAIN!F161)), ""))</f>
        <v/>
      </c>
      <c r="G161">
        <f>IF(ISBLANK(MAIN!G161), 0, IF(ISNUMBER(VALUE(TRIM(MAIN!G161))), VALUE(TRIM(MAIN!G161)), 0))</f>
        <v>0</v>
      </c>
      <c r="H161">
        <f>IF(ISBLANK(MAIN!H161), 0, IF(ISNUMBER(VALUE(TRIM(MAIN!H161))), VALUE(TRIM(MAIN!H161)), 0))</f>
        <v>0</v>
      </c>
      <c r="I161">
        <f>IF(ISBLANK(MAIN!I161), 0, IF(ISNUMBER(VALUE(TRIM(MAIN!I161))), VALUE(TRIM(MAIN!I161)), 0))</f>
        <v>0</v>
      </c>
      <c r="J161">
        <f>IF(ISBLANK(MAIN!J161), 0, IF(ISNUMBER(VALUE(TRIM(MAIN!J161))), VALUE(TRIM(MAIN!J161)), 0))</f>
        <v>0</v>
      </c>
      <c r="K161" cm="1">
        <f t="array" ref="K161">IFERROR(
    VALUE(
        IFERROR(
            UPPER(
                IF(MAX(IFERROR(SEARCH("WD",MAIN!G161:J161), 0))&gt;0, "WD",
                IF(MAX(IFERROR(SEARCH("NS",MAIN!G161:J161), 0))&gt;0, "NS",
                IF(MAX(IFERROR(SEARCH("NC",MAIN!G161:J161), 0))&gt;0, "NC",
                IF(MAX(IFERROR(SEARCH("DQ",MAIN!G161:J161), 0))&gt;0, "DQ",
                IF(ISNUMBER(SEARCH("WD",MAIN!K161)), "WD",
                IF(ISNUMBER(SEARCH("NS",MAIN!K161)), "NS",
                IF(ISNUMBER(SEARCH("NC",MAIN!K161)), "NC",
                IF(ISNUMBER(SEARCH("DQ",MAIN!K161)), "DQ",
                IF(ISNUMBER(SEARCH("A",MAIN!K161)), 0,
                IF(OR(MAIN!K161=0,MAIN!K161=""), 0, --TRIM(MAIN!K161)))))))))))),
            0
        )
    ),
    IFERROR(
        UPPER(
            IF(MAX(IFERROR(SEARCH("WD",MAIN!G161:J161), 0))&gt;0, "WD",
            IF(MAX(IFERROR(SEARCH("NS",MAIN!G161:J161), 0))&gt;0, "NS",
            IF(MAX(IFERROR(SEARCH("NC",MAIN!G161:J161), 0))&gt;0, "NC",
            IF(MAX(IFERROR(SEARCH("DQ",MAIN!G161:J161), 0))&gt;0, "DQ",
            IF(ISNUMBER(SEARCH("WD",MAIN!K161)), "WD",
            IF(ISNUMBER(SEARCH("NS",MAIN!K161)), "NS",
            IF(ISNUMBER(SEARCH("NC",MAIN!K161)), "NC",
            IF(ISNUMBER(SEARCH("DQ",MAIN!K161)), "DQ",
            IF(ISNUMBER(SEARCH("A",MAIN!K161)), 0,
            IF(OR(MAIN!K161=0,MAIN!K161=""), 0, --TRIM(MAIN!K161)))))))))))),
        0
    )
)</f>
        <v>0</v>
      </c>
    </row>
    <row r="162" spans="1:11" x14ac:dyDescent="0.25">
      <c r="A162" t="str">
        <f>IF(ISBLANK(MAIN!A162), "--", IFERROR(PROPER(SUBSTITUTE(SUBSTITUTE(SUBSTITUTE(SUBSTITUTE(SUBSTITUTE(SUBSTITUTE(SUBSTITUTE(SUBSTITUTE(SUBSTITUTE(SUBSTITUTE(LEFT(MAIN!A162, FIND(",",MAIN!A162) -1), "0", ""), "1", ""), "2", ""), "3", ""), "4", ""), "5", ""), "6", ""), "7", ""), "8", ""), "9", "")), PROPER(SUBSTITUTE(SUBSTITUTE(SUBSTITUTE(SUBSTITUTE(SUBSTITUTE(SUBSTITUTE(SUBSTITUTE(SUBSTITUTE(SUBSTITUTE(SUBSTITUTE(MAIN!A162, "0", ""), "1", ""), "2", ""), "3", ""), "4", ""), "5", ""), "6", ""), "7", ""), "8", ""), "9", ""))))</f>
        <v>--</v>
      </c>
      <c r="B162" t="str">
        <f>IF(ISBLANK(MAIN!B162), "--", IFERROR(PROPER(SUBSTITUTE(SUBSTITUTE(SUBSTITUTE(SUBSTITUTE(SUBSTITUTE(SUBSTITUTE(SUBSTITUTE(SUBSTITUTE(SUBSTITUTE(SUBSTITUTE(LEFT(MAIN!B162, FIND(",",MAIN!B162) -1), "0", ""), "1", ""), "2", ""), "3", ""), "4", ""), "5", ""), "6", ""), "7", ""), "8", ""), "9", "")), PROPER(SUBSTITUTE(SUBSTITUTE(SUBSTITUTE(SUBSTITUTE(SUBSTITUTE(SUBSTITUTE(SUBSTITUTE(SUBSTITUTE(SUBSTITUTE(SUBSTITUTE(MAIN!B162, "0", ""), "1", ""), "2", ""), "3", ""), "4", ""), "5", ""), "6", ""), "7", ""), "8", ""), "9", ""))))</f>
        <v>--</v>
      </c>
      <c r="C162" t="str">
        <f>IF(ISBLANK(MAIN!C162), "--", IFERROR(PROPER(SUBSTITUTE(SUBSTITUTE(SUBSTITUTE(SUBSTITUTE(SUBSTITUTE(SUBSTITUTE(SUBSTITUTE(SUBSTITUTE(SUBSTITUTE(SUBSTITUTE(LEFT(MAIN!C162, FIND(",",MAIN!C162) -1), "0", ""), "1", ""), "2", ""), "3", ""), "4", ""), "5", ""), "6", ""), "7", ""), "8", ""), "9", "")), PROPER(SUBSTITUTE(SUBSTITUTE(SUBSTITUTE(SUBSTITUTE(SUBSTITUTE(SUBSTITUTE(SUBSTITUTE(SUBSTITUTE(SUBSTITUTE(SUBSTITUTE(MAIN!C162, "0", ""), "1", ""), "2", ""), "3", ""), "4", ""), "5", ""), "6", ""), "7", ""), "8", ""), "9", ""))))</f>
        <v>--</v>
      </c>
      <c r="D162" t="str">
        <f>IF(ISBLANK(MAIN!D162), "--", IF(ISNUMBER(MATCH(SUBSTITUTE(LEFT(MAIN!D162, IFERROR(FIND(",", MAIN!D162)-1, LEN(MAIN!D162))), " ", ""), lookup_values!$B$2:$B$51, 0)), UPPER(SUBSTITUTE(LEFT(MAIN!D162, IFERROR(FIND(",", MAIN!D162)-1, LEN(MAIN!D162))), " ", "")), IF(ISNA(VLOOKUP(SUBSTITUTE(LEFT(MAIN!D162, IFERROR(FIND(",", MAIN!D162)-1, LEN(MAIN!D162))), " ", ""), lookup_values!$A$2:$B$51, 2, FALSE)), "--", VLOOKUP(SUBSTITUTE(LEFT(MAIN!D162, IFERROR(FIND(",", MAIN!D162)-1, LEN(MAIN!D162))), " ", ""), lookup_values!$A$2:$B$51, 2, FALSE))))</f>
        <v>--</v>
      </c>
      <c r="E162" t="str">
        <f>IF(CLEAN_DATA!D162&lt;&gt;"--","US",IF(ISBLANK(MAIN!E162), "--", IF(ISNUMBER(MATCH(SUBSTITUTE(LEFT(MAIN!E162, IFERROR(FIND(",", MAIN!E162)-1, LEN(MAIN!E162))), " ", ""), lookup_values!$E$2:$E$197, 0)), UPPER(SUBSTITUTE(LEFT(MAIN!E162, IFERROR(FIND(",", MAIN!E162)-1, LEN(MAIN!E162))), " ", "")), IF(ISNA(VLOOKUP(SUBSTITUTE(LEFT(MAIN!E162, IFERROR(FIND(",", MAIN!E162)-1, LEN(MAIN!E162))), " ", ""), lookup_values!$D$2:$E$197, 2, FALSE)), "--", VLOOKUP(SUBSTITUTE(LEFT(MAIN!E162, IFERROR(FIND(",", MAIN!E162)-1, LEN(MAIN!E162))), " ", ""), lookup_values!$D$2:$E$197, 2, FALSE)))))</f>
        <v>--</v>
      </c>
      <c r="F162" t="str">
        <f>IF(ISBLANK(MAIN!F162), "", IF(AND(ISNUMBER(VALUE(TRIM(MAIN!F162))), LEN(TRIM(MAIN!F162))=4), VALUE(TRIM(MAIN!F162)), ""))</f>
        <v/>
      </c>
      <c r="G162">
        <f>IF(ISBLANK(MAIN!G162), 0, IF(ISNUMBER(VALUE(TRIM(MAIN!G162))), VALUE(TRIM(MAIN!G162)), 0))</f>
        <v>0</v>
      </c>
      <c r="H162">
        <f>IF(ISBLANK(MAIN!H162), 0, IF(ISNUMBER(VALUE(TRIM(MAIN!H162))), VALUE(TRIM(MAIN!H162)), 0))</f>
        <v>0</v>
      </c>
      <c r="I162">
        <f>IF(ISBLANK(MAIN!I162), 0, IF(ISNUMBER(VALUE(TRIM(MAIN!I162))), VALUE(TRIM(MAIN!I162)), 0))</f>
        <v>0</v>
      </c>
      <c r="J162">
        <f>IF(ISBLANK(MAIN!J162), 0, IF(ISNUMBER(VALUE(TRIM(MAIN!J162))), VALUE(TRIM(MAIN!J162)), 0))</f>
        <v>0</v>
      </c>
      <c r="K162" cm="1">
        <f t="array" ref="K162">IFERROR(
    VALUE(
        IFERROR(
            UPPER(
                IF(MAX(IFERROR(SEARCH("WD",MAIN!G162:J162), 0))&gt;0, "WD",
                IF(MAX(IFERROR(SEARCH("NS",MAIN!G162:J162), 0))&gt;0, "NS",
                IF(MAX(IFERROR(SEARCH("NC",MAIN!G162:J162), 0))&gt;0, "NC",
                IF(MAX(IFERROR(SEARCH("DQ",MAIN!G162:J162), 0))&gt;0, "DQ",
                IF(ISNUMBER(SEARCH("WD",MAIN!K162)), "WD",
                IF(ISNUMBER(SEARCH("NS",MAIN!K162)), "NS",
                IF(ISNUMBER(SEARCH("NC",MAIN!K162)), "NC",
                IF(ISNUMBER(SEARCH("DQ",MAIN!K162)), "DQ",
                IF(ISNUMBER(SEARCH("A",MAIN!K162)), 0,
                IF(OR(MAIN!K162=0,MAIN!K162=""), 0, --TRIM(MAIN!K162)))))))))))),
            0
        )
    ),
    IFERROR(
        UPPER(
            IF(MAX(IFERROR(SEARCH("WD",MAIN!G162:J162), 0))&gt;0, "WD",
            IF(MAX(IFERROR(SEARCH("NS",MAIN!G162:J162), 0))&gt;0, "NS",
            IF(MAX(IFERROR(SEARCH("NC",MAIN!G162:J162), 0))&gt;0, "NC",
            IF(MAX(IFERROR(SEARCH("DQ",MAIN!G162:J162), 0))&gt;0, "DQ",
            IF(ISNUMBER(SEARCH("WD",MAIN!K162)), "WD",
            IF(ISNUMBER(SEARCH("NS",MAIN!K162)), "NS",
            IF(ISNUMBER(SEARCH("NC",MAIN!K162)), "NC",
            IF(ISNUMBER(SEARCH("DQ",MAIN!K162)), "DQ",
            IF(ISNUMBER(SEARCH("A",MAIN!K162)), 0,
            IF(OR(MAIN!K162=0,MAIN!K162=""), 0, --TRIM(MAIN!K162)))))))))))),
        0
    )
)</f>
        <v>0</v>
      </c>
    </row>
    <row r="163" spans="1:11" x14ac:dyDescent="0.25">
      <c r="A163" t="str">
        <f>IF(ISBLANK(MAIN!A163), "--", IFERROR(PROPER(SUBSTITUTE(SUBSTITUTE(SUBSTITUTE(SUBSTITUTE(SUBSTITUTE(SUBSTITUTE(SUBSTITUTE(SUBSTITUTE(SUBSTITUTE(SUBSTITUTE(LEFT(MAIN!A163, FIND(",",MAIN!A163) -1), "0", ""), "1", ""), "2", ""), "3", ""), "4", ""), "5", ""), "6", ""), "7", ""), "8", ""), "9", "")), PROPER(SUBSTITUTE(SUBSTITUTE(SUBSTITUTE(SUBSTITUTE(SUBSTITUTE(SUBSTITUTE(SUBSTITUTE(SUBSTITUTE(SUBSTITUTE(SUBSTITUTE(MAIN!A163, "0", ""), "1", ""), "2", ""), "3", ""), "4", ""), "5", ""), "6", ""), "7", ""), "8", ""), "9", ""))))</f>
        <v>--</v>
      </c>
      <c r="B163" t="str">
        <f>IF(ISBLANK(MAIN!B163), "--", IFERROR(PROPER(SUBSTITUTE(SUBSTITUTE(SUBSTITUTE(SUBSTITUTE(SUBSTITUTE(SUBSTITUTE(SUBSTITUTE(SUBSTITUTE(SUBSTITUTE(SUBSTITUTE(LEFT(MAIN!B163, FIND(",",MAIN!B163) -1), "0", ""), "1", ""), "2", ""), "3", ""), "4", ""), "5", ""), "6", ""), "7", ""), "8", ""), "9", "")), PROPER(SUBSTITUTE(SUBSTITUTE(SUBSTITUTE(SUBSTITUTE(SUBSTITUTE(SUBSTITUTE(SUBSTITUTE(SUBSTITUTE(SUBSTITUTE(SUBSTITUTE(MAIN!B163, "0", ""), "1", ""), "2", ""), "3", ""), "4", ""), "5", ""), "6", ""), "7", ""), "8", ""), "9", ""))))</f>
        <v>--</v>
      </c>
      <c r="C163" t="str">
        <f>IF(ISBLANK(MAIN!C163), "--", IFERROR(PROPER(SUBSTITUTE(SUBSTITUTE(SUBSTITUTE(SUBSTITUTE(SUBSTITUTE(SUBSTITUTE(SUBSTITUTE(SUBSTITUTE(SUBSTITUTE(SUBSTITUTE(LEFT(MAIN!C163, FIND(",",MAIN!C163) -1), "0", ""), "1", ""), "2", ""), "3", ""), "4", ""), "5", ""), "6", ""), "7", ""), "8", ""), "9", "")), PROPER(SUBSTITUTE(SUBSTITUTE(SUBSTITUTE(SUBSTITUTE(SUBSTITUTE(SUBSTITUTE(SUBSTITUTE(SUBSTITUTE(SUBSTITUTE(SUBSTITUTE(MAIN!C163, "0", ""), "1", ""), "2", ""), "3", ""), "4", ""), "5", ""), "6", ""), "7", ""), "8", ""), "9", ""))))</f>
        <v>--</v>
      </c>
      <c r="D163" t="str">
        <f>IF(ISBLANK(MAIN!D163), "--", IF(ISNUMBER(MATCH(SUBSTITUTE(LEFT(MAIN!D163, IFERROR(FIND(",", MAIN!D163)-1, LEN(MAIN!D163))), " ", ""), lookup_values!$B$2:$B$51, 0)), UPPER(SUBSTITUTE(LEFT(MAIN!D163, IFERROR(FIND(",", MAIN!D163)-1, LEN(MAIN!D163))), " ", "")), IF(ISNA(VLOOKUP(SUBSTITUTE(LEFT(MAIN!D163, IFERROR(FIND(",", MAIN!D163)-1, LEN(MAIN!D163))), " ", ""), lookup_values!$A$2:$B$51, 2, FALSE)), "--", VLOOKUP(SUBSTITUTE(LEFT(MAIN!D163, IFERROR(FIND(",", MAIN!D163)-1, LEN(MAIN!D163))), " ", ""), lookup_values!$A$2:$B$51, 2, FALSE))))</f>
        <v>--</v>
      </c>
      <c r="E163" t="str">
        <f>IF(CLEAN_DATA!D163&lt;&gt;"--","US",IF(ISBLANK(MAIN!E163), "--", IF(ISNUMBER(MATCH(SUBSTITUTE(LEFT(MAIN!E163, IFERROR(FIND(",", MAIN!E163)-1, LEN(MAIN!E163))), " ", ""), lookup_values!$E$2:$E$197, 0)), UPPER(SUBSTITUTE(LEFT(MAIN!E163, IFERROR(FIND(",", MAIN!E163)-1, LEN(MAIN!E163))), " ", "")), IF(ISNA(VLOOKUP(SUBSTITUTE(LEFT(MAIN!E163, IFERROR(FIND(",", MAIN!E163)-1, LEN(MAIN!E163))), " ", ""), lookup_values!$D$2:$E$197, 2, FALSE)), "--", VLOOKUP(SUBSTITUTE(LEFT(MAIN!E163, IFERROR(FIND(",", MAIN!E163)-1, LEN(MAIN!E163))), " ", ""), lookup_values!$D$2:$E$197, 2, FALSE)))))</f>
        <v>--</v>
      </c>
      <c r="F163" t="str">
        <f>IF(ISBLANK(MAIN!F163), "", IF(AND(ISNUMBER(VALUE(TRIM(MAIN!F163))), LEN(TRIM(MAIN!F163))=4), VALUE(TRIM(MAIN!F163)), ""))</f>
        <v/>
      </c>
      <c r="G163">
        <f>IF(ISBLANK(MAIN!G163), 0, IF(ISNUMBER(VALUE(TRIM(MAIN!G163))), VALUE(TRIM(MAIN!G163)), 0))</f>
        <v>0</v>
      </c>
      <c r="H163">
        <f>IF(ISBLANK(MAIN!H163), 0, IF(ISNUMBER(VALUE(TRIM(MAIN!H163))), VALUE(TRIM(MAIN!H163)), 0))</f>
        <v>0</v>
      </c>
      <c r="I163">
        <f>IF(ISBLANK(MAIN!I163), 0, IF(ISNUMBER(VALUE(TRIM(MAIN!I163))), VALUE(TRIM(MAIN!I163)), 0))</f>
        <v>0</v>
      </c>
      <c r="J163">
        <f>IF(ISBLANK(MAIN!J163), 0, IF(ISNUMBER(VALUE(TRIM(MAIN!J163))), VALUE(TRIM(MAIN!J163)), 0))</f>
        <v>0</v>
      </c>
      <c r="K163" cm="1">
        <f t="array" ref="K163">IFERROR(
    VALUE(
        IFERROR(
            UPPER(
                IF(MAX(IFERROR(SEARCH("WD",MAIN!G163:J163), 0))&gt;0, "WD",
                IF(MAX(IFERROR(SEARCH("NS",MAIN!G163:J163), 0))&gt;0, "NS",
                IF(MAX(IFERROR(SEARCH("NC",MAIN!G163:J163), 0))&gt;0, "NC",
                IF(MAX(IFERROR(SEARCH("DQ",MAIN!G163:J163), 0))&gt;0, "DQ",
                IF(ISNUMBER(SEARCH("WD",MAIN!K163)), "WD",
                IF(ISNUMBER(SEARCH("NS",MAIN!K163)), "NS",
                IF(ISNUMBER(SEARCH("NC",MAIN!K163)), "NC",
                IF(ISNUMBER(SEARCH("DQ",MAIN!K163)), "DQ",
                IF(ISNUMBER(SEARCH("A",MAIN!K163)), 0,
                IF(OR(MAIN!K163=0,MAIN!K163=""), 0, --TRIM(MAIN!K163)))))))))))),
            0
        )
    ),
    IFERROR(
        UPPER(
            IF(MAX(IFERROR(SEARCH("WD",MAIN!G163:J163), 0))&gt;0, "WD",
            IF(MAX(IFERROR(SEARCH("NS",MAIN!G163:J163), 0))&gt;0, "NS",
            IF(MAX(IFERROR(SEARCH("NC",MAIN!G163:J163), 0))&gt;0, "NC",
            IF(MAX(IFERROR(SEARCH("DQ",MAIN!G163:J163), 0))&gt;0, "DQ",
            IF(ISNUMBER(SEARCH("WD",MAIN!K163)), "WD",
            IF(ISNUMBER(SEARCH("NS",MAIN!K163)), "NS",
            IF(ISNUMBER(SEARCH("NC",MAIN!K163)), "NC",
            IF(ISNUMBER(SEARCH("DQ",MAIN!K163)), "DQ",
            IF(ISNUMBER(SEARCH("A",MAIN!K163)), 0,
            IF(OR(MAIN!K163=0,MAIN!K163=""), 0, --TRIM(MAIN!K163)))))))))))),
        0
    )
)</f>
        <v>0</v>
      </c>
    </row>
    <row r="164" spans="1:11" x14ac:dyDescent="0.25">
      <c r="A164" t="str">
        <f>IF(ISBLANK(MAIN!A164), "--", IFERROR(PROPER(SUBSTITUTE(SUBSTITUTE(SUBSTITUTE(SUBSTITUTE(SUBSTITUTE(SUBSTITUTE(SUBSTITUTE(SUBSTITUTE(SUBSTITUTE(SUBSTITUTE(LEFT(MAIN!A164, FIND(",",MAIN!A164) -1), "0", ""), "1", ""), "2", ""), "3", ""), "4", ""), "5", ""), "6", ""), "7", ""), "8", ""), "9", "")), PROPER(SUBSTITUTE(SUBSTITUTE(SUBSTITUTE(SUBSTITUTE(SUBSTITUTE(SUBSTITUTE(SUBSTITUTE(SUBSTITUTE(SUBSTITUTE(SUBSTITUTE(MAIN!A164, "0", ""), "1", ""), "2", ""), "3", ""), "4", ""), "5", ""), "6", ""), "7", ""), "8", ""), "9", ""))))</f>
        <v>--</v>
      </c>
      <c r="B164" t="str">
        <f>IF(ISBLANK(MAIN!B164), "--", IFERROR(PROPER(SUBSTITUTE(SUBSTITUTE(SUBSTITUTE(SUBSTITUTE(SUBSTITUTE(SUBSTITUTE(SUBSTITUTE(SUBSTITUTE(SUBSTITUTE(SUBSTITUTE(LEFT(MAIN!B164, FIND(",",MAIN!B164) -1), "0", ""), "1", ""), "2", ""), "3", ""), "4", ""), "5", ""), "6", ""), "7", ""), "8", ""), "9", "")), PROPER(SUBSTITUTE(SUBSTITUTE(SUBSTITUTE(SUBSTITUTE(SUBSTITUTE(SUBSTITUTE(SUBSTITUTE(SUBSTITUTE(SUBSTITUTE(SUBSTITUTE(MAIN!B164, "0", ""), "1", ""), "2", ""), "3", ""), "4", ""), "5", ""), "6", ""), "7", ""), "8", ""), "9", ""))))</f>
        <v>--</v>
      </c>
      <c r="C164" t="str">
        <f>IF(ISBLANK(MAIN!C164), "--", IFERROR(PROPER(SUBSTITUTE(SUBSTITUTE(SUBSTITUTE(SUBSTITUTE(SUBSTITUTE(SUBSTITUTE(SUBSTITUTE(SUBSTITUTE(SUBSTITUTE(SUBSTITUTE(LEFT(MAIN!C164, FIND(",",MAIN!C164) -1), "0", ""), "1", ""), "2", ""), "3", ""), "4", ""), "5", ""), "6", ""), "7", ""), "8", ""), "9", "")), PROPER(SUBSTITUTE(SUBSTITUTE(SUBSTITUTE(SUBSTITUTE(SUBSTITUTE(SUBSTITUTE(SUBSTITUTE(SUBSTITUTE(SUBSTITUTE(SUBSTITUTE(MAIN!C164, "0", ""), "1", ""), "2", ""), "3", ""), "4", ""), "5", ""), "6", ""), "7", ""), "8", ""), "9", ""))))</f>
        <v>--</v>
      </c>
      <c r="D164" t="str">
        <f>IF(ISBLANK(MAIN!D164), "--", IF(ISNUMBER(MATCH(SUBSTITUTE(LEFT(MAIN!D164, IFERROR(FIND(",", MAIN!D164)-1, LEN(MAIN!D164))), " ", ""), lookup_values!$B$2:$B$51, 0)), UPPER(SUBSTITUTE(LEFT(MAIN!D164, IFERROR(FIND(",", MAIN!D164)-1, LEN(MAIN!D164))), " ", "")), IF(ISNA(VLOOKUP(SUBSTITUTE(LEFT(MAIN!D164, IFERROR(FIND(",", MAIN!D164)-1, LEN(MAIN!D164))), " ", ""), lookup_values!$A$2:$B$51, 2, FALSE)), "--", VLOOKUP(SUBSTITUTE(LEFT(MAIN!D164, IFERROR(FIND(",", MAIN!D164)-1, LEN(MAIN!D164))), " ", ""), lookup_values!$A$2:$B$51, 2, FALSE))))</f>
        <v>--</v>
      </c>
      <c r="E164" t="str">
        <f>IF(CLEAN_DATA!D164&lt;&gt;"--","US",IF(ISBLANK(MAIN!E164), "--", IF(ISNUMBER(MATCH(SUBSTITUTE(LEFT(MAIN!E164, IFERROR(FIND(",", MAIN!E164)-1, LEN(MAIN!E164))), " ", ""), lookup_values!$E$2:$E$197, 0)), UPPER(SUBSTITUTE(LEFT(MAIN!E164, IFERROR(FIND(",", MAIN!E164)-1, LEN(MAIN!E164))), " ", "")), IF(ISNA(VLOOKUP(SUBSTITUTE(LEFT(MAIN!E164, IFERROR(FIND(",", MAIN!E164)-1, LEN(MAIN!E164))), " ", ""), lookup_values!$D$2:$E$197, 2, FALSE)), "--", VLOOKUP(SUBSTITUTE(LEFT(MAIN!E164, IFERROR(FIND(",", MAIN!E164)-1, LEN(MAIN!E164))), " ", ""), lookup_values!$D$2:$E$197, 2, FALSE)))))</f>
        <v>--</v>
      </c>
      <c r="F164" t="str">
        <f>IF(ISBLANK(MAIN!F164), "", IF(AND(ISNUMBER(VALUE(TRIM(MAIN!F164))), LEN(TRIM(MAIN!F164))=4), VALUE(TRIM(MAIN!F164)), ""))</f>
        <v/>
      </c>
      <c r="G164">
        <f>IF(ISBLANK(MAIN!G164), 0, IF(ISNUMBER(VALUE(TRIM(MAIN!G164))), VALUE(TRIM(MAIN!G164)), 0))</f>
        <v>0</v>
      </c>
      <c r="H164">
        <f>IF(ISBLANK(MAIN!H164), 0, IF(ISNUMBER(VALUE(TRIM(MAIN!H164))), VALUE(TRIM(MAIN!H164)), 0))</f>
        <v>0</v>
      </c>
      <c r="I164">
        <f>IF(ISBLANK(MAIN!I164), 0, IF(ISNUMBER(VALUE(TRIM(MAIN!I164))), VALUE(TRIM(MAIN!I164)), 0))</f>
        <v>0</v>
      </c>
      <c r="J164">
        <f>IF(ISBLANK(MAIN!J164), 0, IF(ISNUMBER(VALUE(TRIM(MAIN!J164))), VALUE(TRIM(MAIN!J164)), 0))</f>
        <v>0</v>
      </c>
      <c r="K164" cm="1">
        <f t="array" ref="K164">IFERROR(
    VALUE(
        IFERROR(
            UPPER(
                IF(MAX(IFERROR(SEARCH("WD",MAIN!G164:J164), 0))&gt;0, "WD",
                IF(MAX(IFERROR(SEARCH("NS",MAIN!G164:J164), 0))&gt;0, "NS",
                IF(MAX(IFERROR(SEARCH("NC",MAIN!G164:J164), 0))&gt;0, "NC",
                IF(MAX(IFERROR(SEARCH("DQ",MAIN!G164:J164), 0))&gt;0, "DQ",
                IF(ISNUMBER(SEARCH("WD",MAIN!K164)), "WD",
                IF(ISNUMBER(SEARCH("NS",MAIN!K164)), "NS",
                IF(ISNUMBER(SEARCH("NC",MAIN!K164)), "NC",
                IF(ISNUMBER(SEARCH("DQ",MAIN!K164)), "DQ",
                IF(ISNUMBER(SEARCH("A",MAIN!K164)), 0,
                IF(OR(MAIN!K164=0,MAIN!K164=""), 0, --TRIM(MAIN!K164)))))))))))),
            0
        )
    ),
    IFERROR(
        UPPER(
            IF(MAX(IFERROR(SEARCH("WD",MAIN!G164:J164), 0))&gt;0, "WD",
            IF(MAX(IFERROR(SEARCH("NS",MAIN!G164:J164), 0))&gt;0, "NS",
            IF(MAX(IFERROR(SEARCH("NC",MAIN!G164:J164), 0))&gt;0, "NC",
            IF(MAX(IFERROR(SEARCH("DQ",MAIN!G164:J164), 0))&gt;0, "DQ",
            IF(ISNUMBER(SEARCH("WD",MAIN!K164)), "WD",
            IF(ISNUMBER(SEARCH("NS",MAIN!K164)), "NS",
            IF(ISNUMBER(SEARCH("NC",MAIN!K164)), "NC",
            IF(ISNUMBER(SEARCH("DQ",MAIN!K164)), "DQ",
            IF(ISNUMBER(SEARCH("A",MAIN!K164)), 0,
            IF(OR(MAIN!K164=0,MAIN!K164=""), 0, --TRIM(MAIN!K164)))))))))))),
        0
    )
)</f>
        <v>0</v>
      </c>
    </row>
    <row r="165" spans="1:11" x14ac:dyDescent="0.25">
      <c r="A165" t="str">
        <f>IF(ISBLANK(MAIN!A165), "--", IFERROR(PROPER(SUBSTITUTE(SUBSTITUTE(SUBSTITUTE(SUBSTITUTE(SUBSTITUTE(SUBSTITUTE(SUBSTITUTE(SUBSTITUTE(SUBSTITUTE(SUBSTITUTE(LEFT(MAIN!A165, FIND(",",MAIN!A165) -1), "0", ""), "1", ""), "2", ""), "3", ""), "4", ""), "5", ""), "6", ""), "7", ""), "8", ""), "9", "")), PROPER(SUBSTITUTE(SUBSTITUTE(SUBSTITUTE(SUBSTITUTE(SUBSTITUTE(SUBSTITUTE(SUBSTITUTE(SUBSTITUTE(SUBSTITUTE(SUBSTITUTE(MAIN!A165, "0", ""), "1", ""), "2", ""), "3", ""), "4", ""), "5", ""), "6", ""), "7", ""), "8", ""), "9", ""))))</f>
        <v>--</v>
      </c>
      <c r="B165" t="str">
        <f>IF(ISBLANK(MAIN!B165), "--", IFERROR(PROPER(SUBSTITUTE(SUBSTITUTE(SUBSTITUTE(SUBSTITUTE(SUBSTITUTE(SUBSTITUTE(SUBSTITUTE(SUBSTITUTE(SUBSTITUTE(SUBSTITUTE(LEFT(MAIN!B165, FIND(",",MAIN!B165) -1), "0", ""), "1", ""), "2", ""), "3", ""), "4", ""), "5", ""), "6", ""), "7", ""), "8", ""), "9", "")), PROPER(SUBSTITUTE(SUBSTITUTE(SUBSTITUTE(SUBSTITUTE(SUBSTITUTE(SUBSTITUTE(SUBSTITUTE(SUBSTITUTE(SUBSTITUTE(SUBSTITUTE(MAIN!B165, "0", ""), "1", ""), "2", ""), "3", ""), "4", ""), "5", ""), "6", ""), "7", ""), "8", ""), "9", ""))))</f>
        <v>--</v>
      </c>
      <c r="C165" t="str">
        <f>IF(ISBLANK(MAIN!C165), "--", IFERROR(PROPER(SUBSTITUTE(SUBSTITUTE(SUBSTITUTE(SUBSTITUTE(SUBSTITUTE(SUBSTITUTE(SUBSTITUTE(SUBSTITUTE(SUBSTITUTE(SUBSTITUTE(LEFT(MAIN!C165, FIND(",",MAIN!C165) -1), "0", ""), "1", ""), "2", ""), "3", ""), "4", ""), "5", ""), "6", ""), "7", ""), "8", ""), "9", "")), PROPER(SUBSTITUTE(SUBSTITUTE(SUBSTITUTE(SUBSTITUTE(SUBSTITUTE(SUBSTITUTE(SUBSTITUTE(SUBSTITUTE(SUBSTITUTE(SUBSTITUTE(MAIN!C165, "0", ""), "1", ""), "2", ""), "3", ""), "4", ""), "5", ""), "6", ""), "7", ""), "8", ""), "9", ""))))</f>
        <v>--</v>
      </c>
      <c r="D165" t="str">
        <f>IF(ISBLANK(MAIN!D165), "--", IF(ISNUMBER(MATCH(SUBSTITUTE(LEFT(MAIN!D165, IFERROR(FIND(",", MAIN!D165)-1, LEN(MAIN!D165))), " ", ""), lookup_values!$B$2:$B$51, 0)), UPPER(SUBSTITUTE(LEFT(MAIN!D165, IFERROR(FIND(",", MAIN!D165)-1, LEN(MAIN!D165))), " ", "")), IF(ISNA(VLOOKUP(SUBSTITUTE(LEFT(MAIN!D165, IFERROR(FIND(",", MAIN!D165)-1, LEN(MAIN!D165))), " ", ""), lookup_values!$A$2:$B$51, 2, FALSE)), "--", VLOOKUP(SUBSTITUTE(LEFT(MAIN!D165, IFERROR(FIND(",", MAIN!D165)-1, LEN(MAIN!D165))), " ", ""), lookup_values!$A$2:$B$51, 2, FALSE))))</f>
        <v>--</v>
      </c>
      <c r="E165" t="str">
        <f>IF(CLEAN_DATA!D165&lt;&gt;"--","US",IF(ISBLANK(MAIN!E165), "--", IF(ISNUMBER(MATCH(SUBSTITUTE(LEFT(MAIN!E165, IFERROR(FIND(",", MAIN!E165)-1, LEN(MAIN!E165))), " ", ""), lookup_values!$E$2:$E$197, 0)), UPPER(SUBSTITUTE(LEFT(MAIN!E165, IFERROR(FIND(",", MAIN!E165)-1, LEN(MAIN!E165))), " ", "")), IF(ISNA(VLOOKUP(SUBSTITUTE(LEFT(MAIN!E165, IFERROR(FIND(",", MAIN!E165)-1, LEN(MAIN!E165))), " ", ""), lookup_values!$D$2:$E$197, 2, FALSE)), "--", VLOOKUP(SUBSTITUTE(LEFT(MAIN!E165, IFERROR(FIND(",", MAIN!E165)-1, LEN(MAIN!E165))), " ", ""), lookup_values!$D$2:$E$197, 2, FALSE)))))</f>
        <v>--</v>
      </c>
      <c r="F165" t="str">
        <f>IF(ISBLANK(MAIN!F165), "", IF(AND(ISNUMBER(VALUE(TRIM(MAIN!F165))), LEN(TRIM(MAIN!F165))=4), VALUE(TRIM(MAIN!F165)), ""))</f>
        <v/>
      </c>
      <c r="G165">
        <f>IF(ISBLANK(MAIN!G165), 0, IF(ISNUMBER(VALUE(TRIM(MAIN!G165))), VALUE(TRIM(MAIN!G165)), 0))</f>
        <v>0</v>
      </c>
      <c r="H165">
        <f>IF(ISBLANK(MAIN!H165), 0, IF(ISNUMBER(VALUE(TRIM(MAIN!H165))), VALUE(TRIM(MAIN!H165)), 0))</f>
        <v>0</v>
      </c>
      <c r="I165">
        <f>IF(ISBLANK(MAIN!I165), 0, IF(ISNUMBER(VALUE(TRIM(MAIN!I165))), VALUE(TRIM(MAIN!I165)), 0))</f>
        <v>0</v>
      </c>
      <c r="J165">
        <f>IF(ISBLANK(MAIN!J165), 0, IF(ISNUMBER(VALUE(TRIM(MAIN!J165))), VALUE(TRIM(MAIN!J165)), 0))</f>
        <v>0</v>
      </c>
      <c r="K165" cm="1">
        <f t="array" ref="K165">IFERROR(
    VALUE(
        IFERROR(
            UPPER(
                IF(MAX(IFERROR(SEARCH("WD",MAIN!G165:J165), 0))&gt;0, "WD",
                IF(MAX(IFERROR(SEARCH("NS",MAIN!G165:J165), 0))&gt;0, "NS",
                IF(MAX(IFERROR(SEARCH("NC",MAIN!G165:J165), 0))&gt;0, "NC",
                IF(MAX(IFERROR(SEARCH("DQ",MAIN!G165:J165), 0))&gt;0, "DQ",
                IF(ISNUMBER(SEARCH("WD",MAIN!K165)), "WD",
                IF(ISNUMBER(SEARCH("NS",MAIN!K165)), "NS",
                IF(ISNUMBER(SEARCH("NC",MAIN!K165)), "NC",
                IF(ISNUMBER(SEARCH("DQ",MAIN!K165)), "DQ",
                IF(ISNUMBER(SEARCH("A",MAIN!K165)), 0,
                IF(OR(MAIN!K165=0,MAIN!K165=""), 0, --TRIM(MAIN!K165)))))))))))),
            0
        )
    ),
    IFERROR(
        UPPER(
            IF(MAX(IFERROR(SEARCH("WD",MAIN!G165:J165), 0))&gt;0, "WD",
            IF(MAX(IFERROR(SEARCH("NS",MAIN!G165:J165), 0))&gt;0, "NS",
            IF(MAX(IFERROR(SEARCH("NC",MAIN!G165:J165), 0))&gt;0, "NC",
            IF(MAX(IFERROR(SEARCH("DQ",MAIN!G165:J165), 0))&gt;0, "DQ",
            IF(ISNUMBER(SEARCH("WD",MAIN!K165)), "WD",
            IF(ISNUMBER(SEARCH("NS",MAIN!K165)), "NS",
            IF(ISNUMBER(SEARCH("NC",MAIN!K165)), "NC",
            IF(ISNUMBER(SEARCH("DQ",MAIN!K165)), "DQ",
            IF(ISNUMBER(SEARCH("A",MAIN!K165)), 0,
            IF(OR(MAIN!K165=0,MAIN!K165=""), 0, --TRIM(MAIN!K165)))))))))))),
        0
    )
)</f>
        <v>0</v>
      </c>
    </row>
    <row r="166" spans="1:11" x14ac:dyDescent="0.25">
      <c r="A166" t="str">
        <f>IF(ISBLANK(MAIN!A166), "--", IFERROR(PROPER(SUBSTITUTE(SUBSTITUTE(SUBSTITUTE(SUBSTITUTE(SUBSTITUTE(SUBSTITUTE(SUBSTITUTE(SUBSTITUTE(SUBSTITUTE(SUBSTITUTE(LEFT(MAIN!A166, FIND(",",MAIN!A166) -1), "0", ""), "1", ""), "2", ""), "3", ""), "4", ""), "5", ""), "6", ""), "7", ""), "8", ""), "9", "")), PROPER(SUBSTITUTE(SUBSTITUTE(SUBSTITUTE(SUBSTITUTE(SUBSTITUTE(SUBSTITUTE(SUBSTITUTE(SUBSTITUTE(SUBSTITUTE(SUBSTITUTE(MAIN!A166, "0", ""), "1", ""), "2", ""), "3", ""), "4", ""), "5", ""), "6", ""), "7", ""), "8", ""), "9", ""))))</f>
        <v>--</v>
      </c>
      <c r="B166" t="str">
        <f>IF(ISBLANK(MAIN!B166), "--", IFERROR(PROPER(SUBSTITUTE(SUBSTITUTE(SUBSTITUTE(SUBSTITUTE(SUBSTITUTE(SUBSTITUTE(SUBSTITUTE(SUBSTITUTE(SUBSTITUTE(SUBSTITUTE(LEFT(MAIN!B166, FIND(",",MAIN!B166) -1), "0", ""), "1", ""), "2", ""), "3", ""), "4", ""), "5", ""), "6", ""), "7", ""), "8", ""), "9", "")), PROPER(SUBSTITUTE(SUBSTITUTE(SUBSTITUTE(SUBSTITUTE(SUBSTITUTE(SUBSTITUTE(SUBSTITUTE(SUBSTITUTE(SUBSTITUTE(SUBSTITUTE(MAIN!B166, "0", ""), "1", ""), "2", ""), "3", ""), "4", ""), "5", ""), "6", ""), "7", ""), "8", ""), "9", ""))))</f>
        <v>--</v>
      </c>
      <c r="C166" t="str">
        <f>IF(ISBLANK(MAIN!C166), "--", IFERROR(PROPER(SUBSTITUTE(SUBSTITUTE(SUBSTITUTE(SUBSTITUTE(SUBSTITUTE(SUBSTITUTE(SUBSTITUTE(SUBSTITUTE(SUBSTITUTE(SUBSTITUTE(LEFT(MAIN!C166, FIND(",",MAIN!C166) -1), "0", ""), "1", ""), "2", ""), "3", ""), "4", ""), "5", ""), "6", ""), "7", ""), "8", ""), "9", "")), PROPER(SUBSTITUTE(SUBSTITUTE(SUBSTITUTE(SUBSTITUTE(SUBSTITUTE(SUBSTITUTE(SUBSTITUTE(SUBSTITUTE(SUBSTITUTE(SUBSTITUTE(MAIN!C166, "0", ""), "1", ""), "2", ""), "3", ""), "4", ""), "5", ""), "6", ""), "7", ""), "8", ""), "9", ""))))</f>
        <v>--</v>
      </c>
      <c r="D166" t="str">
        <f>IF(ISBLANK(MAIN!D166), "--", IF(ISNUMBER(MATCH(SUBSTITUTE(LEFT(MAIN!D166, IFERROR(FIND(",", MAIN!D166)-1, LEN(MAIN!D166))), " ", ""), lookup_values!$B$2:$B$51, 0)), UPPER(SUBSTITUTE(LEFT(MAIN!D166, IFERROR(FIND(",", MAIN!D166)-1, LEN(MAIN!D166))), " ", "")), IF(ISNA(VLOOKUP(SUBSTITUTE(LEFT(MAIN!D166, IFERROR(FIND(",", MAIN!D166)-1, LEN(MAIN!D166))), " ", ""), lookup_values!$A$2:$B$51, 2, FALSE)), "--", VLOOKUP(SUBSTITUTE(LEFT(MAIN!D166, IFERROR(FIND(",", MAIN!D166)-1, LEN(MAIN!D166))), " ", ""), lookup_values!$A$2:$B$51, 2, FALSE))))</f>
        <v>--</v>
      </c>
      <c r="E166" t="str">
        <f>IF(CLEAN_DATA!D166&lt;&gt;"--","US",IF(ISBLANK(MAIN!E166), "--", IF(ISNUMBER(MATCH(SUBSTITUTE(LEFT(MAIN!E166, IFERROR(FIND(",", MAIN!E166)-1, LEN(MAIN!E166))), " ", ""), lookup_values!$E$2:$E$197, 0)), UPPER(SUBSTITUTE(LEFT(MAIN!E166, IFERROR(FIND(",", MAIN!E166)-1, LEN(MAIN!E166))), " ", "")), IF(ISNA(VLOOKUP(SUBSTITUTE(LEFT(MAIN!E166, IFERROR(FIND(",", MAIN!E166)-1, LEN(MAIN!E166))), " ", ""), lookup_values!$D$2:$E$197, 2, FALSE)), "--", VLOOKUP(SUBSTITUTE(LEFT(MAIN!E166, IFERROR(FIND(",", MAIN!E166)-1, LEN(MAIN!E166))), " ", ""), lookup_values!$D$2:$E$197, 2, FALSE)))))</f>
        <v>--</v>
      </c>
      <c r="F166" t="str">
        <f>IF(ISBLANK(MAIN!F166), "", IF(AND(ISNUMBER(VALUE(TRIM(MAIN!F166))), LEN(TRIM(MAIN!F166))=4), VALUE(TRIM(MAIN!F166)), ""))</f>
        <v/>
      </c>
      <c r="G166">
        <f>IF(ISBLANK(MAIN!G166), 0, IF(ISNUMBER(VALUE(TRIM(MAIN!G166))), VALUE(TRIM(MAIN!G166)), 0))</f>
        <v>0</v>
      </c>
      <c r="H166">
        <f>IF(ISBLANK(MAIN!H166), 0, IF(ISNUMBER(VALUE(TRIM(MAIN!H166))), VALUE(TRIM(MAIN!H166)), 0))</f>
        <v>0</v>
      </c>
      <c r="I166">
        <f>IF(ISBLANK(MAIN!I166), 0, IF(ISNUMBER(VALUE(TRIM(MAIN!I166))), VALUE(TRIM(MAIN!I166)), 0))</f>
        <v>0</v>
      </c>
      <c r="J166">
        <f>IF(ISBLANK(MAIN!J166), 0, IF(ISNUMBER(VALUE(TRIM(MAIN!J166))), VALUE(TRIM(MAIN!J166)), 0))</f>
        <v>0</v>
      </c>
      <c r="K166" cm="1">
        <f t="array" ref="K166">IFERROR(
    VALUE(
        IFERROR(
            UPPER(
                IF(MAX(IFERROR(SEARCH("WD",MAIN!G166:J166), 0))&gt;0, "WD",
                IF(MAX(IFERROR(SEARCH("NS",MAIN!G166:J166), 0))&gt;0, "NS",
                IF(MAX(IFERROR(SEARCH("NC",MAIN!G166:J166), 0))&gt;0, "NC",
                IF(MAX(IFERROR(SEARCH("DQ",MAIN!G166:J166), 0))&gt;0, "DQ",
                IF(ISNUMBER(SEARCH("WD",MAIN!K166)), "WD",
                IF(ISNUMBER(SEARCH("NS",MAIN!K166)), "NS",
                IF(ISNUMBER(SEARCH("NC",MAIN!K166)), "NC",
                IF(ISNUMBER(SEARCH("DQ",MAIN!K166)), "DQ",
                IF(ISNUMBER(SEARCH("A",MAIN!K166)), 0,
                IF(OR(MAIN!K166=0,MAIN!K166=""), 0, --TRIM(MAIN!K166)))))))))))),
            0
        )
    ),
    IFERROR(
        UPPER(
            IF(MAX(IFERROR(SEARCH("WD",MAIN!G166:J166), 0))&gt;0, "WD",
            IF(MAX(IFERROR(SEARCH("NS",MAIN!G166:J166), 0))&gt;0, "NS",
            IF(MAX(IFERROR(SEARCH("NC",MAIN!G166:J166), 0))&gt;0, "NC",
            IF(MAX(IFERROR(SEARCH("DQ",MAIN!G166:J166), 0))&gt;0, "DQ",
            IF(ISNUMBER(SEARCH("WD",MAIN!K166)), "WD",
            IF(ISNUMBER(SEARCH("NS",MAIN!K166)), "NS",
            IF(ISNUMBER(SEARCH("NC",MAIN!K166)), "NC",
            IF(ISNUMBER(SEARCH("DQ",MAIN!K166)), "DQ",
            IF(ISNUMBER(SEARCH("A",MAIN!K166)), 0,
            IF(OR(MAIN!K166=0,MAIN!K166=""), 0, --TRIM(MAIN!K166)))))))))))),
        0
    )
)</f>
        <v>0</v>
      </c>
    </row>
    <row r="167" spans="1:11" x14ac:dyDescent="0.25">
      <c r="A167" t="str">
        <f>IF(ISBLANK(MAIN!A167), "--", IFERROR(PROPER(SUBSTITUTE(SUBSTITUTE(SUBSTITUTE(SUBSTITUTE(SUBSTITUTE(SUBSTITUTE(SUBSTITUTE(SUBSTITUTE(SUBSTITUTE(SUBSTITUTE(LEFT(MAIN!A167, FIND(",",MAIN!A167) -1), "0", ""), "1", ""), "2", ""), "3", ""), "4", ""), "5", ""), "6", ""), "7", ""), "8", ""), "9", "")), PROPER(SUBSTITUTE(SUBSTITUTE(SUBSTITUTE(SUBSTITUTE(SUBSTITUTE(SUBSTITUTE(SUBSTITUTE(SUBSTITUTE(SUBSTITUTE(SUBSTITUTE(MAIN!A167, "0", ""), "1", ""), "2", ""), "3", ""), "4", ""), "5", ""), "6", ""), "7", ""), "8", ""), "9", ""))))</f>
        <v>--</v>
      </c>
      <c r="B167" t="str">
        <f>IF(ISBLANK(MAIN!B167), "--", IFERROR(PROPER(SUBSTITUTE(SUBSTITUTE(SUBSTITUTE(SUBSTITUTE(SUBSTITUTE(SUBSTITUTE(SUBSTITUTE(SUBSTITUTE(SUBSTITUTE(SUBSTITUTE(LEFT(MAIN!B167, FIND(",",MAIN!B167) -1), "0", ""), "1", ""), "2", ""), "3", ""), "4", ""), "5", ""), "6", ""), "7", ""), "8", ""), "9", "")), PROPER(SUBSTITUTE(SUBSTITUTE(SUBSTITUTE(SUBSTITUTE(SUBSTITUTE(SUBSTITUTE(SUBSTITUTE(SUBSTITUTE(SUBSTITUTE(SUBSTITUTE(MAIN!B167, "0", ""), "1", ""), "2", ""), "3", ""), "4", ""), "5", ""), "6", ""), "7", ""), "8", ""), "9", ""))))</f>
        <v>--</v>
      </c>
      <c r="C167" t="str">
        <f>IF(ISBLANK(MAIN!C167), "--", IFERROR(PROPER(SUBSTITUTE(SUBSTITUTE(SUBSTITUTE(SUBSTITUTE(SUBSTITUTE(SUBSTITUTE(SUBSTITUTE(SUBSTITUTE(SUBSTITUTE(SUBSTITUTE(LEFT(MAIN!C167, FIND(",",MAIN!C167) -1), "0", ""), "1", ""), "2", ""), "3", ""), "4", ""), "5", ""), "6", ""), "7", ""), "8", ""), "9", "")), PROPER(SUBSTITUTE(SUBSTITUTE(SUBSTITUTE(SUBSTITUTE(SUBSTITUTE(SUBSTITUTE(SUBSTITUTE(SUBSTITUTE(SUBSTITUTE(SUBSTITUTE(MAIN!C167, "0", ""), "1", ""), "2", ""), "3", ""), "4", ""), "5", ""), "6", ""), "7", ""), "8", ""), "9", ""))))</f>
        <v>--</v>
      </c>
      <c r="D167" t="str">
        <f>IF(ISBLANK(MAIN!D167), "--", IF(ISNUMBER(MATCH(SUBSTITUTE(LEFT(MAIN!D167, IFERROR(FIND(",", MAIN!D167)-1, LEN(MAIN!D167))), " ", ""), lookup_values!$B$2:$B$51, 0)), UPPER(SUBSTITUTE(LEFT(MAIN!D167, IFERROR(FIND(",", MAIN!D167)-1, LEN(MAIN!D167))), " ", "")), IF(ISNA(VLOOKUP(SUBSTITUTE(LEFT(MAIN!D167, IFERROR(FIND(",", MAIN!D167)-1, LEN(MAIN!D167))), " ", ""), lookup_values!$A$2:$B$51, 2, FALSE)), "--", VLOOKUP(SUBSTITUTE(LEFT(MAIN!D167, IFERROR(FIND(",", MAIN!D167)-1, LEN(MAIN!D167))), " ", ""), lookup_values!$A$2:$B$51, 2, FALSE))))</f>
        <v>--</v>
      </c>
      <c r="E167" t="str">
        <f>IF(CLEAN_DATA!D167&lt;&gt;"--","US",IF(ISBLANK(MAIN!E167), "--", IF(ISNUMBER(MATCH(SUBSTITUTE(LEFT(MAIN!E167, IFERROR(FIND(",", MAIN!E167)-1, LEN(MAIN!E167))), " ", ""), lookup_values!$E$2:$E$197, 0)), UPPER(SUBSTITUTE(LEFT(MAIN!E167, IFERROR(FIND(",", MAIN!E167)-1, LEN(MAIN!E167))), " ", "")), IF(ISNA(VLOOKUP(SUBSTITUTE(LEFT(MAIN!E167, IFERROR(FIND(",", MAIN!E167)-1, LEN(MAIN!E167))), " ", ""), lookup_values!$D$2:$E$197, 2, FALSE)), "--", VLOOKUP(SUBSTITUTE(LEFT(MAIN!E167, IFERROR(FIND(",", MAIN!E167)-1, LEN(MAIN!E167))), " ", ""), lookup_values!$D$2:$E$197, 2, FALSE)))))</f>
        <v>--</v>
      </c>
      <c r="F167" t="str">
        <f>IF(ISBLANK(MAIN!F167), "", IF(AND(ISNUMBER(VALUE(TRIM(MAIN!F167))), LEN(TRIM(MAIN!F167))=4), VALUE(TRIM(MAIN!F167)), ""))</f>
        <v/>
      </c>
      <c r="G167">
        <f>IF(ISBLANK(MAIN!G167), 0, IF(ISNUMBER(VALUE(TRIM(MAIN!G167))), VALUE(TRIM(MAIN!G167)), 0))</f>
        <v>0</v>
      </c>
      <c r="H167">
        <f>IF(ISBLANK(MAIN!H167), 0, IF(ISNUMBER(VALUE(TRIM(MAIN!H167))), VALUE(TRIM(MAIN!H167)), 0))</f>
        <v>0</v>
      </c>
      <c r="I167">
        <f>IF(ISBLANK(MAIN!I167), 0, IF(ISNUMBER(VALUE(TRIM(MAIN!I167))), VALUE(TRIM(MAIN!I167)), 0))</f>
        <v>0</v>
      </c>
      <c r="J167">
        <f>IF(ISBLANK(MAIN!J167), 0, IF(ISNUMBER(VALUE(TRIM(MAIN!J167))), VALUE(TRIM(MAIN!J167)), 0))</f>
        <v>0</v>
      </c>
      <c r="K167" cm="1">
        <f t="array" ref="K167">IFERROR(
    VALUE(
        IFERROR(
            UPPER(
                IF(MAX(IFERROR(SEARCH("WD",MAIN!G167:J167), 0))&gt;0, "WD",
                IF(MAX(IFERROR(SEARCH("NS",MAIN!G167:J167), 0))&gt;0, "NS",
                IF(MAX(IFERROR(SEARCH("NC",MAIN!G167:J167), 0))&gt;0, "NC",
                IF(MAX(IFERROR(SEARCH("DQ",MAIN!G167:J167), 0))&gt;0, "DQ",
                IF(ISNUMBER(SEARCH("WD",MAIN!K167)), "WD",
                IF(ISNUMBER(SEARCH("NS",MAIN!K167)), "NS",
                IF(ISNUMBER(SEARCH("NC",MAIN!K167)), "NC",
                IF(ISNUMBER(SEARCH("DQ",MAIN!K167)), "DQ",
                IF(ISNUMBER(SEARCH("A",MAIN!K167)), 0,
                IF(OR(MAIN!K167=0,MAIN!K167=""), 0, --TRIM(MAIN!K167)))))))))))),
            0
        )
    ),
    IFERROR(
        UPPER(
            IF(MAX(IFERROR(SEARCH("WD",MAIN!G167:J167), 0))&gt;0, "WD",
            IF(MAX(IFERROR(SEARCH("NS",MAIN!G167:J167), 0))&gt;0, "NS",
            IF(MAX(IFERROR(SEARCH("NC",MAIN!G167:J167), 0))&gt;0, "NC",
            IF(MAX(IFERROR(SEARCH("DQ",MAIN!G167:J167), 0))&gt;0, "DQ",
            IF(ISNUMBER(SEARCH("WD",MAIN!K167)), "WD",
            IF(ISNUMBER(SEARCH("NS",MAIN!K167)), "NS",
            IF(ISNUMBER(SEARCH("NC",MAIN!K167)), "NC",
            IF(ISNUMBER(SEARCH("DQ",MAIN!K167)), "DQ",
            IF(ISNUMBER(SEARCH("A",MAIN!K167)), 0,
            IF(OR(MAIN!K167=0,MAIN!K167=""), 0, --TRIM(MAIN!K167)))))))))))),
        0
    )
)</f>
        <v>0</v>
      </c>
    </row>
    <row r="168" spans="1:11" x14ac:dyDescent="0.25">
      <c r="A168" t="str">
        <f>IF(ISBLANK(MAIN!A168), "--", IFERROR(PROPER(SUBSTITUTE(SUBSTITUTE(SUBSTITUTE(SUBSTITUTE(SUBSTITUTE(SUBSTITUTE(SUBSTITUTE(SUBSTITUTE(SUBSTITUTE(SUBSTITUTE(LEFT(MAIN!A168, FIND(",",MAIN!A168) -1), "0", ""), "1", ""), "2", ""), "3", ""), "4", ""), "5", ""), "6", ""), "7", ""), "8", ""), "9", "")), PROPER(SUBSTITUTE(SUBSTITUTE(SUBSTITUTE(SUBSTITUTE(SUBSTITUTE(SUBSTITUTE(SUBSTITUTE(SUBSTITUTE(SUBSTITUTE(SUBSTITUTE(MAIN!A168, "0", ""), "1", ""), "2", ""), "3", ""), "4", ""), "5", ""), "6", ""), "7", ""), "8", ""), "9", ""))))</f>
        <v>--</v>
      </c>
      <c r="B168" t="str">
        <f>IF(ISBLANK(MAIN!B168), "--", IFERROR(PROPER(SUBSTITUTE(SUBSTITUTE(SUBSTITUTE(SUBSTITUTE(SUBSTITUTE(SUBSTITUTE(SUBSTITUTE(SUBSTITUTE(SUBSTITUTE(SUBSTITUTE(LEFT(MAIN!B168, FIND(",",MAIN!B168) -1), "0", ""), "1", ""), "2", ""), "3", ""), "4", ""), "5", ""), "6", ""), "7", ""), "8", ""), "9", "")), PROPER(SUBSTITUTE(SUBSTITUTE(SUBSTITUTE(SUBSTITUTE(SUBSTITUTE(SUBSTITUTE(SUBSTITUTE(SUBSTITUTE(SUBSTITUTE(SUBSTITUTE(MAIN!B168, "0", ""), "1", ""), "2", ""), "3", ""), "4", ""), "5", ""), "6", ""), "7", ""), "8", ""), "9", ""))))</f>
        <v>--</v>
      </c>
      <c r="C168" t="str">
        <f>IF(ISBLANK(MAIN!C168), "--", IFERROR(PROPER(SUBSTITUTE(SUBSTITUTE(SUBSTITUTE(SUBSTITUTE(SUBSTITUTE(SUBSTITUTE(SUBSTITUTE(SUBSTITUTE(SUBSTITUTE(SUBSTITUTE(LEFT(MAIN!C168, FIND(",",MAIN!C168) -1), "0", ""), "1", ""), "2", ""), "3", ""), "4", ""), "5", ""), "6", ""), "7", ""), "8", ""), "9", "")), PROPER(SUBSTITUTE(SUBSTITUTE(SUBSTITUTE(SUBSTITUTE(SUBSTITUTE(SUBSTITUTE(SUBSTITUTE(SUBSTITUTE(SUBSTITUTE(SUBSTITUTE(MAIN!C168, "0", ""), "1", ""), "2", ""), "3", ""), "4", ""), "5", ""), "6", ""), "7", ""), "8", ""), "9", ""))))</f>
        <v>--</v>
      </c>
      <c r="D168" t="str">
        <f>IF(ISBLANK(MAIN!D168), "--", IF(ISNUMBER(MATCH(SUBSTITUTE(LEFT(MAIN!D168, IFERROR(FIND(",", MAIN!D168)-1, LEN(MAIN!D168))), " ", ""), lookup_values!$B$2:$B$51, 0)), UPPER(SUBSTITUTE(LEFT(MAIN!D168, IFERROR(FIND(",", MAIN!D168)-1, LEN(MAIN!D168))), " ", "")), IF(ISNA(VLOOKUP(SUBSTITUTE(LEFT(MAIN!D168, IFERROR(FIND(",", MAIN!D168)-1, LEN(MAIN!D168))), " ", ""), lookup_values!$A$2:$B$51, 2, FALSE)), "--", VLOOKUP(SUBSTITUTE(LEFT(MAIN!D168, IFERROR(FIND(",", MAIN!D168)-1, LEN(MAIN!D168))), " ", ""), lookup_values!$A$2:$B$51, 2, FALSE))))</f>
        <v>--</v>
      </c>
      <c r="E168" t="str">
        <f>IF(CLEAN_DATA!D168&lt;&gt;"--","US",IF(ISBLANK(MAIN!E168), "--", IF(ISNUMBER(MATCH(SUBSTITUTE(LEFT(MAIN!E168, IFERROR(FIND(",", MAIN!E168)-1, LEN(MAIN!E168))), " ", ""), lookup_values!$E$2:$E$197, 0)), UPPER(SUBSTITUTE(LEFT(MAIN!E168, IFERROR(FIND(",", MAIN!E168)-1, LEN(MAIN!E168))), " ", "")), IF(ISNA(VLOOKUP(SUBSTITUTE(LEFT(MAIN!E168, IFERROR(FIND(",", MAIN!E168)-1, LEN(MAIN!E168))), " ", ""), lookup_values!$D$2:$E$197, 2, FALSE)), "--", VLOOKUP(SUBSTITUTE(LEFT(MAIN!E168, IFERROR(FIND(",", MAIN!E168)-1, LEN(MAIN!E168))), " ", ""), lookup_values!$D$2:$E$197, 2, FALSE)))))</f>
        <v>--</v>
      </c>
      <c r="F168" t="str">
        <f>IF(ISBLANK(MAIN!F168), "", IF(AND(ISNUMBER(VALUE(TRIM(MAIN!F168))), LEN(TRIM(MAIN!F168))=4), VALUE(TRIM(MAIN!F168)), ""))</f>
        <v/>
      </c>
      <c r="G168">
        <f>IF(ISBLANK(MAIN!G168), 0, IF(ISNUMBER(VALUE(TRIM(MAIN!G168))), VALUE(TRIM(MAIN!G168)), 0))</f>
        <v>0</v>
      </c>
      <c r="H168">
        <f>IF(ISBLANK(MAIN!H168), 0, IF(ISNUMBER(VALUE(TRIM(MAIN!H168))), VALUE(TRIM(MAIN!H168)), 0))</f>
        <v>0</v>
      </c>
      <c r="I168">
        <f>IF(ISBLANK(MAIN!I168), 0, IF(ISNUMBER(VALUE(TRIM(MAIN!I168))), VALUE(TRIM(MAIN!I168)), 0))</f>
        <v>0</v>
      </c>
      <c r="J168">
        <f>IF(ISBLANK(MAIN!J168), 0, IF(ISNUMBER(VALUE(TRIM(MAIN!J168))), VALUE(TRIM(MAIN!J168)), 0))</f>
        <v>0</v>
      </c>
      <c r="K168" cm="1">
        <f t="array" ref="K168">IFERROR(
    VALUE(
        IFERROR(
            UPPER(
                IF(MAX(IFERROR(SEARCH("WD",MAIN!G168:J168), 0))&gt;0, "WD",
                IF(MAX(IFERROR(SEARCH("NS",MAIN!G168:J168), 0))&gt;0, "NS",
                IF(MAX(IFERROR(SEARCH("NC",MAIN!G168:J168), 0))&gt;0, "NC",
                IF(MAX(IFERROR(SEARCH("DQ",MAIN!G168:J168), 0))&gt;0, "DQ",
                IF(ISNUMBER(SEARCH("WD",MAIN!K168)), "WD",
                IF(ISNUMBER(SEARCH("NS",MAIN!K168)), "NS",
                IF(ISNUMBER(SEARCH("NC",MAIN!K168)), "NC",
                IF(ISNUMBER(SEARCH("DQ",MAIN!K168)), "DQ",
                IF(ISNUMBER(SEARCH("A",MAIN!K168)), 0,
                IF(OR(MAIN!K168=0,MAIN!K168=""), 0, --TRIM(MAIN!K168)))))))))))),
            0
        )
    ),
    IFERROR(
        UPPER(
            IF(MAX(IFERROR(SEARCH("WD",MAIN!G168:J168), 0))&gt;0, "WD",
            IF(MAX(IFERROR(SEARCH("NS",MAIN!G168:J168), 0))&gt;0, "NS",
            IF(MAX(IFERROR(SEARCH("NC",MAIN!G168:J168), 0))&gt;0, "NC",
            IF(MAX(IFERROR(SEARCH("DQ",MAIN!G168:J168), 0))&gt;0, "DQ",
            IF(ISNUMBER(SEARCH("WD",MAIN!K168)), "WD",
            IF(ISNUMBER(SEARCH("NS",MAIN!K168)), "NS",
            IF(ISNUMBER(SEARCH("NC",MAIN!K168)), "NC",
            IF(ISNUMBER(SEARCH("DQ",MAIN!K168)), "DQ",
            IF(ISNUMBER(SEARCH("A",MAIN!K168)), 0,
            IF(OR(MAIN!K168=0,MAIN!K168=""), 0, --TRIM(MAIN!K168)))))))))))),
        0
    )
)</f>
        <v>0</v>
      </c>
    </row>
    <row r="169" spans="1:11" x14ac:dyDescent="0.25">
      <c r="A169" t="str">
        <f>IF(ISBLANK(MAIN!A169), "--", IFERROR(PROPER(SUBSTITUTE(SUBSTITUTE(SUBSTITUTE(SUBSTITUTE(SUBSTITUTE(SUBSTITUTE(SUBSTITUTE(SUBSTITUTE(SUBSTITUTE(SUBSTITUTE(LEFT(MAIN!A169, FIND(",",MAIN!A169) -1), "0", ""), "1", ""), "2", ""), "3", ""), "4", ""), "5", ""), "6", ""), "7", ""), "8", ""), "9", "")), PROPER(SUBSTITUTE(SUBSTITUTE(SUBSTITUTE(SUBSTITUTE(SUBSTITUTE(SUBSTITUTE(SUBSTITUTE(SUBSTITUTE(SUBSTITUTE(SUBSTITUTE(MAIN!A169, "0", ""), "1", ""), "2", ""), "3", ""), "4", ""), "5", ""), "6", ""), "7", ""), "8", ""), "9", ""))))</f>
        <v>--</v>
      </c>
      <c r="B169" t="str">
        <f>IF(ISBLANK(MAIN!B169), "--", IFERROR(PROPER(SUBSTITUTE(SUBSTITUTE(SUBSTITUTE(SUBSTITUTE(SUBSTITUTE(SUBSTITUTE(SUBSTITUTE(SUBSTITUTE(SUBSTITUTE(SUBSTITUTE(LEFT(MAIN!B169, FIND(",",MAIN!B169) -1), "0", ""), "1", ""), "2", ""), "3", ""), "4", ""), "5", ""), "6", ""), "7", ""), "8", ""), "9", "")), PROPER(SUBSTITUTE(SUBSTITUTE(SUBSTITUTE(SUBSTITUTE(SUBSTITUTE(SUBSTITUTE(SUBSTITUTE(SUBSTITUTE(SUBSTITUTE(SUBSTITUTE(MAIN!B169, "0", ""), "1", ""), "2", ""), "3", ""), "4", ""), "5", ""), "6", ""), "7", ""), "8", ""), "9", ""))))</f>
        <v>--</v>
      </c>
      <c r="C169" t="str">
        <f>IF(ISBLANK(MAIN!C169), "--", IFERROR(PROPER(SUBSTITUTE(SUBSTITUTE(SUBSTITUTE(SUBSTITUTE(SUBSTITUTE(SUBSTITUTE(SUBSTITUTE(SUBSTITUTE(SUBSTITUTE(SUBSTITUTE(LEFT(MAIN!C169, FIND(",",MAIN!C169) -1), "0", ""), "1", ""), "2", ""), "3", ""), "4", ""), "5", ""), "6", ""), "7", ""), "8", ""), "9", "")), PROPER(SUBSTITUTE(SUBSTITUTE(SUBSTITUTE(SUBSTITUTE(SUBSTITUTE(SUBSTITUTE(SUBSTITUTE(SUBSTITUTE(SUBSTITUTE(SUBSTITUTE(MAIN!C169, "0", ""), "1", ""), "2", ""), "3", ""), "4", ""), "5", ""), "6", ""), "7", ""), "8", ""), "9", ""))))</f>
        <v>--</v>
      </c>
      <c r="D169" t="str">
        <f>IF(ISBLANK(MAIN!D169), "--", IF(ISNUMBER(MATCH(SUBSTITUTE(LEFT(MAIN!D169, IFERROR(FIND(",", MAIN!D169)-1, LEN(MAIN!D169))), " ", ""), lookup_values!$B$2:$B$51, 0)), UPPER(SUBSTITUTE(LEFT(MAIN!D169, IFERROR(FIND(",", MAIN!D169)-1, LEN(MAIN!D169))), " ", "")), IF(ISNA(VLOOKUP(SUBSTITUTE(LEFT(MAIN!D169, IFERROR(FIND(",", MAIN!D169)-1, LEN(MAIN!D169))), " ", ""), lookup_values!$A$2:$B$51, 2, FALSE)), "--", VLOOKUP(SUBSTITUTE(LEFT(MAIN!D169, IFERROR(FIND(",", MAIN!D169)-1, LEN(MAIN!D169))), " ", ""), lookup_values!$A$2:$B$51, 2, FALSE))))</f>
        <v>--</v>
      </c>
      <c r="E169" t="str">
        <f>IF(CLEAN_DATA!D169&lt;&gt;"--","US",IF(ISBLANK(MAIN!E169), "--", IF(ISNUMBER(MATCH(SUBSTITUTE(LEFT(MAIN!E169, IFERROR(FIND(",", MAIN!E169)-1, LEN(MAIN!E169))), " ", ""), lookup_values!$E$2:$E$197, 0)), UPPER(SUBSTITUTE(LEFT(MAIN!E169, IFERROR(FIND(",", MAIN!E169)-1, LEN(MAIN!E169))), " ", "")), IF(ISNA(VLOOKUP(SUBSTITUTE(LEFT(MAIN!E169, IFERROR(FIND(",", MAIN!E169)-1, LEN(MAIN!E169))), " ", ""), lookup_values!$D$2:$E$197, 2, FALSE)), "--", VLOOKUP(SUBSTITUTE(LEFT(MAIN!E169, IFERROR(FIND(",", MAIN!E169)-1, LEN(MAIN!E169))), " ", ""), lookup_values!$D$2:$E$197, 2, FALSE)))))</f>
        <v>--</v>
      </c>
      <c r="F169" t="str">
        <f>IF(ISBLANK(MAIN!F169), "", IF(AND(ISNUMBER(VALUE(TRIM(MAIN!F169))), LEN(TRIM(MAIN!F169))=4), VALUE(TRIM(MAIN!F169)), ""))</f>
        <v/>
      </c>
      <c r="G169">
        <f>IF(ISBLANK(MAIN!G169), 0, IF(ISNUMBER(VALUE(TRIM(MAIN!G169))), VALUE(TRIM(MAIN!G169)), 0))</f>
        <v>0</v>
      </c>
      <c r="H169">
        <f>IF(ISBLANK(MAIN!H169), 0, IF(ISNUMBER(VALUE(TRIM(MAIN!H169))), VALUE(TRIM(MAIN!H169)), 0))</f>
        <v>0</v>
      </c>
      <c r="I169">
        <f>IF(ISBLANK(MAIN!I169), 0, IF(ISNUMBER(VALUE(TRIM(MAIN!I169))), VALUE(TRIM(MAIN!I169)), 0))</f>
        <v>0</v>
      </c>
      <c r="J169">
        <f>IF(ISBLANK(MAIN!J169), 0, IF(ISNUMBER(VALUE(TRIM(MAIN!J169))), VALUE(TRIM(MAIN!J169)), 0))</f>
        <v>0</v>
      </c>
      <c r="K169" cm="1">
        <f t="array" ref="K169">IFERROR(
    VALUE(
        IFERROR(
            UPPER(
                IF(MAX(IFERROR(SEARCH("WD",MAIN!G169:J169), 0))&gt;0, "WD",
                IF(MAX(IFERROR(SEARCH("NS",MAIN!G169:J169), 0))&gt;0, "NS",
                IF(MAX(IFERROR(SEARCH("NC",MAIN!G169:J169), 0))&gt;0, "NC",
                IF(MAX(IFERROR(SEARCH("DQ",MAIN!G169:J169), 0))&gt;0, "DQ",
                IF(ISNUMBER(SEARCH("WD",MAIN!K169)), "WD",
                IF(ISNUMBER(SEARCH("NS",MAIN!K169)), "NS",
                IF(ISNUMBER(SEARCH("NC",MAIN!K169)), "NC",
                IF(ISNUMBER(SEARCH("DQ",MAIN!K169)), "DQ",
                IF(ISNUMBER(SEARCH("A",MAIN!K169)), 0,
                IF(OR(MAIN!K169=0,MAIN!K169=""), 0, --TRIM(MAIN!K169)))))))))))),
            0
        )
    ),
    IFERROR(
        UPPER(
            IF(MAX(IFERROR(SEARCH("WD",MAIN!G169:J169), 0))&gt;0, "WD",
            IF(MAX(IFERROR(SEARCH("NS",MAIN!G169:J169), 0))&gt;0, "NS",
            IF(MAX(IFERROR(SEARCH("NC",MAIN!G169:J169), 0))&gt;0, "NC",
            IF(MAX(IFERROR(SEARCH("DQ",MAIN!G169:J169), 0))&gt;0, "DQ",
            IF(ISNUMBER(SEARCH("WD",MAIN!K169)), "WD",
            IF(ISNUMBER(SEARCH("NS",MAIN!K169)), "NS",
            IF(ISNUMBER(SEARCH("NC",MAIN!K169)), "NC",
            IF(ISNUMBER(SEARCH("DQ",MAIN!K169)), "DQ",
            IF(ISNUMBER(SEARCH("A",MAIN!K169)), 0,
            IF(OR(MAIN!K169=0,MAIN!K169=""), 0, --TRIM(MAIN!K169)))))))))))),
        0
    )
)</f>
        <v>0</v>
      </c>
    </row>
    <row r="170" spans="1:11" x14ac:dyDescent="0.25">
      <c r="A170" t="str">
        <f>IF(ISBLANK(MAIN!A170), "--", IFERROR(PROPER(SUBSTITUTE(SUBSTITUTE(SUBSTITUTE(SUBSTITUTE(SUBSTITUTE(SUBSTITUTE(SUBSTITUTE(SUBSTITUTE(SUBSTITUTE(SUBSTITUTE(LEFT(MAIN!A170, FIND(",",MAIN!A170) -1), "0", ""), "1", ""), "2", ""), "3", ""), "4", ""), "5", ""), "6", ""), "7", ""), "8", ""), "9", "")), PROPER(SUBSTITUTE(SUBSTITUTE(SUBSTITUTE(SUBSTITUTE(SUBSTITUTE(SUBSTITUTE(SUBSTITUTE(SUBSTITUTE(SUBSTITUTE(SUBSTITUTE(MAIN!A170, "0", ""), "1", ""), "2", ""), "3", ""), "4", ""), "5", ""), "6", ""), "7", ""), "8", ""), "9", ""))))</f>
        <v>--</v>
      </c>
      <c r="B170" t="str">
        <f>IF(ISBLANK(MAIN!B170), "--", IFERROR(PROPER(SUBSTITUTE(SUBSTITUTE(SUBSTITUTE(SUBSTITUTE(SUBSTITUTE(SUBSTITUTE(SUBSTITUTE(SUBSTITUTE(SUBSTITUTE(SUBSTITUTE(LEFT(MAIN!B170, FIND(",",MAIN!B170) -1), "0", ""), "1", ""), "2", ""), "3", ""), "4", ""), "5", ""), "6", ""), "7", ""), "8", ""), "9", "")), PROPER(SUBSTITUTE(SUBSTITUTE(SUBSTITUTE(SUBSTITUTE(SUBSTITUTE(SUBSTITUTE(SUBSTITUTE(SUBSTITUTE(SUBSTITUTE(SUBSTITUTE(MAIN!B170, "0", ""), "1", ""), "2", ""), "3", ""), "4", ""), "5", ""), "6", ""), "7", ""), "8", ""), "9", ""))))</f>
        <v>--</v>
      </c>
      <c r="C170" t="str">
        <f>IF(ISBLANK(MAIN!C170), "--", IFERROR(PROPER(SUBSTITUTE(SUBSTITUTE(SUBSTITUTE(SUBSTITUTE(SUBSTITUTE(SUBSTITUTE(SUBSTITUTE(SUBSTITUTE(SUBSTITUTE(SUBSTITUTE(LEFT(MAIN!C170, FIND(",",MAIN!C170) -1), "0", ""), "1", ""), "2", ""), "3", ""), "4", ""), "5", ""), "6", ""), "7", ""), "8", ""), "9", "")), PROPER(SUBSTITUTE(SUBSTITUTE(SUBSTITUTE(SUBSTITUTE(SUBSTITUTE(SUBSTITUTE(SUBSTITUTE(SUBSTITUTE(SUBSTITUTE(SUBSTITUTE(MAIN!C170, "0", ""), "1", ""), "2", ""), "3", ""), "4", ""), "5", ""), "6", ""), "7", ""), "8", ""), "9", ""))))</f>
        <v>--</v>
      </c>
      <c r="D170" t="str">
        <f>IF(ISBLANK(MAIN!D170), "--", IF(ISNUMBER(MATCH(SUBSTITUTE(LEFT(MAIN!D170, IFERROR(FIND(",", MAIN!D170)-1, LEN(MAIN!D170))), " ", ""), lookup_values!$B$2:$B$51, 0)), UPPER(SUBSTITUTE(LEFT(MAIN!D170, IFERROR(FIND(",", MAIN!D170)-1, LEN(MAIN!D170))), " ", "")), IF(ISNA(VLOOKUP(SUBSTITUTE(LEFT(MAIN!D170, IFERROR(FIND(",", MAIN!D170)-1, LEN(MAIN!D170))), " ", ""), lookup_values!$A$2:$B$51, 2, FALSE)), "--", VLOOKUP(SUBSTITUTE(LEFT(MAIN!D170, IFERROR(FIND(",", MAIN!D170)-1, LEN(MAIN!D170))), " ", ""), lookup_values!$A$2:$B$51, 2, FALSE))))</f>
        <v>--</v>
      </c>
      <c r="E170" t="str">
        <f>IF(CLEAN_DATA!D170&lt;&gt;"--","US",IF(ISBLANK(MAIN!E170), "--", IF(ISNUMBER(MATCH(SUBSTITUTE(LEFT(MAIN!E170, IFERROR(FIND(",", MAIN!E170)-1, LEN(MAIN!E170))), " ", ""), lookup_values!$E$2:$E$197, 0)), UPPER(SUBSTITUTE(LEFT(MAIN!E170, IFERROR(FIND(",", MAIN!E170)-1, LEN(MAIN!E170))), " ", "")), IF(ISNA(VLOOKUP(SUBSTITUTE(LEFT(MAIN!E170, IFERROR(FIND(",", MAIN!E170)-1, LEN(MAIN!E170))), " ", ""), lookup_values!$D$2:$E$197, 2, FALSE)), "--", VLOOKUP(SUBSTITUTE(LEFT(MAIN!E170, IFERROR(FIND(",", MAIN!E170)-1, LEN(MAIN!E170))), " ", ""), lookup_values!$D$2:$E$197, 2, FALSE)))))</f>
        <v>--</v>
      </c>
      <c r="F170" t="str">
        <f>IF(ISBLANK(MAIN!F170), "", IF(AND(ISNUMBER(VALUE(TRIM(MAIN!F170))), LEN(TRIM(MAIN!F170))=4), VALUE(TRIM(MAIN!F170)), ""))</f>
        <v/>
      </c>
      <c r="G170">
        <f>IF(ISBLANK(MAIN!G170), 0, IF(ISNUMBER(VALUE(TRIM(MAIN!G170))), VALUE(TRIM(MAIN!G170)), 0))</f>
        <v>0</v>
      </c>
      <c r="H170">
        <f>IF(ISBLANK(MAIN!H170), 0, IF(ISNUMBER(VALUE(TRIM(MAIN!H170))), VALUE(TRIM(MAIN!H170)), 0))</f>
        <v>0</v>
      </c>
      <c r="I170">
        <f>IF(ISBLANK(MAIN!I170), 0, IF(ISNUMBER(VALUE(TRIM(MAIN!I170))), VALUE(TRIM(MAIN!I170)), 0))</f>
        <v>0</v>
      </c>
      <c r="J170">
        <f>IF(ISBLANK(MAIN!J170), 0, IF(ISNUMBER(VALUE(TRIM(MAIN!J170))), VALUE(TRIM(MAIN!J170)), 0))</f>
        <v>0</v>
      </c>
      <c r="K170" cm="1">
        <f t="array" ref="K170">IFERROR(
    VALUE(
        IFERROR(
            UPPER(
                IF(MAX(IFERROR(SEARCH("WD",MAIN!G170:J170), 0))&gt;0, "WD",
                IF(MAX(IFERROR(SEARCH("NS",MAIN!G170:J170), 0))&gt;0, "NS",
                IF(MAX(IFERROR(SEARCH("NC",MAIN!G170:J170), 0))&gt;0, "NC",
                IF(MAX(IFERROR(SEARCH("DQ",MAIN!G170:J170), 0))&gt;0, "DQ",
                IF(ISNUMBER(SEARCH("WD",MAIN!K170)), "WD",
                IF(ISNUMBER(SEARCH("NS",MAIN!K170)), "NS",
                IF(ISNUMBER(SEARCH("NC",MAIN!K170)), "NC",
                IF(ISNUMBER(SEARCH("DQ",MAIN!K170)), "DQ",
                IF(ISNUMBER(SEARCH("A",MAIN!K170)), 0,
                IF(OR(MAIN!K170=0,MAIN!K170=""), 0, --TRIM(MAIN!K170)))))))))))),
            0
        )
    ),
    IFERROR(
        UPPER(
            IF(MAX(IFERROR(SEARCH("WD",MAIN!G170:J170), 0))&gt;0, "WD",
            IF(MAX(IFERROR(SEARCH("NS",MAIN!G170:J170), 0))&gt;0, "NS",
            IF(MAX(IFERROR(SEARCH("NC",MAIN!G170:J170), 0))&gt;0, "NC",
            IF(MAX(IFERROR(SEARCH("DQ",MAIN!G170:J170), 0))&gt;0, "DQ",
            IF(ISNUMBER(SEARCH("WD",MAIN!K170)), "WD",
            IF(ISNUMBER(SEARCH("NS",MAIN!K170)), "NS",
            IF(ISNUMBER(SEARCH("NC",MAIN!K170)), "NC",
            IF(ISNUMBER(SEARCH("DQ",MAIN!K170)), "DQ",
            IF(ISNUMBER(SEARCH("A",MAIN!K170)), 0,
            IF(OR(MAIN!K170=0,MAIN!K170=""), 0, --TRIM(MAIN!K170)))))))))))),
        0
    )
)</f>
        <v>0</v>
      </c>
    </row>
    <row r="171" spans="1:11" x14ac:dyDescent="0.25">
      <c r="A171" t="str">
        <f>IF(ISBLANK(MAIN!A171), "--", IFERROR(PROPER(SUBSTITUTE(SUBSTITUTE(SUBSTITUTE(SUBSTITUTE(SUBSTITUTE(SUBSTITUTE(SUBSTITUTE(SUBSTITUTE(SUBSTITUTE(SUBSTITUTE(LEFT(MAIN!A171, FIND(",",MAIN!A171) -1), "0", ""), "1", ""), "2", ""), "3", ""), "4", ""), "5", ""), "6", ""), "7", ""), "8", ""), "9", "")), PROPER(SUBSTITUTE(SUBSTITUTE(SUBSTITUTE(SUBSTITUTE(SUBSTITUTE(SUBSTITUTE(SUBSTITUTE(SUBSTITUTE(SUBSTITUTE(SUBSTITUTE(MAIN!A171, "0", ""), "1", ""), "2", ""), "3", ""), "4", ""), "5", ""), "6", ""), "7", ""), "8", ""), "9", ""))))</f>
        <v>--</v>
      </c>
      <c r="B171" t="str">
        <f>IF(ISBLANK(MAIN!B171), "--", IFERROR(PROPER(SUBSTITUTE(SUBSTITUTE(SUBSTITUTE(SUBSTITUTE(SUBSTITUTE(SUBSTITUTE(SUBSTITUTE(SUBSTITUTE(SUBSTITUTE(SUBSTITUTE(LEFT(MAIN!B171, FIND(",",MAIN!B171) -1), "0", ""), "1", ""), "2", ""), "3", ""), "4", ""), "5", ""), "6", ""), "7", ""), "8", ""), "9", "")), PROPER(SUBSTITUTE(SUBSTITUTE(SUBSTITUTE(SUBSTITUTE(SUBSTITUTE(SUBSTITUTE(SUBSTITUTE(SUBSTITUTE(SUBSTITUTE(SUBSTITUTE(MAIN!B171, "0", ""), "1", ""), "2", ""), "3", ""), "4", ""), "5", ""), "6", ""), "7", ""), "8", ""), "9", ""))))</f>
        <v>--</v>
      </c>
      <c r="C171" t="str">
        <f>IF(ISBLANK(MAIN!C171), "--", IFERROR(PROPER(SUBSTITUTE(SUBSTITUTE(SUBSTITUTE(SUBSTITUTE(SUBSTITUTE(SUBSTITUTE(SUBSTITUTE(SUBSTITUTE(SUBSTITUTE(SUBSTITUTE(LEFT(MAIN!C171, FIND(",",MAIN!C171) -1), "0", ""), "1", ""), "2", ""), "3", ""), "4", ""), "5", ""), "6", ""), "7", ""), "8", ""), "9", "")), PROPER(SUBSTITUTE(SUBSTITUTE(SUBSTITUTE(SUBSTITUTE(SUBSTITUTE(SUBSTITUTE(SUBSTITUTE(SUBSTITUTE(SUBSTITUTE(SUBSTITUTE(MAIN!C171, "0", ""), "1", ""), "2", ""), "3", ""), "4", ""), "5", ""), "6", ""), "7", ""), "8", ""), "9", ""))))</f>
        <v>--</v>
      </c>
      <c r="D171" t="str">
        <f>IF(ISBLANK(MAIN!D171), "--", IF(ISNUMBER(MATCH(SUBSTITUTE(LEFT(MAIN!D171, IFERROR(FIND(",", MAIN!D171)-1, LEN(MAIN!D171))), " ", ""), lookup_values!$B$2:$B$51, 0)), UPPER(SUBSTITUTE(LEFT(MAIN!D171, IFERROR(FIND(",", MAIN!D171)-1, LEN(MAIN!D171))), " ", "")), IF(ISNA(VLOOKUP(SUBSTITUTE(LEFT(MAIN!D171, IFERROR(FIND(",", MAIN!D171)-1, LEN(MAIN!D171))), " ", ""), lookup_values!$A$2:$B$51, 2, FALSE)), "--", VLOOKUP(SUBSTITUTE(LEFT(MAIN!D171, IFERROR(FIND(",", MAIN!D171)-1, LEN(MAIN!D171))), " ", ""), lookup_values!$A$2:$B$51, 2, FALSE))))</f>
        <v>--</v>
      </c>
      <c r="E171" t="str">
        <f>IF(CLEAN_DATA!D171&lt;&gt;"--","US",IF(ISBLANK(MAIN!E171), "--", IF(ISNUMBER(MATCH(SUBSTITUTE(LEFT(MAIN!E171, IFERROR(FIND(",", MAIN!E171)-1, LEN(MAIN!E171))), " ", ""), lookup_values!$E$2:$E$197, 0)), UPPER(SUBSTITUTE(LEFT(MAIN!E171, IFERROR(FIND(",", MAIN!E171)-1, LEN(MAIN!E171))), " ", "")), IF(ISNA(VLOOKUP(SUBSTITUTE(LEFT(MAIN!E171, IFERROR(FIND(",", MAIN!E171)-1, LEN(MAIN!E171))), " ", ""), lookup_values!$D$2:$E$197, 2, FALSE)), "--", VLOOKUP(SUBSTITUTE(LEFT(MAIN!E171, IFERROR(FIND(",", MAIN!E171)-1, LEN(MAIN!E171))), " ", ""), lookup_values!$D$2:$E$197, 2, FALSE)))))</f>
        <v>--</v>
      </c>
      <c r="F171" t="str">
        <f>IF(ISBLANK(MAIN!F171), "", IF(AND(ISNUMBER(VALUE(TRIM(MAIN!F171))), LEN(TRIM(MAIN!F171))=4), VALUE(TRIM(MAIN!F171)), ""))</f>
        <v/>
      </c>
      <c r="G171">
        <f>IF(ISBLANK(MAIN!G171), 0, IF(ISNUMBER(VALUE(TRIM(MAIN!G171))), VALUE(TRIM(MAIN!G171)), 0))</f>
        <v>0</v>
      </c>
      <c r="H171">
        <f>IF(ISBLANK(MAIN!H171), 0, IF(ISNUMBER(VALUE(TRIM(MAIN!H171))), VALUE(TRIM(MAIN!H171)), 0))</f>
        <v>0</v>
      </c>
      <c r="I171">
        <f>IF(ISBLANK(MAIN!I171), 0, IF(ISNUMBER(VALUE(TRIM(MAIN!I171))), VALUE(TRIM(MAIN!I171)), 0))</f>
        <v>0</v>
      </c>
      <c r="J171">
        <f>IF(ISBLANK(MAIN!J171), 0, IF(ISNUMBER(VALUE(TRIM(MAIN!J171))), VALUE(TRIM(MAIN!J171)), 0))</f>
        <v>0</v>
      </c>
      <c r="K171" cm="1">
        <f t="array" ref="K171">IFERROR(
    VALUE(
        IFERROR(
            UPPER(
                IF(MAX(IFERROR(SEARCH("WD",MAIN!G171:J171), 0))&gt;0, "WD",
                IF(MAX(IFERROR(SEARCH("NS",MAIN!G171:J171), 0))&gt;0, "NS",
                IF(MAX(IFERROR(SEARCH("NC",MAIN!G171:J171), 0))&gt;0, "NC",
                IF(MAX(IFERROR(SEARCH("DQ",MAIN!G171:J171), 0))&gt;0, "DQ",
                IF(ISNUMBER(SEARCH("WD",MAIN!K171)), "WD",
                IF(ISNUMBER(SEARCH("NS",MAIN!K171)), "NS",
                IF(ISNUMBER(SEARCH("NC",MAIN!K171)), "NC",
                IF(ISNUMBER(SEARCH("DQ",MAIN!K171)), "DQ",
                IF(ISNUMBER(SEARCH("A",MAIN!K171)), 0,
                IF(OR(MAIN!K171=0,MAIN!K171=""), 0, --TRIM(MAIN!K171)))))))))))),
            0
        )
    ),
    IFERROR(
        UPPER(
            IF(MAX(IFERROR(SEARCH("WD",MAIN!G171:J171), 0))&gt;0, "WD",
            IF(MAX(IFERROR(SEARCH("NS",MAIN!G171:J171), 0))&gt;0, "NS",
            IF(MAX(IFERROR(SEARCH("NC",MAIN!G171:J171), 0))&gt;0, "NC",
            IF(MAX(IFERROR(SEARCH("DQ",MAIN!G171:J171), 0))&gt;0, "DQ",
            IF(ISNUMBER(SEARCH("WD",MAIN!K171)), "WD",
            IF(ISNUMBER(SEARCH("NS",MAIN!K171)), "NS",
            IF(ISNUMBER(SEARCH("NC",MAIN!K171)), "NC",
            IF(ISNUMBER(SEARCH("DQ",MAIN!K171)), "DQ",
            IF(ISNUMBER(SEARCH("A",MAIN!K171)), 0,
            IF(OR(MAIN!K171=0,MAIN!K171=""), 0, --TRIM(MAIN!K171)))))))))))),
        0
    )
)</f>
        <v>0</v>
      </c>
    </row>
    <row r="172" spans="1:11" x14ac:dyDescent="0.25">
      <c r="A172" t="str">
        <f>IF(ISBLANK(MAIN!A172), "--", IFERROR(PROPER(SUBSTITUTE(SUBSTITUTE(SUBSTITUTE(SUBSTITUTE(SUBSTITUTE(SUBSTITUTE(SUBSTITUTE(SUBSTITUTE(SUBSTITUTE(SUBSTITUTE(LEFT(MAIN!A172, FIND(",",MAIN!A172) -1), "0", ""), "1", ""), "2", ""), "3", ""), "4", ""), "5", ""), "6", ""), "7", ""), "8", ""), "9", "")), PROPER(SUBSTITUTE(SUBSTITUTE(SUBSTITUTE(SUBSTITUTE(SUBSTITUTE(SUBSTITUTE(SUBSTITUTE(SUBSTITUTE(SUBSTITUTE(SUBSTITUTE(MAIN!A172, "0", ""), "1", ""), "2", ""), "3", ""), "4", ""), "5", ""), "6", ""), "7", ""), "8", ""), "9", ""))))</f>
        <v>--</v>
      </c>
      <c r="B172" t="str">
        <f>IF(ISBLANK(MAIN!B172), "--", IFERROR(PROPER(SUBSTITUTE(SUBSTITUTE(SUBSTITUTE(SUBSTITUTE(SUBSTITUTE(SUBSTITUTE(SUBSTITUTE(SUBSTITUTE(SUBSTITUTE(SUBSTITUTE(LEFT(MAIN!B172, FIND(",",MAIN!B172) -1), "0", ""), "1", ""), "2", ""), "3", ""), "4", ""), "5", ""), "6", ""), "7", ""), "8", ""), "9", "")), PROPER(SUBSTITUTE(SUBSTITUTE(SUBSTITUTE(SUBSTITUTE(SUBSTITUTE(SUBSTITUTE(SUBSTITUTE(SUBSTITUTE(SUBSTITUTE(SUBSTITUTE(MAIN!B172, "0", ""), "1", ""), "2", ""), "3", ""), "4", ""), "5", ""), "6", ""), "7", ""), "8", ""), "9", ""))))</f>
        <v>--</v>
      </c>
      <c r="C172" t="str">
        <f>IF(ISBLANK(MAIN!C172), "--", IFERROR(PROPER(SUBSTITUTE(SUBSTITUTE(SUBSTITUTE(SUBSTITUTE(SUBSTITUTE(SUBSTITUTE(SUBSTITUTE(SUBSTITUTE(SUBSTITUTE(SUBSTITUTE(LEFT(MAIN!C172, FIND(",",MAIN!C172) -1), "0", ""), "1", ""), "2", ""), "3", ""), "4", ""), "5", ""), "6", ""), "7", ""), "8", ""), "9", "")), PROPER(SUBSTITUTE(SUBSTITUTE(SUBSTITUTE(SUBSTITUTE(SUBSTITUTE(SUBSTITUTE(SUBSTITUTE(SUBSTITUTE(SUBSTITUTE(SUBSTITUTE(MAIN!C172, "0", ""), "1", ""), "2", ""), "3", ""), "4", ""), "5", ""), "6", ""), "7", ""), "8", ""), "9", ""))))</f>
        <v>--</v>
      </c>
      <c r="D172" t="str">
        <f>IF(ISBLANK(MAIN!D172), "--", IF(ISNUMBER(MATCH(SUBSTITUTE(LEFT(MAIN!D172, IFERROR(FIND(",", MAIN!D172)-1, LEN(MAIN!D172))), " ", ""), lookup_values!$B$2:$B$51, 0)), UPPER(SUBSTITUTE(LEFT(MAIN!D172, IFERROR(FIND(",", MAIN!D172)-1, LEN(MAIN!D172))), " ", "")), IF(ISNA(VLOOKUP(SUBSTITUTE(LEFT(MAIN!D172, IFERROR(FIND(",", MAIN!D172)-1, LEN(MAIN!D172))), " ", ""), lookup_values!$A$2:$B$51, 2, FALSE)), "--", VLOOKUP(SUBSTITUTE(LEFT(MAIN!D172, IFERROR(FIND(",", MAIN!D172)-1, LEN(MAIN!D172))), " ", ""), lookup_values!$A$2:$B$51, 2, FALSE))))</f>
        <v>--</v>
      </c>
      <c r="E172" t="str">
        <f>IF(CLEAN_DATA!D172&lt;&gt;"--","US",IF(ISBLANK(MAIN!E172), "--", IF(ISNUMBER(MATCH(SUBSTITUTE(LEFT(MAIN!E172, IFERROR(FIND(",", MAIN!E172)-1, LEN(MAIN!E172))), " ", ""), lookup_values!$E$2:$E$197, 0)), UPPER(SUBSTITUTE(LEFT(MAIN!E172, IFERROR(FIND(",", MAIN!E172)-1, LEN(MAIN!E172))), " ", "")), IF(ISNA(VLOOKUP(SUBSTITUTE(LEFT(MAIN!E172, IFERROR(FIND(",", MAIN!E172)-1, LEN(MAIN!E172))), " ", ""), lookup_values!$D$2:$E$197, 2, FALSE)), "--", VLOOKUP(SUBSTITUTE(LEFT(MAIN!E172, IFERROR(FIND(",", MAIN!E172)-1, LEN(MAIN!E172))), " ", ""), lookup_values!$D$2:$E$197, 2, FALSE)))))</f>
        <v>--</v>
      </c>
      <c r="F172" t="str">
        <f>IF(ISBLANK(MAIN!F172), "", IF(AND(ISNUMBER(VALUE(TRIM(MAIN!F172))), LEN(TRIM(MAIN!F172))=4), VALUE(TRIM(MAIN!F172)), ""))</f>
        <v/>
      </c>
      <c r="G172">
        <f>IF(ISBLANK(MAIN!G172), 0, IF(ISNUMBER(VALUE(TRIM(MAIN!G172))), VALUE(TRIM(MAIN!G172)), 0))</f>
        <v>0</v>
      </c>
      <c r="H172">
        <f>IF(ISBLANK(MAIN!H172), 0, IF(ISNUMBER(VALUE(TRIM(MAIN!H172))), VALUE(TRIM(MAIN!H172)), 0))</f>
        <v>0</v>
      </c>
      <c r="I172">
        <f>IF(ISBLANK(MAIN!I172), 0, IF(ISNUMBER(VALUE(TRIM(MAIN!I172))), VALUE(TRIM(MAIN!I172)), 0))</f>
        <v>0</v>
      </c>
      <c r="J172">
        <f>IF(ISBLANK(MAIN!J172), 0, IF(ISNUMBER(VALUE(TRIM(MAIN!J172))), VALUE(TRIM(MAIN!J172)), 0))</f>
        <v>0</v>
      </c>
      <c r="K172" cm="1">
        <f t="array" ref="K172">IFERROR(
    VALUE(
        IFERROR(
            UPPER(
                IF(MAX(IFERROR(SEARCH("WD",MAIN!G172:J172), 0))&gt;0, "WD",
                IF(MAX(IFERROR(SEARCH("NS",MAIN!G172:J172), 0))&gt;0, "NS",
                IF(MAX(IFERROR(SEARCH("NC",MAIN!G172:J172), 0))&gt;0, "NC",
                IF(MAX(IFERROR(SEARCH("DQ",MAIN!G172:J172), 0))&gt;0, "DQ",
                IF(ISNUMBER(SEARCH("WD",MAIN!K172)), "WD",
                IF(ISNUMBER(SEARCH("NS",MAIN!K172)), "NS",
                IF(ISNUMBER(SEARCH("NC",MAIN!K172)), "NC",
                IF(ISNUMBER(SEARCH("DQ",MAIN!K172)), "DQ",
                IF(ISNUMBER(SEARCH("A",MAIN!K172)), 0,
                IF(OR(MAIN!K172=0,MAIN!K172=""), 0, --TRIM(MAIN!K172)))))))))))),
            0
        )
    ),
    IFERROR(
        UPPER(
            IF(MAX(IFERROR(SEARCH("WD",MAIN!G172:J172), 0))&gt;0, "WD",
            IF(MAX(IFERROR(SEARCH("NS",MAIN!G172:J172), 0))&gt;0, "NS",
            IF(MAX(IFERROR(SEARCH("NC",MAIN!G172:J172), 0))&gt;0, "NC",
            IF(MAX(IFERROR(SEARCH("DQ",MAIN!G172:J172), 0))&gt;0, "DQ",
            IF(ISNUMBER(SEARCH("WD",MAIN!K172)), "WD",
            IF(ISNUMBER(SEARCH("NS",MAIN!K172)), "NS",
            IF(ISNUMBER(SEARCH("NC",MAIN!K172)), "NC",
            IF(ISNUMBER(SEARCH("DQ",MAIN!K172)), "DQ",
            IF(ISNUMBER(SEARCH("A",MAIN!K172)), 0,
            IF(OR(MAIN!K172=0,MAIN!K172=""), 0, --TRIM(MAIN!K172)))))))))))),
        0
    )
)</f>
        <v>0</v>
      </c>
    </row>
    <row r="173" spans="1:11" x14ac:dyDescent="0.25">
      <c r="A173" t="str">
        <f>IF(ISBLANK(MAIN!A173), "--", IFERROR(PROPER(SUBSTITUTE(SUBSTITUTE(SUBSTITUTE(SUBSTITUTE(SUBSTITUTE(SUBSTITUTE(SUBSTITUTE(SUBSTITUTE(SUBSTITUTE(SUBSTITUTE(LEFT(MAIN!A173, FIND(",",MAIN!A173) -1), "0", ""), "1", ""), "2", ""), "3", ""), "4", ""), "5", ""), "6", ""), "7", ""), "8", ""), "9", "")), PROPER(SUBSTITUTE(SUBSTITUTE(SUBSTITUTE(SUBSTITUTE(SUBSTITUTE(SUBSTITUTE(SUBSTITUTE(SUBSTITUTE(SUBSTITUTE(SUBSTITUTE(MAIN!A173, "0", ""), "1", ""), "2", ""), "3", ""), "4", ""), "5", ""), "6", ""), "7", ""), "8", ""), "9", ""))))</f>
        <v>--</v>
      </c>
      <c r="B173" t="str">
        <f>IF(ISBLANK(MAIN!B173), "--", IFERROR(PROPER(SUBSTITUTE(SUBSTITUTE(SUBSTITUTE(SUBSTITUTE(SUBSTITUTE(SUBSTITUTE(SUBSTITUTE(SUBSTITUTE(SUBSTITUTE(SUBSTITUTE(LEFT(MAIN!B173, FIND(",",MAIN!B173) -1), "0", ""), "1", ""), "2", ""), "3", ""), "4", ""), "5", ""), "6", ""), "7", ""), "8", ""), "9", "")), PROPER(SUBSTITUTE(SUBSTITUTE(SUBSTITUTE(SUBSTITUTE(SUBSTITUTE(SUBSTITUTE(SUBSTITUTE(SUBSTITUTE(SUBSTITUTE(SUBSTITUTE(MAIN!B173, "0", ""), "1", ""), "2", ""), "3", ""), "4", ""), "5", ""), "6", ""), "7", ""), "8", ""), "9", ""))))</f>
        <v>--</v>
      </c>
      <c r="C173" t="str">
        <f>IF(ISBLANK(MAIN!C173), "--", IFERROR(PROPER(SUBSTITUTE(SUBSTITUTE(SUBSTITUTE(SUBSTITUTE(SUBSTITUTE(SUBSTITUTE(SUBSTITUTE(SUBSTITUTE(SUBSTITUTE(SUBSTITUTE(LEFT(MAIN!C173, FIND(",",MAIN!C173) -1), "0", ""), "1", ""), "2", ""), "3", ""), "4", ""), "5", ""), "6", ""), "7", ""), "8", ""), "9", "")), PROPER(SUBSTITUTE(SUBSTITUTE(SUBSTITUTE(SUBSTITUTE(SUBSTITUTE(SUBSTITUTE(SUBSTITUTE(SUBSTITUTE(SUBSTITUTE(SUBSTITUTE(MAIN!C173, "0", ""), "1", ""), "2", ""), "3", ""), "4", ""), "5", ""), "6", ""), "7", ""), "8", ""), "9", ""))))</f>
        <v>--</v>
      </c>
      <c r="D173" t="str">
        <f>IF(ISBLANK(MAIN!D173), "--", IF(ISNUMBER(MATCH(SUBSTITUTE(LEFT(MAIN!D173, IFERROR(FIND(",", MAIN!D173)-1, LEN(MAIN!D173))), " ", ""), lookup_values!$B$2:$B$51, 0)), UPPER(SUBSTITUTE(LEFT(MAIN!D173, IFERROR(FIND(",", MAIN!D173)-1, LEN(MAIN!D173))), " ", "")), IF(ISNA(VLOOKUP(SUBSTITUTE(LEFT(MAIN!D173, IFERROR(FIND(",", MAIN!D173)-1, LEN(MAIN!D173))), " ", ""), lookup_values!$A$2:$B$51, 2, FALSE)), "--", VLOOKUP(SUBSTITUTE(LEFT(MAIN!D173, IFERROR(FIND(",", MAIN!D173)-1, LEN(MAIN!D173))), " ", ""), lookup_values!$A$2:$B$51, 2, FALSE))))</f>
        <v>--</v>
      </c>
      <c r="E173" t="str">
        <f>IF(CLEAN_DATA!D173&lt;&gt;"--","US",IF(ISBLANK(MAIN!E173), "--", IF(ISNUMBER(MATCH(SUBSTITUTE(LEFT(MAIN!E173, IFERROR(FIND(",", MAIN!E173)-1, LEN(MAIN!E173))), " ", ""), lookup_values!$E$2:$E$197, 0)), UPPER(SUBSTITUTE(LEFT(MAIN!E173, IFERROR(FIND(",", MAIN!E173)-1, LEN(MAIN!E173))), " ", "")), IF(ISNA(VLOOKUP(SUBSTITUTE(LEFT(MAIN!E173, IFERROR(FIND(",", MAIN!E173)-1, LEN(MAIN!E173))), " ", ""), lookup_values!$D$2:$E$197, 2, FALSE)), "--", VLOOKUP(SUBSTITUTE(LEFT(MAIN!E173, IFERROR(FIND(",", MAIN!E173)-1, LEN(MAIN!E173))), " ", ""), lookup_values!$D$2:$E$197, 2, FALSE)))))</f>
        <v>--</v>
      </c>
      <c r="F173" t="str">
        <f>IF(ISBLANK(MAIN!F173), "", IF(AND(ISNUMBER(VALUE(TRIM(MAIN!F173))), LEN(TRIM(MAIN!F173))=4), VALUE(TRIM(MAIN!F173)), ""))</f>
        <v/>
      </c>
      <c r="G173">
        <f>IF(ISBLANK(MAIN!G173), 0, IF(ISNUMBER(VALUE(TRIM(MAIN!G173))), VALUE(TRIM(MAIN!G173)), 0))</f>
        <v>0</v>
      </c>
      <c r="H173">
        <f>IF(ISBLANK(MAIN!H173), 0, IF(ISNUMBER(VALUE(TRIM(MAIN!H173))), VALUE(TRIM(MAIN!H173)), 0))</f>
        <v>0</v>
      </c>
      <c r="I173">
        <f>IF(ISBLANK(MAIN!I173), 0, IF(ISNUMBER(VALUE(TRIM(MAIN!I173))), VALUE(TRIM(MAIN!I173)), 0))</f>
        <v>0</v>
      </c>
      <c r="J173">
        <f>IF(ISBLANK(MAIN!J173), 0, IF(ISNUMBER(VALUE(TRIM(MAIN!J173))), VALUE(TRIM(MAIN!J173)), 0))</f>
        <v>0</v>
      </c>
      <c r="K173" cm="1">
        <f t="array" ref="K173">IFERROR(
    VALUE(
        IFERROR(
            UPPER(
                IF(MAX(IFERROR(SEARCH("WD",MAIN!G173:J173), 0))&gt;0, "WD",
                IF(MAX(IFERROR(SEARCH("NS",MAIN!G173:J173), 0))&gt;0, "NS",
                IF(MAX(IFERROR(SEARCH("NC",MAIN!G173:J173), 0))&gt;0, "NC",
                IF(MAX(IFERROR(SEARCH("DQ",MAIN!G173:J173), 0))&gt;0, "DQ",
                IF(ISNUMBER(SEARCH("WD",MAIN!K173)), "WD",
                IF(ISNUMBER(SEARCH("NS",MAIN!K173)), "NS",
                IF(ISNUMBER(SEARCH("NC",MAIN!K173)), "NC",
                IF(ISNUMBER(SEARCH("DQ",MAIN!K173)), "DQ",
                IF(ISNUMBER(SEARCH("A",MAIN!K173)), 0,
                IF(OR(MAIN!K173=0,MAIN!K173=""), 0, --TRIM(MAIN!K173)))))))))))),
            0
        )
    ),
    IFERROR(
        UPPER(
            IF(MAX(IFERROR(SEARCH("WD",MAIN!G173:J173), 0))&gt;0, "WD",
            IF(MAX(IFERROR(SEARCH("NS",MAIN!G173:J173), 0))&gt;0, "NS",
            IF(MAX(IFERROR(SEARCH("NC",MAIN!G173:J173), 0))&gt;0, "NC",
            IF(MAX(IFERROR(SEARCH("DQ",MAIN!G173:J173), 0))&gt;0, "DQ",
            IF(ISNUMBER(SEARCH("WD",MAIN!K173)), "WD",
            IF(ISNUMBER(SEARCH("NS",MAIN!K173)), "NS",
            IF(ISNUMBER(SEARCH("NC",MAIN!K173)), "NC",
            IF(ISNUMBER(SEARCH("DQ",MAIN!K173)), "DQ",
            IF(ISNUMBER(SEARCH("A",MAIN!K173)), 0,
            IF(OR(MAIN!K173=0,MAIN!K173=""), 0, --TRIM(MAIN!K173)))))))))))),
        0
    )
)</f>
        <v>0</v>
      </c>
    </row>
    <row r="174" spans="1:11" x14ac:dyDescent="0.25">
      <c r="A174" t="str">
        <f>IF(ISBLANK(MAIN!A174), "--", IFERROR(PROPER(SUBSTITUTE(SUBSTITUTE(SUBSTITUTE(SUBSTITUTE(SUBSTITUTE(SUBSTITUTE(SUBSTITUTE(SUBSTITUTE(SUBSTITUTE(SUBSTITUTE(LEFT(MAIN!A174, FIND(",",MAIN!A174) -1), "0", ""), "1", ""), "2", ""), "3", ""), "4", ""), "5", ""), "6", ""), "7", ""), "8", ""), "9", "")), PROPER(SUBSTITUTE(SUBSTITUTE(SUBSTITUTE(SUBSTITUTE(SUBSTITUTE(SUBSTITUTE(SUBSTITUTE(SUBSTITUTE(SUBSTITUTE(SUBSTITUTE(MAIN!A174, "0", ""), "1", ""), "2", ""), "3", ""), "4", ""), "5", ""), "6", ""), "7", ""), "8", ""), "9", ""))))</f>
        <v>--</v>
      </c>
      <c r="B174" t="str">
        <f>IF(ISBLANK(MAIN!B174), "--", IFERROR(PROPER(SUBSTITUTE(SUBSTITUTE(SUBSTITUTE(SUBSTITUTE(SUBSTITUTE(SUBSTITUTE(SUBSTITUTE(SUBSTITUTE(SUBSTITUTE(SUBSTITUTE(LEFT(MAIN!B174, FIND(",",MAIN!B174) -1), "0", ""), "1", ""), "2", ""), "3", ""), "4", ""), "5", ""), "6", ""), "7", ""), "8", ""), "9", "")), PROPER(SUBSTITUTE(SUBSTITUTE(SUBSTITUTE(SUBSTITUTE(SUBSTITUTE(SUBSTITUTE(SUBSTITUTE(SUBSTITUTE(SUBSTITUTE(SUBSTITUTE(MAIN!B174, "0", ""), "1", ""), "2", ""), "3", ""), "4", ""), "5", ""), "6", ""), "7", ""), "8", ""), "9", ""))))</f>
        <v>--</v>
      </c>
      <c r="C174" t="str">
        <f>IF(ISBLANK(MAIN!C174), "--", IFERROR(PROPER(SUBSTITUTE(SUBSTITUTE(SUBSTITUTE(SUBSTITUTE(SUBSTITUTE(SUBSTITUTE(SUBSTITUTE(SUBSTITUTE(SUBSTITUTE(SUBSTITUTE(LEFT(MAIN!C174, FIND(",",MAIN!C174) -1), "0", ""), "1", ""), "2", ""), "3", ""), "4", ""), "5", ""), "6", ""), "7", ""), "8", ""), "9", "")), PROPER(SUBSTITUTE(SUBSTITUTE(SUBSTITUTE(SUBSTITUTE(SUBSTITUTE(SUBSTITUTE(SUBSTITUTE(SUBSTITUTE(SUBSTITUTE(SUBSTITUTE(MAIN!C174, "0", ""), "1", ""), "2", ""), "3", ""), "4", ""), "5", ""), "6", ""), "7", ""), "8", ""), "9", ""))))</f>
        <v>--</v>
      </c>
      <c r="D174" t="str">
        <f>IF(ISBLANK(MAIN!D174), "--", IF(ISNUMBER(MATCH(SUBSTITUTE(LEFT(MAIN!D174, IFERROR(FIND(",", MAIN!D174)-1, LEN(MAIN!D174))), " ", ""), lookup_values!$B$2:$B$51, 0)), UPPER(SUBSTITUTE(LEFT(MAIN!D174, IFERROR(FIND(",", MAIN!D174)-1, LEN(MAIN!D174))), " ", "")), IF(ISNA(VLOOKUP(SUBSTITUTE(LEFT(MAIN!D174, IFERROR(FIND(",", MAIN!D174)-1, LEN(MAIN!D174))), " ", ""), lookup_values!$A$2:$B$51, 2, FALSE)), "--", VLOOKUP(SUBSTITUTE(LEFT(MAIN!D174, IFERROR(FIND(",", MAIN!D174)-1, LEN(MAIN!D174))), " ", ""), lookup_values!$A$2:$B$51, 2, FALSE))))</f>
        <v>--</v>
      </c>
      <c r="E174" t="str">
        <f>IF(CLEAN_DATA!D174&lt;&gt;"--","US",IF(ISBLANK(MAIN!E174), "--", IF(ISNUMBER(MATCH(SUBSTITUTE(LEFT(MAIN!E174, IFERROR(FIND(",", MAIN!E174)-1, LEN(MAIN!E174))), " ", ""), lookup_values!$E$2:$E$197, 0)), UPPER(SUBSTITUTE(LEFT(MAIN!E174, IFERROR(FIND(",", MAIN!E174)-1, LEN(MAIN!E174))), " ", "")), IF(ISNA(VLOOKUP(SUBSTITUTE(LEFT(MAIN!E174, IFERROR(FIND(",", MAIN!E174)-1, LEN(MAIN!E174))), " ", ""), lookup_values!$D$2:$E$197, 2, FALSE)), "--", VLOOKUP(SUBSTITUTE(LEFT(MAIN!E174, IFERROR(FIND(",", MAIN!E174)-1, LEN(MAIN!E174))), " ", ""), lookup_values!$D$2:$E$197, 2, FALSE)))))</f>
        <v>--</v>
      </c>
      <c r="F174" t="str">
        <f>IF(ISBLANK(MAIN!F174), "", IF(AND(ISNUMBER(VALUE(TRIM(MAIN!F174))), LEN(TRIM(MAIN!F174))=4), VALUE(TRIM(MAIN!F174)), ""))</f>
        <v/>
      </c>
      <c r="G174">
        <f>IF(ISBLANK(MAIN!G174), 0, IF(ISNUMBER(VALUE(TRIM(MAIN!G174))), VALUE(TRIM(MAIN!G174)), 0))</f>
        <v>0</v>
      </c>
      <c r="H174">
        <f>IF(ISBLANK(MAIN!H174), 0, IF(ISNUMBER(VALUE(TRIM(MAIN!H174))), VALUE(TRIM(MAIN!H174)), 0))</f>
        <v>0</v>
      </c>
      <c r="I174">
        <f>IF(ISBLANK(MAIN!I174), 0, IF(ISNUMBER(VALUE(TRIM(MAIN!I174))), VALUE(TRIM(MAIN!I174)), 0))</f>
        <v>0</v>
      </c>
      <c r="J174">
        <f>IF(ISBLANK(MAIN!J174), 0, IF(ISNUMBER(VALUE(TRIM(MAIN!J174))), VALUE(TRIM(MAIN!J174)), 0))</f>
        <v>0</v>
      </c>
      <c r="K174" cm="1">
        <f t="array" ref="K174">IFERROR(
    VALUE(
        IFERROR(
            UPPER(
                IF(MAX(IFERROR(SEARCH("WD",MAIN!G174:J174), 0))&gt;0, "WD",
                IF(MAX(IFERROR(SEARCH("NS",MAIN!G174:J174), 0))&gt;0, "NS",
                IF(MAX(IFERROR(SEARCH("NC",MAIN!G174:J174), 0))&gt;0, "NC",
                IF(MAX(IFERROR(SEARCH("DQ",MAIN!G174:J174), 0))&gt;0, "DQ",
                IF(ISNUMBER(SEARCH("WD",MAIN!K174)), "WD",
                IF(ISNUMBER(SEARCH("NS",MAIN!K174)), "NS",
                IF(ISNUMBER(SEARCH("NC",MAIN!K174)), "NC",
                IF(ISNUMBER(SEARCH("DQ",MAIN!K174)), "DQ",
                IF(ISNUMBER(SEARCH("A",MAIN!K174)), 0,
                IF(OR(MAIN!K174=0,MAIN!K174=""), 0, --TRIM(MAIN!K174)))))))))))),
            0
        )
    ),
    IFERROR(
        UPPER(
            IF(MAX(IFERROR(SEARCH("WD",MAIN!G174:J174), 0))&gt;0, "WD",
            IF(MAX(IFERROR(SEARCH("NS",MAIN!G174:J174), 0))&gt;0, "NS",
            IF(MAX(IFERROR(SEARCH("NC",MAIN!G174:J174), 0))&gt;0, "NC",
            IF(MAX(IFERROR(SEARCH("DQ",MAIN!G174:J174), 0))&gt;0, "DQ",
            IF(ISNUMBER(SEARCH("WD",MAIN!K174)), "WD",
            IF(ISNUMBER(SEARCH("NS",MAIN!K174)), "NS",
            IF(ISNUMBER(SEARCH("NC",MAIN!K174)), "NC",
            IF(ISNUMBER(SEARCH("DQ",MAIN!K174)), "DQ",
            IF(ISNUMBER(SEARCH("A",MAIN!K174)), 0,
            IF(OR(MAIN!K174=0,MAIN!K174=""), 0, --TRIM(MAIN!K174)))))))))))),
        0
    )
)</f>
        <v>0</v>
      </c>
    </row>
    <row r="175" spans="1:11" x14ac:dyDescent="0.25">
      <c r="A175" t="str">
        <f>IF(ISBLANK(MAIN!A175), "--", IFERROR(PROPER(SUBSTITUTE(SUBSTITUTE(SUBSTITUTE(SUBSTITUTE(SUBSTITUTE(SUBSTITUTE(SUBSTITUTE(SUBSTITUTE(SUBSTITUTE(SUBSTITUTE(LEFT(MAIN!A175, FIND(",",MAIN!A175) -1), "0", ""), "1", ""), "2", ""), "3", ""), "4", ""), "5", ""), "6", ""), "7", ""), "8", ""), "9", "")), PROPER(SUBSTITUTE(SUBSTITUTE(SUBSTITUTE(SUBSTITUTE(SUBSTITUTE(SUBSTITUTE(SUBSTITUTE(SUBSTITUTE(SUBSTITUTE(SUBSTITUTE(MAIN!A175, "0", ""), "1", ""), "2", ""), "3", ""), "4", ""), "5", ""), "6", ""), "7", ""), "8", ""), "9", ""))))</f>
        <v>--</v>
      </c>
      <c r="B175" t="str">
        <f>IF(ISBLANK(MAIN!B175), "--", IFERROR(PROPER(SUBSTITUTE(SUBSTITUTE(SUBSTITUTE(SUBSTITUTE(SUBSTITUTE(SUBSTITUTE(SUBSTITUTE(SUBSTITUTE(SUBSTITUTE(SUBSTITUTE(LEFT(MAIN!B175, FIND(",",MAIN!B175) -1), "0", ""), "1", ""), "2", ""), "3", ""), "4", ""), "5", ""), "6", ""), "7", ""), "8", ""), "9", "")), PROPER(SUBSTITUTE(SUBSTITUTE(SUBSTITUTE(SUBSTITUTE(SUBSTITUTE(SUBSTITUTE(SUBSTITUTE(SUBSTITUTE(SUBSTITUTE(SUBSTITUTE(MAIN!B175, "0", ""), "1", ""), "2", ""), "3", ""), "4", ""), "5", ""), "6", ""), "7", ""), "8", ""), "9", ""))))</f>
        <v>--</v>
      </c>
      <c r="C175" t="str">
        <f>IF(ISBLANK(MAIN!C175), "--", IFERROR(PROPER(SUBSTITUTE(SUBSTITUTE(SUBSTITUTE(SUBSTITUTE(SUBSTITUTE(SUBSTITUTE(SUBSTITUTE(SUBSTITUTE(SUBSTITUTE(SUBSTITUTE(LEFT(MAIN!C175, FIND(",",MAIN!C175) -1), "0", ""), "1", ""), "2", ""), "3", ""), "4", ""), "5", ""), "6", ""), "7", ""), "8", ""), "9", "")), PROPER(SUBSTITUTE(SUBSTITUTE(SUBSTITUTE(SUBSTITUTE(SUBSTITUTE(SUBSTITUTE(SUBSTITUTE(SUBSTITUTE(SUBSTITUTE(SUBSTITUTE(MAIN!C175, "0", ""), "1", ""), "2", ""), "3", ""), "4", ""), "5", ""), "6", ""), "7", ""), "8", ""), "9", ""))))</f>
        <v>--</v>
      </c>
      <c r="D175" t="str">
        <f>IF(ISBLANK(MAIN!D175), "--", IF(ISNUMBER(MATCH(SUBSTITUTE(LEFT(MAIN!D175, IFERROR(FIND(",", MAIN!D175)-1, LEN(MAIN!D175))), " ", ""), lookup_values!$B$2:$B$51, 0)), UPPER(SUBSTITUTE(LEFT(MAIN!D175, IFERROR(FIND(",", MAIN!D175)-1, LEN(MAIN!D175))), " ", "")), IF(ISNA(VLOOKUP(SUBSTITUTE(LEFT(MAIN!D175, IFERROR(FIND(",", MAIN!D175)-1, LEN(MAIN!D175))), " ", ""), lookup_values!$A$2:$B$51, 2, FALSE)), "--", VLOOKUP(SUBSTITUTE(LEFT(MAIN!D175, IFERROR(FIND(",", MAIN!D175)-1, LEN(MAIN!D175))), " ", ""), lookup_values!$A$2:$B$51, 2, FALSE))))</f>
        <v>--</v>
      </c>
      <c r="E175" t="str">
        <f>IF(CLEAN_DATA!D175&lt;&gt;"--","US",IF(ISBLANK(MAIN!E175), "--", IF(ISNUMBER(MATCH(SUBSTITUTE(LEFT(MAIN!E175, IFERROR(FIND(",", MAIN!E175)-1, LEN(MAIN!E175))), " ", ""), lookup_values!$E$2:$E$197, 0)), UPPER(SUBSTITUTE(LEFT(MAIN!E175, IFERROR(FIND(",", MAIN!E175)-1, LEN(MAIN!E175))), " ", "")), IF(ISNA(VLOOKUP(SUBSTITUTE(LEFT(MAIN!E175, IFERROR(FIND(",", MAIN!E175)-1, LEN(MAIN!E175))), " ", ""), lookup_values!$D$2:$E$197, 2, FALSE)), "--", VLOOKUP(SUBSTITUTE(LEFT(MAIN!E175, IFERROR(FIND(",", MAIN!E175)-1, LEN(MAIN!E175))), " ", ""), lookup_values!$D$2:$E$197, 2, FALSE)))))</f>
        <v>--</v>
      </c>
      <c r="F175" t="str">
        <f>IF(ISBLANK(MAIN!F175), "", IF(AND(ISNUMBER(VALUE(TRIM(MAIN!F175))), LEN(TRIM(MAIN!F175))=4), VALUE(TRIM(MAIN!F175)), ""))</f>
        <v/>
      </c>
      <c r="G175">
        <f>IF(ISBLANK(MAIN!G175), 0, IF(ISNUMBER(VALUE(TRIM(MAIN!G175))), VALUE(TRIM(MAIN!G175)), 0))</f>
        <v>0</v>
      </c>
      <c r="H175">
        <f>IF(ISBLANK(MAIN!H175), 0, IF(ISNUMBER(VALUE(TRIM(MAIN!H175))), VALUE(TRIM(MAIN!H175)), 0))</f>
        <v>0</v>
      </c>
      <c r="I175">
        <f>IF(ISBLANK(MAIN!I175), 0, IF(ISNUMBER(VALUE(TRIM(MAIN!I175))), VALUE(TRIM(MAIN!I175)), 0))</f>
        <v>0</v>
      </c>
      <c r="J175">
        <f>IF(ISBLANK(MAIN!J175), 0, IF(ISNUMBER(VALUE(TRIM(MAIN!J175))), VALUE(TRIM(MAIN!J175)), 0))</f>
        <v>0</v>
      </c>
      <c r="K175" cm="1">
        <f t="array" ref="K175">IFERROR(
    VALUE(
        IFERROR(
            UPPER(
                IF(MAX(IFERROR(SEARCH("WD",MAIN!G175:J175), 0))&gt;0, "WD",
                IF(MAX(IFERROR(SEARCH("NS",MAIN!G175:J175), 0))&gt;0, "NS",
                IF(MAX(IFERROR(SEARCH("NC",MAIN!G175:J175), 0))&gt;0, "NC",
                IF(MAX(IFERROR(SEARCH("DQ",MAIN!G175:J175), 0))&gt;0, "DQ",
                IF(ISNUMBER(SEARCH("WD",MAIN!K175)), "WD",
                IF(ISNUMBER(SEARCH("NS",MAIN!K175)), "NS",
                IF(ISNUMBER(SEARCH("NC",MAIN!K175)), "NC",
                IF(ISNUMBER(SEARCH("DQ",MAIN!K175)), "DQ",
                IF(ISNUMBER(SEARCH("A",MAIN!K175)), 0,
                IF(OR(MAIN!K175=0,MAIN!K175=""), 0, --TRIM(MAIN!K175)))))))))))),
            0
        )
    ),
    IFERROR(
        UPPER(
            IF(MAX(IFERROR(SEARCH("WD",MAIN!G175:J175), 0))&gt;0, "WD",
            IF(MAX(IFERROR(SEARCH("NS",MAIN!G175:J175), 0))&gt;0, "NS",
            IF(MAX(IFERROR(SEARCH("NC",MAIN!G175:J175), 0))&gt;0, "NC",
            IF(MAX(IFERROR(SEARCH("DQ",MAIN!G175:J175), 0))&gt;0, "DQ",
            IF(ISNUMBER(SEARCH("WD",MAIN!K175)), "WD",
            IF(ISNUMBER(SEARCH("NS",MAIN!K175)), "NS",
            IF(ISNUMBER(SEARCH("NC",MAIN!K175)), "NC",
            IF(ISNUMBER(SEARCH("DQ",MAIN!K175)), "DQ",
            IF(ISNUMBER(SEARCH("A",MAIN!K175)), 0,
            IF(OR(MAIN!K175=0,MAIN!K175=""), 0, --TRIM(MAIN!K175)))))))))))),
        0
    )
)</f>
        <v>0</v>
      </c>
    </row>
    <row r="176" spans="1:11" x14ac:dyDescent="0.25">
      <c r="A176" t="str">
        <f>IF(ISBLANK(MAIN!A176), "--", IFERROR(PROPER(SUBSTITUTE(SUBSTITUTE(SUBSTITUTE(SUBSTITUTE(SUBSTITUTE(SUBSTITUTE(SUBSTITUTE(SUBSTITUTE(SUBSTITUTE(SUBSTITUTE(LEFT(MAIN!A176, FIND(",",MAIN!A176) -1), "0", ""), "1", ""), "2", ""), "3", ""), "4", ""), "5", ""), "6", ""), "7", ""), "8", ""), "9", "")), PROPER(SUBSTITUTE(SUBSTITUTE(SUBSTITUTE(SUBSTITUTE(SUBSTITUTE(SUBSTITUTE(SUBSTITUTE(SUBSTITUTE(SUBSTITUTE(SUBSTITUTE(MAIN!A176, "0", ""), "1", ""), "2", ""), "3", ""), "4", ""), "5", ""), "6", ""), "7", ""), "8", ""), "9", ""))))</f>
        <v>--</v>
      </c>
      <c r="B176" t="str">
        <f>IF(ISBLANK(MAIN!B176), "--", IFERROR(PROPER(SUBSTITUTE(SUBSTITUTE(SUBSTITUTE(SUBSTITUTE(SUBSTITUTE(SUBSTITUTE(SUBSTITUTE(SUBSTITUTE(SUBSTITUTE(SUBSTITUTE(LEFT(MAIN!B176, FIND(",",MAIN!B176) -1), "0", ""), "1", ""), "2", ""), "3", ""), "4", ""), "5", ""), "6", ""), "7", ""), "8", ""), "9", "")), PROPER(SUBSTITUTE(SUBSTITUTE(SUBSTITUTE(SUBSTITUTE(SUBSTITUTE(SUBSTITUTE(SUBSTITUTE(SUBSTITUTE(SUBSTITUTE(SUBSTITUTE(MAIN!B176, "0", ""), "1", ""), "2", ""), "3", ""), "4", ""), "5", ""), "6", ""), "7", ""), "8", ""), "9", ""))))</f>
        <v>--</v>
      </c>
      <c r="C176" t="str">
        <f>IF(ISBLANK(MAIN!C176), "--", IFERROR(PROPER(SUBSTITUTE(SUBSTITUTE(SUBSTITUTE(SUBSTITUTE(SUBSTITUTE(SUBSTITUTE(SUBSTITUTE(SUBSTITUTE(SUBSTITUTE(SUBSTITUTE(LEFT(MAIN!C176, FIND(",",MAIN!C176) -1), "0", ""), "1", ""), "2", ""), "3", ""), "4", ""), "5", ""), "6", ""), "7", ""), "8", ""), "9", "")), PROPER(SUBSTITUTE(SUBSTITUTE(SUBSTITUTE(SUBSTITUTE(SUBSTITUTE(SUBSTITUTE(SUBSTITUTE(SUBSTITUTE(SUBSTITUTE(SUBSTITUTE(MAIN!C176, "0", ""), "1", ""), "2", ""), "3", ""), "4", ""), "5", ""), "6", ""), "7", ""), "8", ""), "9", ""))))</f>
        <v>--</v>
      </c>
      <c r="D176" t="str">
        <f>IF(ISBLANK(MAIN!D176), "--", IF(ISNUMBER(MATCH(SUBSTITUTE(LEFT(MAIN!D176, IFERROR(FIND(",", MAIN!D176)-1, LEN(MAIN!D176))), " ", ""), lookup_values!$B$2:$B$51, 0)), UPPER(SUBSTITUTE(LEFT(MAIN!D176, IFERROR(FIND(",", MAIN!D176)-1, LEN(MAIN!D176))), " ", "")), IF(ISNA(VLOOKUP(SUBSTITUTE(LEFT(MAIN!D176, IFERROR(FIND(",", MAIN!D176)-1, LEN(MAIN!D176))), " ", ""), lookup_values!$A$2:$B$51, 2, FALSE)), "--", VLOOKUP(SUBSTITUTE(LEFT(MAIN!D176, IFERROR(FIND(",", MAIN!D176)-1, LEN(MAIN!D176))), " ", ""), lookup_values!$A$2:$B$51, 2, FALSE))))</f>
        <v>--</v>
      </c>
      <c r="E176" t="str">
        <f>IF(CLEAN_DATA!D176&lt;&gt;"--","US",IF(ISBLANK(MAIN!E176), "--", IF(ISNUMBER(MATCH(SUBSTITUTE(LEFT(MAIN!E176, IFERROR(FIND(",", MAIN!E176)-1, LEN(MAIN!E176))), " ", ""), lookup_values!$E$2:$E$197, 0)), UPPER(SUBSTITUTE(LEFT(MAIN!E176, IFERROR(FIND(",", MAIN!E176)-1, LEN(MAIN!E176))), " ", "")), IF(ISNA(VLOOKUP(SUBSTITUTE(LEFT(MAIN!E176, IFERROR(FIND(",", MAIN!E176)-1, LEN(MAIN!E176))), " ", ""), lookup_values!$D$2:$E$197, 2, FALSE)), "--", VLOOKUP(SUBSTITUTE(LEFT(MAIN!E176, IFERROR(FIND(",", MAIN!E176)-1, LEN(MAIN!E176))), " ", ""), lookup_values!$D$2:$E$197, 2, FALSE)))))</f>
        <v>--</v>
      </c>
      <c r="F176" t="str">
        <f>IF(ISBLANK(MAIN!F176), "", IF(AND(ISNUMBER(VALUE(TRIM(MAIN!F176))), LEN(TRIM(MAIN!F176))=4), VALUE(TRIM(MAIN!F176)), ""))</f>
        <v/>
      </c>
      <c r="G176">
        <f>IF(ISBLANK(MAIN!G176), 0, IF(ISNUMBER(VALUE(TRIM(MAIN!G176))), VALUE(TRIM(MAIN!G176)), 0))</f>
        <v>0</v>
      </c>
      <c r="H176">
        <f>IF(ISBLANK(MAIN!H176), 0, IF(ISNUMBER(VALUE(TRIM(MAIN!H176))), VALUE(TRIM(MAIN!H176)), 0))</f>
        <v>0</v>
      </c>
      <c r="I176">
        <f>IF(ISBLANK(MAIN!I176), 0, IF(ISNUMBER(VALUE(TRIM(MAIN!I176))), VALUE(TRIM(MAIN!I176)), 0))</f>
        <v>0</v>
      </c>
      <c r="J176">
        <f>IF(ISBLANK(MAIN!J176), 0, IF(ISNUMBER(VALUE(TRIM(MAIN!J176))), VALUE(TRIM(MAIN!J176)), 0))</f>
        <v>0</v>
      </c>
      <c r="K176" cm="1">
        <f t="array" ref="K176">IFERROR(
    VALUE(
        IFERROR(
            UPPER(
                IF(MAX(IFERROR(SEARCH("WD",MAIN!G176:J176), 0))&gt;0, "WD",
                IF(MAX(IFERROR(SEARCH("NS",MAIN!G176:J176), 0))&gt;0, "NS",
                IF(MAX(IFERROR(SEARCH("NC",MAIN!G176:J176), 0))&gt;0, "NC",
                IF(MAX(IFERROR(SEARCH("DQ",MAIN!G176:J176), 0))&gt;0, "DQ",
                IF(ISNUMBER(SEARCH("WD",MAIN!K176)), "WD",
                IF(ISNUMBER(SEARCH("NS",MAIN!K176)), "NS",
                IF(ISNUMBER(SEARCH("NC",MAIN!K176)), "NC",
                IF(ISNUMBER(SEARCH("DQ",MAIN!K176)), "DQ",
                IF(ISNUMBER(SEARCH("A",MAIN!K176)), 0,
                IF(OR(MAIN!K176=0,MAIN!K176=""), 0, --TRIM(MAIN!K176)))))))))))),
            0
        )
    ),
    IFERROR(
        UPPER(
            IF(MAX(IFERROR(SEARCH("WD",MAIN!G176:J176), 0))&gt;0, "WD",
            IF(MAX(IFERROR(SEARCH("NS",MAIN!G176:J176), 0))&gt;0, "NS",
            IF(MAX(IFERROR(SEARCH("NC",MAIN!G176:J176), 0))&gt;0, "NC",
            IF(MAX(IFERROR(SEARCH("DQ",MAIN!G176:J176), 0))&gt;0, "DQ",
            IF(ISNUMBER(SEARCH("WD",MAIN!K176)), "WD",
            IF(ISNUMBER(SEARCH("NS",MAIN!K176)), "NS",
            IF(ISNUMBER(SEARCH("NC",MAIN!K176)), "NC",
            IF(ISNUMBER(SEARCH("DQ",MAIN!K176)), "DQ",
            IF(ISNUMBER(SEARCH("A",MAIN!K176)), 0,
            IF(OR(MAIN!K176=0,MAIN!K176=""), 0, --TRIM(MAIN!K176)))))))))))),
        0
    )
)</f>
        <v>0</v>
      </c>
    </row>
    <row r="177" spans="1:11" x14ac:dyDescent="0.25">
      <c r="A177" t="str">
        <f>IF(ISBLANK(MAIN!A177), "--", IFERROR(PROPER(SUBSTITUTE(SUBSTITUTE(SUBSTITUTE(SUBSTITUTE(SUBSTITUTE(SUBSTITUTE(SUBSTITUTE(SUBSTITUTE(SUBSTITUTE(SUBSTITUTE(LEFT(MAIN!A177, FIND(",",MAIN!A177) -1), "0", ""), "1", ""), "2", ""), "3", ""), "4", ""), "5", ""), "6", ""), "7", ""), "8", ""), "9", "")), PROPER(SUBSTITUTE(SUBSTITUTE(SUBSTITUTE(SUBSTITUTE(SUBSTITUTE(SUBSTITUTE(SUBSTITUTE(SUBSTITUTE(SUBSTITUTE(SUBSTITUTE(MAIN!A177, "0", ""), "1", ""), "2", ""), "3", ""), "4", ""), "5", ""), "6", ""), "7", ""), "8", ""), "9", ""))))</f>
        <v>--</v>
      </c>
      <c r="B177" t="str">
        <f>IF(ISBLANK(MAIN!B177), "--", IFERROR(PROPER(SUBSTITUTE(SUBSTITUTE(SUBSTITUTE(SUBSTITUTE(SUBSTITUTE(SUBSTITUTE(SUBSTITUTE(SUBSTITUTE(SUBSTITUTE(SUBSTITUTE(LEFT(MAIN!B177, FIND(",",MAIN!B177) -1), "0", ""), "1", ""), "2", ""), "3", ""), "4", ""), "5", ""), "6", ""), "7", ""), "8", ""), "9", "")), PROPER(SUBSTITUTE(SUBSTITUTE(SUBSTITUTE(SUBSTITUTE(SUBSTITUTE(SUBSTITUTE(SUBSTITUTE(SUBSTITUTE(SUBSTITUTE(SUBSTITUTE(MAIN!B177, "0", ""), "1", ""), "2", ""), "3", ""), "4", ""), "5", ""), "6", ""), "7", ""), "8", ""), "9", ""))))</f>
        <v>--</v>
      </c>
      <c r="C177" t="str">
        <f>IF(ISBLANK(MAIN!C177), "--", IFERROR(PROPER(SUBSTITUTE(SUBSTITUTE(SUBSTITUTE(SUBSTITUTE(SUBSTITUTE(SUBSTITUTE(SUBSTITUTE(SUBSTITUTE(SUBSTITUTE(SUBSTITUTE(LEFT(MAIN!C177, FIND(",",MAIN!C177) -1), "0", ""), "1", ""), "2", ""), "3", ""), "4", ""), "5", ""), "6", ""), "7", ""), "8", ""), "9", "")), PROPER(SUBSTITUTE(SUBSTITUTE(SUBSTITUTE(SUBSTITUTE(SUBSTITUTE(SUBSTITUTE(SUBSTITUTE(SUBSTITUTE(SUBSTITUTE(SUBSTITUTE(MAIN!C177, "0", ""), "1", ""), "2", ""), "3", ""), "4", ""), "5", ""), "6", ""), "7", ""), "8", ""), "9", ""))))</f>
        <v>--</v>
      </c>
      <c r="D177" t="str">
        <f>IF(ISBLANK(MAIN!D177), "--", IF(ISNUMBER(MATCH(SUBSTITUTE(LEFT(MAIN!D177, IFERROR(FIND(",", MAIN!D177)-1, LEN(MAIN!D177))), " ", ""), lookup_values!$B$2:$B$51, 0)), UPPER(SUBSTITUTE(LEFT(MAIN!D177, IFERROR(FIND(",", MAIN!D177)-1, LEN(MAIN!D177))), " ", "")), IF(ISNA(VLOOKUP(SUBSTITUTE(LEFT(MAIN!D177, IFERROR(FIND(",", MAIN!D177)-1, LEN(MAIN!D177))), " ", ""), lookup_values!$A$2:$B$51, 2, FALSE)), "--", VLOOKUP(SUBSTITUTE(LEFT(MAIN!D177, IFERROR(FIND(",", MAIN!D177)-1, LEN(MAIN!D177))), " ", ""), lookup_values!$A$2:$B$51, 2, FALSE))))</f>
        <v>--</v>
      </c>
      <c r="E177" t="str">
        <f>IF(CLEAN_DATA!D177&lt;&gt;"--","US",IF(ISBLANK(MAIN!E177), "--", IF(ISNUMBER(MATCH(SUBSTITUTE(LEFT(MAIN!E177, IFERROR(FIND(",", MAIN!E177)-1, LEN(MAIN!E177))), " ", ""), lookup_values!$E$2:$E$197, 0)), UPPER(SUBSTITUTE(LEFT(MAIN!E177, IFERROR(FIND(",", MAIN!E177)-1, LEN(MAIN!E177))), " ", "")), IF(ISNA(VLOOKUP(SUBSTITUTE(LEFT(MAIN!E177, IFERROR(FIND(",", MAIN!E177)-1, LEN(MAIN!E177))), " ", ""), lookup_values!$D$2:$E$197, 2, FALSE)), "--", VLOOKUP(SUBSTITUTE(LEFT(MAIN!E177, IFERROR(FIND(",", MAIN!E177)-1, LEN(MAIN!E177))), " ", ""), lookup_values!$D$2:$E$197, 2, FALSE)))))</f>
        <v>--</v>
      </c>
      <c r="F177" t="str">
        <f>IF(ISBLANK(MAIN!F177), "", IF(AND(ISNUMBER(VALUE(TRIM(MAIN!F177))), LEN(TRIM(MAIN!F177))=4), VALUE(TRIM(MAIN!F177)), ""))</f>
        <v/>
      </c>
      <c r="G177">
        <f>IF(ISBLANK(MAIN!G177), 0, IF(ISNUMBER(VALUE(TRIM(MAIN!G177))), VALUE(TRIM(MAIN!G177)), 0))</f>
        <v>0</v>
      </c>
      <c r="H177">
        <f>IF(ISBLANK(MAIN!H177), 0, IF(ISNUMBER(VALUE(TRIM(MAIN!H177))), VALUE(TRIM(MAIN!H177)), 0))</f>
        <v>0</v>
      </c>
      <c r="I177">
        <f>IF(ISBLANK(MAIN!I177), 0, IF(ISNUMBER(VALUE(TRIM(MAIN!I177))), VALUE(TRIM(MAIN!I177)), 0))</f>
        <v>0</v>
      </c>
      <c r="J177">
        <f>IF(ISBLANK(MAIN!J177), 0, IF(ISNUMBER(VALUE(TRIM(MAIN!J177))), VALUE(TRIM(MAIN!J177)), 0))</f>
        <v>0</v>
      </c>
      <c r="K177" cm="1">
        <f t="array" ref="K177">IFERROR(
    VALUE(
        IFERROR(
            UPPER(
                IF(MAX(IFERROR(SEARCH("WD",MAIN!G177:J177), 0))&gt;0, "WD",
                IF(MAX(IFERROR(SEARCH("NS",MAIN!G177:J177), 0))&gt;0, "NS",
                IF(MAX(IFERROR(SEARCH("NC",MAIN!G177:J177), 0))&gt;0, "NC",
                IF(MAX(IFERROR(SEARCH("DQ",MAIN!G177:J177), 0))&gt;0, "DQ",
                IF(ISNUMBER(SEARCH("WD",MAIN!K177)), "WD",
                IF(ISNUMBER(SEARCH("NS",MAIN!K177)), "NS",
                IF(ISNUMBER(SEARCH("NC",MAIN!K177)), "NC",
                IF(ISNUMBER(SEARCH("DQ",MAIN!K177)), "DQ",
                IF(ISNUMBER(SEARCH("A",MAIN!K177)), 0,
                IF(OR(MAIN!K177=0,MAIN!K177=""), 0, --TRIM(MAIN!K177)))))))))))),
            0
        )
    ),
    IFERROR(
        UPPER(
            IF(MAX(IFERROR(SEARCH("WD",MAIN!G177:J177), 0))&gt;0, "WD",
            IF(MAX(IFERROR(SEARCH("NS",MAIN!G177:J177), 0))&gt;0, "NS",
            IF(MAX(IFERROR(SEARCH("NC",MAIN!G177:J177), 0))&gt;0, "NC",
            IF(MAX(IFERROR(SEARCH("DQ",MAIN!G177:J177), 0))&gt;0, "DQ",
            IF(ISNUMBER(SEARCH("WD",MAIN!K177)), "WD",
            IF(ISNUMBER(SEARCH("NS",MAIN!K177)), "NS",
            IF(ISNUMBER(SEARCH("NC",MAIN!K177)), "NC",
            IF(ISNUMBER(SEARCH("DQ",MAIN!K177)), "DQ",
            IF(ISNUMBER(SEARCH("A",MAIN!K177)), 0,
            IF(OR(MAIN!K177=0,MAIN!K177=""), 0, --TRIM(MAIN!K177)))))))))))),
        0
    )
)</f>
        <v>0</v>
      </c>
    </row>
    <row r="178" spans="1:11" x14ac:dyDescent="0.25">
      <c r="A178" t="str">
        <f>IF(ISBLANK(MAIN!A178), "--", IFERROR(PROPER(SUBSTITUTE(SUBSTITUTE(SUBSTITUTE(SUBSTITUTE(SUBSTITUTE(SUBSTITUTE(SUBSTITUTE(SUBSTITUTE(SUBSTITUTE(SUBSTITUTE(LEFT(MAIN!A178, FIND(",",MAIN!A178) -1), "0", ""), "1", ""), "2", ""), "3", ""), "4", ""), "5", ""), "6", ""), "7", ""), "8", ""), "9", "")), PROPER(SUBSTITUTE(SUBSTITUTE(SUBSTITUTE(SUBSTITUTE(SUBSTITUTE(SUBSTITUTE(SUBSTITUTE(SUBSTITUTE(SUBSTITUTE(SUBSTITUTE(MAIN!A178, "0", ""), "1", ""), "2", ""), "3", ""), "4", ""), "5", ""), "6", ""), "7", ""), "8", ""), "9", ""))))</f>
        <v>--</v>
      </c>
      <c r="B178" t="str">
        <f>IF(ISBLANK(MAIN!B178), "--", IFERROR(PROPER(SUBSTITUTE(SUBSTITUTE(SUBSTITUTE(SUBSTITUTE(SUBSTITUTE(SUBSTITUTE(SUBSTITUTE(SUBSTITUTE(SUBSTITUTE(SUBSTITUTE(LEFT(MAIN!B178, FIND(",",MAIN!B178) -1), "0", ""), "1", ""), "2", ""), "3", ""), "4", ""), "5", ""), "6", ""), "7", ""), "8", ""), "9", "")), PROPER(SUBSTITUTE(SUBSTITUTE(SUBSTITUTE(SUBSTITUTE(SUBSTITUTE(SUBSTITUTE(SUBSTITUTE(SUBSTITUTE(SUBSTITUTE(SUBSTITUTE(MAIN!B178, "0", ""), "1", ""), "2", ""), "3", ""), "4", ""), "5", ""), "6", ""), "7", ""), "8", ""), "9", ""))))</f>
        <v>--</v>
      </c>
      <c r="C178" t="str">
        <f>IF(ISBLANK(MAIN!C178), "--", IFERROR(PROPER(SUBSTITUTE(SUBSTITUTE(SUBSTITUTE(SUBSTITUTE(SUBSTITUTE(SUBSTITUTE(SUBSTITUTE(SUBSTITUTE(SUBSTITUTE(SUBSTITUTE(LEFT(MAIN!C178, FIND(",",MAIN!C178) -1), "0", ""), "1", ""), "2", ""), "3", ""), "4", ""), "5", ""), "6", ""), "7", ""), "8", ""), "9", "")), PROPER(SUBSTITUTE(SUBSTITUTE(SUBSTITUTE(SUBSTITUTE(SUBSTITUTE(SUBSTITUTE(SUBSTITUTE(SUBSTITUTE(SUBSTITUTE(SUBSTITUTE(MAIN!C178, "0", ""), "1", ""), "2", ""), "3", ""), "4", ""), "5", ""), "6", ""), "7", ""), "8", ""), "9", ""))))</f>
        <v>--</v>
      </c>
      <c r="D178" t="str">
        <f>IF(ISBLANK(MAIN!D178), "--", IF(ISNUMBER(MATCH(SUBSTITUTE(LEFT(MAIN!D178, IFERROR(FIND(",", MAIN!D178)-1, LEN(MAIN!D178))), " ", ""), lookup_values!$B$2:$B$51, 0)), UPPER(SUBSTITUTE(LEFT(MAIN!D178, IFERROR(FIND(",", MAIN!D178)-1, LEN(MAIN!D178))), " ", "")), IF(ISNA(VLOOKUP(SUBSTITUTE(LEFT(MAIN!D178, IFERROR(FIND(",", MAIN!D178)-1, LEN(MAIN!D178))), " ", ""), lookup_values!$A$2:$B$51, 2, FALSE)), "--", VLOOKUP(SUBSTITUTE(LEFT(MAIN!D178, IFERROR(FIND(",", MAIN!D178)-1, LEN(MAIN!D178))), " ", ""), lookup_values!$A$2:$B$51, 2, FALSE))))</f>
        <v>--</v>
      </c>
      <c r="E178" t="str">
        <f>IF(CLEAN_DATA!D178&lt;&gt;"--","US",IF(ISBLANK(MAIN!E178), "--", IF(ISNUMBER(MATCH(SUBSTITUTE(LEFT(MAIN!E178, IFERROR(FIND(",", MAIN!E178)-1, LEN(MAIN!E178))), " ", ""), lookup_values!$E$2:$E$197, 0)), UPPER(SUBSTITUTE(LEFT(MAIN!E178, IFERROR(FIND(",", MAIN!E178)-1, LEN(MAIN!E178))), " ", "")), IF(ISNA(VLOOKUP(SUBSTITUTE(LEFT(MAIN!E178, IFERROR(FIND(",", MAIN!E178)-1, LEN(MAIN!E178))), " ", ""), lookup_values!$D$2:$E$197, 2, FALSE)), "--", VLOOKUP(SUBSTITUTE(LEFT(MAIN!E178, IFERROR(FIND(",", MAIN!E178)-1, LEN(MAIN!E178))), " ", ""), lookup_values!$D$2:$E$197, 2, FALSE)))))</f>
        <v>--</v>
      </c>
      <c r="F178" t="str">
        <f>IF(ISBLANK(MAIN!F178), "", IF(AND(ISNUMBER(VALUE(TRIM(MAIN!F178))), LEN(TRIM(MAIN!F178))=4), VALUE(TRIM(MAIN!F178)), ""))</f>
        <v/>
      </c>
      <c r="G178">
        <f>IF(ISBLANK(MAIN!G178), 0, IF(ISNUMBER(VALUE(TRIM(MAIN!G178))), VALUE(TRIM(MAIN!G178)), 0))</f>
        <v>0</v>
      </c>
      <c r="H178">
        <f>IF(ISBLANK(MAIN!H178), 0, IF(ISNUMBER(VALUE(TRIM(MAIN!H178))), VALUE(TRIM(MAIN!H178)), 0))</f>
        <v>0</v>
      </c>
      <c r="I178">
        <f>IF(ISBLANK(MAIN!I178), 0, IF(ISNUMBER(VALUE(TRIM(MAIN!I178))), VALUE(TRIM(MAIN!I178)), 0))</f>
        <v>0</v>
      </c>
      <c r="J178">
        <f>IF(ISBLANK(MAIN!J178), 0, IF(ISNUMBER(VALUE(TRIM(MAIN!J178))), VALUE(TRIM(MAIN!J178)), 0))</f>
        <v>0</v>
      </c>
      <c r="K178" cm="1">
        <f t="array" ref="K178">IFERROR(
    VALUE(
        IFERROR(
            UPPER(
                IF(MAX(IFERROR(SEARCH("WD",MAIN!G178:J178), 0))&gt;0, "WD",
                IF(MAX(IFERROR(SEARCH("NS",MAIN!G178:J178), 0))&gt;0, "NS",
                IF(MAX(IFERROR(SEARCH("NC",MAIN!G178:J178), 0))&gt;0, "NC",
                IF(MAX(IFERROR(SEARCH("DQ",MAIN!G178:J178), 0))&gt;0, "DQ",
                IF(ISNUMBER(SEARCH("WD",MAIN!K178)), "WD",
                IF(ISNUMBER(SEARCH("NS",MAIN!K178)), "NS",
                IF(ISNUMBER(SEARCH("NC",MAIN!K178)), "NC",
                IF(ISNUMBER(SEARCH("DQ",MAIN!K178)), "DQ",
                IF(ISNUMBER(SEARCH("A",MAIN!K178)), 0,
                IF(OR(MAIN!K178=0,MAIN!K178=""), 0, --TRIM(MAIN!K178)))))))))))),
            0
        )
    ),
    IFERROR(
        UPPER(
            IF(MAX(IFERROR(SEARCH("WD",MAIN!G178:J178), 0))&gt;0, "WD",
            IF(MAX(IFERROR(SEARCH("NS",MAIN!G178:J178), 0))&gt;0, "NS",
            IF(MAX(IFERROR(SEARCH("NC",MAIN!G178:J178), 0))&gt;0, "NC",
            IF(MAX(IFERROR(SEARCH("DQ",MAIN!G178:J178), 0))&gt;0, "DQ",
            IF(ISNUMBER(SEARCH("WD",MAIN!K178)), "WD",
            IF(ISNUMBER(SEARCH("NS",MAIN!K178)), "NS",
            IF(ISNUMBER(SEARCH("NC",MAIN!K178)), "NC",
            IF(ISNUMBER(SEARCH("DQ",MAIN!K178)), "DQ",
            IF(ISNUMBER(SEARCH("A",MAIN!K178)), 0,
            IF(OR(MAIN!K178=0,MAIN!K178=""), 0, --TRIM(MAIN!K178)))))))))))),
        0
    )
)</f>
        <v>0</v>
      </c>
    </row>
    <row r="179" spans="1:11" x14ac:dyDescent="0.25">
      <c r="A179" t="str">
        <f>IF(ISBLANK(MAIN!A179), "--", IFERROR(PROPER(SUBSTITUTE(SUBSTITUTE(SUBSTITUTE(SUBSTITUTE(SUBSTITUTE(SUBSTITUTE(SUBSTITUTE(SUBSTITUTE(SUBSTITUTE(SUBSTITUTE(LEFT(MAIN!A179, FIND(",",MAIN!A179) -1), "0", ""), "1", ""), "2", ""), "3", ""), "4", ""), "5", ""), "6", ""), "7", ""), "8", ""), "9", "")), PROPER(SUBSTITUTE(SUBSTITUTE(SUBSTITUTE(SUBSTITUTE(SUBSTITUTE(SUBSTITUTE(SUBSTITUTE(SUBSTITUTE(SUBSTITUTE(SUBSTITUTE(MAIN!A179, "0", ""), "1", ""), "2", ""), "3", ""), "4", ""), "5", ""), "6", ""), "7", ""), "8", ""), "9", ""))))</f>
        <v>--</v>
      </c>
      <c r="B179" t="str">
        <f>IF(ISBLANK(MAIN!B179), "--", IFERROR(PROPER(SUBSTITUTE(SUBSTITUTE(SUBSTITUTE(SUBSTITUTE(SUBSTITUTE(SUBSTITUTE(SUBSTITUTE(SUBSTITUTE(SUBSTITUTE(SUBSTITUTE(LEFT(MAIN!B179, FIND(",",MAIN!B179) -1), "0", ""), "1", ""), "2", ""), "3", ""), "4", ""), "5", ""), "6", ""), "7", ""), "8", ""), "9", "")), PROPER(SUBSTITUTE(SUBSTITUTE(SUBSTITUTE(SUBSTITUTE(SUBSTITUTE(SUBSTITUTE(SUBSTITUTE(SUBSTITUTE(SUBSTITUTE(SUBSTITUTE(MAIN!B179, "0", ""), "1", ""), "2", ""), "3", ""), "4", ""), "5", ""), "6", ""), "7", ""), "8", ""), "9", ""))))</f>
        <v>--</v>
      </c>
      <c r="C179" t="str">
        <f>IF(ISBLANK(MAIN!C179), "--", IFERROR(PROPER(SUBSTITUTE(SUBSTITUTE(SUBSTITUTE(SUBSTITUTE(SUBSTITUTE(SUBSTITUTE(SUBSTITUTE(SUBSTITUTE(SUBSTITUTE(SUBSTITUTE(LEFT(MAIN!C179, FIND(",",MAIN!C179) -1), "0", ""), "1", ""), "2", ""), "3", ""), "4", ""), "5", ""), "6", ""), "7", ""), "8", ""), "9", "")), PROPER(SUBSTITUTE(SUBSTITUTE(SUBSTITUTE(SUBSTITUTE(SUBSTITUTE(SUBSTITUTE(SUBSTITUTE(SUBSTITUTE(SUBSTITUTE(SUBSTITUTE(MAIN!C179, "0", ""), "1", ""), "2", ""), "3", ""), "4", ""), "5", ""), "6", ""), "7", ""), "8", ""), "9", ""))))</f>
        <v>--</v>
      </c>
      <c r="D179" t="str">
        <f>IF(ISBLANK(MAIN!D179), "--", IF(ISNUMBER(MATCH(SUBSTITUTE(LEFT(MAIN!D179, IFERROR(FIND(",", MAIN!D179)-1, LEN(MAIN!D179))), " ", ""), lookup_values!$B$2:$B$51, 0)), UPPER(SUBSTITUTE(LEFT(MAIN!D179, IFERROR(FIND(",", MAIN!D179)-1, LEN(MAIN!D179))), " ", "")), IF(ISNA(VLOOKUP(SUBSTITUTE(LEFT(MAIN!D179, IFERROR(FIND(",", MAIN!D179)-1, LEN(MAIN!D179))), " ", ""), lookup_values!$A$2:$B$51, 2, FALSE)), "--", VLOOKUP(SUBSTITUTE(LEFT(MAIN!D179, IFERROR(FIND(",", MAIN!D179)-1, LEN(MAIN!D179))), " ", ""), lookup_values!$A$2:$B$51, 2, FALSE))))</f>
        <v>--</v>
      </c>
      <c r="E179" t="str">
        <f>IF(CLEAN_DATA!D179&lt;&gt;"--","US",IF(ISBLANK(MAIN!E179), "--", IF(ISNUMBER(MATCH(SUBSTITUTE(LEFT(MAIN!E179, IFERROR(FIND(",", MAIN!E179)-1, LEN(MAIN!E179))), " ", ""), lookup_values!$E$2:$E$197, 0)), UPPER(SUBSTITUTE(LEFT(MAIN!E179, IFERROR(FIND(",", MAIN!E179)-1, LEN(MAIN!E179))), " ", "")), IF(ISNA(VLOOKUP(SUBSTITUTE(LEFT(MAIN!E179, IFERROR(FIND(",", MAIN!E179)-1, LEN(MAIN!E179))), " ", ""), lookup_values!$D$2:$E$197, 2, FALSE)), "--", VLOOKUP(SUBSTITUTE(LEFT(MAIN!E179, IFERROR(FIND(",", MAIN!E179)-1, LEN(MAIN!E179))), " ", ""), lookup_values!$D$2:$E$197, 2, FALSE)))))</f>
        <v>--</v>
      </c>
      <c r="F179" t="str">
        <f>IF(ISBLANK(MAIN!F179), "", IF(AND(ISNUMBER(VALUE(TRIM(MAIN!F179))), LEN(TRIM(MAIN!F179))=4), VALUE(TRIM(MAIN!F179)), ""))</f>
        <v/>
      </c>
      <c r="G179">
        <f>IF(ISBLANK(MAIN!G179), 0, IF(ISNUMBER(VALUE(TRIM(MAIN!G179))), VALUE(TRIM(MAIN!G179)), 0))</f>
        <v>0</v>
      </c>
      <c r="H179">
        <f>IF(ISBLANK(MAIN!H179), 0, IF(ISNUMBER(VALUE(TRIM(MAIN!H179))), VALUE(TRIM(MAIN!H179)), 0))</f>
        <v>0</v>
      </c>
      <c r="I179">
        <f>IF(ISBLANK(MAIN!I179), 0, IF(ISNUMBER(VALUE(TRIM(MAIN!I179))), VALUE(TRIM(MAIN!I179)), 0))</f>
        <v>0</v>
      </c>
      <c r="J179">
        <f>IF(ISBLANK(MAIN!J179), 0, IF(ISNUMBER(VALUE(TRIM(MAIN!J179))), VALUE(TRIM(MAIN!J179)), 0))</f>
        <v>0</v>
      </c>
      <c r="K179" cm="1">
        <f t="array" ref="K179">IFERROR(
    VALUE(
        IFERROR(
            UPPER(
                IF(MAX(IFERROR(SEARCH("WD",MAIN!G179:J179), 0))&gt;0, "WD",
                IF(MAX(IFERROR(SEARCH("NS",MAIN!G179:J179), 0))&gt;0, "NS",
                IF(MAX(IFERROR(SEARCH("NC",MAIN!G179:J179), 0))&gt;0, "NC",
                IF(MAX(IFERROR(SEARCH("DQ",MAIN!G179:J179), 0))&gt;0, "DQ",
                IF(ISNUMBER(SEARCH("WD",MAIN!K179)), "WD",
                IF(ISNUMBER(SEARCH("NS",MAIN!K179)), "NS",
                IF(ISNUMBER(SEARCH("NC",MAIN!K179)), "NC",
                IF(ISNUMBER(SEARCH("DQ",MAIN!K179)), "DQ",
                IF(ISNUMBER(SEARCH("A",MAIN!K179)), 0,
                IF(OR(MAIN!K179=0,MAIN!K179=""), 0, --TRIM(MAIN!K179)))))))))))),
            0
        )
    ),
    IFERROR(
        UPPER(
            IF(MAX(IFERROR(SEARCH("WD",MAIN!G179:J179), 0))&gt;0, "WD",
            IF(MAX(IFERROR(SEARCH("NS",MAIN!G179:J179), 0))&gt;0, "NS",
            IF(MAX(IFERROR(SEARCH("NC",MAIN!G179:J179), 0))&gt;0, "NC",
            IF(MAX(IFERROR(SEARCH("DQ",MAIN!G179:J179), 0))&gt;0, "DQ",
            IF(ISNUMBER(SEARCH("WD",MAIN!K179)), "WD",
            IF(ISNUMBER(SEARCH("NS",MAIN!K179)), "NS",
            IF(ISNUMBER(SEARCH("NC",MAIN!K179)), "NC",
            IF(ISNUMBER(SEARCH("DQ",MAIN!K179)), "DQ",
            IF(ISNUMBER(SEARCH("A",MAIN!K179)), 0,
            IF(OR(MAIN!K179=0,MAIN!K179=""), 0, --TRIM(MAIN!K179)))))))))))),
        0
    )
)</f>
        <v>0</v>
      </c>
    </row>
    <row r="180" spans="1:11" x14ac:dyDescent="0.25">
      <c r="A180" t="str">
        <f>IF(ISBLANK(MAIN!A180), "--", IFERROR(PROPER(SUBSTITUTE(SUBSTITUTE(SUBSTITUTE(SUBSTITUTE(SUBSTITUTE(SUBSTITUTE(SUBSTITUTE(SUBSTITUTE(SUBSTITUTE(SUBSTITUTE(LEFT(MAIN!A180, FIND(",",MAIN!A180) -1), "0", ""), "1", ""), "2", ""), "3", ""), "4", ""), "5", ""), "6", ""), "7", ""), "8", ""), "9", "")), PROPER(SUBSTITUTE(SUBSTITUTE(SUBSTITUTE(SUBSTITUTE(SUBSTITUTE(SUBSTITUTE(SUBSTITUTE(SUBSTITUTE(SUBSTITUTE(SUBSTITUTE(MAIN!A180, "0", ""), "1", ""), "2", ""), "3", ""), "4", ""), "5", ""), "6", ""), "7", ""), "8", ""), "9", ""))))</f>
        <v>--</v>
      </c>
      <c r="B180" t="str">
        <f>IF(ISBLANK(MAIN!B180), "--", IFERROR(PROPER(SUBSTITUTE(SUBSTITUTE(SUBSTITUTE(SUBSTITUTE(SUBSTITUTE(SUBSTITUTE(SUBSTITUTE(SUBSTITUTE(SUBSTITUTE(SUBSTITUTE(LEFT(MAIN!B180, FIND(",",MAIN!B180) -1), "0", ""), "1", ""), "2", ""), "3", ""), "4", ""), "5", ""), "6", ""), "7", ""), "8", ""), "9", "")), PROPER(SUBSTITUTE(SUBSTITUTE(SUBSTITUTE(SUBSTITUTE(SUBSTITUTE(SUBSTITUTE(SUBSTITUTE(SUBSTITUTE(SUBSTITUTE(SUBSTITUTE(MAIN!B180, "0", ""), "1", ""), "2", ""), "3", ""), "4", ""), "5", ""), "6", ""), "7", ""), "8", ""), "9", ""))))</f>
        <v>--</v>
      </c>
      <c r="C180" t="str">
        <f>IF(ISBLANK(MAIN!C180), "--", IFERROR(PROPER(SUBSTITUTE(SUBSTITUTE(SUBSTITUTE(SUBSTITUTE(SUBSTITUTE(SUBSTITUTE(SUBSTITUTE(SUBSTITUTE(SUBSTITUTE(SUBSTITUTE(LEFT(MAIN!C180, FIND(",",MAIN!C180) -1), "0", ""), "1", ""), "2", ""), "3", ""), "4", ""), "5", ""), "6", ""), "7", ""), "8", ""), "9", "")), PROPER(SUBSTITUTE(SUBSTITUTE(SUBSTITUTE(SUBSTITUTE(SUBSTITUTE(SUBSTITUTE(SUBSTITUTE(SUBSTITUTE(SUBSTITUTE(SUBSTITUTE(MAIN!C180, "0", ""), "1", ""), "2", ""), "3", ""), "4", ""), "5", ""), "6", ""), "7", ""), "8", ""), "9", ""))))</f>
        <v>--</v>
      </c>
      <c r="D180" t="str">
        <f>IF(ISBLANK(MAIN!D180), "--", IF(ISNUMBER(MATCH(SUBSTITUTE(LEFT(MAIN!D180, IFERROR(FIND(",", MAIN!D180)-1, LEN(MAIN!D180))), " ", ""), lookup_values!$B$2:$B$51, 0)), UPPER(SUBSTITUTE(LEFT(MAIN!D180, IFERROR(FIND(",", MAIN!D180)-1, LEN(MAIN!D180))), " ", "")), IF(ISNA(VLOOKUP(SUBSTITUTE(LEFT(MAIN!D180, IFERROR(FIND(",", MAIN!D180)-1, LEN(MAIN!D180))), " ", ""), lookup_values!$A$2:$B$51, 2, FALSE)), "--", VLOOKUP(SUBSTITUTE(LEFT(MAIN!D180, IFERROR(FIND(",", MAIN!D180)-1, LEN(MAIN!D180))), " ", ""), lookup_values!$A$2:$B$51, 2, FALSE))))</f>
        <v>--</v>
      </c>
      <c r="E180" t="str">
        <f>IF(CLEAN_DATA!D180&lt;&gt;"--","US",IF(ISBLANK(MAIN!E180), "--", IF(ISNUMBER(MATCH(SUBSTITUTE(LEFT(MAIN!E180, IFERROR(FIND(",", MAIN!E180)-1, LEN(MAIN!E180))), " ", ""), lookup_values!$E$2:$E$197, 0)), UPPER(SUBSTITUTE(LEFT(MAIN!E180, IFERROR(FIND(",", MAIN!E180)-1, LEN(MAIN!E180))), " ", "")), IF(ISNA(VLOOKUP(SUBSTITUTE(LEFT(MAIN!E180, IFERROR(FIND(",", MAIN!E180)-1, LEN(MAIN!E180))), " ", ""), lookup_values!$D$2:$E$197, 2, FALSE)), "--", VLOOKUP(SUBSTITUTE(LEFT(MAIN!E180, IFERROR(FIND(",", MAIN!E180)-1, LEN(MAIN!E180))), " ", ""), lookup_values!$D$2:$E$197, 2, FALSE)))))</f>
        <v>--</v>
      </c>
      <c r="F180" t="str">
        <f>IF(ISBLANK(MAIN!F180), "", IF(AND(ISNUMBER(VALUE(TRIM(MAIN!F180))), LEN(TRIM(MAIN!F180))=4), VALUE(TRIM(MAIN!F180)), ""))</f>
        <v/>
      </c>
      <c r="G180">
        <f>IF(ISBLANK(MAIN!G180), 0, IF(ISNUMBER(VALUE(TRIM(MAIN!G180))), VALUE(TRIM(MAIN!G180)), 0))</f>
        <v>0</v>
      </c>
      <c r="H180">
        <f>IF(ISBLANK(MAIN!H180), 0, IF(ISNUMBER(VALUE(TRIM(MAIN!H180))), VALUE(TRIM(MAIN!H180)), 0))</f>
        <v>0</v>
      </c>
      <c r="I180">
        <f>IF(ISBLANK(MAIN!I180), 0, IF(ISNUMBER(VALUE(TRIM(MAIN!I180))), VALUE(TRIM(MAIN!I180)), 0))</f>
        <v>0</v>
      </c>
      <c r="J180">
        <f>IF(ISBLANK(MAIN!J180), 0, IF(ISNUMBER(VALUE(TRIM(MAIN!J180))), VALUE(TRIM(MAIN!J180)), 0))</f>
        <v>0</v>
      </c>
      <c r="K180" cm="1">
        <f t="array" ref="K180">IFERROR(
    VALUE(
        IFERROR(
            UPPER(
                IF(MAX(IFERROR(SEARCH("WD",MAIN!G180:J180), 0))&gt;0, "WD",
                IF(MAX(IFERROR(SEARCH("NS",MAIN!G180:J180), 0))&gt;0, "NS",
                IF(MAX(IFERROR(SEARCH("NC",MAIN!G180:J180), 0))&gt;0, "NC",
                IF(MAX(IFERROR(SEARCH("DQ",MAIN!G180:J180), 0))&gt;0, "DQ",
                IF(ISNUMBER(SEARCH("WD",MAIN!K180)), "WD",
                IF(ISNUMBER(SEARCH("NS",MAIN!K180)), "NS",
                IF(ISNUMBER(SEARCH("NC",MAIN!K180)), "NC",
                IF(ISNUMBER(SEARCH("DQ",MAIN!K180)), "DQ",
                IF(ISNUMBER(SEARCH("A",MAIN!K180)), 0,
                IF(OR(MAIN!K180=0,MAIN!K180=""), 0, --TRIM(MAIN!K180)))))))))))),
            0
        )
    ),
    IFERROR(
        UPPER(
            IF(MAX(IFERROR(SEARCH("WD",MAIN!G180:J180), 0))&gt;0, "WD",
            IF(MAX(IFERROR(SEARCH("NS",MAIN!G180:J180), 0))&gt;0, "NS",
            IF(MAX(IFERROR(SEARCH("NC",MAIN!G180:J180), 0))&gt;0, "NC",
            IF(MAX(IFERROR(SEARCH("DQ",MAIN!G180:J180), 0))&gt;0, "DQ",
            IF(ISNUMBER(SEARCH("WD",MAIN!K180)), "WD",
            IF(ISNUMBER(SEARCH("NS",MAIN!K180)), "NS",
            IF(ISNUMBER(SEARCH("NC",MAIN!K180)), "NC",
            IF(ISNUMBER(SEARCH("DQ",MAIN!K180)), "DQ",
            IF(ISNUMBER(SEARCH("A",MAIN!K180)), 0,
            IF(OR(MAIN!K180=0,MAIN!K180=""), 0, --TRIM(MAIN!K180)))))))))))),
        0
    )
)</f>
        <v>0</v>
      </c>
    </row>
    <row r="181" spans="1:11" x14ac:dyDescent="0.25">
      <c r="A181" t="str">
        <f>IF(ISBLANK(MAIN!A181), "--", IFERROR(PROPER(SUBSTITUTE(SUBSTITUTE(SUBSTITUTE(SUBSTITUTE(SUBSTITUTE(SUBSTITUTE(SUBSTITUTE(SUBSTITUTE(SUBSTITUTE(SUBSTITUTE(LEFT(MAIN!A181, FIND(",",MAIN!A181) -1), "0", ""), "1", ""), "2", ""), "3", ""), "4", ""), "5", ""), "6", ""), "7", ""), "8", ""), "9", "")), PROPER(SUBSTITUTE(SUBSTITUTE(SUBSTITUTE(SUBSTITUTE(SUBSTITUTE(SUBSTITUTE(SUBSTITUTE(SUBSTITUTE(SUBSTITUTE(SUBSTITUTE(MAIN!A181, "0", ""), "1", ""), "2", ""), "3", ""), "4", ""), "5", ""), "6", ""), "7", ""), "8", ""), "9", ""))))</f>
        <v>--</v>
      </c>
      <c r="B181" t="str">
        <f>IF(ISBLANK(MAIN!B181), "--", IFERROR(PROPER(SUBSTITUTE(SUBSTITUTE(SUBSTITUTE(SUBSTITUTE(SUBSTITUTE(SUBSTITUTE(SUBSTITUTE(SUBSTITUTE(SUBSTITUTE(SUBSTITUTE(LEFT(MAIN!B181, FIND(",",MAIN!B181) -1), "0", ""), "1", ""), "2", ""), "3", ""), "4", ""), "5", ""), "6", ""), "7", ""), "8", ""), "9", "")), PROPER(SUBSTITUTE(SUBSTITUTE(SUBSTITUTE(SUBSTITUTE(SUBSTITUTE(SUBSTITUTE(SUBSTITUTE(SUBSTITUTE(SUBSTITUTE(SUBSTITUTE(MAIN!B181, "0", ""), "1", ""), "2", ""), "3", ""), "4", ""), "5", ""), "6", ""), "7", ""), "8", ""), "9", ""))))</f>
        <v>--</v>
      </c>
      <c r="C181" t="str">
        <f>IF(ISBLANK(MAIN!C181), "--", IFERROR(PROPER(SUBSTITUTE(SUBSTITUTE(SUBSTITUTE(SUBSTITUTE(SUBSTITUTE(SUBSTITUTE(SUBSTITUTE(SUBSTITUTE(SUBSTITUTE(SUBSTITUTE(LEFT(MAIN!C181, FIND(",",MAIN!C181) -1), "0", ""), "1", ""), "2", ""), "3", ""), "4", ""), "5", ""), "6", ""), "7", ""), "8", ""), "9", "")), PROPER(SUBSTITUTE(SUBSTITUTE(SUBSTITUTE(SUBSTITUTE(SUBSTITUTE(SUBSTITUTE(SUBSTITUTE(SUBSTITUTE(SUBSTITUTE(SUBSTITUTE(MAIN!C181, "0", ""), "1", ""), "2", ""), "3", ""), "4", ""), "5", ""), "6", ""), "7", ""), "8", ""), "9", ""))))</f>
        <v>--</v>
      </c>
      <c r="D181" t="str">
        <f>IF(ISBLANK(MAIN!D181), "--", IF(ISNUMBER(MATCH(SUBSTITUTE(LEFT(MAIN!D181, IFERROR(FIND(",", MAIN!D181)-1, LEN(MAIN!D181))), " ", ""), lookup_values!$B$2:$B$51, 0)), UPPER(SUBSTITUTE(LEFT(MAIN!D181, IFERROR(FIND(",", MAIN!D181)-1, LEN(MAIN!D181))), " ", "")), IF(ISNA(VLOOKUP(SUBSTITUTE(LEFT(MAIN!D181, IFERROR(FIND(",", MAIN!D181)-1, LEN(MAIN!D181))), " ", ""), lookup_values!$A$2:$B$51, 2, FALSE)), "--", VLOOKUP(SUBSTITUTE(LEFT(MAIN!D181, IFERROR(FIND(",", MAIN!D181)-1, LEN(MAIN!D181))), " ", ""), lookup_values!$A$2:$B$51, 2, FALSE))))</f>
        <v>--</v>
      </c>
      <c r="E181" t="str">
        <f>IF(CLEAN_DATA!D181&lt;&gt;"--","US",IF(ISBLANK(MAIN!E181), "--", IF(ISNUMBER(MATCH(SUBSTITUTE(LEFT(MAIN!E181, IFERROR(FIND(",", MAIN!E181)-1, LEN(MAIN!E181))), " ", ""), lookup_values!$E$2:$E$197, 0)), UPPER(SUBSTITUTE(LEFT(MAIN!E181, IFERROR(FIND(",", MAIN!E181)-1, LEN(MAIN!E181))), " ", "")), IF(ISNA(VLOOKUP(SUBSTITUTE(LEFT(MAIN!E181, IFERROR(FIND(",", MAIN!E181)-1, LEN(MAIN!E181))), " ", ""), lookup_values!$D$2:$E$197, 2, FALSE)), "--", VLOOKUP(SUBSTITUTE(LEFT(MAIN!E181, IFERROR(FIND(",", MAIN!E181)-1, LEN(MAIN!E181))), " ", ""), lookup_values!$D$2:$E$197, 2, FALSE)))))</f>
        <v>--</v>
      </c>
      <c r="F181" t="str">
        <f>IF(ISBLANK(MAIN!F181), "", IF(AND(ISNUMBER(VALUE(TRIM(MAIN!F181))), LEN(TRIM(MAIN!F181))=4), VALUE(TRIM(MAIN!F181)), ""))</f>
        <v/>
      </c>
      <c r="G181">
        <f>IF(ISBLANK(MAIN!G181), 0, IF(ISNUMBER(VALUE(TRIM(MAIN!G181))), VALUE(TRIM(MAIN!G181)), 0))</f>
        <v>0</v>
      </c>
      <c r="H181">
        <f>IF(ISBLANK(MAIN!H181), 0, IF(ISNUMBER(VALUE(TRIM(MAIN!H181))), VALUE(TRIM(MAIN!H181)), 0))</f>
        <v>0</v>
      </c>
      <c r="I181">
        <f>IF(ISBLANK(MAIN!I181), 0, IF(ISNUMBER(VALUE(TRIM(MAIN!I181))), VALUE(TRIM(MAIN!I181)), 0))</f>
        <v>0</v>
      </c>
      <c r="J181">
        <f>IF(ISBLANK(MAIN!J181), 0, IF(ISNUMBER(VALUE(TRIM(MAIN!J181))), VALUE(TRIM(MAIN!J181)), 0))</f>
        <v>0</v>
      </c>
      <c r="K181" cm="1">
        <f t="array" ref="K181">IFERROR(
    VALUE(
        IFERROR(
            UPPER(
                IF(MAX(IFERROR(SEARCH("WD",MAIN!G181:J181), 0))&gt;0, "WD",
                IF(MAX(IFERROR(SEARCH("NS",MAIN!G181:J181), 0))&gt;0, "NS",
                IF(MAX(IFERROR(SEARCH("NC",MAIN!G181:J181), 0))&gt;0, "NC",
                IF(MAX(IFERROR(SEARCH("DQ",MAIN!G181:J181), 0))&gt;0, "DQ",
                IF(ISNUMBER(SEARCH("WD",MAIN!K181)), "WD",
                IF(ISNUMBER(SEARCH("NS",MAIN!K181)), "NS",
                IF(ISNUMBER(SEARCH("NC",MAIN!K181)), "NC",
                IF(ISNUMBER(SEARCH("DQ",MAIN!K181)), "DQ",
                IF(ISNUMBER(SEARCH("A",MAIN!K181)), 0,
                IF(OR(MAIN!K181=0,MAIN!K181=""), 0, --TRIM(MAIN!K181)))))))))))),
            0
        )
    ),
    IFERROR(
        UPPER(
            IF(MAX(IFERROR(SEARCH("WD",MAIN!G181:J181), 0))&gt;0, "WD",
            IF(MAX(IFERROR(SEARCH("NS",MAIN!G181:J181), 0))&gt;0, "NS",
            IF(MAX(IFERROR(SEARCH("NC",MAIN!G181:J181), 0))&gt;0, "NC",
            IF(MAX(IFERROR(SEARCH("DQ",MAIN!G181:J181), 0))&gt;0, "DQ",
            IF(ISNUMBER(SEARCH("WD",MAIN!K181)), "WD",
            IF(ISNUMBER(SEARCH("NS",MAIN!K181)), "NS",
            IF(ISNUMBER(SEARCH("NC",MAIN!K181)), "NC",
            IF(ISNUMBER(SEARCH("DQ",MAIN!K181)), "DQ",
            IF(ISNUMBER(SEARCH("A",MAIN!K181)), 0,
            IF(OR(MAIN!K181=0,MAIN!K181=""), 0, --TRIM(MAIN!K181)))))))))))),
        0
    )
)</f>
        <v>0</v>
      </c>
    </row>
    <row r="182" spans="1:11" x14ac:dyDescent="0.25">
      <c r="A182" t="str">
        <f>IF(ISBLANK(MAIN!A182), "--", IFERROR(PROPER(SUBSTITUTE(SUBSTITUTE(SUBSTITUTE(SUBSTITUTE(SUBSTITUTE(SUBSTITUTE(SUBSTITUTE(SUBSTITUTE(SUBSTITUTE(SUBSTITUTE(LEFT(MAIN!A182, FIND(",",MAIN!A182) -1), "0", ""), "1", ""), "2", ""), "3", ""), "4", ""), "5", ""), "6", ""), "7", ""), "8", ""), "9", "")), PROPER(SUBSTITUTE(SUBSTITUTE(SUBSTITUTE(SUBSTITUTE(SUBSTITUTE(SUBSTITUTE(SUBSTITUTE(SUBSTITUTE(SUBSTITUTE(SUBSTITUTE(MAIN!A182, "0", ""), "1", ""), "2", ""), "3", ""), "4", ""), "5", ""), "6", ""), "7", ""), "8", ""), "9", ""))))</f>
        <v>--</v>
      </c>
      <c r="B182" t="str">
        <f>IF(ISBLANK(MAIN!B182), "--", IFERROR(PROPER(SUBSTITUTE(SUBSTITUTE(SUBSTITUTE(SUBSTITUTE(SUBSTITUTE(SUBSTITUTE(SUBSTITUTE(SUBSTITUTE(SUBSTITUTE(SUBSTITUTE(LEFT(MAIN!B182, FIND(",",MAIN!B182) -1), "0", ""), "1", ""), "2", ""), "3", ""), "4", ""), "5", ""), "6", ""), "7", ""), "8", ""), "9", "")), PROPER(SUBSTITUTE(SUBSTITUTE(SUBSTITUTE(SUBSTITUTE(SUBSTITUTE(SUBSTITUTE(SUBSTITUTE(SUBSTITUTE(SUBSTITUTE(SUBSTITUTE(MAIN!B182, "0", ""), "1", ""), "2", ""), "3", ""), "4", ""), "5", ""), "6", ""), "7", ""), "8", ""), "9", ""))))</f>
        <v>--</v>
      </c>
      <c r="C182" t="str">
        <f>IF(ISBLANK(MAIN!C182), "--", IFERROR(PROPER(SUBSTITUTE(SUBSTITUTE(SUBSTITUTE(SUBSTITUTE(SUBSTITUTE(SUBSTITUTE(SUBSTITUTE(SUBSTITUTE(SUBSTITUTE(SUBSTITUTE(LEFT(MAIN!C182, FIND(",",MAIN!C182) -1), "0", ""), "1", ""), "2", ""), "3", ""), "4", ""), "5", ""), "6", ""), "7", ""), "8", ""), "9", "")), PROPER(SUBSTITUTE(SUBSTITUTE(SUBSTITUTE(SUBSTITUTE(SUBSTITUTE(SUBSTITUTE(SUBSTITUTE(SUBSTITUTE(SUBSTITUTE(SUBSTITUTE(MAIN!C182, "0", ""), "1", ""), "2", ""), "3", ""), "4", ""), "5", ""), "6", ""), "7", ""), "8", ""), "9", ""))))</f>
        <v>--</v>
      </c>
      <c r="D182" t="str">
        <f>IF(ISBLANK(MAIN!D182), "--", IF(ISNUMBER(MATCH(SUBSTITUTE(LEFT(MAIN!D182, IFERROR(FIND(",", MAIN!D182)-1, LEN(MAIN!D182))), " ", ""), lookup_values!$B$2:$B$51, 0)), UPPER(SUBSTITUTE(LEFT(MAIN!D182, IFERROR(FIND(",", MAIN!D182)-1, LEN(MAIN!D182))), " ", "")), IF(ISNA(VLOOKUP(SUBSTITUTE(LEFT(MAIN!D182, IFERROR(FIND(",", MAIN!D182)-1, LEN(MAIN!D182))), " ", ""), lookup_values!$A$2:$B$51, 2, FALSE)), "--", VLOOKUP(SUBSTITUTE(LEFT(MAIN!D182, IFERROR(FIND(",", MAIN!D182)-1, LEN(MAIN!D182))), " ", ""), lookup_values!$A$2:$B$51, 2, FALSE))))</f>
        <v>--</v>
      </c>
      <c r="E182" t="str">
        <f>IF(CLEAN_DATA!D182&lt;&gt;"--","US",IF(ISBLANK(MAIN!E182), "--", IF(ISNUMBER(MATCH(SUBSTITUTE(LEFT(MAIN!E182, IFERROR(FIND(",", MAIN!E182)-1, LEN(MAIN!E182))), " ", ""), lookup_values!$E$2:$E$197, 0)), UPPER(SUBSTITUTE(LEFT(MAIN!E182, IFERROR(FIND(",", MAIN!E182)-1, LEN(MAIN!E182))), " ", "")), IF(ISNA(VLOOKUP(SUBSTITUTE(LEFT(MAIN!E182, IFERROR(FIND(",", MAIN!E182)-1, LEN(MAIN!E182))), " ", ""), lookup_values!$D$2:$E$197, 2, FALSE)), "--", VLOOKUP(SUBSTITUTE(LEFT(MAIN!E182, IFERROR(FIND(",", MAIN!E182)-1, LEN(MAIN!E182))), " ", ""), lookup_values!$D$2:$E$197, 2, FALSE)))))</f>
        <v>--</v>
      </c>
      <c r="F182" t="str">
        <f>IF(ISBLANK(MAIN!F182), "", IF(AND(ISNUMBER(VALUE(TRIM(MAIN!F182))), LEN(TRIM(MAIN!F182))=4), VALUE(TRIM(MAIN!F182)), ""))</f>
        <v/>
      </c>
      <c r="G182">
        <f>IF(ISBLANK(MAIN!G182), 0, IF(ISNUMBER(VALUE(TRIM(MAIN!G182))), VALUE(TRIM(MAIN!G182)), 0))</f>
        <v>0</v>
      </c>
      <c r="H182">
        <f>IF(ISBLANK(MAIN!H182), 0, IF(ISNUMBER(VALUE(TRIM(MAIN!H182))), VALUE(TRIM(MAIN!H182)), 0))</f>
        <v>0</v>
      </c>
      <c r="I182">
        <f>IF(ISBLANK(MAIN!I182), 0, IF(ISNUMBER(VALUE(TRIM(MAIN!I182))), VALUE(TRIM(MAIN!I182)), 0))</f>
        <v>0</v>
      </c>
      <c r="J182">
        <f>IF(ISBLANK(MAIN!J182), 0, IF(ISNUMBER(VALUE(TRIM(MAIN!J182))), VALUE(TRIM(MAIN!J182)), 0))</f>
        <v>0</v>
      </c>
      <c r="K182" cm="1">
        <f t="array" ref="K182">IFERROR(
    VALUE(
        IFERROR(
            UPPER(
                IF(MAX(IFERROR(SEARCH("WD",MAIN!G182:J182), 0))&gt;0, "WD",
                IF(MAX(IFERROR(SEARCH("NS",MAIN!G182:J182), 0))&gt;0, "NS",
                IF(MAX(IFERROR(SEARCH("NC",MAIN!G182:J182), 0))&gt;0, "NC",
                IF(MAX(IFERROR(SEARCH("DQ",MAIN!G182:J182), 0))&gt;0, "DQ",
                IF(ISNUMBER(SEARCH("WD",MAIN!K182)), "WD",
                IF(ISNUMBER(SEARCH("NS",MAIN!K182)), "NS",
                IF(ISNUMBER(SEARCH("NC",MAIN!K182)), "NC",
                IF(ISNUMBER(SEARCH("DQ",MAIN!K182)), "DQ",
                IF(ISNUMBER(SEARCH("A",MAIN!K182)), 0,
                IF(OR(MAIN!K182=0,MAIN!K182=""), 0, --TRIM(MAIN!K182)))))))))))),
            0
        )
    ),
    IFERROR(
        UPPER(
            IF(MAX(IFERROR(SEARCH("WD",MAIN!G182:J182), 0))&gt;0, "WD",
            IF(MAX(IFERROR(SEARCH("NS",MAIN!G182:J182), 0))&gt;0, "NS",
            IF(MAX(IFERROR(SEARCH("NC",MAIN!G182:J182), 0))&gt;0, "NC",
            IF(MAX(IFERROR(SEARCH("DQ",MAIN!G182:J182), 0))&gt;0, "DQ",
            IF(ISNUMBER(SEARCH("WD",MAIN!K182)), "WD",
            IF(ISNUMBER(SEARCH("NS",MAIN!K182)), "NS",
            IF(ISNUMBER(SEARCH("NC",MAIN!K182)), "NC",
            IF(ISNUMBER(SEARCH("DQ",MAIN!K182)), "DQ",
            IF(ISNUMBER(SEARCH("A",MAIN!K182)), 0,
            IF(OR(MAIN!K182=0,MAIN!K182=""), 0, --TRIM(MAIN!K182)))))))))))),
        0
    )
)</f>
        <v>0</v>
      </c>
    </row>
    <row r="183" spans="1:11" x14ac:dyDescent="0.25">
      <c r="A183" t="str">
        <f>IF(ISBLANK(MAIN!A183), "--", IFERROR(PROPER(SUBSTITUTE(SUBSTITUTE(SUBSTITUTE(SUBSTITUTE(SUBSTITUTE(SUBSTITUTE(SUBSTITUTE(SUBSTITUTE(SUBSTITUTE(SUBSTITUTE(LEFT(MAIN!A183, FIND(",",MAIN!A183) -1), "0", ""), "1", ""), "2", ""), "3", ""), "4", ""), "5", ""), "6", ""), "7", ""), "8", ""), "9", "")), PROPER(SUBSTITUTE(SUBSTITUTE(SUBSTITUTE(SUBSTITUTE(SUBSTITUTE(SUBSTITUTE(SUBSTITUTE(SUBSTITUTE(SUBSTITUTE(SUBSTITUTE(MAIN!A183, "0", ""), "1", ""), "2", ""), "3", ""), "4", ""), "5", ""), "6", ""), "7", ""), "8", ""), "9", ""))))</f>
        <v>--</v>
      </c>
      <c r="B183" t="str">
        <f>IF(ISBLANK(MAIN!B183), "--", IFERROR(PROPER(SUBSTITUTE(SUBSTITUTE(SUBSTITUTE(SUBSTITUTE(SUBSTITUTE(SUBSTITUTE(SUBSTITUTE(SUBSTITUTE(SUBSTITUTE(SUBSTITUTE(LEFT(MAIN!B183, FIND(",",MAIN!B183) -1), "0", ""), "1", ""), "2", ""), "3", ""), "4", ""), "5", ""), "6", ""), "7", ""), "8", ""), "9", "")), PROPER(SUBSTITUTE(SUBSTITUTE(SUBSTITUTE(SUBSTITUTE(SUBSTITUTE(SUBSTITUTE(SUBSTITUTE(SUBSTITUTE(SUBSTITUTE(SUBSTITUTE(MAIN!B183, "0", ""), "1", ""), "2", ""), "3", ""), "4", ""), "5", ""), "6", ""), "7", ""), "8", ""), "9", ""))))</f>
        <v>--</v>
      </c>
      <c r="C183" t="str">
        <f>IF(ISBLANK(MAIN!C183), "--", IFERROR(PROPER(SUBSTITUTE(SUBSTITUTE(SUBSTITUTE(SUBSTITUTE(SUBSTITUTE(SUBSTITUTE(SUBSTITUTE(SUBSTITUTE(SUBSTITUTE(SUBSTITUTE(LEFT(MAIN!C183, FIND(",",MAIN!C183) -1), "0", ""), "1", ""), "2", ""), "3", ""), "4", ""), "5", ""), "6", ""), "7", ""), "8", ""), "9", "")), PROPER(SUBSTITUTE(SUBSTITUTE(SUBSTITUTE(SUBSTITUTE(SUBSTITUTE(SUBSTITUTE(SUBSTITUTE(SUBSTITUTE(SUBSTITUTE(SUBSTITUTE(MAIN!C183, "0", ""), "1", ""), "2", ""), "3", ""), "4", ""), "5", ""), "6", ""), "7", ""), "8", ""), "9", ""))))</f>
        <v>--</v>
      </c>
      <c r="D183" t="str">
        <f>IF(ISBLANK(MAIN!D183), "--", IF(ISNUMBER(MATCH(SUBSTITUTE(LEFT(MAIN!D183, IFERROR(FIND(",", MAIN!D183)-1, LEN(MAIN!D183))), " ", ""), lookup_values!$B$2:$B$51, 0)), UPPER(SUBSTITUTE(LEFT(MAIN!D183, IFERROR(FIND(",", MAIN!D183)-1, LEN(MAIN!D183))), " ", "")), IF(ISNA(VLOOKUP(SUBSTITUTE(LEFT(MAIN!D183, IFERROR(FIND(",", MAIN!D183)-1, LEN(MAIN!D183))), " ", ""), lookup_values!$A$2:$B$51, 2, FALSE)), "--", VLOOKUP(SUBSTITUTE(LEFT(MAIN!D183, IFERROR(FIND(",", MAIN!D183)-1, LEN(MAIN!D183))), " ", ""), lookup_values!$A$2:$B$51, 2, FALSE))))</f>
        <v>--</v>
      </c>
      <c r="E183" t="str">
        <f>IF(CLEAN_DATA!D183&lt;&gt;"--","US",IF(ISBLANK(MAIN!E183), "--", IF(ISNUMBER(MATCH(SUBSTITUTE(LEFT(MAIN!E183, IFERROR(FIND(",", MAIN!E183)-1, LEN(MAIN!E183))), " ", ""), lookup_values!$E$2:$E$197, 0)), UPPER(SUBSTITUTE(LEFT(MAIN!E183, IFERROR(FIND(",", MAIN!E183)-1, LEN(MAIN!E183))), " ", "")), IF(ISNA(VLOOKUP(SUBSTITUTE(LEFT(MAIN!E183, IFERROR(FIND(",", MAIN!E183)-1, LEN(MAIN!E183))), " ", ""), lookup_values!$D$2:$E$197, 2, FALSE)), "--", VLOOKUP(SUBSTITUTE(LEFT(MAIN!E183, IFERROR(FIND(",", MAIN!E183)-1, LEN(MAIN!E183))), " ", ""), lookup_values!$D$2:$E$197, 2, FALSE)))))</f>
        <v>--</v>
      </c>
      <c r="F183" t="str">
        <f>IF(ISBLANK(MAIN!F183), "", IF(AND(ISNUMBER(VALUE(TRIM(MAIN!F183))), LEN(TRIM(MAIN!F183))=4), VALUE(TRIM(MAIN!F183)), ""))</f>
        <v/>
      </c>
      <c r="G183">
        <f>IF(ISBLANK(MAIN!G183), 0, IF(ISNUMBER(VALUE(TRIM(MAIN!G183))), VALUE(TRIM(MAIN!G183)), 0))</f>
        <v>0</v>
      </c>
      <c r="H183">
        <f>IF(ISBLANK(MAIN!H183), 0, IF(ISNUMBER(VALUE(TRIM(MAIN!H183))), VALUE(TRIM(MAIN!H183)), 0))</f>
        <v>0</v>
      </c>
      <c r="I183">
        <f>IF(ISBLANK(MAIN!I183), 0, IF(ISNUMBER(VALUE(TRIM(MAIN!I183))), VALUE(TRIM(MAIN!I183)), 0))</f>
        <v>0</v>
      </c>
      <c r="J183">
        <f>IF(ISBLANK(MAIN!J183), 0, IF(ISNUMBER(VALUE(TRIM(MAIN!J183))), VALUE(TRIM(MAIN!J183)), 0))</f>
        <v>0</v>
      </c>
      <c r="K183" cm="1">
        <f t="array" ref="K183">IFERROR(
    VALUE(
        IFERROR(
            UPPER(
                IF(MAX(IFERROR(SEARCH("WD",MAIN!G183:J183), 0))&gt;0, "WD",
                IF(MAX(IFERROR(SEARCH("NS",MAIN!G183:J183), 0))&gt;0, "NS",
                IF(MAX(IFERROR(SEARCH("NC",MAIN!G183:J183), 0))&gt;0, "NC",
                IF(MAX(IFERROR(SEARCH("DQ",MAIN!G183:J183), 0))&gt;0, "DQ",
                IF(ISNUMBER(SEARCH("WD",MAIN!K183)), "WD",
                IF(ISNUMBER(SEARCH("NS",MAIN!K183)), "NS",
                IF(ISNUMBER(SEARCH("NC",MAIN!K183)), "NC",
                IF(ISNUMBER(SEARCH("DQ",MAIN!K183)), "DQ",
                IF(ISNUMBER(SEARCH("A",MAIN!K183)), 0,
                IF(OR(MAIN!K183=0,MAIN!K183=""), 0, --TRIM(MAIN!K183)))))))))))),
            0
        )
    ),
    IFERROR(
        UPPER(
            IF(MAX(IFERROR(SEARCH("WD",MAIN!G183:J183), 0))&gt;0, "WD",
            IF(MAX(IFERROR(SEARCH("NS",MAIN!G183:J183), 0))&gt;0, "NS",
            IF(MAX(IFERROR(SEARCH("NC",MAIN!G183:J183), 0))&gt;0, "NC",
            IF(MAX(IFERROR(SEARCH("DQ",MAIN!G183:J183), 0))&gt;0, "DQ",
            IF(ISNUMBER(SEARCH("WD",MAIN!K183)), "WD",
            IF(ISNUMBER(SEARCH("NS",MAIN!K183)), "NS",
            IF(ISNUMBER(SEARCH("NC",MAIN!K183)), "NC",
            IF(ISNUMBER(SEARCH("DQ",MAIN!K183)), "DQ",
            IF(ISNUMBER(SEARCH("A",MAIN!K183)), 0,
            IF(OR(MAIN!K183=0,MAIN!K183=""), 0, --TRIM(MAIN!K183)))))))))))),
        0
    )
)</f>
        <v>0</v>
      </c>
    </row>
    <row r="184" spans="1:11" x14ac:dyDescent="0.25">
      <c r="A184" t="str">
        <f>IF(ISBLANK(MAIN!A184), "--", IFERROR(PROPER(SUBSTITUTE(SUBSTITUTE(SUBSTITUTE(SUBSTITUTE(SUBSTITUTE(SUBSTITUTE(SUBSTITUTE(SUBSTITUTE(SUBSTITUTE(SUBSTITUTE(LEFT(MAIN!A184, FIND(",",MAIN!A184) -1), "0", ""), "1", ""), "2", ""), "3", ""), "4", ""), "5", ""), "6", ""), "7", ""), "8", ""), "9", "")), PROPER(SUBSTITUTE(SUBSTITUTE(SUBSTITUTE(SUBSTITUTE(SUBSTITUTE(SUBSTITUTE(SUBSTITUTE(SUBSTITUTE(SUBSTITUTE(SUBSTITUTE(MAIN!A184, "0", ""), "1", ""), "2", ""), "3", ""), "4", ""), "5", ""), "6", ""), "7", ""), "8", ""), "9", ""))))</f>
        <v>--</v>
      </c>
      <c r="B184" t="str">
        <f>IF(ISBLANK(MAIN!B184), "--", IFERROR(PROPER(SUBSTITUTE(SUBSTITUTE(SUBSTITUTE(SUBSTITUTE(SUBSTITUTE(SUBSTITUTE(SUBSTITUTE(SUBSTITUTE(SUBSTITUTE(SUBSTITUTE(LEFT(MAIN!B184, FIND(",",MAIN!B184) -1), "0", ""), "1", ""), "2", ""), "3", ""), "4", ""), "5", ""), "6", ""), "7", ""), "8", ""), "9", "")), PROPER(SUBSTITUTE(SUBSTITUTE(SUBSTITUTE(SUBSTITUTE(SUBSTITUTE(SUBSTITUTE(SUBSTITUTE(SUBSTITUTE(SUBSTITUTE(SUBSTITUTE(MAIN!B184, "0", ""), "1", ""), "2", ""), "3", ""), "4", ""), "5", ""), "6", ""), "7", ""), "8", ""), "9", ""))))</f>
        <v>--</v>
      </c>
      <c r="C184" t="str">
        <f>IF(ISBLANK(MAIN!C184), "--", IFERROR(PROPER(SUBSTITUTE(SUBSTITUTE(SUBSTITUTE(SUBSTITUTE(SUBSTITUTE(SUBSTITUTE(SUBSTITUTE(SUBSTITUTE(SUBSTITUTE(SUBSTITUTE(LEFT(MAIN!C184, FIND(",",MAIN!C184) -1), "0", ""), "1", ""), "2", ""), "3", ""), "4", ""), "5", ""), "6", ""), "7", ""), "8", ""), "9", "")), PROPER(SUBSTITUTE(SUBSTITUTE(SUBSTITUTE(SUBSTITUTE(SUBSTITUTE(SUBSTITUTE(SUBSTITUTE(SUBSTITUTE(SUBSTITUTE(SUBSTITUTE(MAIN!C184, "0", ""), "1", ""), "2", ""), "3", ""), "4", ""), "5", ""), "6", ""), "7", ""), "8", ""), "9", ""))))</f>
        <v>--</v>
      </c>
      <c r="D184" t="str">
        <f>IF(ISBLANK(MAIN!D184), "--", IF(ISNUMBER(MATCH(SUBSTITUTE(LEFT(MAIN!D184, IFERROR(FIND(",", MAIN!D184)-1, LEN(MAIN!D184))), " ", ""), lookup_values!$B$2:$B$51, 0)), UPPER(SUBSTITUTE(LEFT(MAIN!D184, IFERROR(FIND(",", MAIN!D184)-1, LEN(MAIN!D184))), " ", "")), IF(ISNA(VLOOKUP(SUBSTITUTE(LEFT(MAIN!D184, IFERROR(FIND(",", MAIN!D184)-1, LEN(MAIN!D184))), " ", ""), lookup_values!$A$2:$B$51, 2, FALSE)), "--", VLOOKUP(SUBSTITUTE(LEFT(MAIN!D184, IFERROR(FIND(",", MAIN!D184)-1, LEN(MAIN!D184))), " ", ""), lookup_values!$A$2:$B$51, 2, FALSE))))</f>
        <v>--</v>
      </c>
      <c r="E184" t="str">
        <f>IF(CLEAN_DATA!D184&lt;&gt;"--","US",IF(ISBLANK(MAIN!E184), "--", IF(ISNUMBER(MATCH(SUBSTITUTE(LEFT(MAIN!E184, IFERROR(FIND(",", MAIN!E184)-1, LEN(MAIN!E184))), " ", ""), lookup_values!$E$2:$E$197, 0)), UPPER(SUBSTITUTE(LEFT(MAIN!E184, IFERROR(FIND(",", MAIN!E184)-1, LEN(MAIN!E184))), " ", "")), IF(ISNA(VLOOKUP(SUBSTITUTE(LEFT(MAIN!E184, IFERROR(FIND(",", MAIN!E184)-1, LEN(MAIN!E184))), " ", ""), lookup_values!$D$2:$E$197, 2, FALSE)), "--", VLOOKUP(SUBSTITUTE(LEFT(MAIN!E184, IFERROR(FIND(",", MAIN!E184)-1, LEN(MAIN!E184))), " ", ""), lookup_values!$D$2:$E$197, 2, FALSE)))))</f>
        <v>--</v>
      </c>
      <c r="F184" t="str">
        <f>IF(ISBLANK(MAIN!F184), "", IF(AND(ISNUMBER(VALUE(TRIM(MAIN!F184))), LEN(TRIM(MAIN!F184))=4), VALUE(TRIM(MAIN!F184)), ""))</f>
        <v/>
      </c>
      <c r="G184">
        <f>IF(ISBLANK(MAIN!G184), 0, IF(ISNUMBER(VALUE(TRIM(MAIN!G184))), VALUE(TRIM(MAIN!G184)), 0))</f>
        <v>0</v>
      </c>
      <c r="H184">
        <f>IF(ISBLANK(MAIN!H184), 0, IF(ISNUMBER(VALUE(TRIM(MAIN!H184))), VALUE(TRIM(MAIN!H184)), 0))</f>
        <v>0</v>
      </c>
      <c r="I184">
        <f>IF(ISBLANK(MAIN!I184), 0, IF(ISNUMBER(VALUE(TRIM(MAIN!I184))), VALUE(TRIM(MAIN!I184)), 0))</f>
        <v>0</v>
      </c>
      <c r="J184">
        <f>IF(ISBLANK(MAIN!J184), 0, IF(ISNUMBER(VALUE(TRIM(MAIN!J184))), VALUE(TRIM(MAIN!J184)), 0))</f>
        <v>0</v>
      </c>
      <c r="K184" cm="1">
        <f t="array" ref="K184">IFERROR(
    VALUE(
        IFERROR(
            UPPER(
                IF(MAX(IFERROR(SEARCH("WD",MAIN!G184:J184), 0))&gt;0, "WD",
                IF(MAX(IFERROR(SEARCH("NS",MAIN!G184:J184), 0))&gt;0, "NS",
                IF(MAX(IFERROR(SEARCH("NC",MAIN!G184:J184), 0))&gt;0, "NC",
                IF(MAX(IFERROR(SEARCH("DQ",MAIN!G184:J184), 0))&gt;0, "DQ",
                IF(ISNUMBER(SEARCH("WD",MAIN!K184)), "WD",
                IF(ISNUMBER(SEARCH("NS",MAIN!K184)), "NS",
                IF(ISNUMBER(SEARCH("NC",MAIN!K184)), "NC",
                IF(ISNUMBER(SEARCH("DQ",MAIN!K184)), "DQ",
                IF(ISNUMBER(SEARCH("A",MAIN!K184)), 0,
                IF(OR(MAIN!K184=0,MAIN!K184=""), 0, --TRIM(MAIN!K184)))))))))))),
            0
        )
    ),
    IFERROR(
        UPPER(
            IF(MAX(IFERROR(SEARCH("WD",MAIN!G184:J184), 0))&gt;0, "WD",
            IF(MAX(IFERROR(SEARCH("NS",MAIN!G184:J184), 0))&gt;0, "NS",
            IF(MAX(IFERROR(SEARCH("NC",MAIN!G184:J184), 0))&gt;0, "NC",
            IF(MAX(IFERROR(SEARCH("DQ",MAIN!G184:J184), 0))&gt;0, "DQ",
            IF(ISNUMBER(SEARCH("WD",MAIN!K184)), "WD",
            IF(ISNUMBER(SEARCH("NS",MAIN!K184)), "NS",
            IF(ISNUMBER(SEARCH("NC",MAIN!K184)), "NC",
            IF(ISNUMBER(SEARCH("DQ",MAIN!K184)), "DQ",
            IF(ISNUMBER(SEARCH("A",MAIN!K184)), 0,
            IF(OR(MAIN!K184=0,MAIN!K184=""), 0, --TRIM(MAIN!K184)))))))))))),
        0
    )
)</f>
        <v>0</v>
      </c>
    </row>
    <row r="185" spans="1:11" x14ac:dyDescent="0.25">
      <c r="A185" t="str">
        <f>IF(ISBLANK(MAIN!A185), "--", IFERROR(PROPER(SUBSTITUTE(SUBSTITUTE(SUBSTITUTE(SUBSTITUTE(SUBSTITUTE(SUBSTITUTE(SUBSTITUTE(SUBSTITUTE(SUBSTITUTE(SUBSTITUTE(LEFT(MAIN!A185, FIND(",",MAIN!A185) -1), "0", ""), "1", ""), "2", ""), "3", ""), "4", ""), "5", ""), "6", ""), "7", ""), "8", ""), "9", "")), PROPER(SUBSTITUTE(SUBSTITUTE(SUBSTITUTE(SUBSTITUTE(SUBSTITUTE(SUBSTITUTE(SUBSTITUTE(SUBSTITUTE(SUBSTITUTE(SUBSTITUTE(MAIN!A185, "0", ""), "1", ""), "2", ""), "3", ""), "4", ""), "5", ""), "6", ""), "7", ""), "8", ""), "9", ""))))</f>
        <v>--</v>
      </c>
      <c r="B185" t="str">
        <f>IF(ISBLANK(MAIN!B185), "--", IFERROR(PROPER(SUBSTITUTE(SUBSTITUTE(SUBSTITUTE(SUBSTITUTE(SUBSTITUTE(SUBSTITUTE(SUBSTITUTE(SUBSTITUTE(SUBSTITUTE(SUBSTITUTE(LEFT(MAIN!B185, FIND(",",MAIN!B185) -1), "0", ""), "1", ""), "2", ""), "3", ""), "4", ""), "5", ""), "6", ""), "7", ""), "8", ""), "9", "")), PROPER(SUBSTITUTE(SUBSTITUTE(SUBSTITUTE(SUBSTITUTE(SUBSTITUTE(SUBSTITUTE(SUBSTITUTE(SUBSTITUTE(SUBSTITUTE(SUBSTITUTE(MAIN!B185, "0", ""), "1", ""), "2", ""), "3", ""), "4", ""), "5", ""), "6", ""), "7", ""), "8", ""), "9", ""))))</f>
        <v>--</v>
      </c>
      <c r="C185" t="str">
        <f>IF(ISBLANK(MAIN!C185), "--", IFERROR(PROPER(SUBSTITUTE(SUBSTITUTE(SUBSTITUTE(SUBSTITUTE(SUBSTITUTE(SUBSTITUTE(SUBSTITUTE(SUBSTITUTE(SUBSTITUTE(SUBSTITUTE(LEFT(MAIN!C185, FIND(",",MAIN!C185) -1), "0", ""), "1", ""), "2", ""), "3", ""), "4", ""), "5", ""), "6", ""), "7", ""), "8", ""), "9", "")), PROPER(SUBSTITUTE(SUBSTITUTE(SUBSTITUTE(SUBSTITUTE(SUBSTITUTE(SUBSTITUTE(SUBSTITUTE(SUBSTITUTE(SUBSTITUTE(SUBSTITUTE(MAIN!C185, "0", ""), "1", ""), "2", ""), "3", ""), "4", ""), "5", ""), "6", ""), "7", ""), "8", ""), "9", ""))))</f>
        <v>--</v>
      </c>
      <c r="D185" t="str">
        <f>IF(ISBLANK(MAIN!D185), "--", IF(ISNUMBER(MATCH(SUBSTITUTE(LEFT(MAIN!D185, IFERROR(FIND(",", MAIN!D185)-1, LEN(MAIN!D185))), " ", ""), lookup_values!$B$2:$B$51, 0)), UPPER(SUBSTITUTE(LEFT(MAIN!D185, IFERROR(FIND(",", MAIN!D185)-1, LEN(MAIN!D185))), " ", "")), IF(ISNA(VLOOKUP(SUBSTITUTE(LEFT(MAIN!D185, IFERROR(FIND(",", MAIN!D185)-1, LEN(MAIN!D185))), " ", ""), lookup_values!$A$2:$B$51, 2, FALSE)), "--", VLOOKUP(SUBSTITUTE(LEFT(MAIN!D185, IFERROR(FIND(",", MAIN!D185)-1, LEN(MAIN!D185))), " ", ""), lookup_values!$A$2:$B$51, 2, FALSE))))</f>
        <v>--</v>
      </c>
      <c r="E185" t="str">
        <f>IF(CLEAN_DATA!D185&lt;&gt;"--","US",IF(ISBLANK(MAIN!E185), "--", IF(ISNUMBER(MATCH(SUBSTITUTE(LEFT(MAIN!E185, IFERROR(FIND(",", MAIN!E185)-1, LEN(MAIN!E185))), " ", ""), lookup_values!$E$2:$E$197, 0)), UPPER(SUBSTITUTE(LEFT(MAIN!E185, IFERROR(FIND(",", MAIN!E185)-1, LEN(MAIN!E185))), " ", "")), IF(ISNA(VLOOKUP(SUBSTITUTE(LEFT(MAIN!E185, IFERROR(FIND(",", MAIN!E185)-1, LEN(MAIN!E185))), " ", ""), lookup_values!$D$2:$E$197, 2, FALSE)), "--", VLOOKUP(SUBSTITUTE(LEFT(MAIN!E185, IFERROR(FIND(",", MAIN!E185)-1, LEN(MAIN!E185))), " ", ""), lookup_values!$D$2:$E$197, 2, FALSE)))))</f>
        <v>--</v>
      </c>
      <c r="F185" t="str">
        <f>IF(ISBLANK(MAIN!F185), "", IF(AND(ISNUMBER(VALUE(TRIM(MAIN!F185))), LEN(TRIM(MAIN!F185))=4), VALUE(TRIM(MAIN!F185)), ""))</f>
        <v/>
      </c>
      <c r="G185">
        <f>IF(ISBLANK(MAIN!G185), 0, IF(ISNUMBER(VALUE(TRIM(MAIN!G185))), VALUE(TRIM(MAIN!G185)), 0))</f>
        <v>0</v>
      </c>
      <c r="H185">
        <f>IF(ISBLANK(MAIN!H185), 0, IF(ISNUMBER(VALUE(TRIM(MAIN!H185))), VALUE(TRIM(MAIN!H185)), 0))</f>
        <v>0</v>
      </c>
      <c r="I185">
        <f>IF(ISBLANK(MAIN!I185), 0, IF(ISNUMBER(VALUE(TRIM(MAIN!I185))), VALUE(TRIM(MAIN!I185)), 0))</f>
        <v>0</v>
      </c>
      <c r="J185">
        <f>IF(ISBLANK(MAIN!J185), 0, IF(ISNUMBER(VALUE(TRIM(MAIN!J185))), VALUE(TRIM(MAIN!J185)), 0))</f>
        <v>0</v>
      </c>
      <c r="K185" cm="1">
        <f t="array" ref="K185">IFERROR(
    VALUE(
        IFERROR(
            UPPER(
                IF(MAX(IFERROR(SEARCH("WD",MAIN!G185:J185), 0))&gt;0, "WD",
                IF(MAX(IFERROR(SEARCH("NS",MAIN!G185:J185), 0))&gt;0, "NS",
                IF(MAX(IFERROR(SEARCH("NC",MAIN!G185:J185), 0))&gt;0, "NC",
                IF(MAX(IFERROR(SEARCH("DQ",MAIN!G185:J185), 0))&gt;0, "DQ",
                IF(ISNUMBER(SEARCH("WD",MAIN!K185)), "WD",
                IF(ISNUMBER(SEARCH("NS",MAIN!K185)), "NS",
                IF(ISNUMBER(SEARCH("NC",MAIN!K185)), "NC",
                IF(ISNUMBER(SEARCH("DQ",MAIN!K185)), "DQ",
                IF(ISNUMBER(SEARCH("A",MAIN!K185)), 0,
                IF(OR(MAIN!K185=0,MAIN!K185=""), 0, --TRIM(MAIN!K185)))))))))))),
            0
        )
    ),
    IFERROR(
        UPPER(
            IF(MAX(IFERROR(SEARCH("WD",MAIN!G185:J185), 0))&gt;0, "WD",
            IF(MAX(IFERROR(SEARCH("NS",MAIN!G185:J185), 0))&gt;0, "NS",
            IF(MAX(IFERROR(SEARCH("NC",MAIN!G185:J185), 0))&gt;0, "NC",
            IF(MAX(IFERROR(SEARCH("DQ",MAIN!G185:J185), 0))&gt;0, "DQ",
            IF(ISNUMBER(SEARCH("WD",MAIN!K185)), "WD",
            IF(ISNUMBER(SEARCH("NS",MAIN!K185)), "NS",
            IF(ISNUMBER(SEARCH("NC",MAIN!K185)), "NC",
            IF(ISNUMBER(SEARCH("DQ",MAIN!K185)), "DQ",
            IF(ISNUMBER(SEARCH("A",MAIN!K185)), 0,
            IF(OR(MAIN!K185=0,MAIN!K185=""), 0, --TRIM(MAIN!K185)))))))))))),
        0
    )
)</f>
        <v>0</v>
      </c>
    </row>
    <row r="186" spans="1:11" x14ac:dyDescent="0.25">
      <c r="A186" t="str">
        <f>IF(ISBLANK(MAIN!A186), "--", IFERROR(PROPER(SUBSTITUTE(SUBSTITUTE(SUBSTITUTE(SUBSTITUTE(SUBSTITUTE(SUBSTITUTE(SUBSTITUTE(SUBSTITUTE(SUBSTITUTE(SUBSTITUTE(LEFT(MAIN!A186, FIND(",",MAIN!A186) -1), "0", ""), "1", ""), "2", ""), "3", ""), "4", ""), "5", ""), "6", ""), "7", ""), "8", ""), "9", "")), PROPER(SUBSTITUTE(SUBSTITUTE(SUBSTITUTE(SUBSTITUTE(SUBSTITUTE(SUBSTITUTE(SUBSTITUTE(SUBSTITUTE(SUBSTITUTE(SUBSTITUTE(MAIN!A186, "0", ""), "1", ""), "2", ""), "3", ""), "4", ""), "5", ""), "6", ""), "7", ""), "8", ""), "9", ""))))</f>
        <v>--</v>
      </c>
      <c r="B186" t="str">
        <f>IF(ISBLANK(MAIN!B186), "--", IFERROR(PROPER(SUBSTITUTE(SUBSTITUTE(SUBSTITUTE(SUBSTITUTE(SUBSTITUTE(SUBSTITUTE(SUBSTITUTE(SUBSTITUTE(SUBSTITUTE(SUBSTITUTE(LEFT(MAIN!B186, FIND(",",MAIN!B186) -1), "0", ""), "1", ""), "2", ""), "3", ""), "4", ""), "5", ""), "6", ""), "7", ""), "8", ""), "9", "")), PROPER(SUBSTITUTE(SUBSTITUTE(SUBSTITUTE(SUBSTITUTE(SUBSTITUTE(SUBSTITUTE(SUBSTITUTE(SUBSTITUTE(SUBSTITUTE(SUBSTITUTE(MAIN!B186, "0", ""), "1", ""), "2", ""), "3", ""), "4", ""), "5", ""), "6", ""), "7", ""), "8", ""), "9", ""))))</f>
        <v>--</v>
      </c>
      <c r="C186" t="str">
        <f>IF(ISBLANK(MAIN!C186), "--", IFERROR(PROPER(SUBSTITUTE(SUBSTITUTE(SUBSTITUTE(SUBSTITUTE(SUBSTITUTE(SUBSTITUTE(SUBSTITUTE(SUBSTITUTE(SUBSTITUTE(SUBSTITUTE(LEFT(MAIN!C186, FIND(",",MAIN!C186) -1), "0", ""), "1", ""), "2", ""), "3", ""), "4", ""), "5", ""), "6", ""), "7", ""), "8", ""), "9", "")), PROPER(SUBSTITUTE(SUBSTITUTE(SUBSTITUTE(SUBSTITUTE(SUBSTITUTE(SUBSTITUTE(SUBSTITUTE(SUBSTITUTE(SUBSTITUTE(SUBSTITUTE(MAIN!C186, "0", ""), "1", ""), "2", ""), "3", ""), "4", ""), "5", ""), "6", ""), "7", ""), "8", ""), "9", ""))))</f>
        <v>--</v>
      </c>
      <c r="D186" t="str">
        <f>IF(ISBLANK(MAIN!D186), "--", IF(ISNUMBER(MATCH(SUBSTITUTE(LEFT(MAIN!D186, IFERROR(FIND(",", MAIN!D186)-1, LEN(MAIN!D186))), " ", ""), lookup_values!$B$2:$B$51, 0)), UPPER(SUBSTITUTE(LEFT(MAIN!D186, IFERROR(FIND(",", MAIN!D186)-1, LEN(MAIN!D186))), " ", "")), IF(ISNA(VLOOKUP(SUBSTITUTE(LEFT(MAIN!D186, IFERROR(FIND(",", MAIN!D186)-1, LEN(MAIN!D186))), " ", ""), lookup_values!$A$2:$B$51, 2, FALSE)), "--", VLOOKUP(SUBSTITUTE(LEFT(MAIN!D186, IFERROR(FIND(",", MAIN!D186)-1, LEN(MAIN!D186))), " ", ""), lookup_values!$A$2:$B$51, 2, FALSE))))</f>
        <v>--</v>
      </c>
      <c r="E186" t="str">
        <f>IF(CLEAN_DATA!D186&lt;&gt;"--","US",IF(ISBLANK(MAIN!E186), "--", IF(ISNUMBER(MATCH(SUBSTITUTE(LEFT(MAIN!E186, IFERROR(FIND(",", MAIN!E186)-1, LEN(MAIN!E186))), " ", ""), lookup_values!$E$2:$E$197, 0)), UPPER(SUBSTITUTE(LEFT(MAIN!E186, IFERROR(FIND(",", MAIN!E186)-1, LEN(MAIN!E186))), " ", "")), IF(ISNA(VLOOKUP(SUBSTITUTE(LEFT(MAIN!E186, IFERROR(FIND(",", MAIN!E186)-1, LEN(MAIN!E186))), " ", ""), lookup_values!$D$2:$E$197, 2, FALSE)), "--", VLOOKUP(SUBSTITUTE(LEFT(MAIN!E186, IFERROR(FIND(",", MAIN!E186)-1, LEN(MAIN!E186))), " ", ""), lookup_values!$D$2:$E$197, 2, FALSE)))))</f>
        <v>--</v>
      </c>
      <c r="F186" t="str">
        <f>IF(ISBLANK(MAIN!F186), "", IF(AND(ISNUMBER(VALUE(TRIM(MAIN!F186))), LEN(TRIM(MAIN!F186))=4), VALUE(TRIM(MAIN!F186)), ""))</f>
        <v/>
      </c>
      <c r="G186">
        <f>IF(ISBLANK(MAIN!G186), 0, IF(ISNUMBER(VALUE(TRIM(MAIN!G186))), VALUE(TRIM(MAIN!G186)), 0))</f>
        <v>0</v>
      </c>
      <c r="H186">
        <f>IF(ISBLANK(MAIN!H186), 0, IF(ISNUMBER(VALUE(TRIM(MAIN!H186))), VALUE(TRIM(MAIN!H186)), 0))</f>
        <v>0</v>
      </c>
      <c r="I186">
        <f>IF(ISBLANK(MAIN!I186), 0, IF(ISNUMBER(VALUE(TRIM(MAIN!I186))), VALUE(TRIM(MAIN!I186)), 0))</f>
        <v>0</v>
      </c>
      <c r="J186">
        <f>IF(ISBLANK(MAIN!J186), 0, IF(ISNUMBER(VALUE(TRIM(MAIN!J186))), VALUE(TRIM(MAIN!J186)), 0))</f>
        <v>0</v>
      </c>
      <c r="K186" cm="1">
        <f t="array" ref="K186">IFERROR(
    VALUE(
        IFERROR(
            UPPER(
                IF(MAX(IFERROR(SEARCH("WD",MAIN!G186:J186), 0))&gt;0, "WD",
                IF(MAX(IFERROR(SEARCH("NS",MAIN!G186:J186), 0))&gt;0, "NS",
                IF(MAX(IFERROR(SEARCH("NC",MAIN!G186:J186), 0))&gt;0, "NC",
                IF(MAX(IFERROR(SEARCH("DQ",MAIN!G186:J186), 0))&gt;0, "DQ",
                IF(ISNUMBER(SEARCH("WD",MAIN!K186)), "WD",
                IF(ISNUMBER(SEARCH("NS",MAIN!K186)), "NS",
                IF(ISNUMBER(SEARCH("NC",MAIN!K186)), "NC",
                IF(ISNUMBER(SEARCH("DQ",MAIN!K186)), "DQ",
                IF(ISNUMBER(SEARCH("A",MAIN!K186)), 0,
                IF(OR(MAIN!K186=0,MAIN!K186=""), 0, --TRIM(MAIN!K186)))))))))))),
            0
        )
    ),
    IFERROR(
        UPPER(
            IF(MAX(IFERROR(SEARCH("WD",MAIN!G186:J186), 0))&gt;0, "WD",
            IF(MAX(IFERROR(SEARCH("NS",MAIN!G186:J186), 0))&gt;0, "NS",
            IF(MAX(IFERROR(SEARCH("NC",MAIN!G186:J186), 0))&gt;0, "NC",
            IF(MAX(IFERROR(SEARCH("DQ",MAIN!G186:J186), 0))&gt;0, "DQ",
            IF(ISNUMBER(SEARCH("WD",MAIN!K186)), "WD",
            IF(ISNUMBER(SEARCH("NS",MAIN!K186)), "NS",
            IF(ISNUMBER(SEARCH("NC",MAIN!K186)), "NC",
            IF(ISNUMBER(SEARCH("DQ",MAIN!K186)), "DQ",
            IF(ISNUMBER(SEARCH("A",MAIN!K186)), 0,
            IF(OR(MAIN!K186=0,MAIN!K186=""), 0, --TRIM(MAIN!K186)))))))))))),
        0
    )
)</f>
        <v>0</v>
      </c>
    </row>
    <row r="187" spans="1:11" x14ac:dyDescent="0.25">
      <c r="A187" t="str">
        <f>IF(ISBLANK(MAIN!A187), "--", IFERROR(PROPER(SUBSTITUTE(SUBSTITUTE(SUBSTITUTE(SUBSTITUTE(SUBSTITUTE(SUBSTITUTE(SUBSTITUTE(SUBSTITUTE(SUBSTITUTE(SUBSTITUTE(LEFT(MAIN!A187, FIND(",",MAIN!A187) -1), "0", ""), "1", ""), "2", ""), "3", ""), "4", ""), "5", ""), "6", ""), "7", ""), "8", ""), "9", "")), PROPER(SUBSTITUTE(SUBSTITUTE(SUBSTITUTE(SUBSTITUTE(SUBSTITUTE(SUBSTITUTE(SUBSTITUTE(SUBSTITUTE(SUBSTITUTE(SUBSTITUTE(MAIN!A187, "0", ""), "1", ""), "2", ""), "3", ""), "4", ""), "5", ""), "6", ""), "7", ""), "8", ""), "9", ""))))</f>
        <v>--</v>
      </c>
      <c r="B187" t="str">
        <f>IF(ISBLANK(MAIN!B187), "--", IFERROR(PROPER(SUBSTITUTE(SUBSTITUTE(SUBSTITUTE(SUBSTITUTE(SUBSTITUTE(SUBSTITUTE(SUBSTITUTE(SUBSTITUTE(SUBSTITUTE(SUBSTITUTE(LEFT(MAIN!B187, FIND(",",MAIN!B187) -1), "0", ""), "1", ""), "2", ""), "3", ""), "4", ""), "5", ""), "6", ""), "7", ""), "8", ""), "9", "")), PROPER(SUBSTITUTE(SUBSTITUTE(SUBSTITUTE(SUBSTITUTE(SUBSTITUTE(SUBSTITUTE(SUBSTITUTE(SUBSTITUTE(SUBSTITUTE(SUBSTITUTE(MAIN!B187, "0", ""), "1", ""), "2", ""), "3", ""), "4", ""), "5", ""), "6", ""), "7", ""), "8", ""), "9", ""))))</f>
        <v>--</v>
      </c>
      <c r="C187" t="str">
        <f>IF(ISBLANK(MAIN!C187), "--", IFERROR(PROPER(SUBSTITUTE(SUBSTITUTE(SUBSTITUTE(SUBSTITUTE(SUBSTITUTE(SUBSTITUTE(SUBSTITUTE(SUBSTITUTE(SUBSTITUTE(SUBSTITUTE(LEFT(MAIN!C187, FIND(",",MAIN!C187) -1), "0", ""), "1", ""), "2", ""), "3", ""), "4", ""), "5", ""), "6", ""), "7", ""), "8", ""), "9", "")), PROPER(SUBSTITUTE(SUBSTITUTE(SUBSTITUTE(SUBSTITUTE(SUBSTITUTE(SUBSTITUTE(SUBSTITUTE(SUBSTITUTE(SUBSTITUTE(SUBSTITUTE(MAIN!C187, "0", ""), "1", ""), "2", ""), "3", ""), "4", ""), "5", ""), "6", ""), "7", ""), "8", ""), "9", ""))))</f>
        <v>--</v>
      </c>
      <c r="D187" t="str">
        <f>IF(ISBLANK(MAIN!D187), "--", IF(ISNUMBER(MATCH(SUBSTITUTE(LEFT(MAIN!D187, IFERROR(FIND(",", MAIN!D187)-1, LEN(MAIN!D187))), " ", ""), lookup_values!$B$2:$B$51, 0)), UPPER(SUBSTITUTE(LEFT(MAIN!D187, IFERROR(FIND(",", MAIN!D187)-1, LEN(MAIN!D187))), " ", "")), IF(ISNA(VLOOKUP(SUBSTITUTE(LEFT(MAIN!D187, IFERROR(FIND(",", MAIN!D187)-1, LEN(MAIN!D187))), " ", ""), lookup_values!$A$2:$B$51, 2, FALSE)), "--", VLOOKUP(SUBSTITUTE(LEFT(MAIN!D187, IFERROR(FIND(",", MAIN!D187)-1, LEN(MAIN!D187))), " ", ""), lookup_values!$A$2:$B$51, 2, FALSE))))</f>
        <v>--</v>
      </c>
      <c r="E187" t="str">
        <f>IF(CLEAN_DATA!D187&lt;&gt;"--","US",IF(ISBLANK(MAIN!E187), "--", IF(ISNUMBER(MATCH(SUBSTITUTE(LEFT(MAIN!E187, IFERROR(FIND(",", MAIN!E187)-1, LEN(MAIN!E187))), " ", ""), lookup_values!$E$2:$E$197, 0)), UPPER(SUBSTITUTE(LEFT(MAIN!E187, IFERROR(FIND(",", MAIN!E187)-1, LEN(MAIN!E187))), " ", "")), IF(ISNA(VLOOKUP(SUBSTITUTE(LEFT(MAIN!E187, IFERROR(FIND(",", MAIN!E187)-1, LEN(MAIN!E187))), " ", ""), lookup_values!$D$2:$E$197, 2, FALSE)), "--", VLOOKUP(SUBSTITUTE(LEFT(MAIN!E187, IFERROR(FIND(",", MAIN!E187)-1, LEN(MAIN!E187))), " ", ""), lookup_values!$D$2:$E$197, 2, FALSE)))))</f>
        <v>--</v>
      </c>
      <c r="F187" t="str">
        <f>IF(ISBLANK(MAIN!F187), "", IF(AND(ISNUMBER(VALUE(TRIM(MAIN!F187))), LEN(TRIM(MAIN!F187))=4), VALUE(TRIM(MAIN!F187)), ""))</f>
        <v/>
      </c>
      <c r="G187">
        <f>IF(ISBLANK(MAIN!G187), 0, IF(ISNUMBER(VALUE(TRIM(MAIN!G187))), VALUE(TRIM(MAIN!G187)), 0))</f>
        <v>0</v>
      </c>
      <c r="H187">
        <f>IF(ISBLANK(MAIN!H187), 0, IF(ISNUMBER(VALUE(TRIM(MAIN!H187))), VALUE(TRIM(MAIN!H187)), 0))</f>
        <v>0</v>
      </c>
      <c r="I187">
        <f>IF(ISBLANK(MAIN!I187), 0, IF(ISNUMBER(VALUE(TRIM(MAIN!I187))), VALUE(TRIM(MAIN!I187)), 0))</f>
        <v>0</v>
      </c>
      <c r="J187">
        <f>IF(ISBLANK(MAIN!J187), 0, IF(ISNUMBER(VALUE(TRIM(MAIN!J187))), VALUE(TRIM(MAIN!J187)), 0))</f>
        <v>0</v>
      </c>
      <c r="K187" cm="1">
        <f t="array" ref="K187">IFERROR(
    VALUE(
        IFERROR(
            UPPER(
                IF(MAX(IFERROR(SEARCH("WD",MAIN!G187:J187), 0))&gt;0, "WD",
                IF(MAX(IFERROR(SEARCH("NS",MAIN!G187:J187), 0))&gt;0, "NS",
                IF(MAX(IFERROR(SEARCH("NC",MAIN!G187:J187), 0))&gt;0, "NC",
                IF(MAX(IFERROR(SEARCH("DQ",MAIN!G187:J187), 0))&gt;0, "DQ",
                IF(ISNUMBER(SEARCH("WD",MAIN!K187)), "WD",
                IF(ISNUMBER(SEARCH("NS",MAIN!K187)), "NS",
                IF(ISNUMBER(SEARCH("NC",MAIN!K187)), "NC",
                IF(ISNUMBER(SEARCH("DQ",MAIN!K187)), "DQ",
                IF(ISNUMBER(SEARCH("A",MAIN!K187)), 0,
                IF(OR(MAIN!K187=0,MAIN!K187=""), 0, --TRIM(MAIN!K187)))))))))))),
            0
        )
    ),
    IFERROR(
        UPPER(
            IF(MAX(IFERROR(SEARCH("WD",MAIN!G187:J187), 0))&gt;0, "WD",
            IF(MAX(IFERROR(SEARCH("NS",MAIN!G187:J187), 0))&gt;0, "NS",
            IF(MAX(IFERROR(SEARCH("NC",MAIN!G187:J187), 0))&gt;0, "NC",
            IF(MAX(IFERROR(SEARCH("DQ",MAIN!G187:J187), 0))&gt;0, "DQ",
            IF(ISNUMBER(SEARCH("WD",MAIN!K187)), "WD",
            IF(ISNUMBER(SEARCH("NS",MAIN!K187)), "NS",
            IF(ISNUMBER(SEARCH("NC",MAIN!K187)), "NC",
            IF(ISNUMBER(SEARCH("DQ",MAIN!K187)), "DQ",
            IF(ISNUMBER(SEARCH("A",MAIN!K187)), 0,
            IF(OR(MAIN!K187=0,MAIN!K187=""), 0, --TRIM(MAIN!K187)))))))))))),
        0
    )
)</f>
        <v>0</v>
      </c>
    </row>
    <row r="188" spans="1:11" x14ac:dyDescent="0.25">
      <c r="A188" t="str">
        <f>IF(ISBLANK(MAIN!A188), "--", IFERROR(PROPER(SUBSTITUTE(SUBSTITUTE(SUBSTITUTE(SUBSTITUTE(SUBSTITUTE(SUBSTITUTE(SUBSTITUTE(SUBSTITUTE(SUBSTITUTE(SUBSTITUTE(LEFT(MAIN!A188, FIND(",",MAIN!A188) -1), "0", ""), "1", ""), "2", ""), "3", ""), "4", ""), "5", ""), "6", ""), "7", ""), "8", ""), "9", "")), PROPER(SUBSTITUTE(SUBSTITUTE(SUBSTITUTE(SUBSTITUTE(SUBSTITUTE(SUBSTITUTE(SUBSTITUTE(SUBSTITUTE(SUBSTITUTE(SUBSTITUTE(MAIN!A188, "0", ""), "1", ""), "2", ""), "3", ""), "4", ""), "5", ""), "6", ""), "7", ""), "8", ""), "9", ""))))</f>
        <v>--</v>
      </c>
      <c r="B188" t="str">
        <f>IF(ISBLANK(MAIN!B188), "--", IFERROR(PROPER(SUBSTITUTE(SUBSTITUTE(SUBSTITUTE(SUBSTITUTE(SUBSTITUTE(SUBSTITUTE(SUBSTITUTE(SUBSTITUTE(SUBSTITUTE(SUBSTITUTE(LEFT(MAIN!B188, FIND(",",MAIN!B188) -1), "0", ""), "1", ""), "2", ""), "3", ""), "4", ""), "5", ""), "6", ""), "7", ""), "8", ""), "9", "")), PROPER(SUBSTITUTE(SUBSTITUTE(SUBSTITUTE(SUBSTITUTE(SUBSTITUTE(SUBSTITUTE(SUBSTITUTE(SUBSTITUTE(SUBSTITUTE(SUBSTITUTE(MAIN!B188, "0", ""), "1", ""), "2", ""), "3", ""), "4", ""), "5", ""), "6", ""), "7", ""), "8", ""), "9", ""))))</f>
        <v>--</v>
      </c>
      <c r="C188" t="str">
        <f>IF(ISBLANK(MAIN!C188), "--", IFERROR(PROPER(SUBSTITUTE(SUBSTITUTE(SUBSTITUTE(SUBSTITUTE(SUBSTITUTE(SUBSTITUTE(SUBSTITUTE(SUBSTITUTE(SUBSTITUTE(SUBSTITUTE(LEFT(MAIN!C188, FIND(",",MAIN!C188) -1), "0", ""), "1", ""), "2", ""), "3", ""), "4", ""), "5", ""), "6", ""), "7", ""), "8", ""), "9", "")), PROPER(SUBSTITUTE(SUBSTITUTE(SUBSTITUTE(SUBSTITUTE(SUBSTITUTE(SUBSTITUTE(SUBSTITUTE(SUBSTITUTE(SUBSTITUTE(SUBSTITUTE(MAIN!C188, "0", ""), "1", ""), "2", ""), "3", ""), "4", ""), "5", ""), "6", ""), "7", ""), "8", ""), "9", ""))))</f>
        <v>--</v>
      </c>
      <c r="D188" t="str">
        <f>IF(ISBLANK(MAIN!D188), "--", IF(ISNUMBER(MATCH(SUBSTITUTE(LEFT(MAIN!D188, IFERROR(FIND(",", MAIN!D188)-1, LEN(MAIN!D188))), " ", ""), lookup_values!$B$2:$B$51, 0)), UPPER(SUBSTITUTE(LEFT(MAIN!D188, IFERROR(FIND(",", MAIN!D188)-1, LEN(MAIN!D188))), " ", "")), IF(ISNA(VLOOKUP(SUBSTITUTE(LEFT(MAIN!D188, IFERROR(FIND(",", MAIN!D188)-1, LEN(MAIN!D188))), " ", ""), lookup_values!$A$2:$B$51, 2, FALSE)), "--", VLOOKUP(SUBSTITUTE(LEFT(MAIN!D188, IFERROR(FIND(",", MAIN!D188)-1, LEN(MAIN!D188))), " ", ""), lookup_values!$A$2:$B$51, 2, FALSE))))</f>
        <v>--</v>
      </c>
      <c r="E188" t="str">
        <f>IF(CLEAN_DATA!D188&lt;&gt;"--","US",IF(ISBLANK(MAIN!E188), "--", IF(ISNUMBER(MATCH(SUBSTITUTE(LEFT(MAIN!E188, IFERROR(FIND(",", MAIN!E188)-1, LEN(MAIN!E188))), " ", ""), lookup_values!$E$2:$E$197, 0)), UPPER(SUBSTITUTE(LEFT(MAIN!E188, IFERROR(FIND(",", MAIN!E188)-1, LEN(MAIN!E188))), " ", "")), IF(ISNA(VLOOKUP(SUBSTITUTE(LEFT(MAIN!E188, IFERROR(FIND(",", MAIN!E188)-1, LEN(MAIN!E188))), " ", ""), lookup_values!$D$2:$E$197, 2, FALSE)), "--", VLOOKUP(SUBSTITUTE(LEFT(MAIN!E188, IFERROR(FIND(",", MAIN!E188)-1, LEN(MAIN!E188))), " ", ""), lookup_values!$D$2:$E$197, 2, FALSE)))))</f>
        <v>--</v>
      </c>
      <c r="F188" t="str">
        <f>IF(ISBLANK(MAIN!F188), "", IF(AND(ISNUMBER(VALUE(TRIM(MAIN!F188))), LEN(TRIM(MAIN!F188))=4), VALUE(TRIM(MAIN!F188)), ""))</f>
        <v/>
      </c>
      <c r="G188">
        <f>IF(ISBLANK(MAIN!G188), 0, IF(ISNUMBER(VALUE(TRIM(MAIN!G188))), VALUE(TRIM(MAIN!G188)), 0))</f>
        <v>0</v>
      </c>
      <c r="H188">
        <f>IF(ISBLANK(MAIN!H188), 0, IF(ISNUMBER(VALUE(TRIM(MAIN!H188))), VALUE(TRIM(MAIN!H188)), 0))</f>
        <v>0</v>
      </c>
      <c r="I188">
        <f>IF(ISBLANK(MAIN!I188), 0, IF(ISNUMBER(VALUE(TRIM(MAIN!I188))), VALUE(TRIM(MAIN!I188)), 0))</f>
        <v>0</v>
      </c>
      <c r="J188">
        <f>IF(ISBLANK(MAIN!J188), 0, IF(ISNUMBER(VALUE(TRIM(MAIN!J188))), VALUE(TRIM(MAIN!J188)), 0))</f>
        <v>0</v>
      </c>
      <c r="K188" cm="1">
        <f t="array" ref="K188">IFERROR(
    VALUE(
        IFERROR(
            UPPER(
                IF(MAX(IFERROR(SEARCH("WD",MAIN!G188:J188), 0))&gt;0, "WD",
                IF(MAX(IFERROR(SEARCH("NS",MAIN!G188:J188), 0))&gt;0, "NS",
                IF(MAX(IFERROR(SEARCH("NC",MAIN!G188:J188), 0))&gt;0, "NC",
                IF(MAX(IFERROR(SEARCH("DQ",MAIN!G188:J188), 0))&gt;0, "DQ",
                IF(ISNUMBER(SEARCH("WD",MAIN!K188)), "WD",
                IF(ISNUMBER(SEARCH("NS",MAIN!K188)), "NS",
                IF(ISNUMBER(SEARCH("NC",MAIN!K188)), "NC",
                IF(ISNUMBER(SEARCH("DQ",MAIN!K188)), "DQ",
                IF(ISNUMBER(SEARCH("A",MAIN!K188)), 0,
                IF(OR(MAIN!K188=0,MAIN!K188=""), 0, --TRIM(MAIN!K188)))))))))))),
            0
        )
    ),
    IFERROR(
        UPPER(
            IF(MAX(IFERROR(SEARCH("WD",MAIN!G188:J188), 0))&gt;0, "WD",
            IF(MAX(IFERROR(SEARCH("NS",MAIN!G188:J188), 0))&gt;0, "NS",
            IF(MAX(IFERROR(SEARCH("NC",MAIN!G188:J188), 0))&gt;0, "NC",
            IF(MAX(IFERROR(SEARCH("DQ",MAIN!G188:J188), 0))&gt;0, "DQ",
            IF(ISNUMBER(SEARCH("WD",MAIN!K188)), "WD",
            IF(ISNUMBER(SEARCH("NS",MAIN!K188)), "NS",
            IF(ISNUMBER(SEARCH("NC",MAIN!K188)), "NC",
            IF(ISNUMBER(SEARCH("DQ",MAIN!K188)), "DQ",
            IF(ISNUMBER(SEARCH("A",MAIN!K188)), 0,
            IF(OR(MAIN!K188=0,MAIN!K188=""), 0, --TRIM(MAIN!K188)))))))))))),
        0
    )
)</f>
        <v>0</v>
      </c>
    </row>
    <row r="189" spans="1:11" x14ac:dyDescent="0.25">
      <c r="A189" t="str">
        <f>IF(ISBLANK(MAIN!A189), "--", IFERROR(PROPER(SUBSTITUTE(SUBSTITUTE(SUBSTITUTE(SUBSTITUTE(SUBSTITUTE(SUBSTITUTE(SUBSTITUTE(SUBSTITUTE(SUBSTITUTE(SUBSTITUTE(LEFT(MAIN!A189, FIND(",",MAIN!A189) -1), "0", ""), "1", ""), "2", ""), "3", ""), "4", ""), "5", ""), "6", ""), "7", ""), "8", ""), "9", "")), PROPER(SUBSTITUTE(SUBSTITUTE(SUBSTITUTE(SUBSTITUTE(SUBSTITUTE(SUBSTITUTE(SUBSTITUTE(SUBSTITUTE(SUBSTITUTE(SUBSTITUTE(MAIN!A189, "0", ""), "1", ""), "2", ""), "3", ""), "4", ""), "5", ""), "6", ""), "7", ""), "8", ""), "9", ""))))</f>
        <v>--</v>
      </c>
      <c r="B189" t="str">
        <f>IF(ISBLANK(MAIN!B189), "--", IFERROR(PROPER(SUBSTITUTE(SUBSTITUTE(SUBSTITUTE(SUBSTITUTE(SUBSTITUTE(SUBSTITUTE(SUBSTITUTE(SUBSTITUTE(SUBSTITUTE(SUBSTITUTE(LEFT(MAIN!B189, FIND(",",MAIN!B189) -1), "0", ""), "1", ""), "2", ""), "3", ""), "4", ""), "5", ""), "6", ""), "7", ""), "8", ""), "9", "")), PROPER(SUBSTITUTE(SUBSTITUTE(SUBSTITUTE(SUBSTITUTE(SUBSTITUTE(SUBSTITUTE(SUBSTITUTE(SUBSTITUTE(SUBSTITUTE(SUBSTITUTE(MAIN!B189, "0", ""), "1", ""), "2", ""), "3", ""), "4", ""), "5", ""), "6", ""), "7", ""), "8", ""), "9", ""))))</f>
        <v>--</v>
      </c>
      <c r="C189" t="str">
        <f>IF(ISBLANK(MAIN!C189), "--", IFERROR(PROPER(SUBSTITUTE(SUBSTITUTE(SUBSTITUTE(SUBSTITUTE(SUBSTITUTE(SUBSTITUTE(SUBSTITUTE(SUBSTITUTE(SUBSTITUTE(SUBSTITUTE(LEFT(MAIN!C189, FIND(",",MAIN!C189) -1), "0", ""), "1", ""), "2", ""), "3", ""), "4", ""), "5", ""), "6", ""), "7", ""), "8", ""), "9", "")), PROPER(SUBSTITUTE(SUBSTITUTE(SUBSTITUTE(SUBSTITUTE(SUBSTITUTE(SUBSTITUTE(SUBSTITUTE(SUBSTITUTE(SUBSTITUTE(SUBSTITUTE(MAIN!C189, "0", ""), "1", ""), "2", ""), "3", ""), "4", ""), "5", ""), "6", ""), "7", ""), "8", ""), "9", ""))))</f>
        <v>--</v>
      </c>
      <c r="D189" t="str">
        <f>IF(ISBLANK(MAIN!D189), "--", IF(ISNUMBER(MATCH(SUBSTITUTE(LEFT(MAIN!D189, IFERROR(FIND(",", MAIN!D189)-1, LEN(MAIN!D189))), " ", ""), lookup_values!$B$2:$B$51, 0)), UPPER(SUBSTITUTE(LEFT(MAIN!D189, IFERROR(FIND(",", MAIN!D189)-1, LEN(MAIN!D189))), " ", "")), IF(ISNA(VLOOKUP(SUBSTITUTE(LEFT(MAIN!D189, IFERROR(FIND(",", MAIN!D189)-1, LEN(MAIN!D189))), " ", ""), lookup_values!$A$2:$B$51, 2, FALSE)), "--", VLOOKUP(SUBSTITUTE(LEFT(MAIN!D189, IFERROR(FIND(",", MAIN!D189)-1, LEN(MAIN!D189))), " ", ""), lookup_values!$A$2:$B$51, 2, FALSE))))</f>
        <v>--</v>
      </c>
      <c r="E189" t="str">
        <f>IF(CLEAN_DATA!D189&lt;&gt;"--","US",IF(ISBLANK(MAIN!E189), "--", IF(ISNUMBER(MATCH(SUBSTITUTE(LEFT(MAIN!E189, IFERROR(FIND(",", MAIN!E189)-1, LEN(MAIN!E189))), " ", ""), lookup_values!$E$2:$E$197, 0)), UPPER(SUBSTITUTE(LEFT(MAIN!E189, IFERROR(FIND(",", MAIN!E189)-1, LEN(MAIN!E189))), " ", "")), IF(ISNA(VLOOKUP(SUBSTITUTE(LEFT(MAIN!E189, IFERROR(FIND(",", MAIN!E189)-1, LEN(MAIN!E189))), " ", ""), lookup_values!$D$2:$E$197, 2, FALSE)), "--", VLOOKUP(SUBSTITUTE(LEFT(MAIN!E189, IFERROR(FIND(",", MAIN!E189)-1, LEN(MAIN!E189))), " ", ""), lookup_values!$D$2:$E$197, 2, FALSE)))))</f>
        <v>--</v>
      </c>
      <c r="F189" t="str">
        <f>IF(ISBLANK(MAIN!F189), "", IF(AND(ISNUMBER(VALUE(TRIM(MAIN!F189))), LEN(TRIM(MAIN!F189))=4), VALUE(TRIM(MAIN!F189)), ""))</f>
        <v/>
      </c>
      <c r="G189">
        <f>IF(ISBLANK(MAIN!G189), 0, IF(ISNUMBER(VALUE(TRIM(MAIN!G189))), VALUE(TRIM(MAIN!G189)), 0))</f>
        <v>0</v>
      </c>
      <c r="H189">
        <f>IF(ISBLANK(MAIN!H189), 0, IF(ISNUMBER(VALUE(TRIM(MAIN!H189))), VALUE(TRIM(MAIN!H189)), 0))</f>
        <v>0</v>
      </c>
      <c r="I189">
        <f>IF(ISBLANK(MAIN!I189), 0, IF(ISNUMBER(VALUE(TRIM(MAIN!I189))), VALUE(TRIM(MAIN!I189)), 0))</f>
        <v>0</v>
      </c>
      <c r="J189">
        <f>IF(ISBLANK(MAIN!J189), 0, IF(ISNUMBER(VALUE(TRIM(MAIN!J189))), VALUE(TRIM(MAIN!J189)), 0))</f>
        <v>0</v>
      </c>
      <c r="K189" cm="1">
        <f t="array" ref="K189">IFERROR(
    VALUE(
        IFERROR(
            UPPER(
                IF(MAX(IFERROR(SEARCH("WD",MAIN!G189:J189), 0))&gt;0, "WD",
                IF(MAX(IFERROR(SEARCH("NS",MAIN!G189:J189), 0))&gt;0, "NS",
                IF(MAX(IFERROR(SEARCH("NC",MAIN!G189:J189), 0))&gt;0, "NC",
                IF(MAX(IFERROR(SEARCH("DQ",MAIN!G189:J189), 0))&gt;0, "DQ",
                IF(ISNUMBER(SEARCH("WD",MAIN!K189)), "WD",
                IF(ISNUMBER(SEARCH("NS",MAIN!K189)), "NS",
                IF(ISNUMBER(SEARCH("NC",MAIN!K189)), "NC",
                IF(ISNUMBER(SEARCH("DQ",MAIN!K189)), "DQ",
                IF(ISNUMBER(SEARCH("A",MAIN!K189)), 0,
                IF(OR(MAIN!K189=0,MAIN!K189=""), 0, --TRIM(MAIN!K189)))))))))))),
            0
        )
    ),
    IFERROR(
        UPPER(
            IF(MAX(IFERROR(SEARCH("WD",MAIN!G189:J189), 0))&gt;0, "WD",
            IF(MAX(IFERROR(SEARCH("NS",MAIN!G189:J189), 0))&gt;0, "NS",
            IF(MAX(IFERROR(SEARCH("NC",MAIN!G189:J189), 0))&gt;0, "NC",
            IF(MAX(IFERROR(SEARCH("DQ",MAIN!G189:J189), 0))&gt;0, "DQ",
            IF(ISNUMBER(SEARCH("WD",MAIN!K189)), "WD",
            IF(ISNUMBER(SEARCH("NS",MAIN!K189)), "NS",
            IF(ISNUMBER(SEARCH("NC",MAIN!K189)), "NC",
            IF(ISNUMBER(SEARCH("DQ",MAIN!K189)), "DQ",
            IF(ISNUMBER(SEARCH("A",MAIN!K189)), 0,
            IF(OR(MAIN!K189=0,MAIN!K189=""), 0, --TRIM(MAIN!K189)))))))))))),
        0
    )
)</f>
        <v>0</v>
      </c>
    </row>
    <row r="190" spans="1:11" x14ac:dyDescent="0.25">
      <c r="A190" t="str">
        <f>IF(ISBLANK(MAIN!A190), "--", IFERROR(PROPER(SUBSTITUTE(SUBSTITUTE(SUBSTITUTE(SUBSTITUTE(SUBSTITUTE(SUBSTITUTE(SUBSTITUTE(SUBSTITUTE(SUBSTITUTE(SUBSTITUTE(LEFT(MAIN!A190, FIND(",",MAIN!A190) -1), "0", ""), "1", ""), "2", ""), "3", ""), "4", ""), "5", ""), "6", ""), "7", ""), "8", ""), "9", "")), PROPER(SUBSTITUTE(SUBSTITUTE(SUBSTITUTE(SUBSTITUTE(SUBSTITUTE(SUBSTITUTE(SUBSTITUTE(SUBSTITUTE(SUBSTITUTE(SUBSTITUTE(MAIN!A190, "0", ""), "1", ""), "2", ""), "3", ""), "4", ""), "5", ""), "6", ""), "7", ""), "8", ""), "9", ""))))</f>
        <v>--</v>
      </c>
      <c r="B190" t="str">
        <f>IF(ISBLANK(MAIN!B190), "--", IFERROR(PROPER(SUBSTITUTE(SUBSTITUTE(SUBSTITUTE(SUBSTITUTE(SUBSTITUTE(SUBSTITUTE(SUBSTITUTE(SUBSTITUTE(SUBSTITUTE(SUBSTITUTE(LEFT(MAIN!B190, FIND(",",MAIN!B190) -1), "0", ""), "1", ""), "2", ""), "3", ""), "4", ""), "5", ""), "6", ""), "7", ""), "8", ""), "9", "")), PROPER(SUBSTITUTE(SUBSTITUTE(SUBSTITUTE(SUBSTITUTE(SUBSTITUTE(SUBSTITUTE(SUBSTITUTE(SUBSTITUTE(SUBSTITUTE(SUBSTITUTE(MAIN!B190, "0", ""), "1", ""), "2", ""), "3", ""), "4", ""), "5", ""), "6", ""), "7", ""), "8", ""), "9", ""))))</f>
        <v>--</v>
      </c>
      <c r="C190" t="str">
        <f>IF(ISBLANK(MAIN!C190), "--", IFERROR(PROPER(SUBSTITUTE(SUBSTITUTE(SUBSTITUTE(SUBSTITUTE(SUBSTITUTE(SUBSTITUTE(SUBSTITUTE(SUBSTITUTE(SUBSTITUTE(SUBSTITUTE(LEFT(MAIN!C190, FIND(",",MAIN!C190) -1), "0", ""), "1", ""), "2", ""), "3", ""), "4", ""), "5", ""), "6", ""), "7", ""), "8", ""), "9", "")), PROPER(SUBSTITUTE(SUBSTITUTE(SUBSTITUTE(SUBSTITUTE(SUBSTITUTE(SUBSTITUTE(SUBSTITUTE(SUBSTITUTE(SUBSTITUTE(SUBSTITUTE(MAIN!C190, "0", ""), "1", ""), "2", ""), "3", ""), "4", ""), "5", ""), "6", ""), "7", ""), "8", ""), "9", ""))))</f>
        <v>--</v>
      </c>
      <c r="D190" t="str">
        <f>IF(ISBLANK(MAIN!D190), "--", IF(ISNUMBER(MATCH(SUBSTITUTE(LEFT(MAIN!D190, IFERROR(FIND(",", MAIN!D190)-1, LEN(MAIN!D190))), " ", ""), lookup_values!$B$2:$B$51, 0)), UPPER(SUBSTITUTE(LEFT(MAIN!D190, IFERROR(FIND(",", MAIN!D190)-1, LEN(MAIN!D190))), " ", "")), IF(ISNA(VLOOKUP(SUBSTITUTE(LEFT(MAIN!D190, IFERROR(FIND(",", MAIN!D190)-1, LEN(MAIN!D190))), " ", ""), lookup_values!$A$2:$B$51, 2, FALSE)), "--", VLOOKUP(SUBSTITUTE(LEFT(MAIN!D190, IFERROR(FIND(",", MAIN!D190)-1, LEN(MAIN!D190))), " ", ""), lookup_values!$A$2:$B$51, 2, FALSE))))</f>
        <v>--</v>
      </c>
      <c r="E190" t="str">
        <f>IF(CLEAN_DATA!D190&lt;&gt;"--","US",IF(ISBLANK(MAIN!E190), "--", IF(ISNUMBER(MATCH(SUBSTITUTE(LEFT(MAIN!E190, IFERROR(FIND(",", MAIN!E190)-1, LEN(MAIN!E190))), " ", ""), lookup_values!$E$2:$E$197, 0)), UPPER(SUBSTITUTE(LEFT(MAIN!E190, IFERROR(FIND(",", MAIN!E190)-1, LEN(MAIN!E190))), " ", "")), IF(ISNA(VLOOKUP(SUBSTITUTE(LEFT(MAIN!E190, IFERROR(FIND(",", MAIN!E190)-1, LEN(MAIN!E190))), " ", ""), lookup_values!$D$2:$E$197, 2, FALSE)), "--", VLOOKUP(SUBSTITUTE(LEFT(MAIN!E190, IFERROR(FIND(",", MAIN!E190)-1, LEN(MAIN!E190))), " ", ""), lookup_values!$D$2:$E$197, 2, FALSE)))))</f>
        <v>--</v>
      </c>
      <c r="F190" t="str">
        <f>IF(ISBLANK(MAIN!F190), "", IF(AND(ISNUMBER(VALUE(TRIM(MAIN!F190))), LEN(TRIM(MAIN!F190))=4), VALUE(TRIM(MAIN!F190)), ""))</f>
        <v/>
      </c>
      <c r="G190">
        <f>IF(ISBLANK(MAIN!G190), 0, IF(ISNUMBER(VALUE(TRIM(MAIN!G190))), VALUE(TRIM(MAIN!G190)), 0))</f>
        <v>0</v>
      </c>
      <c r="H190">
        <f>IF(ISBLANK(MAIN!H190), 0, IF(ISNUMBER(VALUE(TRIM(MAIN!H190))), VALUE(TRIM(MAIN!H190)), 0))</f>
        <v>0</v>
      </c>
      <c r="I190">
        <f>IF(ISBLANK(MAIN!I190), 0, IF(ISNUMBER(VALUE(TRIM(MAIN!I190))), VALUE(TRIM(MAIN!I190)), 0))</f>
        <v>0</v>
      </c>
      <c r="J190">
        <f>IF(ISBLANK(MAIN!J190), 0, IF(ISNUMBER(VALUE(TRIM(MAIN!J190))), VALUE(TRIM(MAIN!J190)), 0))</f>
        <v>0</v>
      </c>
      <c r="K190" cm="1">
        <f t="array" ref="K190">IFERROR(
    VALUE(
        IFERROR(
            UPPER(
                IF(MAX(IFERROR(SEARCH("WD",MAIN!G190:J190), 0))&gt;0, "WD",
                IF(MAX(IFERROR(SEARCH("NS",MAIN!G190:J190), 0))&gt;0, "NS",
                IF(MAX(IFERROR(SEARCH("NC",MAIN!G190:J190), 0))&gt;0, "NC",
                IF(MAX(IFERROR(SEARCH("DQ",MAIN!G190:J190), 0))&gt;0, "DQ",
                IF(ISNUMBER(SEARCH("WD",MAIN!K190)), "WD",
                IF(ISNUMBER(SEARCH("NS",MAIN!K190)), "NS",
                IF(ISNUMBER(SEARCH("NC",MAIN!K190)), "NC",
                IF(ISNUMBER(SEARCH("DQ",MAIN!K190)), "DQ",
                IF(ISNUMBER(SEARCH("A",MAIN!K190)), 0,
                IF(OR(MAIN!K190=0,MAIN!K190=""), 0, --TRIM(MAIN!K190)))))))))))),
            0
        )
    ),
    IFERROR(
        UPPER(
            IF(MAX(IFERROR(SEARCH("WD",MAIN!G190:J190), 0))&gt;0, "WD",
            IF(MAX(IFERROR(SEARCH("NS",MAIN!G190:J190), 0))&gt;0, "NS",
            IF(MAX(IFERROR(SEARCH("NC",MAIN!G190:J190), 0))&gt;0, "NC",
            IF(MAX(IFERROR(SEARCH("DQ",MAIN!G190:J190), 0))&gt;0, "DQ",
            IF(ISNUMBER(SEARCH("WD",MAIN!K190)), "WD",
            IF(ISNUMBER(SEARCH("NS",MAIN!K190)), "NS",
            IF(ISNUMBER(SEARCH("NC",MAIN!K190)), "NC",
            IF(ISNUMBER(SEARCH("DQ",MAIN!K190)), "DQ",
            IF(ISNUMBER(SEARCH("A",MAIN!K190)), 0,
            IF(OR(MAIN!K190=0,MAIN!K190=""), 0, --TRIM(MAIN!K190)))))))))))),
        0
    )
)</f>
        <v>0</v>
      </c>
    </row>
    <row r="191" spans="1:11" x14ac:dyDescent="0.25">
      <c r="A191" t="str">
        <f>IF(ISBLANK(MAIN!A191), "--", IFERROR(PROPER(SUBSTITUTE(SUBSTITUTE(SUBSTITUTE(SUBSTITUTE(SUBSTITUTE(SUBSTITUTE(SUBSTITUTE(SUBSTITUTE(SUBSTITUTE(SUBSTITUTE(LEFT(MAIN!A191, FIND(",",MAIN!A191) -1), "0", ""), "1", ""), "2", ""), "3", ""), "4", ""), "5", ""), "6", ""), "7", ""), "8", ""), "9", "")), PROPER(SUBSTITUTE(SUBSTITUTE(SUBSTITUTE(SUBSTITUTE(SUBSTITUTE(SUBSTITUTE(SUBSTITUTE(SUBSTITUTE(SUBSTITUTE(SUBSTITUTE(MAIN!A191, "0", ""), "1", ""), "2", ""), "3", ""), "4", ""), "5", ""), "6", ""), "7", ""), "8", ""), "9", ""))))</f>
        <v>--</v>
      </c>
      <c r="B191" t="str">
        <f>IF(ISBLANK(MAIN!B191), "--", IFERROR(PROPER(SUBSTITUTE(SUBSTITUTE(SUBSTITUTE(SUBSTITUTE(SUBSTITUTE(SUBSTITUTE(SUBSTITUTE(SUBSTITUTE(SUBSTITUTE(SUBSTITUTE(LEFT(MAIN!B191, FIND(",",MAIN!B191) -1), "0", ""), "1", ""), "2", ""), "3", ""), "4", ""), "5", ""), "6", ""), "7", ""), "8", ""), "9", "")), PROPER(SUBSTITUTE(SUBSTITUTE(SUBSTITUTE(SUBSTITUTE(SUBSTITUTE(SUBSTITUTE(SUBSTITUTE(SUBSTITUTE(SUBSTITUTE(SUBSTITUTE(MAIN!B191, "0", ""), "1", ""), "2", ""), "3", ""), "4", ""), "5", ""), "6", ""), "7", ""), "8", ""), "9", ""))))</f>
        <v>--</v>
      </c>
      <c r="C191" t="str">
        <f>IF(ISBLANK(MAIN!C191), "--", IFERROR(PROPER(SUBSTITUTE(SUBSTITUTE(SUBSTITUTE(SUBSTITUTE(SUBSTITUTE(SUBSTITUTE(SUBSTITUTE(SUBSTITUTE(SUBSTITUTE(SUBSTITUTE(LEFT(MAIN!C191, FIND(",",MAIN!C191) -1), "0", ""), "1", ""), "2", ""), "3", ""), "4", ""), "5", ""), "6", ""), "7", ""), "8", ""), "9", "")), PROPER(SUBSTITUTE(SUBSTITUTE(SUBSTITUTE(SUBSTITUTE(SUBSTITUTE(SUBSTITUTE(SUBSTITUTE(SUBSTITUTE(SUBSTITUTE(SUBSTITUTE(MAIN!C191, "0", ""), "1", ""), "2", ""), "3", ""), "4", ""), "5", ""), "6", ""), "7", ""), "8", ""), "9", ""))))</f>
        <v>--</v>
      </c>
      <c r="D191" t="str">
        <f>IF(ISBLANK(MAIN!D191), "--", IF(ISNUMBER(MATCH(SUBSTITUTE(LEFT(MAIN!D191, IFERROR(FIND(",", MAIN!D191)-1, LEN(MAIN!D191))), " ", ""), lookup_values!$B$2:$B$51, 0)), UPPER(SUBSTITUTE(LEFT(MAIN!D191, IFERROR(FIND(",", MAIN!D191)-1, LEN(MAIN!D191))), " ", "")), IF(ISNA(VLOOKUP(SUBSTITUTE(LEFT(MAIN!D191, IFERROR(FIND(",", MAIN!D191)-1, LEN(MAIN!D191))), " ", ""), lookup_values!$A$2:$B$51, 2, FALSE)), "--", VLOOKUP(SUBSTITUTE(LEFT(MAIN!D191, IFERROR(FIND(",", MAIN!D191)-1, LEN(MAIN!D191))), " ", ""), lookup_values!$A$2:$B$51, 2, FALSE))))</f>
        <v>--</v>
      </c>
      <c r="E191" t="str">
        <f>IF(CLEAN_DATA!D191&lt;&gt;"--","US",IF(ISBLANK(MAIN!E191), "--", IF(ISNUMBER(MATCH(SUBSTITUTE(LEFT(MAIN!E191, IFERROR(FIND(",", MAIN!E191)-1, LEN(MAIN!E191))), " ", ""), lookup_values!$E$2:$E$197, 0)), UPPER(SUBSTITUTE(LEFT(MAIN!E191, IFERROR(FIND(",", MAIN!E191)-1, LEN(MAIN!E191))), " ", "")), IF(ISNA(VLOOKUP(SUBSTITUTE(LEFT(MAIN!E191, IFERROR(FIND(",", MAIN!E191)-1, LEN(MAIN!E191))), " ", ""), lookup_values!$D$2:$E$197, 2, FALSE)), "--", VLOOKUP(SUBSTITUTE(LEFT(MAIN!E191, IFERROR(FIND(",", MAIN!E191)-1, LEN(MAIN!E191))), " ", ""), lookup_values!$D$2:$E$197, 2, FALSE)))))</f>
        <v>--</v>
      </c>
      <c r="F191" t="str">
        <f>IF(ISBLANK(MAIN!F191), "", IF(AND(ISNUMBER(VALUE(TRIM(MAIN!F191))), LEN(TRIM(MAIN!F191))=4), VALUE(TRIM(MAIN!F191)), ""))</f>
        <v/>
      </c>
      <c r="G191">
        <f>IF(ISBLANK(MAIN!G191), 0, IF(ISNUMBER(VALUE(TRIM(MAIN!G191))), VALUE(TRIM(MAIN!G191)), 0))</f>
        <v>0</v>
      </c>
      <c r="H191">
        <f>IF(ISBLANK(MAIN!H191), 0, IF(ISNUMBER(VALUE(TRIM(MAIN!H191))), VALUE(TRIM(MAIN!H191)), 0))</f>
        <v>0</v>
      </c>
      <c r="I191">
        <f>IF(ISBLANK(MAIN!I191), 0, IF(ISNUMBER(VALUE(TRIM(MAIN!I191))), VALUE(TRIM(MAIN!I191)), 0))</f>
        <v>0</v>
      </c>
      <c r="J191">
        <f>IF(ISBLANK(MAIN!J191), 0, IF(ISNUMBER(VALUE(TRIM(MAIN!J191))), VALUE(TRIM(MAIN!J191)), 0))</f>
        <v>0</v>
      </c>
      <c r="K191" cm="1">
        <f t="array" ref="K191">IFERROR(
    VALUE(
        IFERROR(
            UPPER(
                IF(MAX(IFERROR(SEARCH("WD",MAIN!G191:J191), 0))&gt;0, "WD",
                IF(MAX(IFERROR(SEARCH("NS",MAIN!G191:J191), 0))&gt;0, "NS",
                IF(MAX(IFERROR(SEARCH("NC",MAIN!G191:J191), 0))&gt;0, "NC",
                IF(MAX(IFERROR(SEARCH("DQ",MAIN!G191:J191), 0))&gt;0, "DQ",
                IF(ISNUMBER(SEARCH("WD",MAIN!K191)), "WD",
                IF(ISNUMBER(SEARCH("NS",MAIN!K191)), "NS",
                IF(ISNUMBER(SEARCH("NC",MAIN!K191)), "NC",
                IF(ISNUMBER(SEARCH("DQ",MAIN!K191)), "DQ",
                IF(ISNUMBER(SEARCH("A",MAIN!K191)), 0,
                IF(OR(MAIN!K191=0,MAIN!K191=""), 0, --TRIM(MAIN!K191)))))))))))),
            0
        )
    ),
    IFERROR(
        UPPER(
            IF(MAX(IFERROR(SEARCH("WD",MAIN!G191:J191), 0))&gt;0, "WD",
            IF(MAX(IFERROR(SEARCH("NS",MAIN!G191:J191), 0))&gt;0, "NS",
            IF(MAX(IFERROR(SEARCH("NC",MAIN!G191:J191), 0))&gt;0, "NC",
            IF(MAX(IFERROR(SEARCH("DQ",MAIN!G191:J191), 0))&gt;0, "DQ",
            IF(ISNUMBER(SEARCH("WD",MAIN!K191)), "WD",
            IF(ISNUMBER(SEARCH("NS",MAIN!K191)), "NS",
            IF(ISNUMBER(SEARCH("NC",MAIN!K191)), "NC",
            IF(ISNUMBER(SEARCH("DQ",MAIN!K191)), "DQ",
            IF(ISNUMBER(SEARCH("A",MAIN!K191)), 0,
            IF(OR(MAIN!K191=0,MAIN!K191=""), 0, --TRIM(MAIN!K191)))))))))))),
        0
    )
)</f>
        <v>0</v>
      </c>
    </row>
    <row r="192" spans="1:11" x14ac:dyDescent="0.25">
      <c r="A192" t="str">
        <f>IF(ISBLANK(MAIN!A192), "--", IFERROR(PROPER(SUBSTITUTE(SUBSTITUTE(SUBSTITUTE(SUBSTITUTE(SUBSTITUTE(SUBSTITUTE(SUBSTITUTE(SUBSTITUTE(SUBSTITUTE(SUBSTITUTE(LEFT(MAIN!A192, FIND(",",MAIN!A192) -1), "0", ""), "1", ""), "2", ""), "3", ""), "4", ""), "5", ""), "6", ""), "7", ""), "8", ""), "9", "")), PROPER(SUBSTITUTE(SUBSTITUTE(SUBSTITUTE(SUBSTITUTE(SUBSTITUTE(SUBSTITUTE(SUBSTITUTE(SUBSTITUTE(SUBSTITUTE(SUBSTITUTE(MAIN!A192, "0", ""), "1", ""), "2", ""), "3", ""), "4", ""), "5", ""), "6", ""), "7", ""), "8", ""), "9", ""))))</f>
        <v>--</v>
      </c>
      <c r="B192" t="str">
        <f>IF(ISBLANK(MAIN!B192), "--", IFERROR(PROPER(SUBSTITUTE(SUBSTITUTE(SUBSTITUTE(SUBSTITUTE(SUBSTITUTE(SUBSTITUTE(SUBSTITUTE(SUBSTITUTE(SUBSTITUTE(SUBSTITUTE(LEFT(MAIN!B192, FIND(",",MAIN!B192) -1), "0", ""), "1", ""), "2", ""), "3", ""), "4", ""), "5", ""), "6", ""), "7", ""), "8", ""), "9", "")), PROPER(SUBSTITUTE(SUBSTITUTE(SUBSTITUTE(SUBSTITUTE(SUBSTITUTE(SUBSTITUTE(SUBSTITUTE(SUBSTITUTE(SUBSTITUTE(SUBSTITUTE(MAIN!B192, "0", ""), "1", ""), "2", ""), "3", ""), "4", ""), "5", ""), "6", ""), "7", ""), "8", ""), "9", ""))))</f>
        <v>--</v>
      </c>
      <c r="C192" t="str">
        <f>IF(ISBLANK(MAIN!C192), "--", IFERROR(PROPER(SUBSTITUTE(SUBSTITUTE(SUBSTITUTE(SUBSTITUTE(SUBSTITUTE(SUBSTITUTE(SUBSTITUTE(SUBSTITUTE(SUBSTITUTE(SUBSTITUTE(LEFT(MAIN!C192, FIND(",",MAIN!C192) -1), "0", ""), "1", ""), "2", ""), "3", ""), "4", ""), "5", ""), "6", ""), "7", ""), "8", ""), "9", "")), PROPER(SUBSTITUTE(SUBSTITUTE(SUBSTITUTE(SUBSTITUTE(SUBSTITUTE(SUBSTITUTE(SUBSTITUTE(SUBSTITUTE(SUBSTITUTE(SUBSTITUTE(MAIN!C192, "0", ""), "1", ""), "2", ""), "3", ""), "4", ""), "5", ""), "6", ""), "7", ""), "8", ""), "9", ""))))</f>
        <v>--</v>
      </c>
      <c r="D192" t="str">
        <f>IF(ISBLANK(MAIN!D192), "--", IF(ISNUMBER(MATCH(SUBSTITUTE(LEFT(MAIN!D192, IFERROR(FIND(",", MAIN!D192)-1, LEN(MAIN!D192))), " ", ""), lookup_values!$B$2:$B$51, 0)), UPPER(SUBSTITUTE(LEFT(MAIN!D192, IFERROR(FIND(",", MAIN!D192)-1, LEN(MAIN!D192))), " ", "")), IF(ISNA(VLOOKUP(SUBSTITUTE(LEFT(MAIN!D192, IFERROR(FIND(",", MAIN!D192)-1, LEN(MAIN!D192))), " ", ""), lookup_values!$A$2:$B$51, 2, FALSE)), "--", VLOOKUP(SUBSTITUTE(LEFT(MAIN!D192, IFERROR(FIND(",", MAIN!D192)-1, LEN(MAIN!D192))), " ", ""), lookup_values!$A$2:$B$51, 2, FALSE))))</f>
        <v>--</v>
      </c>
      <c r="E192" t="str">
        <f>IF(CLEAN_DATA!D192&lt;&gt;"--","US",IF(ISBLANK(MAIN!E192), "--", IF(ISNUMBER(MATCH(SUBSTITUTE(LEFT(MAIN!E192, IFERROR(FIND(",", MAIN!E192)-1, LEN(MAIN!E192))), " ", ""), lookup_values!$E$2:$E$197, 0)), UPPER(SUBSTITUTE(LEFT(MAIN!E192, IFERROR(FIND(",", MAIN!E192)-1, LEN(MAIN!E192))), " ", "")), IF(ISNA(VLOOKUP(SUBSTITUTE(LEFT(MAIN!E192, IFERROR(FIND(",", MAIN!E192)-1, LEN(MAIN!E192))), " ", ""), lookup_values!$D$2:$E$197, 2, FALSE)), "--", VLOOKUP(SUBSTITUTE(LEFT(MAIN!E192, IFERROR(FIND(",", MAIN!E192)-1, LEN(MAIN!E192))), " ", ""), lookup_values!$D$2:$E$197, 2, FALSE)))))</f>
        <v>--</v>
      </c>
      <c r="F192" t="str">
        <f>IF(ISBLANK(MAIN!F192), "", IF(AND(ISNUMBER(VALUE(TRIM(MAIN!F192))), LEN(TRIM(MAIN!F192))=4), VALUE(TRIM(MAIN!F192)), ""))</f>
        <v/>
      </c>
      <c r="G192">
        <f>IF(ISBLANK(MAIN!G192), 0, IF(ISNUMBER(VALUE(TRIM(MAIN!G192))), VALUE(TRIM(MAIN!G192)), 0))</f>
        <v>0</v>
      </c>
      <c r="H192">
        <f>IF(ISBLANK(MAIN!H192), 0, IF(ISNUMBER(VALUE(TRIM(MAIN!H192))), VALUE(TRIM(MAIN!H192)), 0))</f>
        <v>0</v>
      </c>
      <c r="I192">
        <f>IF(ISBLANK(MAIN!I192), 0, IF(ISNUMBER(VALUE(TRIM(MAIN!I192))), VALUE(TRIM(MAIN!I192)), 0))</f>
        <v>0</v>
      </c>
      <c r="J192">
        <f>IF(ISBLANK(MAIN!J192), 0, IF(ISNUMBER(VALUE(TRIM(MAIN!J192))), VALUE(TRIM(MAIN!J192)), 0))</f>
        <v>0</v>
      </c>
      <c r="K192" cm="1">
        <f t="array" ref="K192">IFERROR(
    VALUE(
        IFERROR(
            UPPER(
                IF(MAX(IFERROR(SEARCH("WD",MAIN!G192:J192), 0))&gt;0, "WD",
                IF(MAX(IFERROR(SEARCH("NS",MAIN!G192:J192), 0))&gt;0, "NS",
                IF(MAX(IFERROR(SEARCH("NC",MAIN!G192:J192), 0))&gt;0, "NC",
                IF(MAX(IFERROR(SEARCH("DQ",MAIN!G192:J192), 0))&gt;0, "DQ",
                IF(ISNUMBER(SEARCH("WD",MAIN!K192)), "WD",
                IF(ISNUMBER(SEARCH("NS",MAIN!K192)), "NS",
                IF(ISNUMBER(SEARCH("NC",MAIN!K192)), "NC",
                IF(ISNUMBER(SEARCH("DQ",MAIN!K192)), "DQ",
                IF(ISNUMBER(SEARCH("A",MAIN!K192)), 0,
                IF(OR(MAIN!K192=0,MAIN!K192=""), 0, --TRIM(MAIN!K192)))))))))))),
            0
        )
    ),
    IFERROR(
        UPPER(
            IF(MAX(IFERROR(SEARCH("WD",MAIN!G192:J192), 0))&gt;0, "WD",
            IF(MAX(IFERROR(SEARCH("NS",MAIN!G192:J192), 0))&gt;0, "NS",
            IF(MAX(IFERROR(SEARCH("NC",MAIN!G192:J192), 0))&gt;0, "NC",
            IF(MAX(IFERROR(SEARCH("DQ",MAIN!G192:J192), 0))&gt;0, "DQ",
            IF(ISNUMBER(SEARCH("WD",MAIN!K192)), "WD",
            IF(ISNUMBER(SEARCH("NS",MAIN!K192)), "NS",
            IF(ISNUMBER(SEARCH("NC",MAIN!K192)), "NC",
            IF(ISNUMBER(SEARCH("DQ",MAIN!K192)), "DQ",
            IF(ISNUMBER(SEARCH("A",MAIN!K192)), 0,
            IF(OR(MAIN!K192=0,MAIN!K192=""), 0, --TRIM(MAIN!K192)))))))))))),
        0
    )
)</f>
        <v>0</v>
      </c>
    </row>
    <row r="193" spans="1:11" x14ac:dyDescent="0.25">
      <c r="A193" t="str">
        <f>IF(ISBLANK(MAIN!A193), "--", IFERROR(PROPER(SUBSTITUTE(SUBSTITUTE(SUBSTITUTE(SUBSTITUTE(SUBSTITUTE(SUBSTITUTE(SUBSTITUTE(SUBSTITUTE(SUBSTITUTE(SUBSTITUTE(LEFT(MAIN!A193, FIND(",",MAIN!A193) -1), "0", ""), "1", ""), "2", ""), "3", ""), "4", ""), "5", ""), "6", ""), "7", ""), "8", ""), "9", "")), PROPER(SUBSTITUTE(SUBSTITUTE(SUBSTITUTE(SUBSTITUTE(SUBSTITUTE(SUBSTITUTE(SUBSTITUTE(SUBSTITUTE(SUBSTITUTE(SUBSTITUTE(MAIN!A193, "0", ""), "1", ""), "2", ""), "3", ""), "4", ""), "5", ""), "6", ""), "7", ""), "8", ""), "9", ""))))</f>
        <v>--</v>
      </c>
      <c r="B193" t="str">
        <f>IF(ISBLANK(MAIN!B193), "--", IFERROR(PROPER(SUBSTITUTE(SUBSTITUTE(SUBSTITUTE(SUBSTITUTE(SUBSTITUTE(SUBSTITUTE(SUBSTITUTE(SUBSTITUTE(SUBSTITUTE(SUBSTITUTE(LEFT(MAIN!B193, FIND(",",MAIN!B193) -1), "0", ""), "1", ""), "2", ""), "3", ""), "4", ""), "5", ""), "6", ""), "7", ""), "8", ""), "9", "")), PROPER(SUBSTITUTE(SUBSTITUTE(SUBSTITUTE(SUBSTITUTE(SUBSTITUTE(SUBSTITUTE(SUBSTITUTE(SUBSTITUTE(SUBSTITUTE(SUBSTITUTE(MAIN!B193, "0", ""), "1", ""), "2", ""), "3", ""), "4", ""), "5", ""), "6", ""), "7", ""), "8", ""), "9", ""))))</f>
        <v>--</v>
      </c>
      <c r="C193" t="str">
        <f>IF(ISBLANK(MAIN!C193), "--", IFERROR(PROPER(SUBSTITUTE(SUBSTITUTE(SUBSTITUTE(SUBSTITUTE(SUBSTITUTE(SUBSTITUTE(SUBSTITUTE(SUBSTITUTE(SUBSTITUTE(SUBSTITUTE(LEFT(MAIN!C193, FIND(",",MAIN!C193) -1), "0", ""), "1", ""), "2", ""), "3", ""), "4", ""), "5", ""), "6", ""), "7", ""), "8", ""), "9", "")), PROPER(SUBSTITUTE(SUBSTITUTE(SUBSTITUTE(SUBSTITUTE(SUBSTITUTE(SUBSTITUTE(SUBSTITUTE(SUBSTITUTE(SUBSTITUTE(SUBSTITUTE(MAIN!C193, "0", ""), "1", ""), "2", ""), "3", ""), "4", ""), "5", ""), "6", ""), "7", ""), "8", ""), "9", ""))))</f>
        <v>--</v>
      </c>
      <c r="D193" t="str">
        <f>IF(ISBLANK(MAIN!D193), "--", IF(ISNUMBER(MATCH(SUBSTITUTE(LEFT(MAIN!D193, IFERROR(FIND(",", MAIN!D193)-1, LEN(MAIN!D193))), " ", ""), lookup_values!$B$2:$B$51, 0)), UPPER(SUBSTITUTE(LEFT(MAIN!D193, IFERROR(FIND(",", MAIN!D193)-1, LEN(MAIN!D193))), " ", "")), IF(ISNA(VLOOKUP(SUBSTITUTE(LEFT(MAIN!D193, IFERROR(FIND(",", MAIN!D193)-1, LEN(MAIN!D193))), " ", ""), lookup_values!$A$2:$B$51, 2, FALSE)), "--", VLOOKUP(SUBSTITUTE(LEFT(MAIN!D193, IFERROR(FIND(",", MAIN!D193)-1, LEN(MAIN!D193))), " ", ""), lookup_values!$A$2:$B$51, 2, FALSE))))</f>
        <v>--</v>
      </c>
      <c r="E193" t="str">
        <f>IF(CLEAN_DATA!D193&lt;&gt;"--","US",IF(ISBLANK(MAIN!E193), "--", IF(ISNUMBER(MATCH(SUBSTITUTE(LEFT(MAIN!E193, IFERROR(FIND(",", MAIN!E193)-1, LEN(MAIN!E193))), " ", ""), lookup_values!$E$2:$E$197, 0)), UPPER(SUBSTITUTE(LEFT(MAIN!E193, IFERROR(FIND(",", MAIN!E193)-1, LEN(MAIN!E193))), " ", "")), IF(ISNA(VLOOKUP(SUBSTITUTE(LEFT(MAIN!E193, IFERROR(FIND(",", MAIN!E193)-1, LEN(MAIN!E193))), " ", ""), lookup_values!$D$2:$E$197, 2, FALSE)), "--", VLOOKUP(SUBSTITUTE(LEFT(MAIN!E193, IFERROR(FIND(",", MAIN!E193)-1, LEN(MAIN!E193))), " ", ""), lookup_values!$D$2:$E$197, 2, FALSE)))))</f>
        <v>--</v>
      </c>
      <c r="F193" t="str">
        <f>IF(ISBLANK(MAIN!F193), "", IF(AND(ISNUMBER(VALUE(TRIM(MAIN!F193))), LEN(TRIM(MAIN!F193))=4), VALUE(TRIM(MAIN!F193)), ""))</f>
        <v/>
      </c>
      <c r="G193">
        <f>IF(ISBLANK(MAIN!G193), 0, IF(ISNUMBER(VALUE(TRIM(MAIN!G193))), VALUE(TRIM(MAIN!G193)), 0))</f>
        <v>0</v>
      </c>
      <c r="H193">
        <f>IF(ISBLANK(MAIN!H193), 0, IF(ISNUMBER(VALUE(TRIM(MAIN!H193))), VALUE(TRIM(MAIN!H193)), 0))</f>
        <v>0</v>
      </c>
      <c r="I193">
        <f>IF(ISBLANK(MAIN!I193), 0, IF(ISNUMBER(VALUE(TRIM(MAIN!I193))), VALUE(TRIM(MAIN!I193)), 0))</f>
        <v>0</v>
      </c>
      <c r="J193">
        <f>IF(ISBLANK(MAIN!J193), 0, IF(ISNUMBER(VALUE(TRIM(MAIN!J193))), VALUE(TRIM(MAIN!J193)), 0))</f>
        <v>0</v>
      </c>
      <c r="K193" cm="1">
        <f t="array" ref="K193">IFERROR(
    VALUE(
        IFERROR(
            UPPER(
                IF(MAX(IFERROR(SEARCH("WD",MAIN!G193:J193), 0))&gt;0, "WD",
                IF(MAX(IFERROR(SEARCH("NS",MAIN!G193:J193), 0))&gt;0, "NS",
                IF(MAX(IFERROR(SEARCH("NC",MAIN!G193:J193), 0))&gt;0, "NC",
                IF(MAX(IFERROR(SEARCH("DQ",MAIN!G193:J193), 0))&gt;0, "DQ",
                IF(ISNUMBER(SEARCH("WD",MAIN!K193)), "WD",
                IF(ISNUMBER(SEARCH("NS",MAIN!K193)), "NS",
                IF(ISNUMBER(SEARCH("NC",MAIN!K193)), "NC",
                IF(ISNUMBER(SEARCH("DQ",MAIN!K193)), "DQ",
                IF(ISNUMBER(SEARCH("A",MAIN!K193)), 0,
                IF(OR(MAIN!K193=0,MAIN!K193=""), 0, --TRIM(MAIN!K193)))))))))))),
            0
        )
    ),
    IFERROR(
        UPPER(
            IF(MAX(IFERROR(SEARCH("WD",MAIN!G193:J193), 0))&gt;0, "WD",
            IF(MAX(IFERROR(SEARCH("NS",MAIN!G193:J193), 0))&gt;0, "NS",
            IF(MAX(IFERROR(SEARCH("NC",MAIN!G193:J193), 0))&gt;0, "NC",
            IF(MAX(IFERROR(SEARCH("DQ",MAIN!G193:J193), 0))&gt;0, "DQ",
            IF(ISNUMBER(SEARCH("WD",MAIN!K193)), "WD",
            IF(ISNUMBER(SEARCH("NS",MAIN!K193)), "NS",
            IF(ISNUMBER(SEARCH("NC",MAIN!K193)), "NC",
            IF(ISNUMBER(SEARCH("DQ",MAIN!K193)), "DQ",
            IF(ISNUMBER(SEARCH("A",MAIN!K193)), 0,
            IF(OR(MAIN!K193=0,MAIN!K193=""), 0, --TRIM(MAIN!K193)))))))))))),
        0
    )
)</f>
        <v>0</v>
      </c>
    </row>
    <row r="194" spans="1:11" x14ac:dyDescent="0.25">
      <c r="A194" t="str">
        <f>IF(ISBLANK(MAIN!A194), "--", IFERROR(PROPER(SUBSTITUTE(SUBSTITUTE(SUBSTITUTE(SUBSTITUTE(SUBSTITUTE(SUBSTITUTE(SUBSTITUTE(SUBSTITUTE(SUBSTITUTE(SUBSTITUTE(LEFT(MAIN!A194, FIND(",",MAIN!A194) -1), "0", ""), "1", ""), "2", ""), "3", ""), "4", ""), "5", ""), "6", ""), "7", ""), "8", ""), "9", "")), PROPER(SUBSTITUTE(SUBSTITUTE(SUBSTITUTE(SUBSTITUTE(SUBSTITUTE(SUBSTITUTE(SUBSTITUTE(SUBSTITUTE(SUBSTITUTE(SUBSTITUTE(MAIN!A194, "0", ""), "1", ""), "2", ""), "3", ""), "4", ""), "5", ""), "6", ""), "7", ""), "8", ""), "9", ""))))</f>
        <v>--</v>
      </c>
      <c r="B194" t="str">
        <f>IF(ISBLANK(MAIN!B194), "--", IFERROR(PROPER(SUBSTITUTE(SUBSTITUTE(SUBSTITUTE(SUBSTITUTE(SUBSTITUTE(SUBSTITUTE(SUBSTITUTE(SUBSTITUTE(SUBSTITUTE(SUBSTITUTE(LEFT(MAIN!B194, FIND(",",MAIN!B194) -1), "0", ""), "1", ""), "2", ""), "3", ""), "4", ""), "5", ""), "6", ""), "7", ""), "8", ""), "9", "")), PROPER(SUBSTITUTE(SUBSTITUTE(SUBSTITUTE(SUBSTITUTE(SUBSTITUTE(SUBSTITUTE(SUBSTITUTE(SUBSTITUTE(SUBSTITUTE(SUBSTITUTE(MAIN!B194, "0", ""), "1", ""), "2", ""), "3", ""), "4", ""), "5", ""), "6", ""), "7", ""), "8", ""), "9", ""))))</f>
        <v>--</v>
      </c>
      <c r="C194" t="str">
        <f>IF(ISBLANK(MAIN!C194), "--", IFERROR(PROPER(SUBSTITUTE(SUBSTITUTE(SUBSTITUTE(SUBSTITUTE(SUBSTITUTE(SUBSTITUTE(SUBSTITUTE(SUBSTITUTE(SUBSTITUTE(SUBSTITUTE(LEFT(MAIN!C194, FIND(",",MAIN!C194) -1), "0", ""), "1", ""), "2", ""), "3", ""), "4", ""), "5", ""), "6", ""), "7", ""), "8", ""), "9", "")), PROPER(SUBSTITUTE(SUBSTITUTE(SUBSTITUTE(SUBSTITUTE(SUBSTITUTE(SUBSTITUTE(SUBSTITUTE(SUBSTITUTE(SUBSTITUTE(SUBSTITUTE(MAIN!C194, "0", ""), "1", ""), "2", ""), "3", ""), "4", ""), "5", ""), "6", ""), "7", ""), "8", ""), "9", ""))))</f>
        <v>--</v>
      </c>
      <c r="D194" t="str">
        <f>IF(ISBLANK(MAIN!D194), "--", IF(ISNUMBER(MATCH(SUBSTITUTE(LEFT(MAIN!D194, IFERROR(FIND(",", MAIN!D194)-1, LEN(MAIN!D194))), " ", ""), lookup_values!$B$2:$B$51, 0)), UPPER(SUBSTITUTE(LEFT(MAIN!D194, IFERROR(FIND(",", MAIN!D194)-1, LEN(MAIN!D194))), " ", "")), IF(ISNA(VLOOKUP(SUBSTITUTE(LEFT(MAIN!D194, IFERROR(FIND(",", MAIN!D194)-1, LEN(MAIN!D194))), " ", ""), lookup_values!$A$2:$B$51, 2, FALSE)), "--", VLOOKUP(SUBSTITUTE(LEFT(MAIN!D194, IFERROR(FIND(",", MAIN!D194)-1, LEN(MAIN!D194))), " ", ""), lookup_values!$A$2:$B$51, 2, FALSE))))</f>
        <v>--</v>
      </c>
      <c r="E194" t="str">
        <f>IF(CLEAN_DATA!D194&lt;&gt;"--","US",IF(ISBLANK(MAIN!E194), "--", IF(ISNUMBER(MATCH(SUBSTITUTE(LEFT(MAIN!E194, IFERROR(FIND(",", MAIN!E194)-1, LEN(MAIN!E194))), " ", ""), lookup_values!$E$2:$E$197, 0)), UPPER(SUBSTITUTE(LEFT(MAIN!E194, IFERROR(FIND(",", MAIN!E194)-1, LEN(MAIN!E194))), " ", "")), IF(ISNA(VLOOKUP(SUBSTITUTE(LEFT(MAIN!E194, IFERROR(FIND(",", MAIN!E194)-1, LEN(MAIN!E194))), " ", ""), lookup_values!$D$2:$E$197, 2, FALSE)), "--", VLOOKUP(SUBSTITUTE(LEFT(MAIN!E194, IFERROR(FIND(",", MAIN!E194)-1, LEN(MAIN!E194))), " ", ""), lookup_values!$D$2:$E$197, 2, FALSE)))))</f>
        <v>--</v>
      </c>
      <c r="F194" t="str">
        <f>IF(ISBLANK(MAIN!F194), "", IF(AND(ISNUMBER(VALUE(TRIM(MAIN!F194))), LEN(TRIM(MAIN!F194))=4), VALUE(TRIM(MAIN!F194)), ""))</f>
        <v/>
      </c>
      <c r="G194">
        <f>IF(ISBLANK(MAIN!G194), 0, IF(ISNUMBER(VALUE(TRIM(MAIN!G194))), VALUE(TRIM(MAIN!G194)), 0))</f>
        <v>0</v>
      </c>
      <c r="H194">
        <f>IF(ISBLANK(MAIN!H194), 0, IF(ISNUMBER(VALUE(TRIM(MAIN!H194))), VALUE(TRIM(MAIN!H194)), 0))</f>
        <v>0</v>
      </c>
      <c r="I194">
        <f>IF(ISBLANK(MAIN!I194), 0, IF(ISNUMBER(VALUE(TRIM(MAIN!I194))), VALUE(TRIM(MAIN!I194)), 0))</f>
        <v>0</v>
      </c>
      <c r="J194">
        <f>IF(ISBLANK(MAIN!J194), 0, IF(ISNUMBER(VALUE(TRIM(MAIN!J194))), VALUE(TRIM(MAIN!J194)), 0))</f>
        <v>0</v>
      </c>
      <c r="K194" cm="1">
        <f t="array" ref="K194">IFERROR(
    VALUE(
        IFERROR(
            UPPER(
                IF(MAX(IFERROR(SEARCH("WD",MAIN!G194:J194), 0))&gt;0, "WD",
                IF(MAX(IFERROR(SEARCH("NS",MAIN!G194:J194), 0))&gt;0, "NS",
                IF(MAX(IFERROR(SEARCH("NC",MAIN!G194:J194), 0))&gt;0, "NC",
                IF(MAX(IFERROR(SEARCH("DQ",MAIN!G194:J194), 0))&gt;0, "DQ",
                IF(ISNUMBER(SEARCH("WD",MAIN!K194)), "WD",
                IF(ISNUMBER(SEARCH("NS",MAIN!K194)), "NS",
                IF(ISNUMBER(SEARCH("NC",MAIN!K194)), "NC",
                IF(ISNUMBER(SEARCH("DQ",MAIN!K194)), "DQ",
                IF(ISNUMBER(SEARCH("A",MAIN!K194)), 0,
                IF(OR(MAIN!K194=0,MAIN!K194=""), 0, --TRIM(MAIN!K194)))))))))))),
            0
        )
    ),
    IFERROR(
        UPPER(
            IF(MAX(IFERROR(SEARCH("WD",MAIN!G194:J194), 0))&gt;0, "WD",
            IF(MAX(IFERROR(SEARCH("NS",MAIN!G194:J194), 0))&gt;0, "NS",
            IF(MAX(IFERROR(SEARCH("NC",MAIN!G194:J194), 0))&gt;0, "NC",
            IF(MAX(IFERROR(SEARCH("DQ",MAIN!G194:J194), 0))&gt;0, "DQ",
            IF(ISNUMBER(SEARCH("WD",MAIN!K194)), "WD",
            IF(ISNUMBER(SEARCH("NS",MAIN!K194)), "NS",
            IF(ISNUMBER(SEARCH("NC",MAIN!K194)), "NC",
            IF(ISNUMBER(SEARCH("DQ",MAIN!K194)), "DQ",
            IF(ISNUMBER(SEARCH("A",MAIN!K194)), 0,
            IF(OR(MAIN!K194=0,MAIN!K194=""), 0, --TRIM(MAIN!K194)))))))))))),
        0
    )
)</f>
        <v>0</v>
      </c>
    </row>
    <row r="195" spans="1:11" x14ac:dyDescent="0.25">
      <c r="A195" t="str">
        <f>IF(ISBLANK(MAIN!A195), "--", IFERROR(PROPER(SUBSTITUTE(SUBSTITUTE(SUBSTITUTE(SUBSTITUTE(SUBSTITUTE(SUBSTITUTE(SUBSTITUTE(SUBSTITUTE(SUBSTITUTE(SUBSTITUTE(LEFT(MAIN!A195, FIND(",",MAIN!A195) -1), "0", ""), "1", ""), "2", ""), "3", ""), "4", ""), "5", ""), "6", ""), "7", ""), "8", ""), "9", "")), PROPER(SUBSTITUTE(SUBSTITUTE(SUBSTITUTE(SUBSTITUTE(SUBSTITUTE(SUBSTITUTE(SUBSTITUTE(SUBSTITUTE(SUBSTITUTE(SUBSTITUTE(MAIN!A195, "0", ""), "1", ""), "2", ""), "3", ""), "4", ""), "5", ""), "6", ""), "7", ""), "8", ""), "9", ""))))</f>
        <v>--</v>
      </c>
      <c r="B195" t="str">
        <f>IF(ISBLANK(MAIN!B195), "--", IFERROR(PROPER(SUBSTITUTE(SUBSTITUTE(SUBSTITUTE(SUBSTITUTE(SUBSTITUTE(SUBSTITUTE(SUBSTITUTE(SUBSTITUTE(SUBSTITUTE(SUBSTITUTE(LEFT(MAIN!B195, FIND(",",MAIN!B195) -1), "0", ""), "1", ""), "2", ""), "3", ""), "4", ""), "5", ""), "6", ""), "7", ""), "8", ""), "9", "")), PROPER(SUBSTITUTE(SUBSTITUTE(SUBSTITUTE(SUBSTITUTE(SUBSTITUTE(SUBSTITUTE(SUBSTITUTE(SUBSTITUTE(SUBSTITUTE(SUBSTITUTE(MAIN!B195, "0", ""), "1", ""), "2", ""), "3", ""), "4", ""), "5", ""), "6", ""), "7", ""), "8", ""), "9", ""))))</f>
        <v>--</v>
      </c>
      <c r="C195" t="str">
        <f>IF(ISBLANK(MAIN!C195), "--", IFERROR(PROPER(SUBSTITUTE(SUBSTITUTE(SUBSTITUTE(SUBSTITUTE(SUBSTITUTE(SUBSTITUTE(SUBSTITUTE(SUBSTITUTE(SUBSTITUTE(SUBSTITUTE(LEFT(MAIN!C195, FIND(",",MAIN!C195) -1), "0", ""), "1", ""), "2", ""), "3", ""), "4", ""), "5", ""), "6", ""), "7", ""), "8", ""), "9", "")), PROPER(SUBSTITUTE(SUBSTITUTE(SUBSTITUTE(SUBSTITUTE(SUBSTITUTE(SUBSTITUTE(SUBSTITUTE(SUBSTITUTE(SUBSTITUTE(SUBSTITUTE(MAIN!C195, "0", ""), "1", ""), "2", ""), "3", ""), "4", ""), "5", ""), "6", ""), "7", ""), "8", ""), "9", ""))))</f>
        <v>--</v>
      </c>
      <c r="D195" t="str">
        <f>IF(ISBLANK(MAIN!D195), "--", IF(ISNUMBER(MATCH(SUBSTITUTE(LEFT(MAIN!D195, IFERROR(FIND(",", MAIN!D195)-1, LEN(MAIN!D195))), " ", ""), lookup_values!$B$2:$B$51, 0)), UPPER(SUBSTITUTE(LEFT(MAIN!D195, IFERROR(FIND(",", MAIN!D195)-1, LEN(MAIN!D195))), " ", "")), IF(ISNA(VLOOKUP(SUBSTITUTE(LEFT(MAIN!D195, IFERROR(FIND(",", MAIN!D195)-1, LEN(MAIN!D195))), " ", ""), lookup_values!$A$2:$B$51, 2, FALSE)), "--", VLOOKUP(SUBSTITUTE(LEFT(MAIN!D195, IFERROR(FIND(",", MAIN!D195)-1, LEN(MAIN!D195))), " ", ""), lookup_values!$A$2:$B$51, 2, FALSE))))</f>
        <v>--</v>
      </c>
      <c r="E195" t="str">
        <f>IF(CLEAN_DATA!D195&lt;&gt;"--","US",IF(ISBLANK(MAIN!E195), "--", IF(ISNUMBER(MATCH(SUBSTITUTE(LEFT(MAIN!E195, IFERROR(FIND(",", MAIN!E195)-1, LEN(MAIN!E195))), " ", ""), lookup_values!$E$2:$E$197, 0)), UPPER(SUBSTITUTE(LEFT(MAIN!E195, IFERROR(FIND(",", MAIN!E195)-1, LEN(MAIN!E195))), " ", "")), IF(ISNA(VLOOKUP(SUBSTITUTE(LEFT(MAIN!E195, IFERROR(FIND(",", MAIN!E195)-1, LEN(MAIN!E195))), " ", ""), lookup_values!$D$2:$E$197, 2, FALSE)), "--", VLOOKUP(SUBSTITUTE(LEFT(MAIN!E195, IFERROR(FIND(",", MAIN!E195)-1, LEN(MAIN!E195))), " ", ""), lookup_values!$D$2:$E$197, 2, FALSE)))))</f>
        <v>--</v>
      </c>
      <c r="F195" t="str">
        <f>IF(ISBLANK(MAIN!F195), "", IF(AND(ISNUMBER(VALUE(TRIM(MAIN!F195))), LEN(TRIM(MAIN!F195))=4), VALUE(TRIM(MAIN!F195)), ""))</f>
        <v/>
      </c>
      <c r="G195">
        <f>IF(ISBLANK(MAIN!G195), 0, IF(ISNUMBER(VALUE(TRIM(MAIN!G195))), VALUE(TRIM(MAIN!G195)), 0))</f>
        <v>0</v>
      </c>
      <c r="H195">
        <f>IF(ISBLANK(MAIN!H195), 0, IF(ISNUMBER(VALUE(TRIM(MAIN!H195))), VALUE(TRIM(MAIN!H195)), 0))</f>
        <v>0</v>
      </c>
      <c r="I195">
        <f>IF(ISBLANK(MAIN!I195), 0, IF(ISNUMBER(VALUE(TRIM(MAIN!I195))), VALUE(TRIM(MAIN!I195)), 0))</f>
        <v>0</v>
      </c>
      <c r="J195">
        <f>IF(ISBLANK(MAIN!J195), 0, IF(ISNUMBER(VALUE(TRIM(MAIN!J195))), VALUE(TRIM(MAIN!J195)), 0))</f>
        <v>0</v>
      </c>
      <c r="K195" cm="1">
        <f t="array" ref="K195">IFERROR(
    VALUE(
        IFERROR(
            UPPER(
                IF(MAX(IFERROR(SEARCH("WD",MAIN!G195:J195), 0))&gt;0, "WD",
                IF(MAX(IFERROR(SEARCH("NS",MAIN!G195:J195), 0))&gt;0, "NS",
                IF(MAX(IFERROR(SEARCH("NC",MAIN!G195:J195), 0))&gt;0, "NC",
                IF(MAX(IFERROR(SEARCH("DQ",MAIN!G195:J195), 0))&gt;0, "DQ",
                IF(ISNUMBER(SEARCH("WD",MAIN!K195)), "WD",
                IF(ISNUMBER(SEARCH("NS",MAIN!K195)), "NS",
                IF(ISNUMBER(SEARCH("NC",MAIN!K195)), "NC",
                IF(ISNUMBER(SEARCH("DQ",MAIN!K195)), "DQ",
                IF(ISNUMBER(SEARCH("A",MAIN!K195)), 0,
                IF(OR(MAIN!K195=0,MAIN!K195=""), 0, --TRIM(MAIN!K195)))))))))))),
            0
        )
    ),
    IFERROR(
        UPPER(
            IF(MAX(IFERROR(SEARCH("WD",MAIN!G195:J195), 0))&gt;0, "WD",
            IF(MAX(IFERROR(SEARCH("NS",MAIN!G195:J195), 0))&gt;0, "NS",
            IF(MAX(IFERROR(SEARCH("NC",MAIN!G195:J195), 0))&gt;0, "NC",
            IF(MAX(IFERROR(SEARCH("DQ",MAIN!G195:J195), 0))&gt;0, "DQ",
            IF(ISNUMBER(SEARCH("WD",MAIN!K195)), "WD",
            IF(ISNUMBER(SEARCH("NS",MAIN!K195)), "NS",
            IF(ISNUMBER(SEARCH("NC",MAIN!K195)), "NC",
            IF(ISNUMBER(SEARCH("DQ",MAIN!K195)), "DQ",
            IF(ISNUMBER(SEARCH("A",MAIN!K195)), 0,
            IF(OR(MAIN!K195=0,MAIN!K195=""), 0, --TRIM(MAIN!K195)))))))))))),
        0
    )
)</f>
        <v>0</v>
      </c>
    </row>
    <row r="196" spans="1:11" x14ac:dyDescent="0.25">
      <c r="A196" t="str">
        <f>IF(ISBLANK(MAIN!A196), "--", IFERROR(PROPER(SUBSTITUTE(SUBSTITUTE(SUBSTITUTE(SUBSTITUTE(SUBSTITUTE(SUBSTITUTE(SUBSTITUTE(SUBSTITUTE(SUBSTITUTE(SUBSTITUTE(LEFT(MAIN!A196, FIND(",",MAIN!A196) -1), "0", ""), "1", ""), "2", ""), "3", ""), "4", ""), "5", ""), "6", ""), "7", ""), "8", ""), "9", "")), PROPER(SUBSTITUTE(SUBSTITUTE(SUBSTITUTE(SUBSTITUTE(SUBSTITUTE(SUBSTITUTE(SUBSTITUTE(SUBSTITUTE(SUBSTITUTE(SUBSTITUTE(MAIN!A196, "0", ""), "1", ""), "2", ""), "3", ""), "4", ""), "5", ""), "6", ""), "7", ""), "8", ""), "9", ""))))</f>
        <v>--</v>
      </c>
      <c r="B196" t="str">
        <f>IF(ISBLANK(MAIN!B196), "--", IFERROR(PROPER(SUBSTITUTE(SUBSTITUTE(SUBSTITUTE(SUBSTITUTE(SUBSTITUTE(SUBSTITUTE(SUBSTITUTE(SUBSTITUTE(SUBSTITUTE(SUBSTITUTE(LEFT(MAIN!B196, FIND(",",MAIN!B196) -1), "0", ""), "1", ""), "2", ""), "3", ""), "4", ""), "5", ""), "6", ""), "7", ""), "8", ""), "9", "")), PROPER(SUBSTITUTE(SUBSTITUTE(SUBSTITUTE(SUBSTITUTE(SUBSTITUTE(SUBSTITUTE(SUBSTITUTE(SUBSTITUTE(SUBSTITUTE(SUBSTITUTE(MAIN!B196, "0", ""), "1", ""), "2", ""), "3", ""), "4", ""), "5", ""), "6", ""), "7", ""), "8", ""), "9", ""))))</f>
        <v>--</v>
      </c>
      <c r="C196" t="str">
        <f>IF(ISBLANK(MAIN!C196), "--", IFERROR(PROPER(SUBSTITUTE(SUBSTITUTE(SUBSTITUTE(SUBSTITUTE(SUBSTITUTE(SUBSTITUTE(SUBSTITUTE(SUBSTITUTE(SUBSTITUTE(SUBSTITUTE(LEFT(MAIN!C196, FIND(",",MAIN!C196) -1), "0", ""), "1", ""), "2", ""), "3", ""), "4", ""), "5", ""), "6", ""), "7", ""), "8", ""), "9", "")), PROPER(SUBSTITUTE(SUBSTITUTE(SUBSTITUTE(SUBSTITUTE(SUBSTITUTE(SUBSTITUTE(SUBSTITUTE(SUBSTITUTE(SUBSTITUTE(SUBSTITUTE(MAIN!C196, "0", ""), "1", ""), "2", ""), "3", ""), "4", ""), "5", ""), "6", ""), "7", ""), "8", ""), "9", ""))))</f>
        <v>--</v>
      </c>
      <c r="D196" t="str">
        <f>IF(ISBLANK(MAIN!D196), "--", IF(ISNUMBER(MATCH(SUBSTITUTE(LEFT(MAIN!D196, IFERROR(FIND(",", MAIN!D196)-1, LEN(MAIN!D196))), " ", ""), lookup_values!$B$2:$B$51, 0)), UPPER(SUBSTITUTE(LEFT(MAIN!D196, IFERROR(FIND(",", MAIN!D196)-1, LEN(MAIN!D196))), " ", "")), IF(ISNA(VLOOKUP(SUBSTITUTE(LEFT(MAIN!D196, IFERROR(FIND(",", MAIN!D196)-1, LEN(MAIN!D196))), " ", ""), lookup_values!$A$2:$B$51, 2, FALSE)), "--", VLOOKUP(SUBSTITUTE(LEFT(MAIN!D196, IFERROR(FIND(",", MAIN!D196)-1, LEN(MAIN!D196))), " ", ""), lookup_values!$A$2:$B$51, 2, FALSE))))</f>
        <v>--</v>
      </c>
      <c r="E196" t="str">
        <f>IF(CLEAN_DATA!D196&lt;&gt;"--","US",IF(ISBLANK(MAIN!E196), "--", IF(ISNUMBER(MATCH(SUBSTITUTE(LEFT(MAIN!E196, IFERROR(FIND(",", MAIN!E196)-1, LEN(MAIN!E196))), " ", ""), lookup_values!$E$2:$E$197, 0)), UPPER(SUBSTITUTE(LEFT(MAIN!E196, IFERROR(FIND(",", MAIN!E196)-1, LEN(MAIN!E196))), " ", "")), IF(ISNA(VLOOKUP(SUBSTITUTE(LEFT(MAIN!E196, IFERROR(FIND(",", MAIN!E196)-1, LEN(MAIN!E196))), " ", ""), lookup_values!$D$2:$E$197, 2, FALSE)), "--", VLOOKUP(SUBSTITUTE(LEFT(MAIN!E196, IFERROR(FIND(",", MAIN!E196)-1, LEN(MAIN!E196))), " ", ""), lookup_values!$D$2:$E$197, 2, FALSE)))))</f>
        <v>--</v>
      </c>
      <c r="F196" t="str">
        <f>IF(ISBLANK(MAIN!F196), "", IF(AND(ISNUMBER(VALUE(TRIM(MAIN!F196))), LEN(TRIM(MAIN!F196))=4), VALUE(TRIM(MAIN!F196)), ""))</f>
        <v/>
      </c>
      <c r="G196">
        <f>IF(ISBLANK(MAIN!G196), 0, IF(ISNUMBER(VALUE(TRIM(MAIN!G196))), VALUE(TRIM(MAIN!G196)), 0))</f>
        <v>0</v>
      </c>
      <c r="H196">
        <f>IF(ISBLANK(MAIN!H196), 0, IF(ISNUMBER(VALUE(TRIM(MAIN!H196))), VALUE(TRIM(MAIN!H196)), 0))</f>
        <v>0</v>
      </c>
      <c r="I196">
        <f>IF(ISBLANK(MAIN!I196), 0, IF(ISNUMBER(VALUE(TRIM(MAIN!I196))), VALUE(TRIM(MAIN!I196)), 0))</f>
        <v>0</v>
      </c>
      <c r="J196">
        <f>IF(ISBLANK(MAIN!J196), 0, IF(ISNUMBER(VALUE(TRIM(MAIN!J196))), VALUE(TRIM(MAIN!J196)), 0))</f>
        <v>0</v>
      </c>
      <c r="K196" cm="1">
        <f t="array" ref="K196">IFERROR(
    VALUE(
        IFERROR(
            UPPER(
                IF(MAX(IFERROR(SEARCH("WD",MAIN!G196:J196), 0))&gt;0, "WD",
                IF(MAX(IFERROR(SEARCH("NS",MAIN!G196:J196), 0))&gt;0, "NS",
                IF(MAX(IFERROR(SEARCH("NC",MAIN!G196:J196), 0))&gt;0, "NC",
                IF(MAX(IFERROR(SEARCH("DQ",MAIN!G196:J196), 0))&gt;0, "DQ",
                IF(ISNUMBER(SEARCH("WD",MAIN!K196)), "WD",
                IF(ISNUMBER(SEARCH("NS",MAIN!K196)), "NS",
                IF(ISNUMBER(SEARCH("NC",MAIN!K196)), "NC",
                IF(ISNUMBER(SEARCH("DQ",MAIN!K196)), "DQ",
                IF(ISNUMBER(SEARCH("A",MAIN!K196)), 0,
                IF(OR(MAIN!K196=0,MAIN!K196=""), 0, --TRIM(MAIN!K196)))))))))))),
            0
        )
    ),
    IFERROR(
        UPPER(
            IF(MAX(IFERROR(SEARCH("WD",MAIN!G196:J196), 0))&gt;0, "WD",
            IF(MAX(IFERROR(SEARCH("NS",MAIN!G196:J196), 0))&gt;0, "NS",
            IF(MAX(IFERROR(SEARCH("NC",MAIN!G196:J196), 0))&gt;0, "NC",
            IF(MAX(IFERROR(SEARCH("DQ",MAIN!G196:J196), 0))&gt;0, "DQ",
            IF(ISNUMBER(SEARCH("WD",MAIN!K196)), "WD",
            IF(ISNUMBER(SEARCH("NS",MAIN!K196)), "NS",
            IF(ISNUMBER(SEARCH("NC",MAIN!K196)), "NC",
            IF(ISNUMBER(SEARCH("DQ",MAIN!K196)), "DQ",
            IF(ISNUMBER(SEARCH("A",MAIN!K196)), 0,
            IF(OR(MAIN!K196=0,MAIN!K196=""), 0, --TRIM(MAIN!K196)))))))))))),
        0
    )
)</f>
        <v>0</v>
      </c>
    </row>
    <row r="197" spans="1:11" x14ac:dyDescent="0.25">
      <c r="A197" t="str">
        <f>IF(ISBLANK(MAIN!A197), "--", IFERROR(PROPER(SUBSTITUTE(SUBSTITUTE(SUBSTITUTE(SUBSTITUTE(SUBSTITUTE(SUBSTITUTE(SUBSTITUTE(SUBSTITUTE(SUBSTITUTE(SUBSTITUTE(LEFT(MAIN!A197, FIND(",",MAIN!A197) -1), "0", ""), "1", ""), "2", ""), "3", ""), "4", ""), "5", ""), "6", ""), "7", ""), "8", ""), "9", "")), PROPER(SUBSTITUTE(SUBSTITUTE(SUBSTITUTE(SUBSTITUTE(SUBSTITUTE(SUBSTITUTE(SUBSTITUTE(SUBSTITUTE(SUBSTITUTE(SUBSTITUTE(MAIN!A197, "0", ""), "1", ""), "2", ""), "3", ""), "4", ""), "5", ""), "6", ""), "7", ""), "8", ""), "9", ""))))</f>
        <v>--</v>
      </c>
      <c r="B197" t="str">
        <f>IF(ISBLANK(MAIN!B197), "--", IFERROR(PROPER(SUBSTITUTE(SUBSTITUTE(SUBSTITUTE(SUBSTITUTE(SUBSTITUTE(SUBSTITUTE(SUBSTITUTE(SUBSTITUTE(SUBSTITUTE(SUBSTITUTE(LEFT(MAIN!B197, FIND(",",MAIN!B197) -1), "0", ""), "1", ""), "2", ""), "3", ""), "4", ""), "5", ""), "6", ""), "7", ""), "8", ""), "9", "")), PROPER(SUBSTITUTE(SUBSTITUTE(SUBSTITUTE(SUBSTITUTE(SUBSTITUTE(SUBSTITUTE(SUBSTITUTE(SUBSTITUTE(SUBSTITUTE(SUBSTITUTE(MAIN!B197, "0", ""), "1", ""), "2", ""), "3", ""), "4", ""), "5", ""), "6", ""), "7", ""), "8", ""), "9", ""))))</f>
        <v>--</v>
      </c>
      <c r="C197" t="str">
        <f>IF(ISBLANK(MAIN!C197), "--", IFERROR(PROPER(SUBSTITUTE(SUBSTITUTE(SUBSTITUTE(SUBSTITUTE(SUBSTITUTE(SUBSTITUTE(SUBSTITUTE(SUBSTITUTE(SUBSTITUTE(SUBSTITUTE(LEFT(MAIN!C197, FIND(",",MAIN!C197) -1), "0", ""), "1", ""), "2", ""), "3", ""), "4", ""), "5", ""), "6", ""), "7", ""), "8", ""), "9", "")), PROPER(SUBSTITUTE(SUBSTITUTE(SUBSTITUTE(SUBSTITUTE(SUBSTITUTE(SUBSTITUTE(SUBSTITUTE(SUBSTITUTE(SUBSTITUTE(SUBSTITUTE(MAIN!C197, "0", ""), "1", ""), "2", ""), "3", ""), "4", ""), "5", ""), "6", ""), "7", ""), "8", ""), "9", ""))))</f>
        <v>--</v>
      </c>
      <c r="D197" t="str">
        <f>IF(ISBLANK(MAIN!D197), "--", IF(ISNUMBER(MATCH(SUBSTITUTE(LEFT(MAIN!D197, IFERROR(FIND(",", MAIN!D197)-1, LEN(MAIN!D197))), " ", ""), lookup_values!$B$2:$B$51, 0)), UPPER(SUBSTITUTE(LEFT(MAIN!D197, IFERROR(FIND(",", MAIN!D197)-1, LEN(MAIN!D197))), " ", "")), IF(ISNA(VLOOKUP(SUBSTITUTE(LEFT(MAIN!D197, IFERROR(FIND(",", MAIN!D197)-1, LEN(MAIN!D197))), " ", ""), lookup_values!$A$2:$B$51, 2, FALSE)), "--", VLOOKUP(SUBSTITUTE(LEFT(MAIN!D197, IFERROR(FIND(",", MAIN!D197)-1, LEN(MAIN!D197))), " ", ""), lookup_values!$A$2:$B$51, 2, FALSE))))</f>
        <v>--</v>
      </c>
      <c r="E197" t="str">
        <f>IF(CLEAN_DATA!D197&lt;&gt;"--","US",IF(ISBLANK(MAIN!E197), "--", IF(ISNUMBER(MATCH(SUBSTITUTE(LEFT(MAIN!E197, IFERROR(FIND(",", MAIN!E197)-1, LEN(MAIN!E197))), " ", ""), lookup_values!$E$2:$E$197, 0)), UPPER(SUBSTITUTE(LEFT(MAIN!E197, IFERROR(FIND(",", MAIN!E197)-1, LEN(MAIN!E197))), " ", "")), IF(ISNA(VLOOKUP(SUBSTITUTE(LEFT(MAIN!E197, IFERROR(FIND(",", MAIN!E197)-1, LEN(MAIN!E197))), " ", ""), lookup_values!$D$2:$E$197, 2, FALSE)), "--", VLOOKUP(SUBSTITUTE(LEFT(MAIN!E197, IFERROR(FIND(",", MAIN!E197)-1, LEN(MAIN!E197))), " ", ""), lookup_values!$D$2:$E$197, 2, FALSE)))))</f>
        <v>--</v>
      </c>
      <c r="F197" t="str">
        <f>IF(ISBLANK(MAIN!F197), "", IF(AND(ISNUMBER(VALUE(TRIM(MAIN!F197))), LEN(TRIM(MAIN!F197))=4), VALUE(TRIM(MAIN!F197)), ""))</f>
        <v/>
      </c>
      <c r="G197">
        <f>IF(ISBLANK(MAIN!G197), 0, IF(ISNUMBER(VALUE(TRIM(MAIN!G197))), VALUE(TRIM(MAIN!G197)), 0))</f>
        <v>0</v>
      </c>
      <c r="H197">
        <f>IF(ISBLANK(MAIN!H197), 0, IF(ISNUMBER(VALUE(TRIM(MAIN!H197))), VALUE(TRIM(MAIN!H197)), 0))</f>
        <v>0</v>
      </c>
      <c r="I197">
        <f>IF(ISBLANK(MAIN!I197), 0, IF(ISNUMBER(VALUE(TRIM(MAIN!I197))), VALUE(TRIM(MAIN!I197)), 0))</f>
        <v>0</v>
      </c>
      <c r="J197">
        <f>IF(ISBLANK(MAIN!J197), 0, IF(ISNUMBER(VALUE(TRIM(MAIN!J197))), VALUE(TRIM(MAIN!J197)), 0))</f>
        <v>0</v>
      </c>
      <c r="K197" cm="1">
        <f t="array" ref="K197">IFERROR(
    VALUE(
        IFERROR(
            UPPER(
                IF(MAX(IFERROR(SEARCH("WD",MAIN!G197:J197), 0))&gt;0, "WD",
                IF(MAX(IFERROR(SEARCH("NS",MAIN!G197:J197), 0))&gt;0, "NS",
                IF(MAX(IFERROR(SEARCH("NC",MAIN!G197:J197), 0))&gt;0, "NC",
                IF(MAX(IFERROR(SEARCH("DQ",MAIN!G197:J197), 0))&gt;0, "DQ",
                IF(ISNUMBER(SEARCH("WD",MAIN!K197)), "WD",
                IF(ISNUMBER(SEARCH("NS",MAIN!K197)), "NS",
                IF(ISNUMBER(SEARCH("NC",MAIN!K197)), "NC",
                IF(ISNUMBER(SEARCH("DQ",MAIN!K197)), "DQ",
                IF(ISNUMBER(SEARCH("A",MAIN!K197)), 0,
                IF(OR(MAIN!K197=0,MAIN!K197=""), 0, --TRIM(MAIN!K197)))))))))))),
            0
        )
    ),
    IFERROR(
        UPPER(
            IF(MAX(IFERROR(SEARCH("WD",MAIN!G197:J197), 0))&gt;0, "WD",
            IF(MAX(IFERROR(SEARCH("NS",MAIN!G197:J197), 0))&gt;0, "NS",
            IF(MAX(IFERROR(SEARCH("NC",MAIN!G197:J197), 0))&gt;0, "NC",
            IF(MAX(IFERROR(SEARCH("DQ",MAIN!G197:J197), 0))&gt;0, "DQ",
            IF(ISNUMBER(SEARCH("WD",MAIN!K197)), "WD",
            IF(ISNUMBER(SEARCH("NS",MAIN!K197)), "NS",
            IF(ISNUMBER(SEARCH("NC",MAIN!K197)), "NC",
            IF(ISNUMBER(SEARCH("DQ",MAIN!K197)), "DQ",
            IF(ISNUMBER(SEARCH("A",MAIN!K197)), 0,
            IF(OR(MAIN!K197=0,MAIN!K197=""), 0, --TRIM(MAIN!K197)))))))))))),
        0
    )
)</f>
        <v>0</v>
      </c>
    </row>
    <row r="198" spans="1:11" x14ac:dyDescent="0.25">
      <c r="A198" t="str">
        <f>IF(ISBLANK(MAIN!A198), "--", IFERROR(PROPER(SUBSTITUTE(SUBSTITUTE(SUBSTITUTE(SUBSTITUTE(SUBSTITUTE(SUBSTITUTE(SUBSTITUTE(SUBSTITUTE(SUBSTITUTE(SUBSTITUTE(LEFT(MAIN!A198, FIND(",",MAIN!A198) -1), "0", ""), "1", ""), "2", ""), "3", ""), "4", ""), "5", ""), "6", ""), "7", ""), "8", ""), "9", "")), PROPER(SUBSTITUTE(SUBSTITUTE(SUBSTITUTE(SUBSTITUTE(SUBSTITUTE(SUBSTITUTE(SUBSTITUTE(SUBSTITUTE(SUBSTITUTE(SUBSTITUTE(MAIN!A198, "0", ""), "1", ""), "2", ""), "3", ""), "4", ""), "5", ""), "6", ""), "7", ""), "8", ""), "9", ""))))</f>
        <v>--</v>
      </c>
      <c r="B198" t="str">
        <f>IF(ISBLANK(MAIN!B198), "--", IFERROR(PROPER(SUBSTITUTE(SUBSTITUTE(SUBSTITUTE(SUBSTITUTE(SUBSTITUTE(SUBSTITUTE(SUBSTITUTE(SUBSTITUTE(SUBSTITUTE(SUBSTITUTE(LEFT(MAIN!B198, FIND(",",MAIN!B198) -1), "0", ""), "1", ""), "2", ""), "3", ""), "4", ""), "5", ""), "6", ""), "7", ""), "8", ""), "9", "")), PROPER(SUBSTITUTE(SUBSTITUTE(SUBSTITUTE(SUBSTITUTE(SUBSTITUTE(SUBSTITUTE(SUBSTITUTE(SUBSTITUTE(SUBSTITUTE(SUBSTITUTE(MAIN!B198, "0", ""), "1", ""), "2", ""), "3", ""), "4", ""), "5", ""), "6", ""), "7", ""), "8", ""), "9", ""))))</f>
        <v>--</v>
      </c>
      <c r="C198" t="str">
        <f>IF(ISBLANK(MAIN!C198), "--", IFERROR(PROPER(SUBSTITUTE(SUBSTITUTE(SUBSTITUTE(SUBSTITUTE(SUBSTITUTE(SUBSTITUTE(SUBSTITUTE(SUBSTITUTE(SUBSTITUTE(SUBSTITUTE(LEFT(MAIN!C198, FIND(",",MAIN!C198) -1), "0", ""), "1", ""), "2", ""), "3", ""), "4", ""), "5", ""), "6", ""), "7", ""), "8", ""), "9", "")), PROPER(SUBSTITUTE(SUBSTITUTE(SUBSTITUTE(SUBSTITUTE(SUBSTITUTE(SUBSTITUTE(SUBSTITUTE(SUBSTITUTE(SUBSTITUTE(SUBSTITUTE(MAIN!C198, "0", ""), "1", ""), "2", ""), "3", ""), "4", ""), "5", ""), "6", ""), "7", ""), "8", ""), "9", ""))))</f>
        <v>--</v>
      </c>
      <c r="D198" t="str">
        <f>IF(ISBLANK(MAIN!D198), "--", IF(ISNUMBER(MATCH(SUBSTITUTE(LEFT(MAIN!D198, IFERROR(FIND(",", MAIN!D198)-1, LEN(MAIN!D198))), " ", ""), lookup_values!$B$2:$B$51, 0)), UPPER(SUBSTITUTE(LEFT(MAIN!D198, IFERROR(FIND(",", MAIN!D198)-1, LEN(MAIN!D198))), " ", "")), IF(ISNA(VLOOKUP(SUBSTITUTE(LEFT(MAIN!D198, IFERROR(FIND(",", MAIN!D198)-1, LEN(MAIN!D198))), " ", ""), lookup_values!$A$2:$B$51, 2, FALSE)), "--", VLOOKUP(SUBSTITUTE(LEFT(MAIN!D198, IFERROR(FIND(",", MAIN!D198)-1, LEN(MAIN!D198))), " ", ""), lookup_values!$A$2:$B$51, 2, FALSE))))</f>
        <v>--</v>
      </c>
      <c r="E198" t="str">
        <f>IF(CLEAN_DATA!D198&lt;&gt;"--","US",IF(ISBLANK(MAIN!E198), "--", IF(ISNUMBER(MATCH(SUBSTITUTE(LEFT(MAIN!E198, IFERROR(FIND(",", MAIN!E198)-1, LEN(MAIN!E198))), " ", ""), lookup_values!$E$2:$E$197, 0)), UPPER(SUBSTITUTE(LEFT(MAIN!E198, IFERROR(FIND(",", MAIN!E198)-1, LEN(MAIN!E198))), " ", "")), IF(ISNA(VLOOKUP(SUBSTITUTE(LEFT(MAIN!E198, IFERROR(FIND(",", MAIN!E198)-1, LEN(MAIN!E198))), " ", ""), lookup_values!$D$2:$E$197, 2, FALSE)), "--", VLOOKUP(SUBSTITUTE(LEFT(MAIN!E198, IFERROR(FIND(",", MAIN!E198)-1, LEN(MAIN!E198))), " ", ""), lookup_values!$D$2:$E$197, 2, FALSE)))))</f>
        <v>--</v>
      </c>
      <c r="F198" t="str">
        <f>IF(ISBLANK(MAIN!F198), "", IF(AND(ISNUMBER(VALUE(TRIM(MAIN!F198))), LEN(TRIM(MAIN!F198))=4), VALUE(TRIM(MAIN!F198)), ""))</f>
        <v/>
      </c>
      <c r="G198">
        <f>IF(ISBLANK(MAIN!G198), 0, IF(ISNUMBER(VALUE(TRIM(MAIN!G198))), VALUE(TRIM(MAIN!G198)), 0))</f>
        <v>0</v>
      </c>
      <c r="H198">
        <f>IF(ISBLANK(MAIN!H198), 0, IF(ISNUMBER(VALUE(TRIM(MAIN!H198))), VALUE(TRIM(MAIN!H198)), 0))</f>
        <v>0</v>
      </c>
      <c r="I198">
        <f>IF(ISBLANK(MAIN!I198), 0, IF(ISNUMBER(VALUE(TRIM(MAIN!I198))), VALUE(TRIM(MAIN!I198)), 0))</f>
        <v>0</v>
      </c>
      <c r="J198">
        <f>IF(ISBLANK(MAIN!J198), 0, IF(ISNUMBER(VALUE(TRIM(MAIN!J198))), VALUE(TRIM(MAIN!J198)), 0))</f>
        <v>0</v>
      </c>
      <c r="K198" cm="1">
        <f t="array" ref="K198">IFERROR(
    VALUE(
        IFERROR(
            UPPER(
                IF(MAX(IFERROR(SEARCH("WD",MAIN!G198:J198), 0))&gt;0, "WD",
                IF(MAX(IFERROR(SEARCH("NS",MAIN!G198:J198), 0))&gt;0, "NS",
                IF(MAX(IFERROR(SEARCH("NC",MAIN!G198:J198), 0))&gt;0, "NC",
                IF(MAX(IFERROR(SEARCH("DQ",MAIN!G198:J198), 0))&gt;0, "DQ",
                IF(ISNUMBER(SEARCH("WD",MAIN!K198)), "WD",
                IF(ISNUMBER(SEARCH("NS",MAIN!K198)), "NS",
                IF(ISNUMBER(SEARCH("NC",MAIN!K198)), "NC",
                IF(ISNUMBER(SEARCH("DQ",MAIN!K198)), "DQ",
                IF(ISNUMBER(SEARCH("A",MAIN!K198)), 0,
                IF(OR(MAIN!K198=0,MAIN!K198=""), 0, --TRIM(MAIN!K198)))))))))))),
            0
        )
    ),
    IFERROR(
        UPPER(
            IF(MAX(IFERROR(SEARCH("WD",MAIN!G198:J198), 0))&gt;0, "WD",
            IF(MAX(IFERROR(SEARCH("NS",MAIN!G198:J198), 0))&gt;0, "NS",
            IF(MAX(IFERROR(SEARCH("NC",MAIN!G198:J198), 0))&gt;0, "NC",
            IF(MAX(IFERROR(SEARCH("DQ",MAIN!G198:J198), 0))&gt;0, "DQ",
            IF(ISNUMBER(SEARCH("WD",MAIN!K198)), "WD",
            IF(ISNUMBER(SEARCH("NS",MAIN!K198)), "NS",
            IF(ISNUMBER(SEARCH("NC",MAIN!K198)), "NC",
            IF(ISNUMBER(SEARCH("DQ",MAIN!K198)), "DQ",
            IF(ISNUMBER(SEARCH("A",MAIN!K198)), 0,
            IF(OR(MAIN!K198=0,MAIN!K198=""), 0, --TRIM(MAIN!K198)))))))))))),
        0
    )
)</f>
        <v>0</v>
      </c>
    </row>
    <row r="199" spans="1:11" x14ac:dyDescent="0.25">
      <c r="A199" t="str">
        <f>IF(ISBLANK(MAIN!A199), "--", IFERROR(PROPER(SUBSTITUTE(SUBSTITUTE(SUBSTITUTE(SUBSTITUTE(SUBSTITUTE(SUBSTITUTE(SUBSTITUTE(SUBSTITUTE(SUBSTITUTE(SUBSTITUTE(LEFT(MAIN!A199, FIND(",",MAIN!A199) -1), "0", ""), "1", ""), "2", ""), "3", ""), "4", ""), "5", ""), "6", ""), "7", ""), "8", ""), "9", "")), PROPER(SUBSTITUTE(SUBSTITUTE(SUBSTITUTE(SUBSTITUTE(SUBSTITUTE(SUBSTITUTE(SUBSTITUTE(SUBSTITUTE(SUBSTITUTE(SUBSTITUTE(MAIN!A199, "0", ""), "1", ""), "2", ""), "3", ""), "4", ""), "5", ""), "6", ""), "7", ""), "8", ""), "9", ""))))</f>
        <v>--</v>
      </c>
      <c r="B199" t="str">
        <f>IF(ISBLANK(MAIN!B199), "--", IFERROR(PROPER(SUBSTITUTE(SUBSTITUTE(SUBSTITUTE(SUBSTITUTE(SUBSTITUTE(SUBSTITUTE(SUBSTITUTE(SUBSTITUTE(SUBSTITUTE(SUBSTITUTE(LEFT(MAIN!B199, FIND(",",MAIN!B199) -1), "0", ""), "1", ""), "2", ""), "3", ""), "4", ""), "5", ""), "6", ""), "7", ""), "8", ""), "9", "")), PROPER(SUBSTITUTE(SUBSTITUTE(SUBSTITUTE(SUBSTITUTE(SUBSTITUTE(SUBSTITUTE(SUBSTITUTE(SUBSTITUTE(SUBSTITUTE(SUBSTITUTE(MAIN!B199, "0", ""), "1", ""), "2", ""), "3", ""), "4", ""), "5", ""), "6", ""), "7", ""), "8", ""), "9", ""))))</f>
        <v>--</v>
      </c>
      <c r="C199" t="str">
        <f>IF(ISBLANK(MAIN!C199), "--", IFERROR(PROPER(SUBSTITUTE(SUBSTITUTE(SUBSTITUTE(SUBSTITUTE(SUBSTITUTE(SUBSTITUTE(SUBSTITUTE(SUBSTITUTE(SUBSTITUTE(SUBSTITUTE(LEFT(MAIN!C199, FIND(",",MAIN!C199) -1), "0", ""), "1", ""), "2", ""), "3", ""), "4", ""), "5", ""), "6", ""), "7", ""), "8", ""), "9", "")), PROPER(SUBSTITUTE(SUBSTITUTE(SUBSTITUTE(SUBSTITUTE(SUBSTITUTE(SUBSTITUTE(SUBSTITUTE(SUBSTITUTE(SUBSTITUTE(SUBSTITUTE(MAIN!C199, "0", ""), "1", ""), "2", ""), "3", ""), "4", ""), "5", ""), "6", ""), "7", ""), "8", ""), "9", ""))))</f>
        <v>--</v>
      </c>
      <c r="D199" t="str">
        <f>IF(ISBLANK(MAIN!D199), "--", IF(ISNUMBER(MATCH(SUBSTITUTE(LEFT(MAIN!D199, IFERROR(FIND(",", MAIN!D199)-1, LEN(MAIN!D199))), " ", ""), lookup_values!$B$2:$B$51, 0)), UPPER(SUBSTITUTE(LEFT(MAIN!D199, IFERROR(FIND(",", MAIN!D199)-1, LEN(MAIN!D199))), " ", "")), IF(ISNA(VLOOKUP(SUBSTITUTE(LEFT(MAIN!D199, IFERROR(FIND(",", MAIN!D199)-1, LEN(MAIN!D199))), " ", ""), lookup_values!$A$2:$B$51, 2, FALSE)), "--", VLOOKUP(SUBSTITUTE(LEFT(MAIN!D199, IFERROR(FIND(",", MAIN!D199)-1, LEN(MAIN!D199))), " ", ""), lookup_values!$A$2:$B$51, 2, FALSE))))</f>
        <v>--</v>
      </c>
      <c r="E199" t="str">
        <f>IF(CLEAN_DATA!D199&lt;&gt;"--","US",IF(ISBLANK(MAIN!E199), "--", IF(ISNUMBER(MATCH(SUBSTITUTE(LEFT(MAIN!E199, IFERROR(FIND(",", MAIN!E199)-1, LEN(MAIN!E199))), " ", ""), lookup_values!$E$2:$E$197, 0)), UPPER(SUBSTITUTE(LEFT(MAIN!E199, IFERROR(FIND(",", MAIN!E199)-1, LEN(MAIN!E199))), " ", "")), IF(ISNA(VLOOKUP(SUBSTITUTE(LEFT(MAIN!E199, IFERROR(FIND(",", MAIN!E199)-1, LEN(MAIN!E199))), " ", ""), lookup_values!$D$2:$E$197, 2, FALSE)), "--", VLOOKUP(SUBSTITUTE(LEFT(MAIN!E199, IFERROR(FIND(",", MAIN!E199)-1, LEN(MAIN!E199))), " ", ""), lookup_values!$D$2:$E$197, 2, FALSE)))))</f>
        <v>--</v>
      </c>
      <c r="F199" t="str">
        <f>IF(ISBLANK(MAIN!F199), "", IF(AND(ISNUMBER(VALUE(TRIM(MAIN!F199))), LEN(TRIM(MAIN!F199))=4), VALUE(TRIM(MAIN!F199)), ""))</f>
        <v/>
      </c>
      <c r="G199">
        <f>IF(ISBLANK(MAIN!G199), 0, IF(ISNUMBER(VALUE(TRIM(MAIN!G199))), VALUE(TRIM(MAIN!G199)), 0))</f>
        <v>0</v>
      </c>
      <c r="H199">
        <f>IF(ISBLANK(MAIN!H199), 0, IF(ISNUMBER(VALUE(TRIM(MAIN!H199))), VALUE(TRIM(MAIN!H199)), 0))</f>
        <v>0</v>
      </c>
      <c r="I199">
        <f>IF(ISBLANK(MAIN!I199), 0, IF(ISNUMBER(VALUE(TRIM(MAIN!I199))), VALUE(TRIM(MAIN!I199)), 0))</f>
        <v>0</v>
      </c>
      <c r="J199">
        <f>IF(ISBLANK(MAIN!J199), 0, IF(ISNUMBER(VALUE(TRIM(MAIN!J199))), VALUE(TRIM(MAIN!J199)), 0))</f>
        <v>0</v>
      </c>
      <c r="K199" cm="1">
        <f t="array" ref="K199">IFERROR(
    VALUE(
        IFERROR(
            UPPER(
                IF(MAX(IFERROR(SEARCH("WD",MAIN!G199:J199), 0))&gt;0, "WD",
                IF(MAX(IFERROR(SEARCH("NS",MAIN!G199:J199), 0))&gt;0, "NS",
                IF(MAX(IFERROR(SEARCH("NC",MAIN!G199:J199), 0))&gt;0, "NC",
                IF(MAX(IFERROR(SEARCH("DQ",MAIN!G199:J199), 0))&gt;0, "DQ",
                IF(ISNUMBER(SEARCH("WD",MAIN!K199)), "WD",
                IF(ISNUMBER(SEARCH("NS",MAIN!K199)), "NS",
                IF(ISNUMBER(SEARCH("NC",MAIN!K199)), "NC",
                IF(ISNUMBER(SEARCH("DQ",MAIN!K199)), "DQ",
                IF(ISNUMBER(SEARCH("A",MAIN!K199)), 0,
                IF(OR(MAIN!K199=0,MAIN!K199=""), 0, --TRIM(MAIN!K199)))))))))))),
            0
        )
    ),
    IFERROR(
        UPPER(
            IF(MAX(IFERROR(SEARCH("WD",MAIN!G199:J199), 0))&gt;0, "WD",
            IF(MAX(IFERROR(SEARCH("NS",MAIN!G199:J199), 0))&gt;0, "NS",
            IF(MAX(IFERROR(SEARCH("NC",MAIN!G199:J199), 0))&gt;0, "NC",
            IF(MAX(IFERROR(SEARCH("DQ",MAIN!G199:J199), 0))&gt;0, "DQ",
            IF(ISNUMBER(SEARCH("WD",MAIN!K199)), "WD",
            IF(ISNUMBER(SEARCH("NS",MAIN!K199)), "NS",
            IF(ISNUMBER(SEARCH("NC",MAIN!K199)), "NC",
            IF(ISNUMBER(SEARCH("DQ",MAIN!K199)), "DQ",
            IF(ISNUMBER(SEARCH("A",MAIN!K199)), 0,
            IF(OR(MAIN!K199=0,MAIN!K199=""), 0, --TRIM(MAIN!K199)))))))))))),
        0
    )
)</f>
        <v>0</v>
      </c>
    </row>
    <row r="200" spans="1:11" x14ac:dyDescent="0.25">
      <c r="A200" t="str">
        <f>IF(ISBLANK(MAIN!A200), "--", IFERROR(PROPER(SUBSTITUTE(SUBSTITUTE(SUBSTITUTE(SUBSTITUTE(SUBSTITUTE(SUBSTITUTE(SUBSTITUTE(SUBSTITUTE(SUBSTITUTE(SUBSTITUTE(LEFT(MAIN!A200, FIND(",",MAIN!A200) -1), "0", ""), "1", ""), "2", ""), "3", ""), "4", ""), "5", ""), "6", ""), "7", ""), "8", ""), "9", "")), PROPER(SUBSTITUTE(SUBSTITUTE(SUBSTITUTE(SUBSTITUTE(SUBSTITUTE(SUBSTITUTE(SUBSTITUTE(SUBSTITUTE(SUBSTITUTE(SUBSTITUTE(MAIN!A200, "0", ""), "1", ""), "2", ""), "3", ""), "4", ""), "5", ""), "6", ""), "7", ""), "8", ""), "9", ""))))</f>
        <v>--</v>
      </c>
      <c r="B200" t="str">
        <f>IF(ISBLANK(MAIN!B200), "--", IFERROR(PROPER(SUBSTITUTE(SUBSTITUTE(SUBSTITUTE(SUBSTITUTE(SUBSTITUTE(SUBSTITUTE(SUBSTITUTE(SUBSTITUTE(SUBSTITUTE(SUBSTITUTE(LEFT(MAIN!B200, FIND(",",MAIN!B200) -1), "0", ""), "1", ""), "2", ""), "3", ""), "4", ""), "5", ""), "6", ""), "7", ""), "8", ""), "9", "")), PROPER(SUBSTITUTE(SUBSTITUTE(SUBSTITUTE(SUBSTITUTE(SUBSTITUTE(SUBSTITUTE(SUBSTITUTE(SUBSTITUTE(SUBSTITUTE(SUBSTITUTE(MAIN!B200, "0", ""), "1", ""), "2", ""), "3", ""), "4", ""), "5", ""), "6", ""), "7", ""), "8", ""), "9", ""))))</f>
        <v>--</v>
      </c>
      <c r="C200" t="str">
        <f>IF(ISBLANK(MAIN!C200), "--", IFERROR(PROPER(SUBSTITUTE(SUBSTITUTE(SUBSTITUTE(SUBSTITUTE(SUBSTITUTE(SUBSTITUTE(SUBSTITUTE(SUBSTITUTE(SUBSTITUTE(SUBSTITUTE(LEFT(MAIN!C200, FIND(",",MAIN!C200) -1), "0", ""), "1", ""), "2", ""), "3", ""), "4", ""), "5", ""), "6", ""), "7", ""), "8", ""), "9", "")), PROPER(SUBSTITUTE(SUBSTITUTE(SUBSTITUTE(SUBSTITUTE(SUBSTITUTE(SUBSTITUTE(SUBSTITUTE(SUBSTITUTE(SUBSTITUTE(SUBSTITUTE(MAIN!C200, "0", ""), "1", ""), "2", ""), "3", ""), "4", ""), "5", ""), "6", ""), "7", ""), "8", ""), "9", ""))))</f>
        <v>--</v>
      </c>
      <c r="D200" t="str">
        <f>IF(ISBLANK(MAIN!D200), "--", IF(ISNUMBER(MATCH(SUBSTITUTE(LEFT(MAIN!D200, IFERROR(FIND(",", MAIN!D200)-1, LEN(MAIN!D200))), " ", ""), lookup_values!$B$2:$B$51, 0)), UPPER(SUBSTITUTE(LEFT(MAIN!D200, IFERROR(FIND(",", MAIN!D200)-1, LEN(MAIN!D200))), " ", "")), IF(ISNA(VLOOKUP(SUBSTITUTE(LEFT(MAIN!D200, IFERROR(FIND(",", MAIN!D200)-1, LEN(MAIN!D200))), " ", ""), lookup_values!$A$2:$B$51, 2, FALSE)), "--", VLOOKUP(SUBSTITUTE(LEFT(MAIN!D200, IFERROR(FIND(",", MAIN!D200)-1, LEN(MAIN!D200))), " ", ""), lookup_values!$A$2:$B$51, 2, FALSE))))</f>
        <v>--</v>
      </c>
      <c r="E200" t="str">
        <f>IF(CLEAN_DATA!D200&lt;&gt;"--","US",IF(ISBLANK(MAIN!E200), "--", IF(ISNUMBER(MATCH(SUBSTITUTE(LEFT(MAIN!E200, IFERROR(FIND(",", MAIN!E200)-1, LEN(MAIN!E200))), " ", ""), lookup_values!$E$2:$E$197, 0)), UPPER(SUBSTITUTE(LEFT(MAIN!E200, IFERROR(FIND(",", MAIN!E200)-1, LEN(MAIN!E200))), " ", "")), IF(ISNA(VLOOKUP(SUBSTITUTE(LEFT(MAIN!E200, IFERROR(FIND(",", MAIN!E200)-1, LEN(MAIN!E200))), " ", ""), lookup_values!$D$2:$E$197, 2, FALSE)), "--", VLOOKUP(SUBSTITUTE(LEFT(MAIN!E200, IFERROR(FIND(",", MAIN!E200)-1, LEN(MAIN!E200))), " ", ""), lookup_values!$D$2:$E$197, 2, FALSE)))))</f>
        <v>--</v>
      </c>
      <c r="F200" t="str">
        <f>IF(ISBLANK(MAIN!F200), "", IF(AND(ISNUMBER(VALUE(TRIM(MAIN!F200))), LEN(TRIM(MAIN!F200))=4), VALUE(TRIM(MAIN!F200)), ""))</f>
        <v/>
      </c>
      <c r="G200">
        <f>IF(ISBLANK(MAIN!G200), 0, IF(ISNUMBER(VALUE(TRIM(MAIN!G200))), VALUE(TRIM(MAIN!G200)), 0))</f>
        <v>0</v>
      </c>
      <c r="H200">
        <f>IF(ISBLANK(MAIN!H200), 0, IF(ISNUMBER(VALUE(TRIM(MAIN!H200))), VALUE(TRIM(MAIN!H200)), 0))</f>
        <v>0</v>
      </c>
      <c r="I200">
        <f>IF(ISBLANK(MAIN!I200), 0, IF(ISNUMBER(VALUE(TRIM(MAIN!I200))), VALUE(TRIM(MAIN!I200)), 0))</f>
        <v>0</v>
      </c>
      <c r="J200">
        <f>IF(ISBLANK(MAIN!J200), 0, IF(ISNUMBER(VALUE(TRIM(MAIN!J200))), VALUE(TRIM(MAIN!J200)), 0))</f>
        <v>0</v>
      </c>
      <c r="K200" cm="1">
        <f t="array" ref="K200">IFERROR(
    VALUE(
        IFERROR(
            UPPER(
                IF(MAX(IFERROR(SEARCH("WD",MAIN!G200:J200), 0))&gt;0, "WD",
                IF(MAX(IFERROR(SEARCH("NS",MAIN!G200:J200), 0))&gt;0, "NS",
                IF(MAX(IFERROR(SEARCH("NC",MAIN!G200:J200), 0))&gt;0, "NC",
                IF(MAX(IFERROR(SEARCH("DQ",MAIN!G200:J200), 0))&gt;0, "DQ",
                IF(ISNUMBER(SEARCH("WD",MAIN!K200)), "WD",
                IF(ISNUMBER(SEARCH("NS",MAIN!K200)), "NS",
                IF(ISNUMBER(SEARCH("NC",MAIN!K200)), "NC",
                IF(ISNUMBER(SEARCH("DQ",MAIN!K200)), "DQ",
                IF(ISNUMBER(SEARCH("A",MAIN!K200)), 0,
                IF(OR(MAIN!K200=0,MAIN!K200=""), 0, --TRIM(MAIN!K200)))))))))))),
            0
        )
    ),
    IFERROR(
        UPPER(
            IF(MAX(IFERROR(SEARCH("WD",MAIN!G200:J200), 0))&gt;0, "WD",
            IF(MAX(IFERROR(SEARCH("NS",MAIN!G200:J200), 0))&gt;0, "NS",
            IF(MAX(IFERROR(SEARCH("NC",MAIN!G200:J200), 0))&gt;0, "NC",
            IF(MAX(IFERROR(SEARCH("DQ",MAIN!G200:J200), 0))&gt;0, "DQ",
            IF(ISNUMBER(SEARCH("WD",MAIN!K200)), "WD",
            IF(ISNUMBER(SEARCH("NS",MAIN!K200)), "NS",
            IF(ISNUMBER(SEARCH("NC",MAIN!K200)), "NC",
            IF(ISNUMBER(SEARCH("DQ",MAIN!K200)), "DQ",
            IF(ISNUMBER(SEARCH("A",MAIN!K200)), 0,
            IF(OR(MAIN!K200=0,MAIN!K200=""), 0, --TRIM(MAIN!K200)))))))))))),
        0
    )
)</f>
        <v>0</v>
      </c>
    </row>
    <row r="201" spans="1:11" x14ac:dyDescent="0.25">
      <c r="A201" t="str">
        <f>IF(ISBLANK(MAIN!A201), "--", IFERROR(PROPER(SUBSTITUTE(SUBSTITUTE(SUBSTITUTE(SUBSTITUTE(SUBSTITUTE(SUBSTITUTE(SUBSTITUTE(SUBSTITUTE(SUBSTITUTE(SUBSTITUTE(LEFT(MAIN!A201, FIND(",",MAIN!A201) -1), "0", ""), "1", ""), "2", ""), "3", ""), "4", ""), "5", ""), "6", ""), "7", ""), "8", ""), "9", "")), PROPER(SUBSTITUTE(SUBSTITUTE(SUBSTITUTE(SUBSTITUTE(SUBSTITUTE(SUBSTITUTE(SUBSTITUTE(SUBSTITUTE(SUBSTITUTE(SUBSTITUTE(MAIN!A201, "0", ""), "1", ""), "2", ""), "3", ""), "4", ""), "5", ""), "6", ""), "7", ""), "8", ""), "9", ""))))</f>
        <v>--</v>
      </c>
      <c r="B201" t="str">
        <f>IF(ISBLANK(MAIN!B201), "--", IFERROR(PROPER(SUBSTITUTE(SUBSTITUTE(SUBSTITUTE(SUBSTITUTE(SUBSTITUTE(SUBSTITUTE(SUBSTITUTE(SUBSTITUTE(SUBSTITUTE(SUBSTITUTE(LEFT(MAIN!B201, FIND(",",MAIN!B201) -1), "0", ""), "1", ""), "2", ""), "3", ""), "4", ""), "5", ""), "6", ""), "7", ""), "8", ""), "9", "")), PROPER(SUBSTITUTE(SUBSTITUTE(SUBSTITUTE(SUBSTITUTE(SUBSTITUTE(SUBSTITUTE(SUBSTITUTE(SUBSTITUTE(SUBSTITUTE(SUBSTITUTE(MAIN!B201, "0", ""), "1", ""), "2", ""), "3", ""), "4", ""), "5", ""), "6", ""), "7", ""), "8", ""), "9", ""))))</f>
        <v>--</v>
      </c>
      <c r="C201" t="str">
        <f>IF(ISBLANK(MAIN!C201), "--", IFERROR(PROPER(SUBSTITUTE(SUBSTITUTE(SUBSTITUTE(SUBSTITUTE(SUBSTITUTE(SUBSTITUTE(SUBSTITUTE(SUBSTITUTE(SUBSTITUTE(SUBSTITUTE(LEFT(MAIN!C201, FIND(",",MAIN!C201) -1), "0", ""), "1", ""), "2", ""), "3", ""), "4", ""), "5", ""), "6", ""), "7", ""), "8", ""), "9", "")), PROPER(SUBSTITUTE(SUBSTITUTE(SUBSTITUTE(SUBSTITUTE(SUBSTITUTE(SUBSTITUTE(SUBSTITUTE(SUBSTITUTE(SUBSTITUTE(SUBSTITUTE(MAIN!C201, "0", ""), "1", ""), "2", ""), "3", ""), "4", ""), "5", ""), "6", ""), "7", ""), "8", ""), "9", ""))))</f>
        <v>--</v>
      </c>
      <c r="D201" t="str">
        <f>IF(ISBLANK(MAIN!D201), "--", IF(ISNUMBER(MATCH(SUBSTITUTE(LEFT(MAIN!D201, IFERROR(FIND(",", MAIN!D201)-1, LEN(MAIN!D201))), " ", ""), lookup_values!$B$2:$B$51, 0)), UPPER(SUBSTITUTE(LEFT(MAIN!D201, IFERROR(FIND(",", MAIN!D201)-1, LEN(MAIN!D201))), " ", "")), IF(ISNA(VLOOKUP(SUBSTITUTE(LEFT(MAIN!D201, IFERROR(FIND(",", MAIN!D201)-1, LEN(MAIN!D201))), " ", ""), lookup_values!$A$2:$B$51, 2, FALSE)), "--", VLOOKUP(SUBSTITUTE(LEFT(MAIN!D201, IFERROR(FIND(",", MAIN!D201)-1, LEN(MAIN!D201))), " ", ""), lookup_values!$A$2:$B$51, 2, FALSE))))</f>
        <v>--</v>
      </c>
      <c r="E201" t="str">
        <f>IF(CLEAN_DATA!D201&lt;&gt;"--","US",IF(ISBLANK(MAIN!E201), "--", IF(ISNUMBER(MATCH(SUBSTITUTE(LEFT(MAIN!E201, IFERROR(FIND(",", MAIN!E201)-1, LEN(MAIN!E201))), " ", ""), lookup_values!$E$2:$E$197, 0)), UPPER(SUBSTITUTE(LEFT(MAIN!E201, IFERROR(FIND(",", MAIN!E201)-1, LEN(MAIN!E201))), " ", "")), IF(ISNA(VLOOKUP(SUBSTITUTE(LEFT(MAIN!E201, IFERROR(FIND(",", MAIN!E201)-1, LEN(MAIN!E201))), " ", ""), lookup_values!$D$2:$E$197, 2, FALSE)), "--", VLOOKUP(SUBSTITUTE(LEFT(MAIN!E201, IFERROR(FIND(",", MAIN!E201)-1, LEN(MAIN!E201))), " ", ""), lookup_values!$D$2:$E$197, 2, FALSE)))))</f>
        <v>--</v>
      </c>
      <c r="F201" t="str">
        <f>IF(ISBLANK(MAIN!F201), "", IF(AND(ISNUMBER(VALUE(TRIM(MAIN!F201))), LEN(TRIM(MAIN!F201))=4), VALUE(TRIM(MAIN!F201)), ""))</f>
        <v/>
      </c>
      <c r="G201">
        <f>IF(ISBLANK(MAIN!G201), 0, IF(ISNUMBER(VALUE(TRIM(MAIN!G201))), VALUE(TRIM(MAIN!G201)), 0))</f>
        <v>0</v>
      </c>
      <c r="H201">
        <f>IF(ISBLANK(MAIN!H201), 0, IF(ISNUMBER(VALUE(TRIM(MAIN!H201))), VALUE(TRIM(MAIN!H201)), 0))</f>
        <v>0</v>
      </c>
      <c r="I201">
        <f>IF(ISBLANK(MAIN!I201), 0, IF(ISNUMBER(VALUE(TRIM(MAIN!I201))), VALUE(TRIM(MAIN!I201)), 0))</f>
        <v>0</v>
      </c>
      <c r="J201">
        <f>IF(ISBLANK(MAIN!J201), 0, IF(ISNUMBER(VALUE(TRIM(MAIN!J201))), VALUE(TRIM(MAIN!J201)), 0))</f>
        <v>0</v>
      </c>
      <c r="K201" cm="1">
        <f t="array" ref="K201">IFERROR(
    VALUE(
        IFERROR(
            UPPER(
                IF(MAX(IFERROR(SEARCH("WD",MAIN!G201:J201), 0))&gt;0, "WD",
                IF(MAX(IFERROR(SEARCH("NS",MAIN!G201:J201), 0))&gt;0, "NS",
                IF(MAX(IFERROR(SEARCH("NC",MAIN!G201:J201), 0))&gt;0, "NC",
                IF(MAX(IFERROR(SEARCH("DQ",MAIN!G201:J201), 0))&gt;0, "DQ",
                IF(ISNUMBER(SEARCH("WD",MAIN!K201)), "WD",
                IF(ISNUMBER(SEARCH("NS",MAIN!K201)), "NS",
                IF(ISNUMBER(SEARCH("NC",MAIN!K201)), "NC",
                IF(ISNUMBER(SEARCH("DQ",MAIN!K201)), "DQ",
                IF(ISNUMBER(SEARCH("A",MAIN!K201)), 0,
                IF(OR(MAIN!K201=0,MAIN!K201=""), 0, --TRIM(MAIN!K201)))))))))))),
            0
        )
    ),
    IFERROR(
        UPPER(
            IF(MAX(IFERROR(SEARCH("WD",MAIN!G201:J201), 0))&gt;0, "WD",
            IF(MAX(IFERROR(SEARCH("NS",MAIN!G201:J201), 0))&gt;0, "NS",
            IF(MAX(IFERROR(SEARCH("NC",MAIN!G201:J201), 0))&gt;0, "NC",
            IF(MAX(IFERROR(SEARCH("DQ",MAIN!G201:J201), 0))&gt;0, "DQ",
            IF(ISNUMBER(SEARCH("WD",MAIN!K201)), "WD",
            IF(ISNUMBER(SEARCH("NS",MAIN!K201)), "NS",
            IF(ISNUMBER(SEARCH("NC",MAIN!K201)), "NC",
            IF(ISNUMBER(SEARCH("DQ",MAIN!K201)), "DQ",
            IF(ISNUMBER(SEARCH("A",MAIN!K201)), 0,
            IF(OR(MAIN!K201=0,MAIN!K201=""), 0, --TRIM(MAIN!K201)))))))))))),
        0
    )
)</f>
        <v>0</v>
      </c>
    </row>
    <row r="202" spans="1:11" x14ac:dyDescent="0.25">
      <c r="A202" t="str">
        <f>IF(ISBLANK(MAIN!A202), "--", IFERROR(PROPER(SUBSTITUTE(SUBSTITUTE(SUBSTITUTE(SUBSTITUTE(SUBSTITUTE(SUBSTITUTE(SUBSTITUTE(SUBSTITUTE(SUBSTITUTE(SUBSTITUTE(LEFT(MAIN!A202, FIND(",",MAIN!A202) -1), "0", ""), "1", ""), "2", ""), "3", ""), "4", ""), "5", ""), "6", ""), "7", ""), "8", ""), "9", "")), PROPER(SUBSTITUTE(SUBSTITUTE(SUBSTITUTE(SUBSTITUTE(SUBSTITUTE(SUBSTITUTE(SUBSTITUTE(SUBSTITUTE(SUBSTITUTE(SUBSTITUTE(MAIN!A202, "0", ""), "1", ""), "2", ""), "3", ""), "4", ""), "5", ""), "6", ""), "7", ""), "8", ""), "9", ""))))</f>
        <v>--</v>
      </c>
      <c r="B202" t="str">
        <f>IF(ISBLANK(MAIN!B202), "--", IFERROR(PROPER(SUBSTITUTE(SUBSTITUTE(SUBSTITUTE(SUBSTITUTE(SUBSTITUTE(SUBSTITUTE(SUBSTITUTE(SUBSTITUTE(SUBSTITUTE(SUBSTITUTE(LEFT(MAIN!B202, FIND(",",MAIN!B202) -1), "0", ""), "1", ""), "2", ""), "3", ""), "4", ""), "5", ""), "6", ""), "7", ""), "8", ""), "9", "")), PROPER(SUBSTITUTE(SUBSTITUTE(SUBSTITUTE(SUBSTITUTE(SUBSTITUTE(SUBSTITUTE(SUBSTITUTE(SUBSTITUTE(SUBSTITUTE(SUBSTITUTE(MAIN!B202, "0", ""), "1", ""), "2", ""), "3", ""), "4", ""), "5", ""), "6", ""), "7", ""), "8", ""), "9", ""))))</f>
        <v>--</v>
      </c>
      <c r="C202" t="str">
        <f>IF(ISBLANK(MAIN!C202), "--", IFERROR(PROPER(SUBSTITUTE(SUBSTITUTE(SUBSTITUTE(SUBSTITUTE(SUBSTITUTE(SUBSTITUTE(SUBSTITUTE(SUBSTITUTE(SUBSTITUTE(SUBSTITUTE(LEFT(MAIN!C202, FIND(",",MAIN!C202) -1), "0", ""), "1", ""), "2", ""), "3", ""), "4", ""), "5", ""), "6", ""), "7", ""), "8", ""), "9", "")), PROPER(SUBSTITUTE(SUBSTITUTE(SUBSTITUTE(SUBSTITUTE(SUBSTITUTE(SUBSTITUTE(SUBSTITUTE(SUBSTITUTE(SUBSTITUTE(SUBSTITUTE(MAIN!C202, "0", ""), "1", ""), "2", ""), "3", ""), "4", ""), "5", ""), "6", ""), "7", ""), "8", ""), "9", ""))))</f>
        <v>--</v>
      </c>
      <c r="D202" t="str">
        <f>IF(ISBLANK(MAIN!D202), "--", IF(ISNUMBER(MATCH(SUBSTITUTE(LEFT(MAIN!D202, IFERROR(FIND(",", MAIN!D202)-1, LEN(MAIN!D202))), " ", ""), lookup_values!$B$2:$B$51, 0)), UPPER(SUBSTITUTE(LEFT(MAIN!D202, IFERROR(FIND(",", MAIN!D202)-1, LEN(MAIN!D202))), " ", "")), IF(ISNA(VLOOKUP(SUBSTITUTE(LEFT(MAIN!D202, IFERROR(FIND(",", MAIN!D202)-1, LEN(MAIN!D202))), " ", ""), lookup_values!$A$2:$B$51, 2, FALSE)), "--", VLOOKUP(SUBSTITUTE(LEFT(MAIN!D202, IFERROR(FIND(",", MAIN!D202)-1, LEN(MAIN!D202))), " ", ""), lookup_values!$A$2:$B$51, 2, FALSE))))</f>
        <v>--</v>
      </c>
      <c r="E202" t="str">
        <f>IF(CLEAN_DATA!D202&lt;&gt;"--","US",IF(ISBLANK(MAIN!E202), "--", IF(ISNUMBER(MATCH(SUBSTITUTE(LEFT(MAIN!E202, IFERROR(FIND(",", MAIN!E202)-1, LEN(MAIN!E202))), " ", ""), lookup_values!$E$2:$E$197, 0)), UPPER(SUBSTITUTE(LEFT(MAIN!E202, IFERROR(FIND(",", MAIN!E202)-1, LEN(MAIN!E202))), " ", "")), IF(ISNA(VLOOKUP(SUBSTITUTE(LEFT(MAIN!E202, IFERROR(FIND(",", MAIN!E202)-1, LEN(MAIN!E202))), " ", ""), lookup_values!$D$2:$E$197, 2, FALSE)), "--", VLOOKUP(SUBSTITUTE(LEFT(MAIN!E202, IFERROR(FIND(",", MAIN!E202)-1, LEN(MAIN!E202))), " ", ""), lookup_values!$D$2:$E$197, 2, FALSE)))))</f>
        <v>--</v>
      </c>
      <c r="F202" t="str">
        <f>IF(ISBLANK(MAIN!F202), "", IF(AND(ISNUMBER(VALUE(TRIM(MAIN!F202))), LEN(TRIM(MAIN!F202))=4), VALUE(TRIM(MAIN!F202)), ""))</f>
        <v/>
      </c>
      <c r="G202">
        <f>IF(ISBLANK(MAIN!G202), 0, IF(ISNUMBER(VALUE(TRIM(MAIN!G202))), VALUE(TRIM(MAIN!G202)), 0))</f>
        <v>0</v>
      </c>
      <c r="H202">
        <f>IF(ISBLANK(MAIN!H202), 0, IF(ISNUMBER(VALUE(TRIM(MAIN!H202))), VALUE(TRIM(MAIN!H202)), 0))</f>
        <v>0</v>
      </c>
      <c r="I202">
        <f>IF(ISBLANK(MAIN!I202), 0, IF(ISNUMBER(VALUE(TRIM(MAIN!I202))), VALUE(TRIM(MAIN!I202)), 0))</f>
        <v>0</v>
      </c>
      <c r="J202">
        <f>IF(ISBLANK(MAIN!J202), 0, IF(ISNUMBER(VALUE(TRIM(MAIN!J202))), VALUE(TRIM(MAIN!J202)), 0))</f>
        <v>0</v>
      </c>
      <c r="K202" cm="1">
        <f t="array" ref="K202">IFERROR(
    VALUE(
        IFERROR(
            UPPER(
                IF(MAX(IFERROR(SEARCH("WD",MAIN!G202:J202), 0))&gt;0, "WD",
                IF(MAX(IFERROR(SEARCH("NS",MAIN!G202:J202), 0))&gt;0, "NS",
                IF(MAX(IFERROR(SEARCH("NC",MAIN!G202:J202), 0))&gt;0, "NC",
                IF(MAX(IFERROR(SEARCH("DQ",MAIN!G202:J202), 0))&gt;0, "DQ",
                IF(ISNUMBER(SEARCH("WD",MAIN!K202)), "WD",
                IF(ISNUMBER(SEARCH("NS",MAIN!K202)), "NS",
                IF(ISNUMBER(SEARCH("NC",MAIN!K202)), "NC",
                IF(ISNUMBER(SEARCH("DQ",MAIN!K202)), "DQ",
                IF(ISNUMBER(SEARCH("A",MAIN!K202)), 0,
                IF(OR(MAIN!K202=0,MAIN!K202=""), 0, --TRIM(MAIN!K202)))))))))))),
            0
        )
    ),
    IFERROR(
        UPPER(
            IF(MAX(IFERROR(SEARCH("WD",MAIN!G202:J202), 0))&gt;0, "WD",
            IF(MAX(IFERROR(SEARCH("NS",MAIN!G202:J202), 0))&gt;0, "NS",
            IF(MAX(IFERROR(SEARCH("NC",MAIN!G202:J202), 0))&gt;0, "NC",
            IF(MAX(IFERROR(SEARCH("DQ",MAIN!G202:J202), 0))&gt;0, "DQ",
            IF(ISNUMBER(SEARCH("WD",MAIN!K202)), "WD",
            IF(ISNUMBER(SEARCH("NS",MAIN!K202)), "NS",
            IF(ISNUMBER(SEARCH("NC",MAIN!K202)), "NC",
            IF(ISNUMBER(SEARCH("DQ",MAIN!K202)), "DQ",
            IF(ISNUMBER(SEARCH("A",MAIN!K202)), 0,
            IF(OR(MAIN!K202=0,MAIN!K202=""), 0, --TRIM(MAIN!K202)))))))))))),
        0
    )
)</f>
        <v>0</v>
      </c>
    </row>
    <row r="203" spans="1:11" x14ac:dyDescent="0.25">
      <c r="A203" t="str">
        <f>IF(ISBLANK(MAIN!A203), "--", IFERROR(PROPER(SUBSTITUTE(SUBSTITUTE(SUBSTITUTE(SUBSTITUTE(SUBSTITUTE(SUBSTITUTE(SUBSTITUTE(SUBSTITUTE(SUBSTITUTE(SUBSTITUTE(LEFT(MAIN!A203, FIND(",",MAIN!A203) -1), "0", ""), "1", ""), "2", ""), "3", ""), "4", ""), "5", ""), "6", ""), "7", ""), "8", ""), "9", "")), PROPER(SUBSTITUTE(SUBSTITUTE(SUBSTITUTE(SUBSTITUTE(SUBSTITUTE(SUBSTITUTE(SUBSTITUTE(SUBSTITUTE(SUBSTITUTE(SUBSTITUTE(MAIN!A203, "0", ""), "1", ""), "2", ""), "3", ""), "4", ""), "5", ""), "6", ""), "7", ""), "8", ""), "9", ""))))</f>
        <v>--</v>
      </c>
      <c r="B203" t="str">
        <f>IF(ISBLANK(MAIN!B203), "--", IFERROR(PROPER(SUBSTITUTE(SUBSTITUTE(SUBSTITUTE(SUBSTITUTE(SUBSTITUTE(SUBSTITUTE(SUBSTITUTE(SUBSTITUTE(SUBSTITUTE(SUBSTITUTE(LEFT(MAIN!B203, FIND(",",MAIN!B203) -1), "0", ""), "1", ""), "2", ""), "3", ""), "4", ""), "5", ""), "6", ""), "7", ""), "8", ""), "9", "")), PROPER(SUBSTITUTE(SUBSTITUTE(SUBSTITUTE(SUBSTITUTE(SUBSTITUTE(SUBSTITUTE(SUBSTITUTE(SUBSTITUTE(SUBSTITUTE(SUBSTITUTE(MAIN!B203, "0", ""), "1", ""), "2", ""), "3", ""), "4", ""), "5", ""), "6", ""), "7", ""), "8", ""), "9", ""))))</f>
        <v>--</v>
      </c>
      <c r="C203" t="str">
        <f>IF(ISBLANK(MAIN!C203), "--", IFERROR(PROPER(SUBSTITUTE(SUBSTITUTE(SUBSTITUTE(SUBSTITUTE(SUBSTITUTE(SUBSTITUTE(SUBSTITUTE(SUBSTITUTE(SUBSTITUTE(SUBSTITUTE(LEFT(MAIN!C203, FIND(",",MAIN!C203) -1), "0", ""), "1", ""), "2", ""), "3", ""), "4", ""), "5", ""), "6", ""), "7", ""), "8", ""), "9", "")), PROPER(SUBSTITUTE(SUBSTITUTE(SUBSTITUTE(SUBSTITUTE(SUBSTITUTE(SUBSTITUTE(SUBSTITUTE(SUBSTITUTE(SUBSTITUTE(SUBSTITUTE(MAIN!C203, "0", ""), "1", ""), "2", ""), "3", ""), "4", ""), "5", ""), "6", ""), "7", ""), "8", ""), "9", ""))))</f>
        <v>--</v>
      </c>
      <c r="D203" t="str">
        <f>IF(ISBLANK(MAIN!D203), "--", IF(ISNUMBER(MATCH(SUBSTITUTE(LEFT(MAIN!D203, IFERROR(FIND(",", MAIN!D203)-1, LEN(MAIN!D203))), " ", ""), lookup_values!$B$2:$B$51, 0)), UPPER(SUBSTITUTE(LEFT(MAIN!D203, IFERROR(FIND(",", MAIN!D203)-1, LEN(MAIN!D203))), " ", "")), IF(ISNA(VLOOKUP(SUBSTITUTE(LEFT(MAIN!D203, IFERROR(FIND(",", MAIN!D203)-1, LEN(MAIN!D203))), " ", ""), lookup_values!$A$2:$B$51, 2, FALSE)), "--", VLOOKUP(SUBSTITUTE(LEFT(MAIN!D203, IFERROR(FIND(",", MAIN!D203)-1, LEN(MAIN!D203))), " ", ""), lookup_values!$A$2:$B$51, 2, FALSE))))</f>
        <v>--</v>
      </c>
      <c r="E203" t="str">
        <f>IF(CLEAN_DATA!D203&lt;&gt;"--","US",IF(ISBLANK(MAIN!E203), "--", IF(ISNUMBER(MATCH(SUBSTITUTE(LEFT(MAIN!E203, IFERROR(FIND(",", MAIN!E203)-1, LEN(MAIN!E203))), " ", ""), lookup_values!$E$2:$E$197, 0)), UPPER(SUBSTITUTE(LEFT(MAIN!E203, IFERROR(FIND(",", MAIN!E203)-1, LEN(MAIN!E203))), " ", "")), IF(ISNA(VLOOKUP(SUBSTITUTE(LEFT(MAIN!E203, IFERROR(FIND(",", MAIN!E203)-1, LEN(MAIN!E203))), " ", ""), lookup_values!$D$2:$E$197, 2, FALSE)), "--", VLOOKUP(SUBSTITUTE(LEFT(MAIN!E203, IFERROR(FIND(",", MAIN!E203)-1, LEN(MAIN!E203))), " ", ""), lookup_values!$D$2:$E$197, 2, FALSE)))))</f>
        <v>--</v>
      </c>
      <c r="F203" t="str">
        <f>IF(ISBLANK(MAIN!F203), "", IF(AND(ISNUMBER(VALUE(TRIM(MAIN!F203))), LEN(TRIM(MAIN!F203))=4), VALUE(TRIM(MAIN!F203)), ""))</f>
        <v/>
      </c>
      <c r="G203">
        <f>IF(ISBLANK(MAIN!G203), 0, IF(ISNUMBER(VALUE(TRIM(MAIN!G203))), VALUE(TRIM(MAIN!G203)), 0))</f>
        <v>0</v>
      </c>
      <c r="H203">
        <f>IF(ISBLANK(MAIN!H203), 0, IF(ISNUMBER(VALUE(TRIM(MAIN!H203))), VALUE(TRIM(MAIN!H203)), 0))</f>
        <v>0</v>
      </c>
      <c r="I203">
        <f>IF(ISBLANK(MAIN!I203), 0, IF(ISNUMBER(VALUE(TRIM(MAIN!I203))), VALUE(TRIM(MAIN!I203)), 0))</f>
        <v>0</v>
      </c>
      <c r="J203">
        <f>IF(ISBLANK(MAIN!J203), 0, IF(ISNUMBER(VALUE(TRIM(MAIN!J203))), VALUE(TRIM(MAIN!J203)), 0))</f>
        <v>0</v>
      </c>
      <c r="K203" cm="1">
        <f t="array" ref="K203">IFERROR(
    VALUE(
        IFERROR(
            UPPER(
                IF(MAX(IFERROR(SEARCH("WD",MAIN!G203:J203), 0))&gt;0, "WD",
                IF(MAX(IFERROR(SEARCH("NS",MAIN!G203:J203), 0))&gt;0, "NS",
                IF(MAX(IFERROR(SEARCH("NC",MAIN!G203:J203), 0))&gt;0, "NC",
                IF(MAX(IFERROR(SEARCH("DQ",MAIN!G203:J203), 0))&gt;0, "DQ",
                IF(ISNUMBER(SEARCH("WD",MAIN!K203)), "WD",
                IF(ISNUMBER(SEARCH("NS",MAIN!K203)), "NS",
                IF(ISNUMBER(SEARCH("NC",MAIN!K203)), "NC",
                IF(ISNUMBER(SEARCH("DQ",MAIN!K203)), "DQ",
                IF(ISNUMBER(SEARCH("A",MAIN!K203)), 0,
                IF(OR(MAIN!K203=0,MAIN!K203=""), 0, --TRIM(MAIN!K203)))))))))))),
            0
        )
    ),
    IFERROR(
        UPPER(
            IF(MAX(IFERROR(SEARCH("WD",MAIN!G203:J203), 0))&gt;0, "WD",
            IF(MAX(IFERROR(SEARCH("NS",MAIN!G203:J203), 0))&gt;0, "NS",
            IF(MAX(IFERROR(SEARCH("NC",MAIN!G203:J203), 0))&gt;0, "NC",
            IF(MAX(IFERROR(SEARCH("DQ",MAIN!G203:J203), 0))&gt;0, "DQ",
            IF(ISNUMBER(SEARCH("WD",MAIN!K203)), "WD",
            IF(ISNUMBER(SEARCH("NS",MAIN!K203)), "NS",
            IF(ISNUMBER(SEARCH("NC",MAIN!K203)), "NC",
            IF(ISNUMBER(SEARCH("DQ",MAIN!K203)), "DQ",
            IF(ISNUMBER(SEARCH("A",MAIN!K203)), 0,
            IF(OR(MAIN!K203=0,MAIN!K203=""), 0, --TRIM(MAIN!K203)))))))))))),
        0
    )
)</f>
        <v>0</v>
      </c>
    </row>
    <row r="204" spans="1:11" x14ac:dyDescent="0.25">
      <c r="A204" t="str">
        <f>IF(ISBLANK(MAIN!A204), "--", IFERROR(PROPER(SUBSTITUTE(SUBSTITUTE(SUBSTITUTE(SUBSTITUTE(SUBSTITUTE(SUBSTITUTE(SUBSTITUTE(SUBSTITUTE(SUBSTITUTE(SUBSTITUTE(LEFT(MAIN!A204, FIND(",",MAIN!A204) -1), "0", ""), "1", ""), "2", ""), "3", ""), "4", ""), "5", ""), "6", ""), "7", ""), "8", ""), "9", "")), PROPER(SUBSTITUTE(SUBSTITUTE(SUBSTITUTE(SUBSTITUTE(SUBSTITUTE(SUBSTITUTE(SUBSTITUTE(SUBSTITUTE(SUBSTITUTE(SUBSTITUTE(MAIN!A204, "0", ""), "1", ""), "2", ""), "3", ""), "4", ""), "5", ""), "6", ""), "7", ""), "8", ""), "9", ""))))</f>
        <v>--</v>
      </c>
      <c r="B204" t="str">
        <f>IF(ISBLANK(MAIN!B204), "--", IFERROR(PROPER(SUBSTITUTE(SUBSTITUTE(SUBSTITUTE(SUBSTITUTE(SUBSTITUTE(SUBSTITUTE(SUBSTITUTE(SUBSTITUTE(SUBSTITUTE(SUBSTITUTE(LEFT(MAIN!B204, FIND(",",MAIN!B204) -1), "0", ""), "1", ""), "2", ""), "3", ""), "4", ""), "5", ""), "6", ""), "7", ""), "8", ""), "9", "")), PROPER(SUBSTITUTE(SUBSTITUTE(SUBSTITUTE(SUBSTITUTE(SUBSTITUTE(SUBSTITUTE(SUBSTITUTE(SUBSTITUTE(SUBSTITUTE(SUBSTITUTE(MAIN!B204, "0", ""), "1", ""), "2", ""), "3", ""), "4", ""), "5", ""), "6", ""), "7", ""), "8", ""), "9", ""))))</f>
        <v>--</v>
      </c>
      <c r="C204" t="str">
        <f>IF(ISBLANK(MAIN!C204), "--", IFERROR(PROPER(SUBSTITUTE(SUBSTITUTE(SUBSTITUTE(SUBSTITUTE(SUBSTITUTE(SUBSTITUTE(SUBSTITUTE(SUBSTITUTE(SUBSTITUTE(SUBSTITUTE(LEFT(MAIN!C204, FIND(",",MAIN!C204) -1), "0", ""), "1", ""), "2", ""), "3", ""), "4", ""), "5", ""), "6", ""), "7", ""), "8", ""), "9", "")), PROPER(SUBSTITUTE(SUBSTITUTE(SUBSTITUTE(SUBSTITUTE(SUBSTITUTE(SUBSTITUTE(SUBSTITUTE(SUBSTITUTE(SUBSTITUTE(SUBSTITUTE(MAIN!C204, "0", ""), "1", ""), "2", ""), "3", ""), "4", ""), "5", ""), "6", ""), "7", ""), "8", ""), "9", ""))))</f>
        <v>--</v>
      </c>
      <c r="D204" t="str">
        <f>IF(ISBLANK(MAIN!D204), "--", IF(ISNUMBER(MATCH(SUBSTITUTE(LEFT(MAIN!D204, IFERROR(FIND(",", MAIN!D204)-1, LEN(MAIN!D204))), " ", ""), lookup_values!$B$2:$B$51, 0)), UPPER(SUBSTITUTE(LEFT(MAIN!D204, IFERROR(FIND(",", MAIN!D204)-1, LEN(MAIN!D204))), " ", "")), IF(ISNA(VLOOKUP(SUBSTITUTE(LEFT(MAIN!D204, IFERROR(FIND(",", MAIN!D204)-1, LEN(MAIN!D204))), " ", ""), lookup_values!$A$2:$B$51, 2, FALSE)), "--", VLOOKUP(SUBSTITUTE(LEFT(MAIN!D204, IFERROR(FIND(",", MAIN!D204)-1, LEN(MAIN!D204))), " ", ""), lookup_values!$A$2:$B$51, 2, FALSE))))</f>
        <v>--</v>
      </c>
      <c r="E204" t="str">
        <f>IF(CLEAN_DATA!D204&lt;&gt;"--","US",IF(ISBLANK(MAIN!E204), "--", IF(ISNUMBER(MATCH(SUBSTITUTE(LEFT(MAIN!E204, IFERROR(FIND(",", MAIN!E204)-1, LEN(MAIN!E204))), " ", ""), lookup_values!$E$2:$E$197, 0)), UPPER(SUBSTITUTE(LEFT(MAIN!E204, IFERROR(FIND(",", MAIN!E204)-1, LEN(MAIN!E204))), " ", "")), IF(ISNA(VLOOKUP(SUBSTITUTE(LEFT(MAIN!E204, IFERROR(FIND(",", MAIN!E204)-1, LEN(MAIN!E204))), " ", ""), lookup_values!$D$2:$E$197, 2, FALSE)), "--", VLOOKUP(SUBSTITUTE(LEFT(MAIN!E204, IFERROR(FIND(",", MAIN!E204)-1, LEN(MAIN!E204))), " ", ""), lookup_values!$D$2:$E$197, 2, FALSE)))))</f>
        <v>--</v>
      </c>
      <c r="F204" t="str">
        <f>IF(ISBLANK(MAIN!F204), "", IF(AND(ISNUMBER(VALUE(TRIM(MAIN!F204))), LEN(TRIM(MAIN!F204))=4), VALUE(TRIM(MAIN!F204)), ""))</f>
        <v/>
      </c>
      <c r="G204">
        <f>IF(ISBLANK(MAIN!G204), 0, IF(ISNUMBER(VALUE(TRIM(MAIN!G204))), VALUE(TRIM(MAIN!G204)), 0))</f>
        <v>0</v>
      </c>
      <c r="H204">
        <f>IF(ISBLANK(MAIN!H204), 0, IF(ISNUMBER(VALUE(TRIM(MAIN!H204))), VALUE(TRIM(MAIN!H204)), 0))</f>
        <v>0</v>
      </c>
      <c r="I204">
        <f>IF(ISBLANK(MAIN!I204), 0, IF(ISNUMBER(VALUE(TRIM(MAIN!I204))), VALUE(TRIM(MAIN!I204)), 0))</f>
        <v>0</v>
      </c>
      <c r="J204">
        <f>IF(ISBLANK(MAIN!J204), 0, IF(ISNUMBER(VALUE(TRIM(MAIN!J204))), VALUE(TRIM(MAIN!J204)), 0))</f>
        <v>0</v>
      </c>
      <c r="K204" cm="1">
        <f t="array" ref="K204">IFERROR(
    VALUE(
        IFERROR(
            UPPER(
                IF(MAX(IFERROR(SEARCH("WD",MAIN!G204:J204), 0))&gt;0, "WD",
                IF(MAX(IFERROR(SEARCH("NS",MAIN!G204:J204), 0))&gt;0, "NS",
                IF(MAX(IFERROR(SEARCH("NC",MAIN!G204:J204), 0))&gt;0, "NC",
                IF(MAX(IFERROR(SEARCH("DQ",MAIN!G204:J204), 0))&gt;0, "DQ",
                IF(ISNUMBER(SEARCH("WD",MAIN!K204)), "WD",
                IF(ISNUMBER(SEARCH("NS",MAIN!K204)), "NS",
                IF(ISNUMBER(SEARCH("NC",MAIN!K204)), "NC",
                IF(ISNUMBER(SEARCH("DQ",MAIN!K204)), "DQ",
                IF(ISNUMBER(SEARCH("A",MAIN!K204)), 0,
                IF(OR(MAIN!K204=0,MAIN!K204=""), 0, --TRIM(MAIN!K204)))))))))))),
            0
        )
    ),
    IFERROR(
        UPPER(
            IF(MAX(IFERROR(SEARCH("WD",MAIN!G204:J204), 0))&gt;0, "WD",
            IF(MAX(IFERROR(SEARCH("NS",MAIN!G204:J204), 0))&gt;0, "NS",
            IF(MAX(IFERROR(SEARCH("NC",MAIN!G204:J204), 0))&gt;0, "NC",
            IF(MAX(IFERROR(SEARCH("DQ",MAIN!G204:J204), 0))&gt;0, "DQ",
            IF(ISNUMBER(SEARCH("WD",MAIN!K204)), "WD",
            IF(ISNUMBER(SEARCH("NS",MAIN!K204)), "NS",
            IF(ISNUMBER(SEARCH("NC",MAIN!K204)), "NC",
            IF(ISNUMBER(SEARCH("DQ",MAIN!K204)), "DQ",
            IF(ISNUMBER(SEARCH("A",MAIN!K204)), 0,
            IF(OR(MAIN!K204=0,MAIN!K204=""), 0, --TRIM(MAIN!K204)))))))))))),
        0
    )
)</f>
        <v>0</v>
      </c>
    </row>
    <row r="205" spans="1:11" x14ac:dyDescent="0.25">
      <c r="A205" t="str">
        <f>IF(ISBLANK(MAIN!A205), "--", IFERROR(PROPER(SUBSTITUTE(SUBSTITUTE(SUBSTITUTE(SUBSTITUTE(SUBSTITUTE(SUBSTITUTE(SUBSTITUTE(SUBSTITUTE(SUBSTITUTE(SUBSTITUTE(LEFT(MAIN!A205, FIND(",",MAIN!A205) -1), "0", ""), "1", ""), "2", ""), "3", ""), "4", ""), "5", ""), "6", ""), "7", ""), "8", ""), "9", "")), PROPER(SUBSTITUTE(SUBSTITUTE(SUBSTITUTE(SUBSTITUTE(SUBSTITUTE(SUBSTITUTE(SUBSTITUTE(SUBSTITUTE(SUBSTITUTE(SUBSTITUTE(MAIN!A205, "0", ""), "1", ""), "2", ""), "3", ""), "4", ""), "5", ""), "6", ""), "7", ""), "8", ""), "9", ""))))</f>
        <v>--</v>
      </c>
      <c r="B205" t="str">
        <f>IF(ISBLANK(MAIN!B205), "--", IFERROR(PROPER(SUBSTITUTE(SUBSTITUTE(SUBSTITUTE(SUBSTITUTE(SUBSTITUTE(SUBSTITUTE(SUBSTITUTE(SUBSTITUTE(SUBSTITUTE(SUBSTITUTE(LEFT(MAIN!B205, FIND(",",MAIN!B205) -1), "0", ""), "1", ""), "2", ""), "3", ""), "4", ""), "5", ""), "6", ""), "7", ""), "8", ""), "9", "")), PROPER(SUBSTITUTE(SUBSTITUTE(SUBSTITUTE(SUBSTITUTE(SUBSTITUTE(SUBSTITUTE(SUBSTITUTE(SUBSTITUTE(SUBSTITUTE(SUBSTITUTE(MAIN!B205, "0", ""), "1", ""), "2", ""), "3", ""), "4", ""), "5", ""), "6", ""), "7", ""), "8", ""), "9", ""))))</f>
        <v>--</v>
      </c>
      <c r="C205" t="str">
        <f>IF(ISBLANK(MAIN!C205), "--", IFERROR(PROPER(SUBSTITUTE(SUBSTITUTE(SUBSTITUTE(SUBSTITUTE(SUBSTITUTE(SUBSTITUTE(SUBSTITUTE(SUBSTITUTE(SUBSTITUTE(SUBSTITUTE(LEFT(MAIN!C205, FIND(",",MAIN!C205) -1), "0", ""), "1", ""), "2", ""), "3", ""), "4", ""), "5", ""), "6", ""), "7", ""), "8", ""), "9", "")), PROPER(SUBSTITUTE(SUBSTITUTE(SUBSTITUTE(SUBSTITUTE(SUBSTITUTE(SUBSTITUTE(SUBSTITUTE(SUBSTITUTE(SUBSTITUTE(SUBSTITUTE(MAIN!C205, "0", ""), "1", ""), "2", ""), "3", ""), "4", ""), "5", ""), "6", ""), "7", ""), "8", ""), "9", ""))))</f>
        <v>--</v>
      </c>
      <c r="D205" t="str">
        <f>IF(ISBLANK(MAIN!D205), "--", IF(ISNUMBER(MATCH(SUBSTITUTE(LEFT(MAIN!D205, IFERROR(FIND(",", MAIN!D205)-1, LEN(MAIN!D205))), " ", ""), lookup_values!$B$2:$B$51, 0)), UPPER(SUBSTITUTE(LEFT(MAIN!D205, IFERROR(FIND(",", MAIN!D205)-1, LEN(MAIN!D205))), " ", "")), IF(ISNA(VLOOKUP(SUBSTITUTE(LEFT(MAIN!D205, IFERROR(FIND(",", MAIN!D205)-1, LEN(MAIN!D205))), " ", ""), lookup_values!$A$2:$B$51, 2, FALSE)), "--", VLOOKUP(SUBSTITUTE(LEFT(MAIN!D205, IFERROR(FIND(",", MAIN!D205)-1, LEN(MAIN!D205))), " ", ""), lookup_values!$A$2:$B$51, 2, FALSE))))</f>
        <v>--</v>
      </c>
      <c r="E205" t="str">
        <f>IF(CLEAN_DATA!D205&lt;&gt;"--","US",IF(ISBLANK(MAIN!E205), "--", IF(ISNUMBER(MATCH(SUBSTITUTE(LEFT(MAIN!E205, IFERROR(FIND(",", MAIN!E205)-1, LEN(MAIN!E205))), " ", ""), lookup_values!$E$2:$E$197, 0)), UPPER(SUBSTITUTE(LEFT(MAIN!E205, IFERROR(FIND(",", MAIN!E205)-1, LEN(MAIN!E205))), " ", "")), IF(ISNA(VLOOKUP(SUBSTITUTE(LEFT(MAIN!E205, IFERROR(FIND(",", MAIN!E205)-1, LEN(MAIN!E205))), " ", ""), lookup_values!$D$2:$E$197, 2, FALSE)), "--", VLOOKUP(SUBSTITUTE(LEFT(MAIN!E205, IFERROR(FIND(",", MAIN!E205)-1, LEN(MAIN!E205))), " ", ""), lookup_values!$D$2:$E$197, 2, FALSE)))))</f>
        <v>--</v>
      </c>
      <c r="F205" t="str">
        <f>IF(ISBLANK(MAIN!F205), "", IF(AND(ISNUMBER(VALUE(TRIM(MAIN!F205))), LEN(TRIM(MAIN!F205))=4), VALUE(TRIM(MAIN!F205)), ""))</f>
        <v/>
      </c>
      <c r="G205">
        <f>IF(ISBLANK(MAIN!G205), 0, IF(ISNUMBER(VALUE(TRIM(MAIN!G205))), VALUE(TRIM(MAIN!G205)), 0))</f>
        <v>0</v>
      </c>
      <c r="H205">
        <f>IF(ISBLANK(MAIN!H205), 0, IF(ISNUMBER(VALUE(TRIM(MAIN!H205))), VALUE(TRIM(MAIN!H205)), 0))</f>
        <v>0</v>
      </c>
      <c r="I205">
        <f>IF(ISBLANK(MAIN!I205), 0, IF(ISNUMBER(VALUE(TRIM(MAIN!I205))), VALUE(TRIM(MAIN!I205)), 0))</f>
        <v>0</v>
      </c>
      <c r="J205">
        <f>IF(ISBLANK(MAIN!J205), 0, IF(ISNUMBER(VALUE(TRIM(MAIN!J205))), VALUE(TRIM(MAIN!J205)), 0))</f>
        <v>0</v>
      </c>
      <c r="K205" cm="1">
        <f t="array" ref="K205">IFERROR(
    VALUE(
        IFERROR(
            UPPER(
                IF(MAX(IFERROR(SEARCH("WD",MAIN!G205:J205), 0))&gt;0, "WD",
                IF(MAX(IFERROR(SEARCH("NS",MAIN!G205:J205), 0))&gt;0, "NS",
                IF(MAX(IFERROR(SEARCH("NC",MAIN!G205:J205), 0))&gt;0, "NC",
                IF(MAX(IFERROR(SEARCH("DQ",MAIN!G205:J205), 0))&gt;0, "DQ",
                IF(ISNUMBER(SEARCH("WD",MAIN!K205)), "WD",
                IF(ISNUMBER(SEARCH("NS",MAIN!K205)), "NS",
                IF(ISNUMBER(SEARCH("NC",MAIN!K205)), "NC",
                IF(ISNUMBER(SEARCH("DQ",MAIN!K205)), "DQ",
                IF(ISNUMBER(SEARCH("A",MAIN!K205)), 0,
                IF(OR(MAIN!K205=0,MAIN!K205=""), 0, --TRIM(MAIN!K205)))))))))))),
            0
        )
    ),
    IFERROR(
        UPPER(
            IF(MAX(IFERROR(SEARCH("WD",MAIN!G205:J205), 0))&gt;0, "WD",
            IF(MAX(IFERROR(SEARCH("NS",MAIN!G205:J205), 0))&gt;0, "NS",
            IF(MAX(IFERROR(SEARCH("NC",MAIN!G205:J205), 0))&gt;0, "NC",
            IF(MAX(IFERROR(SEARCH("DQ",MAIN!G205:J205), 0))&gt;0, "DQ",
            IF(ISNUMBER(SEARCH("WD",MAIN!K205)), "WD",
            IF(ISNUMBER(SEARCH("NS",MAIN!K205)), "NS",
            IF(ISNUMBER(SEARCH("NC",MAIN!K205)), "NC",
            IF(ISNUMBER(SEARCH("DQ",MAIN!K205)), "DQ",
            IF(ISNUMBER(SEARCH("A",MAIN!K205)), 0,
            IF(OR(MAIN!K205=0,MAIN!K205=""), 0, --TRIM(MAIN!K205)))))))))))),
        0
    )
)</f>
        <v>0</v>
      </c>
    </row>
    <row r="206" spans="1:11" x14ac:dyDescent="0.25">
      <c r="A206" t="str">
        <f>IF(ISBLANK(MAIN!A206), "--", IFERROR(PROPER(SUBSTITUTE(SUBSTITUTE(SUBSTITUTE(SUBSTITUTE(SUBSTITUTE(SUBSTITUTE(SUBSTITUTE(SUBSTITUTE(SUBSTITUTE(SUBSTITUTE(LEFT(MAIN!A206, FIND(",",MAIN!A206) -1), "0", ""), "1", ""), "2", ""), "3", ""), "4", ""), "5", ""), "6", ""), "7", ""), "8", ""), "9", "")), PROPER(SUBSTITUTE(SUBSTITUTE(SUBSTITUTE(SUBSTITUTE(SUBSTITUTE(SUBSTITUTE(SUBSTITUTE(SUBSTITUTE(SUBSTITUTE(SUBSTITUTE(MAIN!A206, "0", ""), "1", ""), "2", ""), "3", ""), "4", ""), "5", ""), "6", ""), "7", ""), "8", ""), "9", ""))))</f>
        <v>--</v>
      </c>
      <c r="B206" t="str">
        <f>IF(ISBLANK(MAIN!B206), "--", IFERROR(PROPER(SUBSTITUTE(SUBSTITUTE(SUBSTITUTE(SUBSTITUTE(SUBSTITUTE(SUBSTITUTE(SUBSTITUTE(SUBSTITUTE(SUBSTITUTE(SUBSTITUTE(LEFT(MAIN!B206, FIND(",",MAIN!B206) -1), "0", ""), "1", ""), "2", ""), "3", ""), "4", ""), "5", ""), "6", ""), "7", ""), "8", ""), "9", "")), PROPER(SUBSTITUTE(SUBSTITUTE(SUBSTITUTE(SUBSTITUTE(SUBSTITUTE(SUBSTITUTE(SUBSTITUTE(SUBSTITUTE(SUBSTITUTE(SUBSTITUTE(MAIN!B206, "0", ""), "1", ""), "2", ""), "3", ""), "4", ""), "5", ""), "6", ""), "7", ""), "8", ""), "9", ""))))</f>
        <v>--</v>
      </c>
      <c r="C206" t="str">
        <f>IF(ISBLANK(MAIN!C206), "--", IFERROR(PROPER(SUBSTITUTE(SUBSTITUTE(SUBSTITUTE(SUBSTITUTE(SUBSTITUTE(SUBSTITUTE(SUBSTITUTE(SUBSTITUTE(SUBSTITUTE(SUBSTITUTE(LEFT(MAIN!C206, FIND(",",MAIN!C206) -1), "0", ""), "1", ""), "2", ""), "3", ""), "4", ""), "5", ""), "6", ""), "7", ""), "8", ""), "9", "")), PROPER(SUBSTITUTE(SUBSTITUTE(SUBSTITUTE(SUBSTITUTE(SUBSTITUTE(SUBSTITUTE(SUBSTITUTE(SUBSTITUTE(SUBSTITUTE(SUBSTITUTE(MAIN!C206, "0", ""), "1", ""), "2", ""), "3", ""), "4", ""), "5", ""), "6", ""), "7", ""), "8", ""), "9", ""))))</f>
        <v>--</v>
      </c>
      <c r="D206" t="str">
        <f>IF(ISBLANK(MAIN!D206), "--", IF(ISNUMBER(MATCH(SUBSTITUTE(LEFT(MAIN!D206, IFERROR(FIND(",", MAIN!D206)-1, LEN(MAIN!D206))), " ", ""), lookup_values!$B$2:$B$51, 0)), UPPER(SUBSTITUTE(LEFT(MAIN!D206, IFERROR(FIND(",", MAIN!D206)-1, LEN(MAIN!D206))), " ", "")), IF(ISNA(VLOOKUP(SUBSTITUTE(LEFT(MAIN!D206, IFERROR(FIND(",", MAIN!D206)-1, LEN(MAIN!D206))), " ", ""), lookup_values!$A$2:$B$51, 2, FALSE)), "--", VLOOKUP(SUBSTITUTE(LEFT(MAIN!D206, IFERROR(FIND(",", MAIN!D206)-1, LEN(MAIN!D206))), " ", ""), lookup_values!$A$2:$B$51, 2, FALSE))))</f>
        <v>--</v>
      </c>
      <c r="E206" t="str">
        <f>IF(CLEAN_DATA!D206&lt;&gt;"--","US",IF(ISBLANK(MAIN!E206), "--", IF(ISNUMBER(MATCH(SUBSTITUTE(LEFT(MAIN!E206, IFERROR(FIND(",", MAIN!E206)-1, LEN(MAIN!E206))), " ", ""), lookup_values!$E$2:$E$197, 0)), UPPER(SUBSTITUTE(LEFT(MAIN!E206, IFERROR(FIND(",", MAIN!E206)-1, LEN(MAIN!E206))), " ", "")), IF(ISNA(VLOOKUP(SUBSTITUTE(LEFT(MAIN!E206, IFERROR(FIND(",", MAIN!E206)-1, LEN(MAIN!E206))), " ", ""), lookup_values!$D$2:$E$197, 2, FALSE)), "--", VLOOKUP(SUBSTITUTE(LEFT(MAIN!E206, IFERROR(FIND(",", MAIN!E206)-1, LEN(MAIN!E206))), " ", ""), lookup_values!$D$2:$E$197, 2, FALSE)))))</f>
        <v>--</v>
      </c>
      <c r="F206" t="str">
        <f>IF(ISBLANK(MAIN!F206), "", IF(AND(ISNUMBER(VALUE(TRIM(MAIN!F206))), LEN(TRIM(MAIN!F206))=4), VALUE(TRIM(MAIN!F206)), ""))</f>
        <v/>
      </c>
      <c r="G206">
        <f>IF(ISBLANK(MAIN!G206), 0, IF(ISNUMBER(VALUE(TRIM(MAIN!G206))), VALUE(TRIM(MAIN!G206)), 0))</f>
        <v>0</v>
      </c>
      <c r="H206">
        <f>IF(ISBLANK(MAIN!H206), 0, IF(ISNUMBER(VALUE(TRIM(MAIN!H206))), VALUE(TRIM(MAIN!H206)), 0))</f>
        <v>0</v>
      </c>
      <c r="I206">
        <f>IF(ISBLANK(MAIN!I206), 0, IF(ISNUMBER(VALUE(TRIM(MAIN!I206))), VALUE(TRIM(MAIN!I206)), 0))</f>
        <v>0</v>
      </c>
      <c r="J206">
        <f>IF(ISBLANK(MAIN!J206), 0, IF(ISNUMBER(VALUE(TRIM(MAIN!J206))), VALUE(TRIM(MAIN!J206)), 0))</f>
        <v>0</v>
      </c>
      <c r="K206" cm="1">
        <f t="array" ref="K206">IFERROR(
    VALUE(
        IFERROR(
            UPPER(
                IF(MAX(IFERROR(SEARCH("WD",MAIN!G206:J206), 0))&gt;0, "WD",
                IF(MAX(IFERROR(SEARCH("NS",MAIN!G206:J206), 0))&gt;0, "NS",
                IF(MAX(IFERROR(SEARCH("NC",MAIN!G206:J206), 0))&gt;0, "NC",
                IF(MAX(IFERROR(SEARCH("DQ",MAIN!G206:J206), 0))&gt;0, "DQ",
                IF(ISNUMBER(SEARCH("WD",MAIN!K206)), "WD",
                IF(ISNUMBER(SEARCH("NS",MAIN!K206)), "NS",
                IF(ISNUMBER(SEARCH("NC",MAIN!K206)), "NC",
                IF(ISNUMBER(SEARCH("DQ",MAIN!K206)), "DQ",
                IF(ISNUMBER(SEARCH("A",MAIN!K206)), 0,
                IF(OR(MAIN!K206=0,MAIN!K206=""), 0, --TRIM(MAIN!K206)))))))))))),
            0
        )
    ),
    IFERROR(
        UPPER(
            IF(MAX(IFERROR(SEARCH("WD",MAIN!G206:J206), 0))&gt;0, "WD",
            IF(MAX(IFERROR(SEARCH("NS",MAIN!G206:J206), 0))&gt;0, "NS",
            IF(MAX(IFERROR(SEARCH("NC",MAIN!G206:J206), 0))&gt;0, "NC",
            IF(MAX(IFERROR(SEARCH("DQ",MAIN!G206:J206), 0))&gt;0, "DQ",
            IF(ISNUMBER(SEARCH("WD",MAIN!K206)), "WD",
            IF(ISNUMBER(SEARCH("NS",MAIN!K206)), "NS",
            IF(ISNUMBER(SEARCH("NC",MAIN!K206)), "NC",
            IF(ISNUMBER(SEARCH("DQ",MAIN!K206)), "DQ",
            IF(ISNUMBER(SEARCH("A",MAIN!K206)), 0,
            IF(OR(MAIN!K206=0,MAIN!K206=""), 0, --TRIM(MAIN!K206)))))))))))),
        0
    )
)</f>
        <v>0</v>
      </c>
    </row>
    <row r="207" spans="1:11" x14ac:dyDescent="0.25">
      <c r="A207" t="str">
        <f>IF(ISBLANK(MAIN!A207), "--", IFERROR(PROPER(SUBSTITUTE(SUBSTITUTE(SUBSTITUTE(SUBSTITUTE(SUBSTITUTE(SUBSTITUTE(SUBSTITUTE(SUBSTITUTE(SUBSTITUTE(SUBSTITUTE(LEFT(MAIN!A207, FIND(",",MAIN!A207) -1), "0", ""), "1", ""), "2", ""), "3", ""), "4", ""), "5", ""), "6", ""), "7", ""), "8", ""), "9", "")), PROPER(SUBSTITUTE(SUBSTITUTE(SUBSTITUTE(SUBSTITUTE(SUBSTITUTE(SUBSTITUTE(SUBSTITUTE(SUBSTITUTE(SUBSTITUTE(SUBSTITUTE(MAIN!A207, "0", ""), "1", ""), "2", ""), "3", ""), "4", ""), "5", ""), "6", ""), "7", ""), "8", ""), "9", ""))))</f>
        <v>--</v>
      </c>
      <c r="B207" t="str">
        <f>IF(ISBLANK(MAIN!B207), "--", IFERROR(PROPER(SUBSTITUTE(SUBSTITUTE(SUBSTITUTE(SUBSTITUTE(SUBSTITUTE(SUBSTITUTE(SUBSTITUTE(SUBSTITUTE(SUBSTITUTE(SUBSTITUTE(LEFT(MAIN!B207, FIND(",",MAIN!B207) -1), "0", ""), "1", ""), "2", ""), "3", ""), "4", ""), "5", ""), "6", ""), "7", ""), "8", ""), "9", "")), PROPER(SUBSTITUTE(SUBSTITUTE(SUBSTITUTE(SUBSTITUTE(SUBSTITUTE(SUBSTITUTE(SUBSTITUTE(SUBSTITUTE(SUBSTITUTE(SUBSTITUTE(MAIN!B207, "0", ""), "1", ""), "2", ""), "3", ""), "4", ""), "5", ""), "6", ""), "7", ""), "8", ""), "9", ""))))</f>
        <v>--</v>
      </c>
      <c r="C207" t="str">
        <f>IF(ISBLANK(MAIN!C207), "--", IFERROR(PROPER(SUBSTITUTE(SUBSTITUTE(SUBSTITUTE(SUBSTITUTE(SUBSTITUTE(SUBSTITUTE(SUBSTITUTE(SUBSTITUTE(SUBSTITUTE(SUBSTITUTE(LEFT(MAIN!C207, FIND(",",MAIN!C207) -1), "0", ""), "1", ""), "2", ""), "3", ""), "4", ""), "5", ""), "6", ""), "7", ""), "8", ""), "9", "")), PROPER(SUBSTITUTE(SUBSTITUTE(SUBSTITUTE(SUBSTITUTE(SUBSTITUTE(SUBSTITUTE(SUBSTITUTE(SUBSTITUTE(SUBSTITUTE(SUBSTITUTE(MAIN!C207, "0", ""), "1", ""), "2", ""), "3", ""), "4", ""), "5", ""), "6", ""), "7", ""), "8", ""), "9", ""))))</f>
        <v>--</v>
      </c>
      <c r="D207" t="str">
        <f>IF(ISBLANK(MAIN!D207), "--", IF(ISNUMBER(MATCH(SUBSTITUTE(LEFT(MAIN!D207, IFERROR(FIND(",", MAIN!D207)-1, LEN(MAIN!D207))), " ", ""), lookup_values!$B$2:$B$51, 0)), UPPER(SUBSTITUTE(LEFT(MAIN!D207, IFERROR(FIND(",", MAIN!D207)-1, LEN(MAIN!D207))), " ", "")), IF(ISNA(VLOOKUP(SUBSTITUTE(LEFT(MAIN!D207, IFERROR(FIND(",", MAIN!D207)-1, LEN(MAIN!D207))), " ", ""), lookup_values!$A$2:$B$51, 2, FALSE)), "--", VLOOKUP(SUBSTITUTE(LEFT(MAIN!D207, IFERROR(FIND(",", MAIN!D207)-1, LEN(MAIN!D207))), " ", ""), lookup_values!$A$2:$B$51, 2, FALSE))))</f>
        <v>--</v>
      </c>
      <c r="E207" t="str">
        <f>IF(CLEAN_DATA!D207&lt;&gt;"--","US",IF(ISBLANK(MAIN!E207), "--", IF(ISNUMBER(MATCH(SUBSTITUTE(LEFT(MAIN!E207, IFERROR(FIND(",", MAIN!E207)-1, LEN(MAIN!E207))), " ", ""), lookup_values!$E$2:$E$197, 0)), UPPER(SUBSTITUTE(LEFT(MAIN!E207, IFERROR(FIND(",", MAIN!E207)-1, LEN(MAIN!E207))), " ", "")), IF(ISNA(VLOOKUP(SUBSTITUTE(LEFT(MAIN!E207, IFERROR(FIND(",", MAIN!E207)-1, LEN(MAIN!E207))), " ", ""), lookup_values!$D$2:$E$197, 2, FALSE)), "--", VLOOKUP(SUBSTITUTE(LEFT(MAIN!E207, IFERROR(FIND(",", MAIN!E207)-1, LEN(MAIN!E207))), " ", ""), lookup_values!$D$2:$E$197, 2, FALSE)))))</f>
        <v>--</v>
      </c>
      <c r="F207" t="str">
        <f>IF(ISBLANK(MAIN!F207), "", IF(AND(ISNUMBER(VALUE(TRIM(MAIN!F207))), LEN(TRIM(MAIN!F207))=4), VALUE(TRIM(MAIN!F207)), ""))</f>
        <v/>
      </c>
      <c r="G207">
        <f>IF(ISBLANK(MAIN!G207), 0, IF(ISNUMBER(VALUE(TRIM(MAIN!G207))), VALUE(TRIM(MAIN!G207)), 0))</f>
        <v>0</v>
      </c>
      <c r="H207">
        <f>IF(ISBLANK(MAIN!H207), 0, IF(ISNUMBER(VALUE(TRIM(MAIN!H207))), VALUE(TRIM(MAIN!H207)), 0))</f>
        <v>0</v>
      </c>
      <c r="I207">
        <f>IF(ISBLANK(MAIN!I207), 0, IF(ISNUMBER(VALUE(TRIM(MAIN!I207))), VALUE(TRIM(MAIN!I207)), 0))</f>
        <v>0</v>
      </c>
      <c r="J207">
        <f>IF(ISBLANK(MAIN!J207), 0, IF(ISNUMBER(VALUE(TRIM(MAIN!J207))), VALUE(TRIM(MAIN!J207)), 0))</f>
        <v>0</v>
      </c>
      <c r="K207" cm="1">
        <f t="array" ref="K207">IFERROR(
    VALUE(
        IFERROR(
            UPPER(
                IF(MAX(IFERROR(SEARCH("WD",MAIN!G207:J207), 0))&gt;0, "WD",
                IF(MAX(IFERROR(SEARCH("NS",MAIN!G207:J207), 0))&gt;0, "NS",
                IF(MAX(IFERROR(SEARCH("NC",MAIN!G207:J207), 0))&gt;0, "NC",
                IF(MAX(IFERROR(SEARCH("DQ",MAIN!G207:J207), 0))&gt;0, "DQ",
                IF(ISNUMBER(SEARCH("WD",MAIN!K207)), "WD",
                IF(ISNUMBER(SEARCH("NS",MAIN!K207)), "NS",
                IF(ISNUMBER(SEARCH("NC",MAIN!K207)), "NC",
                IF(ISNUMBER(SEARCH("DQ",MAIN!K207)), "DQ",
                IF(ISNUMBER(SEARCH("A",MAIN!K207)), 0,
                IF(OR(MAIN!K207=0,MAIN!K207=""), 0, --TRIM(MAIN!K207)))))))))))),
            0
        )
    ),
    IFERROR(
        UPPER(
            IF(MAX(IFERROR(SEARCH("WD",MAIN!G207:J207), 0))&gt;0, "WD",
            IF(MAX(IFERROR(SEARCH("NS",MAIN!G207:J207), 0))&gt;0, "NS",
            IF(MAX(IFERROR(SEARCH("NC",MAIN!G207:J207), 0))&gt;0, "NC",
            IF(MAX(IFERROR(SEARCH("DQ",MAIN!G207:J207), 0))&gt;0, "DQ",
            IF(ISNUMBER(SEARCH("WD",MAIN!K207)), "WD",
            IF(ISNUMBER(SEARCH("NS",MAIN!K207)), "NS",
            IF(ISNUMBER(SEARCH("NC",MAIN!K207)), "NC",
            IF(ISNUMBER(SEARCH("DQ",MAIN!K207)), "DQ",
            IF(ISNUMBER(SEARCH("A",MAIN!K207)), 0,
            IF(OR(MAIN!K207=0,MAIN!K207=""), 0, --TRIM(MAIN!K207)))))))))))),
        0
    )
)</f>
        <v>0</v>
      </c>
    </row>
    <row r="208" spans="1:11" x14ac:dyDescent="0.25">
      <c r="A208" t="str">
        <f>IF(ISBLANK(MAIN!A208), "--", IFERROR(PROPER(SUBSTITUTE(SUBSTITUTE(SUBSTITUTE(SUBSTITUTE(SUBSTITUTE(SUBSTITUTE(SUBSTITUTE(SUBSTITUTE(SUBSTITUTE(SUBSTITUTE(LEFT(MAIN!A208, FIND(",",MAIN!A208) -1), "0", ""), "1", ""), "2", ""), "3", ""), "4", ""), "5", ""), "6", ""), "7", ""), "8", ""), "9", "")), PROPER(SUBSTITUTE(SUBSTITUTE(SUBSTITUTE(SUBSTITUTE(SUBSTITUTE(SUBSTITUTE(SUBSTITUTE(SUBSTITUTE(SUBSTITUTE(SUBSTITUTE(MAIN!A208, "0", ""), "1", ""), "2", ""), "3", ""), "4", ""), "5", ""), "6", ""), "7", ""), "8", ""), "9", ""))))</f>
        <v>--</v>
      </c>
      <c r="B208" t="str">
        <f>IF(ISBLANK(MAIN!B208), "--", IFERROR(PROPER(SUBSTITUTE(SUBSTITUTE(SUBSTITUTE(SUBSTITUTE(SUBSTITUTE(SUBSTITUTE(SUBSTITUTE(SUBSTITUTE(SUBSTITUTE(SUBSTITUTE(LEFT(MAIN!B208, FIND(",",MAIN!B208) -1), "0", ""), "1", ""), "2", ""), "3", ""), "4", ""), "5", ""), "6", ""), "7", ""), "8", ""), "9", "")), PROPER(SUBSTITUTE(SUBSTITUTE(SUBSTITUTE(SUBSTITUTE(SUBSTITUTE(SUBSTITUTE(SUBSTITUTE(SUBSTITUTE(SUBSTITUTE(SUBSTITUTE(MAIN!B208, "0", ""), "1", ""), "2", ""), "3", ""), "4", ""), "5", ""), "6", ""), "7", ""), "8", ""), "9", ""))))</f>
        <v>--</v>
      </c>
      <c r="C208" t="str">
        <f>IF(ISBLANK(MAIN!C208), "--", IFERROR(PROPER(SUBSTITUTE(SUBSTITUTE(SUBSTITUTE(SUBSTITUTE(SUBSTITUTE(SUBSTITUTE(SUBSTITUTE(SUBSTITUTE(SUBSTITUTE(SUBSTITUTE(LEFT(MAIN!C208, FIND(",",MAIN!C208) -1), "0", ""), "1", ""), "2", ""), "3", ""), "4", ""), "5", ""), "6", ""), "7", ""), "8", ""), "9", "")), PROPER(SUBSTITUTE(SUBSTITUTE(SUBSTITUTE(SUBSTITUTE(SUBSTITUTE(SUBSTITUTE(SUBSTITUTE(SUBSTITUTE(SUBSTITUTE(SUBSTITUTE(MAIN!C208, "0", ""), "1", ""), "2", ""), "3", ""), "4", ""), "5", ""), "6", ""), "7", ""), "8", ""), "9", ""))))</f>
        <v>--</v>
      </c>
      <c r="D208" t="str">
        <f>IF(ISBLANK(MAIN!D208), "--", IF(ISNUMBER(MATCH(SUBSTITUTE(LEFT(MAIN!D208, IFERROR(FIND(",", MAIN!D208)-1, LEN(MAIN!D208))), " ", ""), lookup_values!$B$2:$B$51, 0)), UPPER(SUBSTITUTE(LEFT(MAIN!D208, IFERROR(FIND(",", MAIN!D208)-1, LEN(MAIN!D208))), " ", "")), IF(ISNA(VLOOKUP(SUBSTITUTE(LEFT(MAIN!D208, IFERROR(FIND(",", MAIN!D208)-1, LEN(MAIN!D208))), " ", ""), lookup_values!$A$2:$B$51, 2, FALSE)), "--", VLOOKUP(SUBSTITUTE(LEFT(MAIN!D208, IFERROR(FIND(",", MAIN!D208)-1, LEN(MAIN!D208))), " ", ""), lookup_values!$A$2:$B$51, 2, FALSE))))</f>
        <v>--</v>
      </c>
      <c r="E208" t="str">
        <f>IF(CLEAN_DATA!D208&lt;&gt;"--","US",IF(ISBLANK(MAIN!E208), "--", IF(ISNUMBER(MATCH(SUBSTITUTE(LEFT(MAIN!E208, IFERROR(FIND(",", MAIN!E208)-1, LEN(MAIN!E208))), " ", ""), lookup_values!$E$2:$E$197, 0)), UPPER(SUBSTITUTE(LEFT(MAIN!E208, IFERROR(FIND(",", MAIN!E208)-1, LEN(MAIN!E208))), " ", "")), IF(ISNA(VLOOKUP(SUBSTITUTE(LEFT(MAIN!E208, IFERROR(FIND(",", MAIN!E208)-1, LEN(MAIN!E208))), " ", ""), lookup_values!$D$2:$E$197, 2, FALSE)), "--", VLOOKUP(SUBSTITUTE(LEFT(MAIN!E208, IFERROR(FIND(",", MAIN!E208)-1, LEN(MAIN!E208))), " ", ""), lookup_values!$D$2:$E$197, 2, FALSE)))))</f>
        <v>--</v>
      </c>
      <c r="F208" t="str">
        <f>IF(ISBLANK(MAIN!F208), "", IF(AND(ISNUMBER(VALUE(TRIM(MAIN!F208))), LEN(TRIM(MAIN!F208))=4), VALUE(TRIM(MAIN!F208)), ""))</f>
        <v/>
      </c>
      <c r="G208">
        <f>IF(ISBLANK(MAIN!G208), 0, IF(ISNUMBER(VALUE(TRIM(MAIN!G208))), VALUE(TRIM(MAIN!G208)), 0))</f>
        <v>0</v>
      </c>
      <c r="H208">
        <f>IF(ISBLANK(MAIN!H208), 0, IF(ISNUMBER(VALUE(TRIM(MAIN!H208))), VALUE(TRIM(MAIN!H208)), 0))</f>
        <v>0</v>
      </c>
      <c r="I208">
        <f>IF(ISBLANK(MAIN!I208), 0, IF(ISNUMBER(VALUE(TRIM(MAIN!I208))), VALUE(TRIM(MAIN!I208)), 0))</f>
        <v>0</v>
      </c>
      <c r="J208">
        <f>IF(ISBLANK(MAIN!J208), 0, IF(ISNUMBER(VALUE(TRIM(MAIN!J208))), VALUE(TRIM(MAIN!J208)), 0))</f>
        <v>0</v>
      </c>
      <c r="K208" cm="1">
        <f t="array" ref="K208">IFERROR(
    VALUE(
        IFERROR(
            UPPER(
                IF(MAX(IFERROR(SEARCH("WD",MAIN!G208:J208), 0))&gt;0, "WD",
                IF(MAX(IFERROR(SEARCH("NS",MAIN!G208:J208), 0))&gt;0, "NS",
                IF(MAX(IFERROR(SEARCH("NC",MAIN!G208:J208), 0))&gt;0, "NC",
                IF(MAX(IFERROR(SEARCH("DQ",MAIN!G208:J208), 0))&gt;0, "DQ",
                IF(ISNUMBER(SEARCH("WD",MAIN!K208)), "WD",
                IF(ISNUMBER(SEARCH("NS",MAIN!K208)), "NS",
                IF(ISNUMBER(SEARCH("NC",MAIN!K208)), "NC",
                IF(ISNUMBER(SEARCH("DQ",MAIN!K208)), "DQ",
                IF(ISNUMBER(SEARCH("A",MAIN!K208)), 0,
                IF(OR(MAIN!K208=0,MAIN!K208=""), 0, --TRIM(MAIN!K208)))))))))))),
            0
        )
    ),
    IFERROR(
        UPPER(
            IF(MAX(IFERROR(SEARCH("WD",MAIN!G208:J208), 0))&gt;0, "WD",
            IF(MAX(IFERROR(SEARCH("NS",MAIN!G208:J208), 0))&gt;0, "NS",
            IF(MAX(IFERROR(SEARCH("NC",MAIN!G208:J208), 0))&gt;0, "NC",
            IF(MAX(IFERROR(SEARCH("DQ",MAIN!G208:J208), 0))&gt;0, "DQ",
            IF(ISNUMBER(SEARCH("WD",MAIN!K208)), "WD",
            IF(ISNUMBER(SEARCH("NS",MAIN!K208)), "NS",
            IF(ISNUMBER(SEARCH("NC",MAIN!K208)), "NC",
            IF(ISNUMBER(SEARCH("DQ",MAIN!K208)), "DQ",
            IF(ISNUMBER(SEARCH("A",MAIN!K208)), 0,
            IF(OR(MAIN!K208=0,MAIN!K208=""), 0, --TRIM(MAIN!K208)))))))))))),
        0
    )
)</f>
        <v>0</v>
      </c>
    </row>
    <row r="209" spans="1:11" x14ac:dyDescent="0.25">
      <c r="A209" t="str">
        <f>IF(ISBLANK(MAIN!A209), "--", IFERROR(PROPER(SUBSTITUTE(SUBSTITUTE(SUBSTITUTE(SUBSTITUTE(SUBSTITUTE(SUBSTITUTE(SUBSTITUTE(SUBSTITUTE(SUBSTITUTE(SUBSTITUTE(LEFT(MAIN!A209, FIND(",",MAIN!A209) -1), "0", ""), "1", ""), "2", ""), "3", ""), "4", ""), "5", ""), "6", ""), "7", ""), "8", ""), "9", "")), PROPER(SUBSTITUTE(SUBSTITUTE(SUBSTITUTE(SUBSTITUTE(SUBSTITUTE(SUBSTITUTE(SUBSTITUTE(SUBSTITUTE(SUBSTITUTE(SUBSTITUTE(MAIN!A209, "0", ""), "1", ""), "2", ""), "3", ""), "4", ""), "5", ""), "6", ""), "7", ""), "8", ""), "9", ""))))</f>
        <v>--</v>
      </c>
      <c r="B209" t="str">
        <f>IF(ISBLANK(MAIN!B209), "--", IFERROR(PROPER(SUBSTITUTE(SUBSTITUTE(SUBSTITUTE(SUBSTITUTE(SUBSTITUTE(SUBSTITUTE(SUBSTITUTE(SUBSTITUTE(SUBSTITUTE(SUBSTITUTE(LEFT(MAIN!B209, FIND(",",MAIN!B209) -1), "0", ""), "1", ""), "2", ""), "3", ""), "4", ""), "5", ""), "6", ""), "7", ""), "8", ""), "9", "")), PROPER(SUBSTITUTE(SUBSTITUTE(SUBSTITUTE(SUBSTITUTE(SUBSTITUTE(SUBSTITUTE(SUBSTITUTE(SUBSTITUTE(SUBSTITUTE(SUBSTITUTE(MAIN!B209, "0", ""), "1", ""), "2", ""), "3", ""), "4", ""), "5", ""), "6", ""), "7", ""), "8", ""), "9", ""))))</f>
        <v>--</v>
      </c>
      <c r="C209" t="str">
        <f>IF(ISBLANK(MAIN!C209), "--", IFERROR(PROPER(SUBSTITUTE(SUBSTITUTE(SUBSTITUTE(SUBSTITUTE(SUBSTITUTE(SUBSTITUTE(SUBSTITUTE(SUBSTITUTE(SUBSTITUTE(SUBSTITUTE(LEFT(MAIN!C209, FIND(",",MAIN!C209) -1), "0", ""), "1", ""), "2", ""), "3", ""), "4", ""), "5", ""), "6", ""), "7", ""), "8", ""), "9", "")), PROPER(SUBSTITUTE(SUBSTITUTE(SUBSTITUTE(SUBSTITUTE(SUBSTITUTE(SUBSTITUTE(SUBSTITUTE(SUBSTITUTE(SUBSTITUTE(SUBSTITUTE(MAIN!C209, "0", ""), "1", ""), "2", ""), "3", ""), "4", ""), "5", ""), "6", ""), "7", ""), "8", ""), "9", ""))))</f>
        <v>--</v>
      </c>
      <c r="D209" t="str">
        <f>IF(ISBLANK(MAIN!D209), "--", IF(ISNUMBER(MATCH(SUBSTITUTE(LEFT(MAIN!D209, IFERROR(FIND(",", MAIN!D209)-1, LEN(MAIN!D209))), " ", ""), lookup_values!$B$2:$B$51, 0)), UPPER(SUBSTITUTE(LEFT(MAIN!D209, IFERROR(FIND(",", MAIN!D209)-1, LEN(MAIN!D209))), " ", "")), IF(ISNA(VLOOKUP(SUBSTITUTE(LEFT(MAIN!D209, IFERROR(FIND(",", MAIN!D209)-1, LEN(MAIN!D209))), " ", ""), lookup_values!$A$2:$B$51, 2, FALSE)), "--", VLOOKUP(SUBSTITUTE(LEFT(MAIN!D209, IFERROR(FIND(",", MAIN!D209)-1, LEN(MAIN!D209))), " ", ""), lookup_values!$A$2:$B$51, 2, FALSE))))</f>
        <v>--</v>
      </c>
      <c r="E209" t="str">
        <f>IF(CLEAN_DATA!D209&lt;&gt;"--","US",IF(ISBLANK(MAIN!E209), "--", IF(ISNUMBER(MATCH(SUBSTITUTE(LEFT(MAIN!E209, IFERROR(FIND(",", MAIN!E209)-1, LEN(MAIN!E209))), " ", ""), lookup_values!$E$2:$E$197, 0)), UPPER(SUBSTITUTE(LEFT(MAIN!E209, IFERROR(FIND(",", MAIN!E209)-1, LEN(MAIN!E209))), " ", "")), IF(ISNA(VLOOKUP(SUBSTITUTE(LEFT(MAIN!E209, IFERROR(FIND(",", MAIN!E209)-1, LEN(MAIN!E209))), " ", ""), lookup_values!$D$2:$E$197, 2, FALSE)), "--", VLOOKUP(SUBSTITUTE(LEFT(MAIN!E209, IFERROR(FIND(",", MAIN!E209)-1, LEN(MAIN!E209))), " ", ""), lookup_values!$D$2:$E$197, 2, FALSE)))))</f>
        <v>--</v>
      </c>
      <c r="F209" t="str">
        <f>IF(ISBLANK(MAIN!F209), "", IF(AND(ISNUMBER(VALUE(TRIM(MAIN!F209))), LEN(TRIM(MAIN!F209))=4), VALUE(TRIM(MAIN!F209)), ""))</f>
        <v/>
      </c>
      <c r="G209">
        <f>IF(ISBLANK(MAIN!G209), 0, IF(ISNUMBER(VALUE(TRIM(MAIN!G209))), VALUE(TRIM(MAIN!G209)), 0))</f>
        <v>0</v>
      </c>
      <c r="H209">
        <f>IF(ISBLANK(MAIN!H209), 0, IF(ISNUMBER(VALUE(TRIM(MAIN!H209))), VALUE(TRIM(MAIN!H209)), 0))</f>
        <v>0</v>
      </c>
      <c r="I209">
        <f>IF(ISBLANK(MAIN!I209), 0, IF(ISNUMBER(VALUE(TRIM(MAIN!I209))), VALUE(TRIM(MAIN!I209)), 0))</f>
        <v>0</v>
      </c>
      <c r="J209">
        <f>IF(ISBLANK(MAIN!J209), 0, IF(ISNUMBER(VALUE(TRIM(MAIN!J209))), VALUE(TRIM(MAIN!J209)), 0))</f>
        <v>0</v>
      </c>
      <c r="K209" cm="1">
        <f t="array" ref="K209">IFERROR(
    VALUE(
        IFERROR(
            UPPER(
                IF(MAX(IFERROR(SEARCH("WD",MAIN!G209:J209), 0))&gt;0, "WD",
                IF(MAX(IFERROR(SEARCH("NS",MAIN!G209:J209), 0))&gt;0, "NS",
                IF(MAX(IFERROR(SEARCH("NC",MAIN!G209:J209), 0))&gt;0, "NC",
                IF(MAX(IFERROR(SEARCH("DQ",MAIN!G209:J209), 0))&gt;0, "DQ",
                IF(ISNUMBER(SEARCH("WD",MAIN!K209)), "WD",
                IF(ISNUMBER(SEARCH("NS",MAIN!K209)), "NS",
                IF(ISNUMBER(SEARCH("NC",MAIN!K209)), "NC",
                IF(ISNUMBER(SEARCH("DQ",MAIN!K209)), "DQ",
                IF(ISNUMBER(SEARCH("A",MAIN!K209)), 0,
                IF(OR(MAIN!K209=0,MAIN!K209=""), 0, --TRIM(MAIN!K209)))))))))))),
            0
        )
    ),
    IFERROR(
        UPPER(
            IF(MAX(IFERROR(SEARCH("WD",MAIN!G209:J209), 0))&gt;0, "WD",
            IF(MAX(IFERROR(SEARCH("NS",MAIN!G209:J209), 0))&gt;0, "NS",
            IF(MAX(IFERROR(SEARCH("NC",MAIN!G209:J209), 0))&gt;0, "NC",
            IF(MAX(IFERROR(SEARCH("DQ",MAIN!G209:J209), 0))&gt;0, "DQ",
            IF(ISNUMBER(SEARCH("WD",MAIN!K209)), "WD",
            IF(ISNUMBER(SEARCH("NS",MAIN!K209)), "NS",
            IF(ISNUMBER(SEARCH("NC",MAIN!K209)), "NC",
            IF(ISNUMBER(SEARCH("DQ",MAIN!K209)), "DQ",
            IF(ISNUMBER(SEARCH("A",MAIN!K209)), 0,
            IF(OR(MAIN!K209=0,MAIN!K209=""), 0, --TRIM(MAIN!K209)))))))))))),
        0
    )
)</f>
        <v>0</v>
      </c>
    </row>
    <row r="210" spans="1:11" x14ac:dyDescent="0.25">
      <c r="A210" t="str">
        <f>IF(ISBLANK(MAIN!A210), "--", IFERROR(PROPER(SUBSTITUTE(SUBSTITUTE(SUBSTITUTE(SUBSTITUTE(SUBSTITUTE(SUBSTITUTE(SUBSTITUTE(SUBSTITUTE(SUBSTITUTE(SUBSTITUTE(LEFT(MAIN!A210, FIND(",",MAIN!A210) -1), "0", ""), "1", ""), "2", ""), "3", ""), "4", ""), "5", ""), "6", ""), "7", ""), "8", ""), "9", "")), PROPER(SUBSTITUTE(SUBSTITUTE(SUBSTITUTE(SUBSTITUTE(SUBSTITUTE(SUBSTITUTE(SUBSTITUTE(SUBSTITUTE(SUBSTITUTE(SUBSTITUTE(MAIN!A210, "0", ""), "1", ""), "2", ""), "3", ""), "4", ""), "5", ""), "6", ""), "7", ""), "8", ""), "9", ""))))</f>
        <v>--</v>
      </c>
      <c r="B210" t="str">
        <f>IF(ISBLANK(MAIN!B210), "--", IFERROR(PROPER(SUBSTITUTE(SUBSTITUTE(SUBSTITUTE(SUBSTITUTE(SUBSTITUTE(SUBSTITUTE(SUBSTITUTE(SUBSTITUTE(SUBSTITUTE(SUBSTITUTE(LEFT(MAIN!B210, FIND(",",MAIN!B210) -1), "0", ""), "1", ""), "2", ""), "3", ""), "4", ""), "5", ""), "6", ""), "7", ""), "8", ""), "9", "")), PROPER(SUBSTITUTE(SUBSTITUTE(SUBSTITUTE(SUBSTITUTE(SUBSTITUTE(SUBSTITUTE(SUBSTITUTE(SUBSTITUTE(SUBSTITUTE(SUBSTITUTE(MAIN!B210, "0", ""), "1", ""), "2", ""), "3", ""), "4", ""), "5", ""), "6", ""), "7", ""), "8", ""), "9", ""))))</f>
        <v>--</v>
      </c>
      <c r="C210" t="str">
        <f>IF(ISBLANK(MAIN!C210), "--", IFERROR(PROPER(SUBSTITUTE(SUBSTITUTE(SUBSTITUTE(SUBSTITUTE(SUBSTITUTE(SUBSTITUTE(SUBSTITUTE(SUBSTITUTE(SUBSTITUTE(SUBSTITUTE(LEFT(MAIN!C210, FIND(",",MAIN!C210) -1), "0", ""), "1", ""), "2", ""), "3", ""), "4", ""), "5", ""), "6", ""), "7", ""), "8", ""), "9", "")), PROPER(SUBSTITUTE(SUBSTITUTE(SUBSTITUTE(SUBSTITUTE(SUBSTITUTE(SUBSTITUTE(SUBSTITUTE(SUBSTITUTE(SUBSTITUTE(SUBSTITUTE(MAIN!C210, "0", ""), "1", ""), "2", ""), "3", ""), "4", ""), "5", ""), "6", ""), "7", ""), "8", ""), "9", ""))))</f>
        <v>--</v>
      </c>
      <c r="D210" t="str">
        <f>IF(ISBLANK(MAIN!D210), "--", IF(ISNUMBER(MATCH(SUBSTITUTE(LEFT(MAIN!D210, IFERROR(FIND(",", MAIN!D210)-1, LEN(MAIN!D210))), " ", ""), lookup_values!$B$2:$B$51, 0)), UPPER(SUBSTITUTE(LEFT(MAIN!D210, IFERROR(FIND(",", MAIN!D210)-1, LEN(MAIN!D210))), " ", "")), IF(ISNA(VLOOKUP(SUBSTITUTE(LEFT(MAIN!D210, IFERROR(FIND(",", MAIN!D210)-1, LEN(MAIN!D210))), " ", ""), lookup_values!$A$2:$B$51, 2, FALSE)), "--", VLOOKUP(SUBSTITUTE(LEFT(MAIN!D210, IFERROR(FIND(",", MAIN!D210)-1, LEN(MAIN!D210))), " ", ""), lookup_values!$A$2:$B$51, 2, FALSE))))</f>
        <v>--</v>
      </c>
      <c r="E210" t="str">
        <f>IF(CLEAN_DATA!D210&lt;&gt;"--","US",IF(ISBLANK(MAIN!E210), "--", IF(ISNUMBER(MATCH(SUBSTITUTE(LEFT(MAIN!E210, IFERROR(FIND(",", MAIN!E210)-1, LEN(MAIN!E210))), " ", ""), lookup_values!$E$2:$E$197, 0)), UPPER(SUBSTITUTE(LEFT(MAIN!E210, IFERROR(FIND(",", MAIN!E210)-1, LEN(MAIN!E210))), " ", "")), IF(ISNA(VLOOKUP(SUBSTITUTE(LEFT(MAIN!E210, IFERROR(FIND(",", MAIN!E210)-1, LEN(MAIN!E210))), " ", ""), lookup_values!$D$2:$E$197, 2, FALSE)), "--", VLOOKUP(SUBSTITUTE(LEFT(MAIN!E210, IFERROR(FIND(",", MAIN!E210)-1, LEN(MAIN!E210))), " ", ""), lookup_values!$D$2:$E$197, 2, FALSE)))))</f>
        <v>--</v>
      </c>
      <c r="F210" t="str">
        <f>IF(ISBLANK(MAIN!F210), "", IF(AND(ISNUMBER(VALUE(TRIM(MAIN!F210))), LEN(TRIM(MAIN!F210))=4), VALUE(TRIM(MAIN!F210)), ""))</f>
        <v/>
      </c>
      <c r="G210">
        <f>IF(ISBLANK(MAIN!G210), 0, IF(ISNUMBER(VALUE(TRIM(MAIN!G210))), VALUE(TRIM(MAIN!G210)), 0))</f>
        <v>0</v>
      </c>
      <c r="H210">
        <f>IF(ISBLANK(MAIN!H210), 0, IF(ISNUMBER(VALUE(TRIM(MAIN!H210))), VALUE(TRIM(MAIN!H210)), 0))</f>
        <v>0</v>
      </c>
      <c r="I210">
        <f>IF(ISBLANK(MAIN!I210), 0, IF(ISNUMBER(VALUE(TRIM(MAIN!I210))), VALUE(TRIM(MAIN!I210)), 0))</f>
        <v>0</v>
      </c>
      <c r="J210">
        <f>IF(ISBLANK(MAIN!J210), 0, IF(ISNUMBER(VALUE(TRIM(MAIN!J210))), VALUE(TRIM(MAIN!J210)), 0))</f>
        <v>0</v>
      </c>
      <c r="K210" cm="1">
        <f t="array" ref="K210">IFERROR(
    VALUE(
        IFERROR(
            UPPER(
                IF(MAX(IFERROR(SEARCH("WD",MAIN!G210:J210), 0))&gt;0, "WD",
                IF(MAX(IFERROR(SEARCH("NS",MAIN!G210:J210), 0))&gt;0, "NS",
                IF(MAX(IFERROR(SEARCH("NC",MAIN!G210:J210), 0))&gt;0, "NC",
                IF(MAX(IFERROR(SEARCH("DQ",MAIN!G210:J210), 0))&gt;0, "DQ",
                IF(ISNUMBER(SEARCH("WD",MAIN!K210)), "WD",
                IF(ISNUMBER(SEARCH("NS",MAIN!K210)), "NS",
                IF(ISNUMBER(SEARCH("NC",MAIN!K210)), "NC",
                IF(ISNUMBER(SEARCH("DQ",MAIN!K210)), "DQ",
                IF(ISNUMBER(SEARCH("A",MAIN!K210)), 0,
                IF(OR(MAIN!K210=0,MAIN!K210=""), 0, --TRIM(MAIN!K210)))))))))))),
            0
        )
    ),
    IFERROR(
        UPPER(
            IF(MAX(IFERROR(SEARCH("WD",MAIN!G210:J210), 0))&gt;0, "WD",
            IF(MAX(IFERROR(SEARCH("NS",MAIN!G210:J210), 0))&gt;0, "NS",
            IF(MAX(IFERROR(SEARCH("NC",MAIN!G210:J210), 0))&gt;0, "NC",
            IF(MAX(IFERROR(SEARCH("DQ",MAIN!G210:J210), 0))&gt;0, "DQ",
            IF(ISNUMBER(SEARCH("WD",MAIN!K210)), "WD",
            IF(ISNUMBER(SEARCH("NS",MAIN!K210)), "NS",
            IF(ISNUMBER(SEARCH("NC",MAIN!K210)), "NC",
            IF(ISNUMBER(SEARCH("DQ",MAIN!K210)), "DQ",
            IF(ISNUMBER(SEARCH("A",MAIN!K210)), 0,
            IF(OR(MAIN!K210=0,MAIN!K210=""), 0, --TRIM(MAIN!K210)))))))))))),
        0
    )
)</f>
        <v>0</v>
      </c>
    </row>
    <row r="211" spans="1:11" x14ac:dyDescent="0.25">
      <c r="A211" t="str">
        <f>IF(ISBLANK(MAIN!A211), "--", IFERROR(PROPER(SUBSTITUTE(SUBSTITUTE(SUBSTITUTE(SUBSTITUTE(SUBSTITUTE(SUBSTITUTE(SUBSTITUTE(SUBSTITUTE(SUBSTITUTE(SUBSTITUTE(LEFT(MAIN!A211, FIND(",",MAIN!A211) -1), "0", ""), "1", ""), "2", ""), "3", ""), "4", ""), "5", ""), "6", ""), "7", ""), "8", ""), "9", "")), PROPER(SUBSTITUTE(SUBSTITUTE(SUBSTITUTE(SUBSTITUTE(SUBSTITUTE(SUBSTITUTE(SUBSTITUTE(SUBSTITUTE(SUBSTITUTE(SUBSTITUTE(MAIN!A211, "0", ""), "1", ""), "2", ""), "3", ""), "4", ""), "5", ""), "6", ""), "7", ""), "8", ""), "9", ""))))</f>
        <v>--</v>
      </c>
      <c r="B211" t="str">
        <f>IF(ISBLANK(MAIN!B211), "--", IFERROR(PROPER(SUBSTITUTE(SUBSTITUTE(SUBSTITUTE(SUBSTITUTE(SUBSTITUTE(SUBSTITUTE(SUBSTITUTE(SUBSTITUTE(SUBSTITUTE(SUBSTITUTE(LEFT(MAIN!B211, FIND(",",MAIN!B211) -1), "0", ""), "1", ""), "2", ""), "3", ""), "4", ""), "5", ""), "6", ""), "7", ""), "8", ""), "9", "")), PROPER(SUBSTITUTE(SUBSTITUTE(SUBSTITUTE(SUBSTITUTE(SUBSTITUTE(SUBSTITUTE(SUBSTITUTE(SUBSTITUTE(SUBSTITUTE(SUBSTITUTE(MAIN!B211, "0", ""), "1", ""), "2", ""), "3", ""), "4", ""), "5", ""), "6", ""), "7", ""), "8", ""), "9", ""))))</f>
        <v>--</v>
      </c>
      <c r="C211" t="str">
        <f>IF(ISBLANK(MAIN!C211), "--", IFERROR(PROPER(SUBSTITUTE(SUBSTITUTE(SUBSTITUTE(SUBSTITUTE(SUBSTITUTE(SUBSTITUTE(SUBSTITUTE(SUBSTITUTE(SUBSTITUTE(SUBSTITUTE(LEFT(MAIN!C211, FIND(",",MAIN!C211) -1), "0", ""), "1", ""), "2", ""), "3", ""), "4", ""), "5", ""), "6", ""), "7", ""), "8", ""), "9", "")), PROPER(SUBSTITUTE(SUBSTITUTE(SUBSTITUTE(SUBSTITUTE(SUBSTITUTE(SUBSTITUTE(SUBSTITUTE(SUBSTITUTE(SUBSTITUTE(SUBSTITUTE(MAIN!C211, "0", ""), "1", ""), "2", ""), "3", ""), "4", ""), "5", ""), "6", ""), "7", ""), "8", ""), "9", ""))))</f>
        <v>--</v>
      </c>
      <c r="D211" t="str">
        <f>IF(ISBLANK(MAIN!D211), "--", IF(ISNUMBER(MATCH(SUBSTITUTE(LEFT(MAIN!D211, IFERROR(FIND(",", MAIN!D211)-1, LEN(MAIN!D211))), " ", ""), lookup_values!$B$2:$B$51, 0)), UPPER(SUBSTITUTE(LEFT(MAIN!D211, IFERROR(FIND(",", MAIN!D211)-1, LEN(MAIN!D211))), " ", "")), IF(ISNA(VLOOKUP(SUBSTITUTE(LEFT(MAIN!D211, IFERROR(FIND(",", MAIN!D211)-1, LEN(MAIN!D211))), " ", ""), lookup_values!$A$2:$B$51, 2, FALSE)), "--", VLOOKUP(SUBSTITUTE(LEFT(MAIN!D211, IFERROR(FIND(",", MAIN!D211)-1, LEN(MAIN!D211))), " ", ""), lookup_values!$A$2:$B$51, 2, FALSE))))</f>
        <v>--</v>
      </c>
      <c r="E211" t="str">
        <f>IF(CLEAN_DATA!D211&lt;&gt;"--","US",IF(ISBLANK(MAIN!E211), "--", IF(ISNUMBER(MATCH(SUBSTITUTE(LEFT(MAIN!E211, IFERROR(FIND(",", MAIN!E211)-1, LEN(MAIN!E211))), " ", ""), lookup_values!$E$2:$E$197, 0)), UPPER(SUBSTITUTE(LEFT(MAIN!E211, IFERROR(FIND(",", MAIN!E211)-1, LEN(MAIN!E211))), " ", "")), IF(ISNA(VLOOKUP(SUBSTITUTE(LEFT(MAIN!E211, IFERROR(FIND(",", MAIN!E211)-1, LEN(MAIN!E211))), " ", ""), lookup_values!$D$2:$E$197, 2, FALSE)), "--", VLOOKUP(SUBSTITUTE(LEFT(MAIN!E211, IFERROR(FIND(",", MAIN!E211)-1, LEN(MAIN!E211))), " ", ""), lookup_values!$D$2:$E$197, 2, FALSE)))))</f>
        <v>--</v>
      </c>
      <c r="F211" t="str">
        <f>IF(ISBLANK(MAIN!F211), "", IF(AND(ISNUMBER(VALUE(TRIM(MAIN!F211))), LEN(TRIM(MAIN!F211))=4), VALUE(TRIM(MAIN!F211)), ""))</f>
        <v/>
      </c>
      <c r="G211">
        <f>IF(ISBLANK(MAIN!G211), 0, IF(ISNUMBER(VALUE(TRIM(MAIN!G211))), VALUE(TRIM(MAIN!G211)), 0))</f>
        <v>0</v>
      </c>
      <c r="H211">
        <f>IF(ISBLANK(MAIN!H211), 0, IF(ISNUMBER(VALUE(TRIM(MAIN!H211))), VALUE(TRIM(MAIN!H211)), 0))</f>
        <v>0</v>
      </c>
      <c r="I211">
        <f>IF(ISBLANK(MAIN!I211), 0, IF(ISNUMBER(VALUE(TRIM(MAIN!I211))), VALUE(TRIM(MAIN!I211)), 0))</f>
        <v>0</v>
      </c>
      <c r="J211">
        <f>IF(ISBLANK(MAIN!J211), 0, IF(ISNUMBER(VALUE(TRIM(MAIN!J211))), VALUE(TRIM(MAIN!J211)), 0))</f>
        <v>0</v>
      </c>
      <c r="K211" cm="1">
        <f t="array" ref="K211">IFERROR(
    VALUE(
        IFERROR(
            UPPER(
                IF(MAX(IFERROR(SEARCH("WD",MAIN!G211:J211), 0))&gt;0, "WD",
                IF(MAX(IFERROR(SEARCH("NS",MAIN!G211:J211), 0))&gt;0, "NS",
                IF(MAX(IFERROR(SEARCH("NC",MAIN!G211:J211), 0))&gt;0, "NC",
                IF(MAX(IFERROR(SEARCH("DQ",MAIN!G211:J211), 0))&gt;0, "DQ",
                IF(ISNUMBER(SEARCH("WD",MAIN!K211)), "WD",
                IF(ISNUMBER(SEARCH("NS",MAIN!K211)), "NS",
                IF(ISNUMBER(SEARCH("NC",MAIN!K211)), "NC",
                IF(ISNUMBER(SEARCH("DQ",MAIN!K211)), "DQ",
                IF(ISNUMBER(SEARCH("A",MAIN!K211)), 0,
                IF(OR(MAIN!K211=0,MAIN!K211=""), 0, --TRIM(MAIN!K211)))))))))))),
            0
        )
    ),
    IFERROR(
        UPPER(
            IF(MAX(IFERROR(SEARCH("WD",MAIN!G211:J211), 0))&gt;0, "WD",
            IF(MAX(IFERROR(SEARCH("NS",MAIN!G211:J211), 0))&gt;0, "NS",
            IF(MAX(IFERROR(SEARCH("NC",MAIN!G211:J211), 0))&gt;0, "NC",
            IF(MAX(IFERROR(SEARCH("DQ",MAIN!G211:J211), 0))&gt;0, "DQ",
            IF(ISNUMBER(SEARCH("WD",MAIN!K211)), "WD",
            IF(ISNUMBER(SEARCH("NS",MAIN!K211)), "NS",
            IF(ISNUMBER(SEARCH("NC",MAIN!K211)), "NC",
            IF(ISNUMBER(SEARCH("DQ",MAIN!K211)), "DQ",
            IF(ISNUMBER(SEARCH("A",MAIN!K211)), 0,
            IF(OR(MAIN!K211=0,MAIN!K211=""), 0, --TRIM(MAIN!K211)))))))))))),
        0
    )
)</f>
        <v>0</v>
      </c>
    </row>
    <row r="212" spans="1:11" x14ac:dyDescent="0.25">
      <c r="A212" t="str">
        <f>IF(ISBLANK(MAIN!A212), "--", IFERROR(PROPER(SUBSTITUTE(SUBSTITUTE(SUBSTITUTE(SUBSTITUTE(SUBSTITUTE(SUBSTITUTE(SUBSTITUTE(SUBSTITUTE(SUBSTITUTE(SUBSTITUTE(LEFT(MAIN!A212, FIND(",",MAIN!A212) -1), "0", ""), "1", ""), "2", ""), "3", ""), "4", ""), "5", ""), "6", ""), "7", ""), "8", ""), "9", "")), PROPER(SUBSTITUTE(SUBSTITUTE(SUBSTITUTE(SUBSTITUTE(SUBSTITUTE(SUBSTITUTE(SUBSTITUTE(SUBSTITUTE(SUBSTITUTE(SUBSTITUTE(MAIN!A212, "0", ""), "1", ""), "2", ""), "3", ""), "4", ""), "5", ""), "6", ""), "7", ""), "8", ""), "9", ""))))</f>
        <v>--</v>
      </c>
      <c r="B212" t="str">
        <f>IF(ISBLANK(MAIN!B212), "--", IFERROR(PROPER(SUBSTITUTE(SUBSTITUTE(SUBSTITUTE(SUBSTITUTE(SUBSTITUTE(SUBSTITUTE(SUBSTITUTE(SUBSTITUTE(SUBSTITUTE(SUBSTITUTE(LEFT(MAIN!B212, FIND(",",MAIN!B212) -1), "0", ""), "1", ""), "2", ""), "3", ""), "4", ""), "5", ""), "6", ""), "7", ""), "8", ""), "9", "")), PROPER(SUBSTITUTE(SUBSTITUTE(SUBSTITUTE(SUBSTITUTE(SUBSTITUTE(SUBSTITUTE(SUBSTITUTE(SUBSTITUTE(SUBSTITUTE(SUBSTITUTE(MAIN!B212, "0", ""), "1", ""), "2", ""), "3", ""), "4", ""), "5", ""), "6", ""), "7", ""), "8", ""), "9", ""))))</f>
        <v>--</v>
      </c>
      <c r="C212" t="str">
        <f>IF(ISBLANK(MAIN!C212), "--", IFERROR(PROPER(SUBSTITUTE(SUBSTITUTE(SUBSTITUTE(SUBSTITUTE(SUBSTITUTE(SUBSTITUTE(SUBSTITUTE(SUBSTITUTE(SUBSTITUTE(SUBSTITUTE(LEFT(MAIN!C212, FIND(",",MAIN!C212) -1), "0", ""), "1", ""), "2", ""), "3", ""), "4", ""), "5", ""), "6", ""), "7", ""), "8", ""), "9", "")), PROPER(SUBSTITUTE(SUBSTITUTE(SUBSTITUTE(SUBSTITUTE(SUBSTITUTE(SUBSTITUTE(SUBSTITUTE(SUBSTITUTE(SUBSTITUTE(SUBSTITUTE(MAIN!C212, "0", ""), "1", ""), "2", ""), "3", ""), "4", ""), "5", ""), "6", ""), "7", ""), "8", ""), "9", ""))))</f>
        <v>--</v>
      </c>
      <c r="D212" t="str">
        <f>IF(ISBLANK(MAIN!D212), "--", IF(ISNUMBER(MATCH(SUBSTITUTE(LEFT(MAIN!D212, IFERROR(FIND(",", MAIN!D212)-1, LEN(MAIN!D212))), " ", ""), lookup_values!$B$2:$B$51, 0)), UPPER(SUBSTITUTE(LEFT(MAIN!D212, IFERROR(FIND(",", MAIN!D212)-1, LEN(MAIN!D212))), " ", "")), IF(ISNA(VLOOKUP(SUBSTITUTE(LEFT(MAIN!D212, IFERROR(FIND(",", MAIN!D212)-1, LEN(MAIN!D212))), " ", ""), lookup_values!$A$2:$B$51, 2, FALSE)), "--", VLOOKUP(SUBSTITUTE(LEFT(MAIN!D212, IFERROR(FIND(",", MAIN!D212)-1, LEN(MAIN!D212))), " ", ""), lookup_values!$A$2:$B$51, 2, FALSE))))</f>
        <v>--</v>
      </c>
      <c r="E212" t="str">
        <f>IF(CLEAN_DATA!D212&lt;&gt;"--","US",IF(ISBLANK(MAIN!E212), "--", IF(ISNUMBER(MATCH(SUBSTITUTE(LEFT(MAIN!E212, IFERROR(FIND(",", MAIN!E212)-1, LEN(MAIN!E212))), " ", ""), lookup_values!$E$2:$E$197, 0)), UPPER(SUBSTITUTE(LEFT(MAIN!E212, IFERROR(FIND(",", MAIN!E212)-1, LEN(MAIN!E212))), " ", "")), IF(ISNA(VLOOKUP(SUBSTITUTE(LEFT(MAIN!E212, IFERROR(FIND(",", MAIN!E212)-1, LEN(MAIN!E212))), " ", ""), lookup_values!$D$2:$E$197, 2, FALSE)), "--", VLOOKUP(SUBSTITUTE(LEFT(MAIN!E212, IFERROR(FIND(",", MAIN!E212)-1, LEN(MAIN!E212))), " ", ""), lookup_values!$D$2:$E$197, 2, FALSE)))))</f>
        <v>--</v>
      </c>
      <c r="F212" t="str">
        <f>IF(ISBLANK(MAIN!F212), "", IF(AND(ISNUMBER(VALUE(TRIM(MAIN!F212))), LEN(TRIM(MAIN!F212))=4), VALUE(TRIM(MAIN!F212)), ""))</f>
        <v/>
      </c>
      <c r="G212">
        <f>IF(ISBLANK(MAIN!G212), 0, IF(ISNUMBER(VALUE(TRIM(MAIN!G212))), VALUE(TRIM(MAIN!G212)), 0))</f>
        <v>0</v>
      </c>
      <c r="H212">
        <f>IF(ISBLANK(MAIN!H212), 0, IF(ISNUMBER(VALUE(TRIM(MAIN!H212))), VALUE(TRIM(MAIN!H212)), 0))</f>
        <v>0</v>
      </c>
      <c r="I212">
        <f>IF(ISBLANK(MAIN!I212), 0, IF(ISNUMBER(VALUE(TRIM(MAIN!I212))), VALUE(TRIM(MAIN!I212)), 0))</f>
        <v>0</v>
      </c>
      <c r="J212">
        <f>IF(ISBLANK(MAIN!J212), 0, IF(ISNUMBER(VALUE(TRIM(MAIN!J212))), VALUE(TRIM(MAIN!J212)), 0))</f>
        <v>0</v>
      </c>
      <c r="K212" cm="1">
        <f t="array" ref="K212">IFERROR(
    VALUE(
        IFERROR(
            UPPER(
                IF(MAX(IFERROR(SEARCH("WD",MAIN!G212:J212), 0))&gt;0, "WD",
                IF(MAX(IFERROR(SEARCH("NS",MAIN!G212:J212), 0))&gt;0, "NS",
                IF(MAX(IFERROR(SEARCH("NC",MAIN!G212:J212), 0))&gt;0, "NC",
                IF(MAX(IFERROR(SEARCH("DQ",MAIN!G212:J212), 0))&gt;0, "DQ",
                IF(ISNUMBER(SEARCH("WD",MAIN!K212)), "WD",
                IF(ISNUMBER(SEARCH("NS",MAIN!K212)), "NS",
                IF(ISNUMBER(SEARCH("NC",MAIN!K212)), "NC",
                IF(ISNUMBER(SEARCH("DQ",MAIN!K212)), "DQ",
                IF(ISNUMBER(SEARCH("A",MAIN!K212)), 0,
                IF(OR(MAIN!K212=0,MAIN!K212=""), 0, --TRIM(MAIN!K212)))))))))))),
            0
        )
    ),
    IFERROR(
        UPPER(
            IF(MAX(IFERROR(SEARCH("WD",MAIN!G212:J212), 0))&gt;0, "WD",
            IF(MAX(IFERROR(SEARCH("NS",MAIN!G212:J212), 0))&gt;0, "NS",
            IF(MAX(IFERROR(SEARCH("NC",MAIN!G212:J212), 0))&gt;0, "NC",
            IF(MAX(IFERROR(SEARCH("DQ",MAIN!G212:J212), 0))&gt;0, "DQ",
            IF(ISNUMBER(SEARCH("WD",MAIN!K212)), "WD",
            IF(ISNUMBER(SEARCH("NS",MAIN!K212)), "NS",
            IF(ISNUMBER(SEARCH("NC",MAIN!K212)), "NC",
            IF(ISNUMBER(SEARCH("DQ",MAIN!K212)), "DQ",
            IF(ISNUMBER(SEARCH("A",MAIN!K212)), 0,
            IF(OR(MAIN!K212=0,MAIN!K212=""), 0, --TRIM(MAIN!K212)))))))))))),
        0
    )
)</f>
        <v>0</v>
      </c>
    </row>
    <row r="213" spans="1:11" x14ac:dyDescent="0.25">
      <c r="A213" t="str">
        <f>IF(ISBLANK(MAIN!A213), "--", IFERROR(PROPER(SUBSTITUTE(SUBSTITUTE(SUBSTITUTE(SUBSTITUTE(SUBSTITUTE(SUBSTITUTE(SUBSTITUTE(SUBSTITUTE(SUBSTITUTE(SUBSTITUTE(LEFT(MAIN!A213, FIND(",",MAIN!A213) -1), "0", ""), "1", ""), "2", ""), "3", ""), "4", ""), "5", ""), "6", ""), "7", ""), "8", ""), "9", "")), PROPER(SUBSTITUTE(SUBSTITUTE(SUBSTITUTE(SUBSTITUTE(SUBSTITUTE(SUBSTITUTE(SUBSTITUTE(SUBSTITUTE(SUBSTITUTE(SUBSTITUTE(MAIN!A213, "0", ""), "1", ""), "2", ""), "3", ""), "4", ""), "5", ""), "6", ""), "7", ""), "8", ""), "9", ""))))</f>
        <v>--</v>
      </c>
      <c r="B213" t="str">
        <f>IF(ISBLANK(MAIN!B213), "--", IFERROR(PROPER(SUBSTITUTE(SUBSTITUTE(SUBSTITUTE(SUBSTITUTE(SUBSTITUTE(SUBSTITUTE(SUBSTITUTE(SUBSTITUTE(SUBSTITUTE(SUBSTITUTE(LEFT(MAIN!B213, FIND(",",MAIN!B213) -1), "0", ""), "1", ""), "2", ""), "3", ""), "4", ""), "5", ""), "6", ""), "7", ""), "8", ""), "9", "")), PROPER(SUBSTITUTE(SUBSTITUTE(SUBSTITUTE(SUBSTITUTE(SUBSTITUTE(SUBSTITUTE(SUBSTITUTE(SUBSTITUTE(SUBSTITUTE(SUBSTITUTE(MAIN!B213, "0", ""), "1", ""), "2", ""), "3", ""), "4", ""), "5", ""), "6", ""), "7", ""), "8", ""), "9", ""))))</f>
        <v>--</v>
      </c>
      <c r="C213" t="str">
        <f>IF(ISBLANK(MAIN!C213), "--", IFERROR(PROPER(SUBSTITUTE(SUBSTITUTE(SUBSTITUTE(SUBSTITUTE(SUBSTITUTE(SUBSTITUTE(SUBSTITUTE(SUBSTITUTE(SUBSTITUTE(SUBSTITUTE(LEFT(MAIN!C213, FIND(",",MAIN!C213) -1), "0", ""), "1", ""), "2", ""), "3", ""), "4", ""), "5", ""), "6", ""), "7", ""), "8", ""), "9", "")), PROPER(SUBSTITUTE(SUBSTITUTE(SUBSTITUTE(SUBSTITUTE(SUBSTITUTE(SUBSTITUTE(SUBSTITUTE(SUBSTITUTE(SUBSTITUTE(SUBSTITUTE(MAIN!C213, "0", ""), "1", ""), "2", ""), "3", ""), "4", ""), "5", ""), "6", ""), "7", ""), "8", ""), "9", ""))))</f>
        <v>--</v>
      </c>
      <c r="D213" t="str">
        <f>IF(ISBLANK(MAIN!D213), "--", IF(ISNUMBER(MATCH(SUBSTITUTE(LEFT(MAIN!D213, IFERROR(FIND(",", MAIN!D213)-1, LEN(MAIN!D213))), " ", ""), lookup_values!$B$2:$B$51, 0)), UPPER(SUBSTITUTE(LEFT(MAIN!D213, IFERROR(FIND(",", MAIN!D213)-1, LEN(MAIN!D213))), " ", "")), IF(ISNA(VLOOKUP(SUBSTITUTE(LEFT(MAIN!D213, IFERROR(FIND(",", MAIN!D213)-1, LEN(MAIN!D213))), " ", ""), lookup_values!$A$2:$B$51, 2, FALSE)), "--", VLOOKUP(SUBSTITUTE(LEFT(MAIN!D213, IFERROR(FIND(",", MAIN!D213)-1, LEN(MAIN!D213))), " ", ""), lookup_values!$A$2:$B$51, 2, FALSE))))</f>
        <v>--</v>
      </c>
      <c r="E213" t="str">
        <f>IF(CLEAN_DATA!D213&lt;&gt;"--","US",IF(ISBLANK(MAIN!E213), "--", IF(ISNUMBER(MATCH(SUBSTITUTE(LEFT(MAIN!E213, IFERROR(FIND(",", MAIN!E213)-1, LEN(MAIN!E213))), " ", ""), lookup_values!$E$2:$E$197, 0)), UPPER(SUBSTITUTE(LEFT(MAIN!E213, IFERROR(FIND(",", MAIN!E213)-1, LEN(MAIN!E213))), " ", "")), IF(ISNA(VLOOKUP(SUBSTITUTE(LEFT(MAIN!E213, IFERROR(FIND(",", MAIN!E213)-1, LEN(MAIN!E213))), " ", ""), lookup_values!$D$2:$E$197, 2, FALSE)), "--", VLOOKUP(SUBSTITUTE(LEFT(MAIN!E213, IFERROR(FIND(",", MAIN!E213)-1, LEN(MAIN!E213))), " ", ""), lookup_values!$D$2:$E$197, 2, FALSE)))))</f>
        <v>--</v>
      </c>
      <c r="F213" t="str">
        <f>IF(ISBLANK(MAIN!F213), "", IF(AND(ISNUMBER(VALUE(TRIM(MAIN!F213))), LEN(TRIM(MAIN!F213))=4), VALUE(TRIM(MAIN!F213)), ""))</f>
        <v/>
      </c>
      <c r="G213">
        <f>IF(ISBLANK(MAIN!G213), 0, IF(ISNUMBER(VALUE(TRIM(MAIN!G213))), VALUE(TRIM(MAIN!G213)), 0))</f>
        <v>0</v>
      </c>
      <c r="H213">
        <f>IF(ISBLANK(MAIN!H213), 0, IF(ISNUMBER(VALUE(TRIM(MAIN!H213))), VALUE(TRIM(MAIN!H213)), 0))</f>
        <v>0</v>
      </c>
      <c r="I213">
        <f>IF(ISBLANK(MAIN!I213), 0, IF(ISNUMBER(VALUE(TRIM(MAIN!I213))), VALUE(TRIM(MAIN!I213)), 0))</f>
        <v>0</v>
      </c>
      <c r="J213">
        <f>IF(ISBLANK(MAIN!J213), 0, IF(ISNUMBER(VALUE(TRIM(MAIN!J213))), VALUE(TRIM(MAIN!J213)), 0))</f>
        <v>0</v>
      </c>
      <c r="K213" cm="1">
        <f t="array" ref="K213">IFERROR(
    VALUE(
        IFERROR(
            UPPER(
                IF(MAX(IFERROR(SEARCH("WD",MAIN!G213:J213), 0))&gt;0, "WD",
                IF(MAX(IFERROR(SEARCH("NS",MAIN!G213:J213), 0))&gt;0, "NS",
                IF(MAX(IFERROR(SEARCH("NC",MAIN!G213:J213), 0))&gt;0, "NC",
                IF(MAX(IFERROR(SEARCH("DQ",MAIN!G213:J213), 0))&gt;0, "DQ",
                IF(ISNUMBER(SEARCH("WD",MAIN!K213)), "WD",
                IF(ISNUMBER(SEARCH("NS",MAIN!K213)), "NS",
                IF(ISNUMBER(SEARCH("NC",MAIN!K213)), "NC",
                IF(ISNUMBER(SEARCH("DQ",MAIN!K213)), "DQ",
                IF(ISNUMBER(SEARCH("A",MAIN!K213)), 0,
                IF(OR(MAIN!K213=0,MAIN!K213=""), 0, --TRIM(MAIN!K213)))))))))))),
            0
        )
    ),
    IFERROR(
        UPPER(
            IF(MAX(IFERROR(SEARCH("WD",MAIN!G213:J213), 0))&gt;0, "WD",
            IF(MAX(IFERROR(SEARCH("NS",MAIN!G213:J213), 0))&gt;0, "NS",
            IF(MAX(IFERROR(SEARCH("NC",MAIN!G213:J213), 0))&gt;0, "NC",
            IF(MAX(IFERROR(SEARCH("DQ",MAIN!G213:J213), 0))&gt;0, "DQ",
            IF(ISNUMBER(SEARCH("WD",MAIN!K213)), "WD",
            IF(ISNUMBER(SEARCH("NS",MAIN!K213)), "NS",
            IF(ISNUMBER(SEARCH("NC",MAIN!K213)), "NC",
            IF(ISNUMBER(SEARCH("DQ",MAIN!K213)), "DQ",
            IF(ISNUMBER(SEARCH("A",MAIN!K213)), 0,
            IF(OR(MAIN!K213=0,MAIN!K213=""), 0, --TRIM(MAIN!K213)))))))))))),
        0
    )
)</f>
        <v>0</v>
      </c>
    </row>
    <row r="214" spans="1:11" x14ac:dyDescent="0.25">
      <c r="A214" t="str">
        <f>IF(ISBLANK(MAIN!A214), "--", IFERROR(PROPER(SUBSTITUTE(SUBSTITUTE(SUBSTITUTE(SUBSTITUTE(SUBSTITUTE(SUBSTITUTE(SUBSTITUTE(SUBSTITUTE(SUBSTITUTE(SUBSTITUTE(LEFT(MAIN!A214, FIND(",",MAIN!A214) -1), "0", ""), "1", ""), "2", ""), "3", ""), "4", ""), "5", ""), "6", ""), "7", ""), "8", ""), "9", "")), PROPER(SUBSTITUTE(SUBSTITUTE(SUBSTITUTE(SUBSTITUTE(SUBSTITUTE(SUBSTITUTE(SUBSTITUTE(SUBSTITUTE(SUBSTITUTE(SUBSTITUTE(MAIN!A214, "0", ""), "1", ""), "2", ""), "3", ""), "4", ""), "5", ""), "6", ""), "7", ""), "8", ""), "9", ""))))</f>
        <v>--</v>
      </c>
      <c r="B214" t="str">
        <f>IF(ISBLANK(MAIN!B214), "--", IFERROR(PROPER(SUBSTITUTE(SUBSTITUTE(SUBSTITUTE(SUBSTITUTE(SUBSTITUTE(SUBSTITUTE(SUBSTITUTE(SUBSTITUTE(SUBSTITUTE(SUBSTITUTE(LEFT(MAIN!B214, FIND(",",MAIN!B214) -1), "0", ""), "1", ""), "2", ""), "3", ""), "4", ""), "5", ""), "6", ""), "7", ""), "8", ""), "9", "")), PROPER(SUBSTITUTE(SUBSTITUTE(SUBSTITUTE(SUBSTITUTE(SUBSTITUTE(SUBSTITUTE(SUBSTITUTE(SUBSTITUTE(SUBSTITUTE(SUBSTITUTE(MAIN!B214, "0", ""), "1", ""), "2", ""), "3", ""), "4", ""), "5", ""), "6", ""), "7", ""), "8", ""), "9", ""))))</f>
        <v>--</v>
      </c>
      <c r="C214" t="str">
        <f>IF(ISBLANK(MAIN!C214), "--", IFERROR(PROPER(SUBSTITUTE(SUBSTITUTE(SUBSTITUTE(SUBSTITUTE(SUBSTITUTE(SUBSTITUTE(SUBSTITUTE(SUBSTITUTE(SUBSTITUTE(SUBSTITUTE(LEFT(MAIN!C214, FIND(",",MAIN!C214) -1), "0", ""), "1", ""), "2", ""), "3", ""), "4", ""), "5", ""), "6", ""), "7", ""), "8", ""), "9", "")), PROPER(SUBSTITUTE(SUBSTITUTE(SUBSTITUTE(SUBSTITUTE(SUBSTITUTE(SUBSTITUTE(SUBSTITUTE(SUBSTITUTE(SUBSTITUTE(SUBSTITUTE(MAIN!C214, "0", ""), "1", ""), "2", ""), "3", ""), "4", ""), "5", ""), "6", ""), "7", ""), "8", ""), "9", ""))))</f>
        <v>--</v>
      </c>
      <c r="D214" t="str">
        <f>IF(ISBLANK(MAIN!D214), "--", IF(ISNUMBER(MATCH(SUBSTITUTE(LEFT(MAIN!D214, IFERROR(FIND(",", MAIN!D214)-1, LEN(MAIN!D214))), " ", ""), lookup_values!$B$2:$B$51, 0)), UPPER(SUBSTITUTE(LEFT(MAIN!D214, IFERROR(FIND(",", MAIN!D214)-1, LEN(MAIN!D214))), " ", "")), IF(ISNA(VLOOKUP(SUBSTITUTE(LEFT(MAIN!D214, IFERROR(FIND(",", MAIN!D214)-1, LEN(MAIN!D214))), " ", ""), lookup_values!$A$2:$B$51, 2, FALSE)), "--", VLOOKUP(SUBSTITUTE(LEFT(MAIN!D214, IFERROR(FIND(",", MAIN!D214)-1, LEN(MAIN!D214))), " ", ""), lookup_values!$A$2:$B$51, 2, FALSE))))</f>
        <v>--</v>
      </c>
      <c r="E214" t="str">
        <f>IF(CLEAN_DATA!D214&lt;&gt;"--","US",IF(ISBLANK(MAIN!E214), "--", IF(ISNUMBER(MATCH(SUBSTITUTE(LEFT(MAIN!E214, IFERROR(FIND(",", MAIN!E214)-1, LEN(MAIN!E214))), " ", ""), lookup_values!$E$2:$E$197, 0)), UPPER(SUBSTITUTE(LEFT(MAIN!E214, IFERROR(FIND(",", MAIN!E214)-1, LEN(MAIN!E214))), " ", "")), IF(ISNA(VLOOKUP(SUBSTITUTE(LEFT(MAIN!E214, IFERROR(FIND(",", MAIN!E214)-1, LEN(MAIN!E214))), " ", ""), lookup_values!$D$2:$E$197, 2, FALSE)), "--", VLOOKUP(SUBSTITUTE(LEFT(MAIN!E214, IFERROR(FIND(",", MAIN!E214)-1, LEN(MAIN!E214))), " ", ""), lookup_values!$D$2:$E$197, 2, FALSE)))))</f>
        <v>--</v>
      </c>
      <c r="F214" t="str">
        <f>IF(ISBLANK(MAIN!F214), "", IF(AND(ISNUMBER(VALUE(TRIM(MAIN!F214))), LEN(TRIM(MAIN!F214))=4), VALUE(TRIM(MAIN!F214)), ""))</f>
        <v/>
      </c>
      <c r="G214">
        <f>IF(ISBLANK(MAIN!G214), 0, IF(ISNUMBER(VALUE(TRIM(MAIN!G214))), VALUE(TRIM(MAIN!G214)), 0))</f>
        <v>0</v>
      </c>
      <c r="H214">
        <f>IF(ISBLANK(MAIN!H214), 0, IF(ISNUMBER(VALUE(TRIM(MAIN!H214))), VALUE(TRIM(MAIN!H214)), 0))</f>
        <v>0</v>
      </c>
      <c r="I214">
        <f>IF(ISBLANK(MAIN!I214), 0, IF(ISNUMBER(VALUE(TRIM(MAIN!I214))), VALUE(TRIM(MAIN!I214)), 0))</f>
        <v>0</v>
      </c>
      <c r="J214">
        <f>IF(ISBLANK(MAIN!J214), 0, IF(ISNUMBER(VALUE(TRIM(MAIN!J214))), VALUE(TRIM(MAIN!J214)), 0))</f>
        <v>0</v>
      </c>
      <c r="K214" cm="1">
        <f t="array" ref="K214">IFERROR(
    VALUE(
        IFERROR(
            UPPER(
                IF(MAX(IFERROR(SEARCH("WD",MAIN!G214:J214), 0))&gt;0, "WD",
                IF(MAX(IFERROR(SEARCH("NS",MAIN!G214:J214), 0))&gt;0, "NS",
                IF(MAX(IFERROR(SEARCH("NC",MAIN!G214:J214), 0))&gt;0, "NC",
                IF(MAX(IFERROR(SEARCH("DQ",MAIN!G214:J214), 0))&gt;0, "DQ",
                IF(ISNUMBER(SEARCH("WD",MAIN!K214)), "WD",
                IF(ISNUMBER(SEARCH("NS",MAIN!K214)), "NS",
                IF(ISNUMBER(SEARCH("NC",MAIN!K214)), "NC",
                IF(ISNUMBER(SEARCH("DQ",MAIN!K214)), "DQ",
                IF(ISNUMBER(SEARCH("A",MAIN!K214)), 0,
                IF(OR(MAIN!K214=0,MAIN!K214=""), 0, --TRIM(MAIN!K214)))))))))))),
            0
        )
    ),
    IFERROR(
        UPPER(
            IF(MAX(IFERROR(SEARCH("WD",MAIN!G214:J214), 0))&gt;0, "WD",
            IF(MAX(IFERROR(SEARCH("NS",MAIN!G214:J214), 0))&gt;0, "NS",
            IF(MAX(IFERROR(SEARCH("NC",MAIN!G214:J214), 0))&gt;0, "NC",
            IF(MAX(IFERROR(SEARCH("DQ",MAIN!G214:J214), 0))&gt;0, "DQ",
            IF(ISNUMBER(SEARCH("WD",MAIN!K214)), "WD",
            IF(ISNUMBER(SEARCH("NS",MAIN!K214)), "NS",
            IF(ISNUMBER(SEARCH("NC",MAIN!K214)), "NC",
            IF(ISNUMBER(SEARCH("DQ",MAIN!K214)), "DQ",
            IF(ISNUMBER(SEARCH("A",MAIN!K214)), 0,
            IF(OR(MAIN!K214=0,MAIN!K214=""), 0, --TRIM(MAIN!K214)))))))))))),
        0
    )
)</f>
        <v>0</v>
      </c>
    </row>
    <row r="215" spans="1:11" x14ac:dyDescent="0.25">
      <c r="A215" t="str">
        <f>IF(ISBLANK(MAIN!A215), "--", IFERROR(PROPER(SUBSTITUTE(SUBSTITUTE(SUBSTITUTE(SUBSTITUTE(SUBSTITUTE(SUBSTITUTE(SUBSTITUTE(SUBSTITUTE(SUBSTITUTE(SUBSTITUTE(LEFT(MAIN!A215, FIND(",",MAIN!A215) -1), "0", ""), "1", ""), "2", ""), "3", ""), "4", ""), "5", ""), "6", ""), "7", ""), "8", ""), "9", "")), PROPER(SUBSTITUTE(SUBSTITUTE(SUBSTITUTE(SUBSTITUTE(SUBSTITUTE(SUBSTITUTE(SUBSTITUTE(SUBSTITUTE(SUBSTITUTE(SUBSTITUTE(MAIN!A215, "0", ""), "1", ""), "2", ""), "3", ""), "4", ""), "5", ""), "6", ""), "7", ""), "8", ""), "9", ""))))</f>
        <v>--</v>
      </c>
      <c r="B215" t="str">
        <f>IF(ISBLANK(MAIN!B215), "--", IFERROR(PROPER(SUBSTITUTE(SUBSTITUTE(SUBSTITUTE(SUBSTITUTE(SUBSTITUTE(SUBSTITUTE(SUBSTITUTE(SUBSTITUTE(SUBSTITUTE(SUBSTITUTE(LEFT(MAIN!B215, FIND(",",MAIN!B215) -1), "0", ""), "1", ""), "2", ""), "3", ""), "4", ""), "5", ""), "6", ""), "7", ""), "8", ""), "9", "")), PROPER(SUBSTITUTE(SUBSTITUTE(SUBSTITUTE(SUBSTITUTE(SUBSTITUTE(SUBSTITUTE(SUBSTITUTE(SUBSTITUTE(SUBSTITUTE(SUBSTITUTE(MAIN!B215, "0", ""), "1", ""), "2", ""), "3", ""), "4", ""), "5", ""), "6", ""), "7", ""), "8", ""), "9", ""))))</f>
        <v>--</v>
      </c>
      <c r="C215" t="str">
        <f>IF(ISBLANK(MAIN!C215), "--", IFERROR(PROPER(SUBSTITUTE(SUBSTITUTE(SUBSTITUTE(SUBSTITUTE(SUBSTITUTE(SUBSTITUTE(SUBSTITUTE(SUBSTITUTE(SUBSTITUTE(SUBSTITUTE(LEFT(MAIN!C215, FIND(",",MAIN!C215) -1), "0", ""), "1", ""), "2", ""), "3", ""), "4", ""), "5", ""), "6", ""), "7", ""), "8", ""), "9", "")), PROPER(SUBSTITUTE(SUBSTITUTE(SUBSTITUTE(SUBSTITUTE(SUBSTITUTE(SUBSTITUTE(SUBSTITUTE(SUBSTITUTE(SUBSTITUTE(SUBSTITUTE(MAIN!C215, "0", ""), "1", ""), "2", ""), "3", ""), "4", ""), "5", ""), "6", ""), "7", ""), "8", ""), "9", ""))))</f>
        <v>--</v>
      </c>
      <c r="D215" t="str">
        <f>IF(ISBLANK(MAIN!D215), "--", IF(ISNUMBER(MATCH(SUBSTITUTE(LEFT(MAIN!D215, IFERROR(FIND(",", MAIN!D215)-1, LEN(MAIN!D215))), " ", ""), lookup_values!$B$2:$B$51, 0)), UPPER(SUBSTITUTE(LEFT(MAIN!D215, IFERROR(FIND(",", MAIN!D215)-1, LEN(MAIN!D215))), " ", "")), IF(ISNA(VLOOKUP(SUBSTITUTE(LEFT(MAIN!D215, IFERROR(FIND(",", MAIN!D215)-1, LEN(MAIN!D215))), " ", ""), lookup_values!$A$2:$B$51, 2, FALSE)), "--", VLOOKUP(SUBSTITUTE(LEFT(MAIN!D215, IFERROR(FIND(",", MAIN!D215)-1, LEN(MAIN!D215))), " ", ""), lookup_values!$A$2:$B$51, 2, FALSE))))</f>
        <v>--</v>
      </c>
      <c r="E215" t="str">
        <f>IF(CLEAN_DATA!D215&lt;&gt;"--","US",IF(ISBLANK(MAIN!E215), "--", IF(ISNUMBER(MATCH(SUBSTITUTE(LEFT(MAIN!E215, IFERROR(FIND(",", MAIN!E215)-1, LEN(MAIN!E215))), " ", ""), lookup_values!$E$2:$E$197, 0)), UPPER(SUBSTITUTE(LEFT(MAIN!E215, IFERROR(FIND(",", MAIN!E215)-1, LEN(MAIN!E215))), " ", "")), IF(ISNA(VLOOKUP(SUBSTITUTE(LEFT(MAIN!E215, IFERROR(FIND(",", MAIN!E215)-1, LEN(MAIN!E215))), " ", ""), lookup_values!$D$2:$E$197, 2, FALSE)), "--", VLOOKUP(SUBSTITUTE(LEFT(MAIN!E215, IFERROR(FIND(",", MAIN!E215)-1, LEN(MAIN!E215))), " ", ""), lookup_values!$D$2:$E$197, 2, FALSE)))))</f>
        <v>--</v>
      </c>
      <c r="F215" t="str">
        <f>IF(ISBLANK(MAIN!F215), "", IF(AND(ISNUMBER(VALUE(TRIM(MAIN!F215))), LEN(TRIM(MAIN!F215))=4), VALUE(TRIM(MAIN!F215)), ""))</f>
        <v/>
      </c>
      <c r="G215">
        <f>IF(ISBLANK(MAIN!G215), 0, IF(ISNUMBER(VALUE(TRIM(MAIN!G215))), VALUE(TRIM(MAIN!G215)), 0))</f>
        <v>0</v>
      </c>
      <c r="H215">
        <f>IF(ISBLANK(MAIN!H215), 0, IF(ISNUMBER(VALUE(TRIM(MAIN!H215))), VALUE(TRIM(MAIN!H215)), 0))</f>
        <v>0</v>
      </c>
      <c r="I215">
        <f>IF(ISBLANK(MAIN!I215), 0, IF(ISNUMBER(VALUE(TRIM(MAIN!I215))), VALUE(TRIM(MAIN!I215)), 0))</f>
        <v>0</v>
      </c>
      <c r="J215">
        <f>IF(ISBLANK(MAIN!J215), 0, IF(ISNUMBER(VALUE(TRIM(MAIN!J215))), VALUE(TRIM(MAIN!J215)), 0))</f>
        <v>0</v>
      </c>
      <c r="K215" cm="1">
        <f t="array" ref="K215">IFERROR(
    VALUE(
        IFERROR(
            UPPER(
                IF(MAX(IFERROR(SEARCH("WD",MAIN!G215:J215), 0))&gt;0, "WD",
                IF(MAX(IFERROR(SEARCH("NS",MAIN!G215:J215), 0))&gt;0, "NS",
                IF(MAX(IFERROR(SEARCH("NC",MAIN!G215:J215), 0))&gt;0, "NC",
                IF(MAX(IFERROR(SEARCH("DQ",MAIN!G215:J215), 0))&gt;0, "DQ",
                IF(ISNUMBER(SEARCH("WD",MAIN!K215)), "WD",
                IF(ISNUMBER(SEARCH("NS",MAIN!K215)), "NS",
                IF(ISNUMBER(SEARCH("NC",MAIN!K215)), "NC",
                IF(ISNUMBER(SEARCH("DQ",MAIN!K215)), "DQ",
                IF(ISNUMBER(SEARCH("A",MAIN!K215)), 0,
                IF(OR(MAIN!K215=0,MAIN!K215=""), 0, --TRIM(MAIN!K215)))))))))))),
            0
        )
    ),
    IFERROR(
        UPPER(
            IF(MAX(IFERROR(SEARCH("WD",MAIN!G215:J215), 0))&gt;0, "WD",
            IF(MAX(IFERROR(SEARCH("NS",MAIN!G215:J215), 0))&gt;0, "NS",
            IF(MAX(IFERROR(SEARCH("NC",MAIN!G215:J215), 0))&gt;0, "NC",
            IF(MAX(IFERROR(SEARCH("DQ",MAIN!G215:J215), 0))&gt;0, "DQ",
            IF(ISNUMBER(SEARCH("WD",MAIN!K215)), "WD",
            IF(ISNUMBER(SEARCH("NS",MAIN!K215)), "NS",
            IF(ISNUMBER(SEARCH("NC",MAIN!K215)), "NC",
            IF(ISNUMBER(SEARCH("DQ",MAIN!K215)), "DQ",
            IF(ISNUMBER(SEARCH("A",MAIN!K215)), 0,
            IF(OR(MAIN!K215=0,MAIN!K215=""), 0, --TRIM(MAIN!K215)))))))))))),
        0
    )
)</f>
        <v>0</v>
      </c>
    </row>
    <row r="216" spans="1:11" x14ac:dyDescent="0.25">
      <c r="A216" t="str">
        <f>IF(ISBLANK(MAIN!A216), "--", IFERROR(PROPER(SUBSTITUTE(SUBSTITUTE(SUBSTITUTE(SUBSTITUTE(SUBSTITUTE(SUBSTITUTE(SUBSTITUTE(SUBSTITUTE(SUBSTITUTE(SUBSTITUTE(LEFT(MAIN!A216, FIND(",",MAIN!A216) -1), "0", ""), "1", ""), "2", ""), "3", ""), "4", ""), "5", ""), "6", ""), "7", ""), "8", ""), "9", "")), PROPER(SUBSTITUTE(SUBSTITUTE(SUBSTITUTE(SUBSTITUTE(SUBSTITUTE(SUBSTITUTE(SUBSTITUTE(SUBSTITUTE(SUBSTITUTE(SUBSTITUTE(MAIN!A216, "0", ""), "1", ""), "2", ""), "3", ""), "4", ""), "5", ""), "6", ""), "7", ""), "8", ""), "9", ""))))</f>
        <v>--</v>
      </c>
      <c r="B216" t="str">
        <f>IF(ISBLANK(MAIN!B216), "--", IFERROR(PROPER(SUBSTITUTE(SUBSTITUTE(SUBSTITUTE(SUBSTITUTE(SUBSTITUTE(SUBSTITUTE(SUBSTITUTE(SUBSTITUTE(SUBSTITUTE(SUBSTITUTE(LEFT(MAIN!B216, FIND(",",MAIN!B216) -1), "0", ""), "1", ""), "2", ""), "3", ""), "4", ""), "5", ""), "6", ""), "7", ""), "8", ""), "9", "")), PROPER(SUBSTITUTE(SUBSTITUTE(SUBSTITUTE(SUBSTITUTE(SUBSTITUTE(SUBSTITUTE(SUBSTITUTE(SUBSTITUTE(SUBSTITUTE(SUBSTITUTE(MAIN!B216, "0", ""), "1", ""), "2", ""), "3", ""), "4", ""), "5", ""), "6", ""), "7", ""), "8", ""), "9", ""))))</f>
        <v>--</v>
      </c>
      <c r="C216" t="str">
        <f>IF(ISBLANK(MAIN!C216), "--", IFERROR(PROPER(SUBSTITUTE(SUBSTITUTE(SUBSTITUTE(SUBSTITUTE(SUBSTITUTE(SUBSTITUTE(SUBSTITUTE(SUBSTITUTE(SUBSTITUTE(SUBSTITUTE(LEFT(MAIN!C216, FIND(",",MAIN!C216) -1), "0", ""), "1", ""), "2", ""), "3", ""), "4", ""), "5", ""), "6", ""), "7", ""), "8", ""), "9", "")), PROPER(SUBSTITUTE(SUBSTITUTE(SUBSTITUTE(SUBSTITUTE(SUBSTITUTE(SUBSTITUTE(SUBSTITUTE(SUBSTITUTE(SUBSTITUTE(SUBSTITUTE(MAIN!C216, "0", ""), "1", ""), "2", ""), "3", ""), "4", ""), "5", ""), "6", ""), "7", ""), "8", ""), "9", ""))))</f>
        <v>--</v>
      </c>
      <c r="D216" t="str">
        <f>IF(ISBLANK(MAIN!D216), "--", IF(ISNUMBER(MATCH(SUBSTITUTE(LEFT(MAIN!D216, IFERROR(FIND(",", MAIN!D216)-1, LEN(MAIN!D216))), " ", ""), lookup_values!$B$2:$B$51, 0)), UPPER(SUBSTITUTE(LEFT(MAIN!D216, IFERROR(FIND(",", MAIN!D216)-1, LEN(MAIN!D216))), " ", "")), IF(ISNA(VLOOKUP(SUBSTITUTE(LEFT(MAIN!D216, IFERROR(FIND(",", MAIN!D216)-1, LEN(MAIN!D216))), " ", ""), lookup_values!$A$2:$B$51, 2, FALSE)), "--", VLOOKUP(SUBSTITUTE(LEFT(MAIN!D216, IFERROR(FIND(",", MAIN!D216)-1, LEN(MAIN!D216))), " ", ""), lookup_values!$A$2:$B$51, 2, FALSE))))</f>
        <v>--</v>
      </c>
      <c r="E216" t="str">
        <f>IF(CLEAN_DATA!D216&lt;&gt;"--","US",IF(ISBLANK(MAIN!E216), "--", IF(ISNUMBER(MATCH(SUBSTITUTE(LEFT(MAIN!E216, IFERROR(FIND(",", MAIN!E216)-1, LEN(MAIN!E216))), " ", ""), lookup_values!$E$2:$E$197, 0)), UPPER(SUBSTITUTE(LEFT(MAIN!E216, IFERROR(FIND(",", MAIN!E216)-1, LEN(MAIN!E216))), " ", "")), IF(ISNA(VLOOKUP(SUBSTITUTE(LEFT(MAIN!E216, IFERROR(FIND(",", MAIN!E216)-1, LEN(MAIN!E216))), " ", ""), lookup_values!$D$2:$E$197, 2, FALSE)), "--", VLOOKUP(SUBSTITUTE(LEFT(MAIN!E216, IFERROR(FIND(",", MAIN!E216)-1, LEN(MAIN!E216))), " ", ""), lookup_values!$D$2:$E$197, 2, FALSE)))))</f>
        <v>--</v>
      </c>
      <c r="F216" t="str">
        <f>IF(ISBLANK(MAIN!F216), "", IF(AND(ISNUMBER(VALUE(TRIM(MAIN!F216))), LEN(TRIM(MAIN!F216))=4), VALUE(TRIM(MAIN!F216)), ""))</f>
        <v/>
      </c>
      <c r="G216">
        <f>IF(ISBLANK(MAIN!G216), 0, IF(ISNUMBER(VALUE(TRIM(MAIN!G216))), VALUE(TRIM(MAIN!G216)), 0))</f>
        <v>0</v>
      </c>
      <c r="H216">
        <f>IF(ISBLANK(MAIN!H216), 0, IF(ISNUMBER(VALUE(TRIM(MAIN!H216))), VALUE(TRIM(MAIN!H216)), 0))</f>
        <v>0</v>
      </c>
      <c r="I216">
        <f>IF(ISBLANK(MAIN!I216), 0, IF(ISNUMBER(VALUE(TRIM(MAIN!I216))), VALUE(TRIM(MAIN!I216)), 0))</f>
        <v>0</v>
      </c>
      <c r="J216">
        <f>IF(ISBLANK(MAIN!J216), 0, IF(ISNUMBER(VALUE(TRIM(MAIN!J216))), VALUE(TRIM(MAIN!J216)), 0))</f>
        <v>0</v>
      </c>
      <c r="K216" cm="1">
        <f t="array" ref="K216">IFERROR(
    VALUE(
        IFERROR(
            UPPER(
                IF(MAX(IFERROR(SEARCH("WD",MAIN!G216:J216), 0))&gt;0, "WD",
                IF(MAX(IFERROR(SEARCH("NS",MAIN!G216:J216), 0))&gt;0, "NS",
                IF(MAX(IFERROR(SEARCH("NC",MAIN!G216:J216), 0))&gt;0, "NC",
                IF(MAX(IFERROR(SEARCH("DQ",MAIN!G216:J216), 0))&gt;0, "DQ",
                IF(ISNUMBER(SEARCH("WD",MAIN!K216)), "WD",
                IF(ISNUMBER(SEARCH("NS",MAIN!K216)), "NS",
                IF(ISNUMBER(SEARCH("NC",MAIN!K216)), "NC",
                IF(ISNUMBER(SEARCH("DQ",MAIN!K216)), "DQ",
                IF(ISNUMBER(SEARCH("A",MAIN!K216)), 0,
                IF(OR(MAIN!K216=0,MAIN!K216=""), 0, --TRIM(MAIN!K216)))))))))))),
            0
        )
    ),
    IFERROR(
        UPPER(
            IF(MAX(IFERROR(SEARCH("WD",MAIN!G216:J216), 0))&gt;0, "WD",
            IF(MAX(IFERROR(SEARCH("NS",MAIN!G216:J216), 0))&gt;0, "NS",
            IF(MAX(IFERROR(SEARCH("NC",MAIN!G216:J216), 0))&gt;0, "NC",
            IF(MAX(IFERROR(SEARCH("DQ",MAIN!G216:J216), 0))&gt;0, "DQ",
            IF(ISNUMBER(SEARCH("WD",MAIN!K216)), "WD",
            IF(ISNUMBER(SEARCH("NS",MAIN!K216)), "NS",
            IF(ISNUMBER(SEARCH("NC",MAIN!K216)), "NC",
            IF(ISNUMBER(SEARCH("DQ",MAIN!K216)), "DQ",
            IF(ISNUMBER(SEARCH("A",MAIN!K216)), 0,
            IF(OR(MAIN!K216=0,MAIN!K216=""), 0, --TRIM(MAIN!K216)))))))))))),
        0
    )
)</f>
        <v>0</v>
      </c>
    </row>
    <row r="217" spans="1:11" x14ac:dyDescent="0.25">
      <c r="A217" t="str">
        <f>IF(ISBLANK(MAIN!A217), "--", IFERROR(PROPER(SUBSTITUTE(SUBSTITUTE(SUBSTITUTE(SUBSTITUTE(SUBSTITUTE(SUBSTITUTE(SUBSTITUTE(SUBSTITUTE(SUBSTITUTE(SUBSTITUTE(LEFT(MAIN!A217, FIND(",",MAIN!A217) -1), "0", ""), "1", ""), "2", ""), "3", ""), "4", ""), "5", ""), "6", ""), "7", ""), "8", ""), "9", "")), PROPER(SUBSTITUTE(SUBSTITUTE(SUBSTITUTE(SUBSTITUTE(SUBSTITUTE(SUBSTITUTE(SUBSTITUTE(SUBSTITUTE(SUBSTITUTE(SUBSTITUTE(MAIN!A217, "0", ""), "1", ""), "2", ""), "3", ""), "4", ""), "5", ""), "6", ""), "7", ""), "8", ""), "9", ""))))</f>
        <v>--</v>
      </c>
      <c r="B217" t="str">
        <f>IF(ISBLANK(MAIN!B217), "--", IFERROR(PROPER(SUBSTITUTE(SUBSTITUTE(SUBSTITUTE(SUBSTITUTE(SUBSTITUTE(SUBSTITUTE(SUBSTITUTE(SUBSTITUTE(SUBSTITUTE(SUBSTITUTE(LEFT(MAIN!B217, FIND(",",MAIN!B217) -1), "0", ""), "1", ""), "2", ""), "3", ""), "4", ""), "5", ""), "6", ""), "7", ""), "8", ""), "9", "")), PROPER(SUBSTITUTE(SUBSTITUTE(SUBSTITUTE(SUBSTITUTE(SUBSTITUTE(SUBSTITUTE(SUBSTITUTE(SUBSTITUTE(SUBSTITUTE(SUBSTITUTE(MAIN!B217, "0", ""), "1", ""), "2", ""), "3", ""), "4", ""), "5", ""), "6", ""), "7", ""), "8", ""), "9", ""))))</f>
        <v>--</v>
      </c>
      <c r="C217" t="str">
        <f>IF(ISBLANK(MAIN!C217), "--", IFERROR(PROPER(SUBSTITUTE(SUBSTITUTE(SUBSTITUTE(SUBSTITUTE(SUBSTITUTE(SUBSTITUTE(SUBSTITUTE(SUBSTITUTE(SUBSTITUTE(SUBSTITUTE(LEFT(MAIN!C217, FIND(",",MAIN!C217) -1), "0", ""), "1", ""), "2", ""), "3", ""), "4", ""), "5", ""), "6", ""), "7", ""), "8", ""), "9", "")), PROPER(SUBSTITUTE(SUBSTITUTE(SUBSTITUTE(SUBSTITUTE(SUBSTITUTE(SUBSTITUTE(SUBSTITUTE(SUBSTITUTE(SUBSTITUTE(SUBSTITUTE(MAIN!C217, "0", ""), "1", ""), "2", ""), "3", ""), "4", ""), "5", ""), "6", ""), "7", ""), "8", ""), "9", ""))))</f>
        <v>--</v>
      </c>
      <c r="D217" t="str">
        <f>IF(ISBLANK(MAIN!D217), "--", IF(ISNUMBER(MATCH(SUBSTITUTE(LEFT(MAIN!D217, IFERROR(FIND(",", MAIN!D217)-1, LEN(MAIN!D217))), " ", ""), lookup_values!$B$2:$B$51, 0)), UPPER(SUBSTITUTE(LEFT(MAIN!D217, IFERROR(FIND(",", MAIN!D217)-1, LEN(MAIN!D217))), " ", "")), IF(ISNA(VLOOKUP(SUBSTITUTE(LEFT(MAIN!D217, IFERROR(FIND(",", MAIN!D217)-1, LEN(MAIN!D217))), " ", ""), lookup_values!$A$2:$B$51, 2, FALSE)), "--", VLOOKUP(SUBSTITUTE(LEFT(MAIN!D217, IFERROR(FIND(",", MAIN!D217)-1, LEN(MAIN!D217))), " ", ""), lookup_values!$A$2:$B$51, 2, FALSE))))</f>
        <v>--</v>
      </c>
      <c r="E217" t="str">
        <f>IF(CLEAN_DATA!D217&lt;&gt;"--","US",IF(ISBLANK(MAIN!E217), "--", IF(ISNUMBER(MATCH(SUBSTITUTE(LEFT(MAIN!E217, IFERROR(FIND(",", MAIN!E217)-1, LEN(MAIN!E217))), " ", ""), lookup_values!$E$2:$E$197, 0)), UPPER(SUBSTITUTE(LEFT(MAIN!E217, IFERROR(FIND(",", MAIN!E217)-1, LEN(MAIN!E217))), " ", "")), IF(ISNA(VLOOKUP(SUBSTITUTE(LEFT(MAIN!E217, IFERROR(FIND(",", MAIN!E217)-1, LEN(MAIN!E217))), " ", ""), lookup_values!$D$2:$E$197, 2, FALSE)), "--", VLOOKUP(SUBSTITUTE(LEFT(MAIN!E217, IFERROR(FIND(",", MAIN!E217)-1, LEN(MAIN!E217))), " ", ""), lookup_values!$D$2:$E$197, 2, FALSE)))))</f>
        <v>--</v>
      </c>
      <c r="F217" t="str">
        <f>IF(ISBLANK(MAIN!F217), "", IF(AND(ISNUMBER(VALUE(TRIM(MAIN!F217))), LEN(TRIM(MAIN!F217))=4), VALUE(TRIM(MAIN!F217)), ""))</f>
        <v/>
      </c>
      <c r="G217">
        <f>IF(ISBLANK(MAIN!G217), 0, IF(ISNUMBER(VALUE(TRIM(MAIN!G217))), VALUE(TRIM(MAIN!G217)), 0))</f>
        <v>0</v>
      </c>
      <c r="H217">
        <f>IF(ISBLANK(MAIN!H217), 0, IF(ISNUMBER(VALUE(TRIM(MAIN!H217))), VALUE(TRIM(MAIN!H217)), 0))</f>
        <v>0</v>
      </c>
      <c r="I217">
        <f>IF(ISBLANK(MAIN!I217), 0, IF(ISNUMBER(VALUE(TRIM(MAIN!I217))), VALUE(TRIM(MAIN!I217)), 0))</f>
        <v>0</v>
      </c>
      <c r="J217">
        <f>IF(ISBLANK(MAIN!J217), 0, IF(ISNUMBER(VALUE(TRIM(MAIN!J217))), VALUE(TRIM(MAIN!J217)), 0))</f>
        <v>0</v>
      </c>
      <c r="K217" cm="1">
        <f t="array" ref="K217">IFERROR(
    VALUE(
        IFERROR(
            UPPER(
                IF(MAX(IFERROR(SEARCH("WD",MAIN!G217:J217), 0))&gt;0, "WD",
                IF(MAX(IFERROR(SEARCH("NS",MAIN!G217:J217), 0))&gt;0, "NS",
                IF(MAX(IFERROR(SEARCH("NC",MAIN!G217:J217), 0))&gt;0, "NC",
                IF(MAX(IFERROR(SEARCH("DQ",MAIN!G217:J217), 0))&gt;0, "DQ",
                IF(ISNUMBER(SEARCH("WD",MAIN!K217)), "WD",
                IF(ISNUMBER(SEARCH("NS",MAIN!K217)), "NS",
                IF(ISNUMBER(SEARCH("NC",MAIN!K217)), "NC",
                IF(ISNUMBER(SEARCH("DQ",MAIN!K217)), "DQ",
                IF(ISNUMBER(SEARCH("A",MAIN!K217)), 0,
                IF(OR(MAIN!K217=0,MAIN!K217=""), 0, --TRIM(MAIN!K217)))))))))))),
            0
        )
    ),
    IFERROR(
        UPPER(
            IF(MAX(IFERROR(SEARCH("WD",MAIN!G217:J217), 0))&gt;0, "WD",
            IF(MAX(IFERROR(SEARCH("NS",MAIN!G217:J217), 0))&gt;0, "NS",
            IF(MAX(IFERROR(SEARCH("NC",MAIN!G217:J217), 0))&gt;0, "NC",
            IF(MAX(IFERROR(SEARCH("DQ",MAIN!G217:J217), 0))&gt;0, "DQ",
            IF(ISNUMBER(SEARCH("WD",MAIN!K217)), "WD",
            IF(ISNUMBER(SEARCH("NS",MAIN!K217)), "NS",
            IF(ISNUMBER(SEARCH("NC",MAIN!K217)), "NC",
            IF(ISNUMBER(SEARCH("DQ",MAIN!K217)), "DQ",
            IF(ISNUMBER(SEARCH("A",MAIN!K217)), 0,
            IF(OR(MAIN!K217=0,MAIN!K217=""), 0, --TRIM(MAIN!K217)))))))))))),
        0
    )
)</f>
        <v>0</v>
      </c>
    </row>
    <row r="218" spans="1:11" x14ac:dyDescent="0.25">
      <c r="A218" t="str">
        <f>IF(ISBLANK(MAIN!A218), "--", IFERROR(PROPER(SUBSTITUTE(SUBSTITUTE(SUBSTITUTE(SUBSTITUTE(SUBSTITUTE(SUBSTITUTE(SUBSTITUTE(SUBSTITUTE(SUBSTITUTE(SUBSTITUTE(LEFT(MAIN!A218, FIND(",",MAIN!A218) -1), "0", ""), "1", ""), "2", ""), "3", ""), "4", ""), "5", ""), "6", ""), "7", ""), "8", ""), "9", "")), PROPER(SUBSTITUTE(SUBSTITUTE(SUBSTITUTE(SUBSTITUTE(SUBSTITUTE(SUBSTITUTE(SUBSTITUTE(SUBSTITUTE(SUBSTITUTE(SUBSTITUTE(MAIN!A218, "0", ""), "1", ""), "2", ""), "3", ""), "4", ""), "5", ""), "6", ""), "7", ""), "8", ""), "9", ""))))</f>
        <v>--</v>
      </c>
      <c r="B218" t="str">
        <f>IF(ISBLANK(MAIN!B218), "--", IFERROR(PROPER(SUBSTITUTE(SUBSTITUTE(SUBSTITUTE(SUBSTITUTE(SUBSTITUTE(SUBSTITUTE(SUBSTITUTE(SUBSTITUTE(SUBSTITUTE(SUBSTITUTE(LEFT(MAIN!B218, FIND(",",MAIN!B218) -1), "0", ""), "1", ""), "2", ""), "3", ""), "4", ""), "5", ""), "6", ""), "7", ""), "8", ""), "9", "")), PROPER(SUBSTITUTE(SUBSTITUTE(SUBSTITUTE(SUBSTITUTE(SUBSTITUTE(SUBSTITUTE(SUBSTITUTE(SUBSTITUTE(SUBSTITUTE(SUBSTITUTE(MAIN!B218, "0", ""), "1", ""), "2", ""), "3", ""), "4", ""), "5", ""), "6", ""), "7", ""), "8", ""), "9", ""))))</f>
        <v>--</v>
      </c>
      <c r="C218" t="str">
        <f>IF(ISBLANK(MAIN!C218), "--", IFERROR(PROPER(SUBSTITUTE(SUBSTITUTE(SUBSTITUTE(SUBSTITUTE(SUBSTITUTE(SUBSTITUTE(SUBSTITUTE(SUBSTITUTE(SUBSTITUTE(SUBSTITUTE(LEFT(MAIN!C218, FIND(",",MAIN!C218) -1), "0", ""), "1", ""), "2", ""), "3", ""), "4", ""), "5", ""), "6", ""), "7", ""), "8", ""), "9", "")), PROPER(SUBSTITUTE(SUBSTITUTE(SUBSTITUTE(SUBSTITUTE(SUBSTITUTE(SUBSTITUTE(SUBSTITUTE(SUBSTITUTE(SUBSTITUTE(SUBSTITUTE(MAIN!C218, "0", ""), "1", ""), "2", ""), "3", ""), "4", ""), "5", ""), "6", ""), "7", ""), "8", ""), "9", ""))))</f>
        <v>--</v>
      </c>
      <c r="D218" t="str">
        <f>IF(ISBLANK(MAIN!D218), "--", IF(ISNUMBER(MATCH(SUBSTITUTE(LEFT(MAIN!D218, IFERROR(FIND(",", MAIN!D218)-1, LEN(MAIN!D218))), " ", ""), lookup_values!$B$2:$B$51, 0)), UPPER(SUBSTITUTE(LEFT(MAIN!D218, IFERROR(FIND(",", MAIN!D218)-1, LEN(MAIN!D218))), " ", "")), IF(ISNA(VLOOKUP(SUBSTITUTE(LEFT(MAIN!D218, IFERROR(FIND(",", MAIN!D218)-1, LEN(MAIN!D218))), " ", ""), lookup_values!$A$2:$B$51, 2, FALSE)), "--", VLOOKUP(SUBSTITUTE(LEFT(MAIN!D218, IFERROR(FIND(",", MAIN!D218)-1, LEN(MAIN!D218))), " ", ""), lookup_values!$A$2:$B$51, 2, FALSE))))</f>
        <v>--</v>
      </c>
      <c r="E218" t="str">
        <f>IF(CLEAN_DATA!D218&lt;&gt;"--","US",IF(ISBLANK(MAIN!E218), "--", IF(ISNUMBER(MATCH(SUBSTITUTE(LEFT(MAIN!E218, IFERROR(FIND(",", MAIN!E218)-1, LEN(MAIN!E218))), " ", ""), lookup_values!$E$2:$E$197, 0)), UPPER(SUBSTITUTE(LEFT(MAIN!E218, IFERROR(FIND(",", MAIN!E218)-1, LEN(MAIN!E218))), " ", "")), IF(ISNA(VLOOKUP(SUBSTITUTE(LEFT(MAIN!E218, IFERROR(FIND(",", MAIN!E218)-1, LEN(MAIN!E218))), " ", ""), lookup_values!$D$2:$E$197, 2, FALSE)), "--", VLOOKUP(SUBSTITUTE(LEFT(MAIN!E218, IFERROR(FIND(",", MAIN!E218)-1, LEN(MAIN!E218))), " ", ""), lookup_values!$D$2:$E$197, 2, FALSE)))))</f>
        <v>--</v>
      </c>
      <c r="F218" t="str">
        <f>IF(ISBLANK(MAIN!F218), "", IF(AND(ISNUMBER(VALUE(TRIM(MAIN!F218))), LEN(TRIM(MAIN!F218))=4), VALUE(TRIM(MAIN!F218)), ""))</f>
        <v/>
      </c>
      <c r="G218">
        <f>IF(ISBLANK(MAIN!G218), 0, IF(ISNUMBER(VALUE(TRIM(MAIN!G218))), VALUE(TRIM(MAIN!G218)), 0))</f>
        <v>0</v>
      </c>
      <c r="H218">
        <f>IF(ISBLANK(MAIN!H218), 0, IF(ISNUMBER(VALUE(TRIM(MAIN!H218))), VALUE(TRIM(MAIN!H218)), 0))</f>
        <v>0</v>
      </c>
      <c r="I218">
        <f>IF(ISBLANK(MAIN!I218), 0, IF(ISNUMBER(VALUE(TRIM(MAIN!I218))), VALUE(TRIM(MAIN!I218)), 0))</f>
        <v>0</v>
      </c>
      <c r="J218">
        <f>IF(ISBLANK(MAIN!J218), 0, IF(ISNUMBER(VALUE(TRIM(MAIN!J218))), VALUE(TRIM(MAIN!J218)), 0))</f>
        <v>0</v>
      </c>
      <c r="K218" cm="1">
        <f t="array" ref="K218">IFERROR(
    VALUE(
        IFERROR(
            UPPER(
                IF(MAX(IFERROR(SEARCH("WD",MAIN!G218:J218), 0))&gt;0, "WD",
                IF(MAX(IFERROR(SEARCH("NS",MAIN!G218:J218), 0))&gt;0, "NS",
                IF(MAX(IFERROR(SEARCH("NC",MAIN!G218:J218), 0))&gt;0, "NC",
                IF(MAX(IFERROR(SEARCH("DQ",MAIN!G218:J218), 0))&gt;0, "DQ",
                IF(ISNUMBER(SEARCH("WD",MAIN!K218)), "WD",
                IF(ISNUMBER(SEARCH("NS",MAIN!K218)), "NS",
                IF(ISNUMBER(SEARCH("NC",MAIN!K218)), "NC",
                IF(ISNUMBER(SEARCH("DQ",MAIN!K218)), "DQ",
                IF(ISNUMBER(SEARCH("A",MAIN!K218)), 0,
                IF(OR(MAIN!K218=0,MAIN!K218=""), 0, --TRIM(MAIN!K218)))))))))))),
            0
        )
    ),
    IFERROR(
        UPPER(
            IF(MAX(IFERROR(SEARCH("WD",MAIN!G218:J218), 0))&gt;0, "WD",
            IF(MAX(IFERROR(SEARCH("NS",MAIN!G218:J218), 0))&gt;0, "NS",
            IF(MAX(IFERROR(SEARCH("NC",MAIN!G218:J218), 0))&gt;0, "NC",
            IF(MAX(IFERROR(SEARCH("DQ",MAIN!G218:J218), 0))&gt;0, "DQ",
            IF(ISNUMBER(SEARCH("WD",MAIN!K218)), "WD",
            IF(ISNUMBER(SEARCH("NS",MAIN!K218)), "NS",
            IF(ISNUMBER(SEARCH("NC",MAIN!K218)), "NC",
            IF(ISNUMBER(SEARCH("DQ",MAIN!K218)), "DQ",
            IF(ISNUMBER(SEARCH("A",MAIN!K218)), 0,
            IF(OR(MAIN!K218=0,MAIN!K218=""), 0, --TRIM(MAIN!K218)))))))))))),
        0
    )
)</f>
        <v>0</v>
      </c>
    </row>
    <row r="219" spans="1:11" x14ac:dyDescent="0.25">
      <c r="A219" t="str">
        <f>IF(ISBLANK(MAIN!A219), "--", IFERROR(PROPER(SUBSTITUTE(SUBSTITUTE(SUBSTITUTE(SUBSTITUTE(SUBSTITUTE(SUBSTITUTE(SUBSTITUTE(SUBSTITUTE(SUBSTITUTE(SUBSTITUTE(LEFT(MAIN!A219, FIND(",",MAIN!A219) -1), "0", ""), "1", ""), "2", ""), "3", ""), "4", ""), "5", ""), "6", ""), "7", ""), "8", ""), "9", "")), PROPER(SUBSTITUTE(SUBSTITUTE(SUBSTITUTE(SUBSTITUTE(SUBSTITUTE(SUBSTITUTE(SUBSTITUTE(SUBSTITUTE(SUBSTITUTE(SUBSTITUTE(MAIN!A219, "0", ""), "1", ""), "2", ""), "3", ""), "4", ""), "5", ""), "6", ""), "7", ""), "8", ""), "9", ""))))</f>
        <v>--</v>
      </c>
      <c r="B219" t="str">
        <f>IF(ISBLANK(MAIN!B219), "--", IFERROR(PROPER(SUBSTITUTE(SUBSTITUTE(SUBSTITUTE(SUBSTITUTE(SUBSTITUTE(SUBSTITUTE(SUBSTITUTE(SUBSTITUTE(SUBSTITUTE(SUBSTITUTE(LEFT(MAIN!B219, FIND(",",MAIN!B219) -1), "0", ""), "1", ""), "2", ""), "3", ""), "4", ""), "5", ""), "6", ""), "7", ""), "8", ""), "9", "")), PROPER(SUBSTITUTE(SUBSTITUTE(SUBSTITUTE(SUBSTITUTE(SUBSTITUTE(SUBSTITUTE(SUBSTITUTE(SUBSTITUTE(SUBSTITUTE(SUBSTITUTE(MAIN!B219, "0", ""), "1", ""), "2", ""), "3", ""), "4", ""), "5", ""), "6", ""), "7", ""), "8", ""), "9", ""))))</f>
        <v>--</v>
      </c>
      <c r="C219" t="str">
        <f>IF(ISBLANK(MAIN!C219), "--", IFERROR(PROPER(SUBSTITUTE(SUBSTITUTE(SUBSTITUTE(SUBSTITUTE(SUBSTITUTE(SUBSTITUTE(SUBSTITUTE(SUBSTITUTE(SUBSTITUTE(SUBSTITUTE(LEFT(MAIN!C219, FIND(",",MAIN!C219) -1), "0", ""), "1", ""), "2", ""), "3", ""), "4", ""), "5", ""), "6", ""), "7", ""), "8", ""), "9", "")), PROPER(SUBSTITUTE(SUBSTITUTE(SUBSTITUTE(SUBSTITUTE(SUBSTITUTE(SUBSTITUTE(SUBSTITUTE(SUBSTITUTE(SUBSTITUTE(SUBSTITUTE(MAIN!C219, "0", ""), "1", ""), "2", ""), "3", ""), "4", ""), "5", ""), "6", ""), "7", ""), "8", ""), "9", ""))))</f>
        <v>--</v>
      </c>
      <c r="D219" t="str">
        <f>IF(ISBLANK(MAIN!D219), "--", IF(ISNUMBER(MATCH(SUBSTITUTE(LEFT(MAIN!D219, IFERROR(FIND(",", MAIN!D219)-1, LEN(MAIN!D219))), " ", ""), lookup_values!$B$2:$B$51, 0)), UPPER(SUBSTITUTE(LEFT(MAIN!D219, IFERROR(FIND(",", MAIN!D219)-1, LEN(MAIN!D219))), " ", "")), IF(ISNA(VLOOKUP(SUBSTITUTE(LEFT(MAIN!D219, IFERROR(FIND(",", MAIN!D219)-1, LEN(MAIN!D219))), " ", ""), lookup_values!$A$2:$B$51, 2, FALSE)), "--", VLOOKUP(SUBSTITUTE(LEFT(MAIN!D219, IFERROR(FIND(",", MAIN!D219)-1, LEN(MAIN!D219))), " ", ""), lookup_values!$A$2:$B$51, 2, FALSE))))</f>
        <v>--</v>
      </c>
      <c r="E219" t="str">
        <f>IF(CLEAN_DATA!D219&lt;&gt;"--","US",IF(ISBLANK(MAIN!E219), "--", IF(ISNUMBER(MATCH(SUBSTITUTE(LEFT(MAIN!E219, IFERROR(FIND(",", MAIN!E219)-1, LEN(MAIN!E219))), " ", ""), lookup_values!$E$2:$E$197, 0)), UPPER(SUBSTITUTE(LEFT(MAIN!E219, IFERROR(FIND(",", MAIN!E219)-1, LEN(MAIN!E219))), " ", "")), IF(ISNA(VLOOKUP(SUBSTITUTE(LEFT(MAIN!E219, IFERROR(FIND(",", MAIN!E219)-1, LEN(MAIN!E219))), " ", ""), lookup_values!$D$2:$E$197, 2, FALSE)), "--", VLOOKUP(SUBSTITUTE(LEFT(MAIN!E219, IFERROR(FIND(",", MAIN!E219)-1, LEN(MAIN!E219))), " ", ""), lookup_values!$D$2:$E$197, 2, FALSE)))))</f>
        <v>--</v>
      </c>
      <c r="F219" t="str">
        <f>IF(ISBLANK(MAIN!F219), "", IF(AND(ISNUMBER(VALUE(TRIM(MAIN!F219))), LEN(TRIM(MAIN!F219))=4), VALUE(TRIM(MAIN!F219)), ""))</f>
        <v/>
      </c>
      <c r="G219">
        <f>IF(ISBLANK(MAIN!G219), 0, IF(ISNUMBER(VALUE(TRIM(MAIN!G219))), VALUE(TRIM(MAIN!G219)), 0))</f>
        <v>0</v>
      </c>
      <c r="H219">
        <f>IF(ISBLANK(MAIN!H219), 0, IF(ISNUMBER(VALUE(TRIM(MAIN!H219))), VALUE(TRIM(MAIN!H219)), 0))</f>
        <v>0</v>
      </c>
      <c r="I219">
        <f>IF(ISBLANK(MAIN!I219), 0, IF(ISNUMBER(VALUE(TRIM(MAIN!I219))), VALUE(TRIM(MAIN!I219)), 0))</f>
        <v>0</v>
      </c>
      <c r="J219">
        <f>IF(ISBLANK(MAIN!J219), 0, IF(ISNUMBER(VALUE(TRIM(MAIN!J219))), VALUE(TRIM(MAIN!J219)), 0))</f>
        <v>0</v>
      </c>
      <c r="K219" cm="1">
        <f t="array" ref="K219">IFERROR(
    VALUE(
        IFERROR(
            UPPER(
                IF(MAX(IFERROR(SEARCH("WD",MAIN!G219:J219), 0))&gt;0, "WD",
                IF(MAX(IFERROR(SEARCH("NS",MAIN!G219:J219), 0))&gt;0, "NS",
                IF(MAX(IFERROR(SEARCH("NC",MAIN!G219:J219), 0))&gt;0, "NC",
                IF(MAX(IFERROR(SEARCH("DQ",MAIN!G219:J219), 0))&gt;0, "DQ",
                IF(ISNUMBER(SEARCH("WD",MAIN!K219)), "WD",
                IF(ISNUMBER(SEARCH("NS",MAIN!K219)), "NS",
                IF(ISNUMBER(SEARCH("NC",MAIN!K219)), "NC",
                IF(ISNUMBER(SEARCH("DQ",MAIN!K219)), "DQ",
                IF(ISNUMBER(SEARCH("A",MAIN!K219)), 0,
                IF(OR(MAIN!K219=0,MAIN!K219=""), 0, --TRIM(MAIN!K219)))))))))))),
            0
        )
    ),
    IFERROR(
        UPPER(
            IF(MAX(IFERROR(SEARCH("WD",MAIN!G219:J219), 0))&gt;0, "WD",
            IF(MAX(IFERROR(SEARCH("NS",MAIN!G219:J219), 0))&gt;0, "NS",
            IF(MAX(IFERROR(SEARCH("NC",MAIN!G219:J219), 0))&gt;0, "NC",
            IF(MAX(IFERROR(SEARCH("DQ",MAIN!G219:J219), 0))&gt;0, "DQ",
            IF(ISNUMBER(SEARCH("WD",MAIN!K219)), "WD",
            IF(ISNUMBER(SEARCH("NS",MAIN!K219)), "NS",
            IF(ISNUMBER(SEARCH("NC",MAIN!K219)), "NC",
            IF(ISNUMBER(SEARCH("DQ",MAIN!K219)), "DQ",
            IF(ISNUMBER(SEARCH("A",MAIN!K219)), 0,
            IF(OR(MAIN!K219=0,MAIN!K219=""), 0, --TRIM(MAIN!K219)))))))))))),
        0
    )
)</f>
        <v>0</v>
      </c>
    </row>
    <row r="220" spans="1:11" x14ac:dyDescent="0.25">
      <c r="A220" t="str">
        <f>IF(ISBLANK(MAIN!A220), "--", IFERROR(PROPER(SUBSTITUTE(SUBSTITUTE(SUBSTITUTE(SUBSTITUTE(SUBSTITUTE(SUBSTITUTE(SUBSTITUTE(SUBSTITUTE(SUBSTITUTE(SUBSTITUTE(LEFT(MAIN!A220, FIND(",",MAIN!A220) -1), "0", ""), "1", ""), "2", ""), "3", ""), "4", ""), "5", ""), "6", ""), "7", ""), "8", ""), "9", "")), PROPER(SUBSTITUTE(SUBSTITUTE(SUBSTITUTE(SUBSTITUTE(SUBSTITUTE(SUBSTITUTE(SUBSTITUTE(SUBSTITUTE(SUBSTITUTE(SUBSTITUTE(MAIN!A220, "0", ""), "1", ""), "2", ""), "3", ""), "4", ""), "5", ""), "6", ""), "7", ""), "8", ""), "9", ""))))</f>
        <v>--</v>
      </c>
      <c r="B220" t="str">
        <f>IF(ISBLANK(MAIN!B220), "--", IFERROR(PROPER(SUBSTITUTE(SUBSTITUTE(SUBSTITUTE(SUBSTITUTE(SUBSTITUTE(SUBSTITUTE(SUBSTITUTE(SUBSTITUTE(SUBSTITUTE(SUBSTITUTE(LEFT(MAIN!B220, FIND(",",MAIN!B220) -1), "0", ""), "1", ""), "2", ""), "3", ""), "4", ""), "5", ""), "6", ""), "7", ""), "8", ""), "9", "")), PROPER(SUBSTITUTE(SUBSTITUTE(SUBSTITUTE(SUBSTITUTE(SUBSTITUTE(SUBSTITUTE(SUBSTITUTE(SUBSTITUTE(SUBSTITUTE(SUBSTITUTE(MAIN!B220, "0", ""), "1", ""), "2", ""), "3", ""), "4", ""), "5", ""), "6", ""), "7", ""), "8", ""), "9", ""))))</f>
        <v>--</v>
      </c>
      <c r="C220" t="str">
        <f>IF(ISBLANK(MAIN!C220), "--", IFERROR(PROPER(SUBSTITUTE(SUBSTITUTE(SUBSTITUTE(SUBSTITUTE(SUBSTITUTE(SUBSTITUTE(SUBSTITUTE(SUBSTITUTE(SUBSTITUTE(SUBSTITUTE(LEFT(MAIN!C220, FIND(",",MAIN!C220) -1), "0", ""), "1", ""), "2", ""), "3", ""), "4", ""), "5", ""), "6", ""), "7", ""), "8", ""), "9", "")), PROPER(SUBSTITUTE(SUBSTITUTE(SUBSTITUTE(SUBSTITUTE(SUBSTITUTE(SUBSTITUTE(SUBSTITUTE(SUBSTITUTE(SUBSTITUTE(SUBSTITUTE(MAIN!C220, "0", ""), "1", ""), "2", ""), "3", ""), "4", ""), "5", ""), "6", ""), "7", ""), "8", ""), "9", ""))))</f>
        <v>--</v>
      </c>
      <c r="D220" t="str">
        <f>IF(ISBLANK(MAIN!D220), "--", IF(ISNUMBER(MATCH(SUBSTITUTE(LEFT(MAIN!D220, IFERROR(FIND(",", MAIN!D220)-1, LEN(MAIN!D220))), " ", ""), lookup_values!$B$2:$B$51, 0)), UPPER(SUBSTITUTE(LEFT(MAIN!D220, IFERROR(FIND(",", MAIN!D220)-1, LEN(MAIN!D220))), " ", "")), IF(ISNA(VLOOKUP(SUBSTITUTE(LEFT(MAIN!D220, IFERROR(FIND(",", MAIN!D220)-1, LEN(MAIN!D220))), " ", ""), lookup_values!$A$2:$B$51, 2, FALSE)), "--", VLOOKUP(SUBSTITUTE(LEFT(MAIN!D220, IFERROR(FIND(",", MAIN!D220)-1, LEN(MAIN!D220))), " ", ""), lookup_values!$A$2:$B$51, 2, FALSE))))</f>
        <v>--</v>
      </c>
      <c r="E220" t="str">
        <f>IF(CLEAN_DATA!D220&lt;&gt;"--","US",IF(ISBLANK(MAIN!E220), "--", IF(ISNUMBER(MATCH(SUBSTITUTE(LEFT(MAIN!E220, IFERROR(FIND(",", MAIN!E220)-1, LEN(MAIN!E220))), " ", ""), lookup_values!$E$2:$E$197, 0)), UPPER(SUBSTITUTE(LEFT(MAIN!E220, IFERROR(FIND(",", MAIN!E220)-1, LEN(MAIN!E220))), " ", "")), IF(ISNA(VLOOKUP(SUBSTITUTE(LEFT(MAIN!E220, IFERROR(FIND(",", MAIN!E220)-1, LEN(MAIN!E220))), " ", ""), lookup_values!$D$2:$E$197, 2, FALSE)), "--", VLOOKUP(SUBSTITUTE(LEFT(MAIN!E220, IFERROR(FIND(",", MAIN!E220)-1, LEN(MAIN!E220))), " ", ""), lookup_values!$D$2:$E$197, 2, FALSE)))))</f>
        <v>--</v>
      </c>
      <c r="F220" t="str">
        <f>IF(ISBLANK(MAIN!F220), "", IF(AND(ISNUMBER(VALUE(TRIM(MAIN!F220))), LEN(TRIM(MAIN!F220))=4), VALUE(TRIM(MAIN!F220)), ""))</f>
        <v/>
      </c>
      <c r="G220">
        <f>IF(ISBLANK(MAIN!G220), 0, IF(ISNUMBER(VALUE(TRIM(MAIN!G220))), VALUE(TRIM(MAIN!G220)), 0))</f>
        <v>0</v>
      </c>
      <c r="H220">
        <f>IF(ISBLANK(MAIN!H220), 0, IF(ISNUMBER(VALUE(TRIM(MAIN!H220))), VALUE(TRIM(MAIN!H220)), 0))</f>
        <v>0</v>
      </c>
      <c r="I220">
        <f>IF(ISBLANK(MAIN!I220), 0, IF(ISNUMBER(VALUE(TRIM(MAIN!I220))), VALUE(TRIM(MAIN!I220)), 0))</f>
        <v>0</v>
      </c>
      <c r="J220">
        <f>IF(ISBLANK(MAIN!J220), 0, IF(ISNUMBER(VALUE(TRIM(MAIN!J220))), VALUE(TRIM(MAIN!J220)), 0))</f>
        <v>0</v>
      </c>
      <c r="K220" cm="1">
        <f t="array" ref="K220">IFERROR(
    VALUE(
        IFERROR(
            UPPER(
                IF(MAX(IFERROR(SEARCH("WD",MAIN!G220:J220), 0))&gt;0, "WD",
                IF(MAX(IFERROR(SEARCH("NS",MAIN!G220:J220), 0))&gt;0, "NS",
                IF(MAX(IFERROR(SEARCH("NC",MAIN!G220:J220), 0))&gt;0, "NC",
                IF(MAX(IFERROR(SEARCH("DQ",MAIN!G220:J220), 0))&gt;0, "DQ",
                IF(ISNUMBER(SEARCH("WD",MAIN!K220)), "WD",
                IF(ISNUMBER(SEARCH("NS",MAIN!K220)), "NS",
                IF(ISNUMBER(SEARCH("NC",MAIN!K220)), "NC",
                IF(ISNUMBER(SEARCH("DQ",MAIN!K220)), "DQ",
                IF(ISNUMBER(SEARCH("A",MAIN!K220)), 0,
                IF(OR(MAIN!K220=0,MAIN!K220=""), 0, --TRIM(MAIN!K220)))))))))))),
            0
        )
    ),
    IFERROR(
        UPPER(
            IF(MAX(IFERROR(SEARCH("WD",MAIN!G220:J220), 0))&gt;0, "WD",
            IF(MAX(IFERROR(SEARCH("NS",MAIN!G220:J220), 0))&gt;0, "NS",
            IF(MAX(IFERROR(SEARCH("NC",MAIN!G220:J220), 0))&gt;0, "NC",
            IF(MAX(IFERROR(SEARCH("DQ",MAIN!G220:J220), 0))&gt;0, "DQ",
            IF(ISNUMBER(SEARCH("WD",MAIN!K220)), "WD",
            IF(ISNUMBER(SEARCH("NS",MAIN!K220)), "NS",
            IF(ISNUMBER(SEARCH("NC",MAIN!K220)), "NC",
            IF(ISNUMBER(SEARCH("DQ",MAIN!K220)), "DQ",
            IF(ISNUMBER(SEARCH("A",MAIN!K220)), 0,
            IF(OR(MAIN!K220=0,MAIN!K220=""), 0, --TRIM(MAIN!K220)))))))))))),
        0
    )
)</f>
        <v>0</v>
      </c>
    </row>
    <row r="221" spans="1:11" x14ac:dyDescent="0.25">
      <c r="A221" t="str">
        <f>IF(ISBLANK(MAIN!A221), "--", IFERROR(PROPER(SUBSTITUTE(SUBSTITUTE(SUBSTITUTE(SUBSTITUTE(SUBSTITUTE(SUBSTITUTE(SUBSTITUTE(SUBSTITUTE(SUBSTITUTE(SUBSTITUTE(LEFT(MAIN!A221, FIND(",",MAIN!A221) -1), "0", ""), "1", ""), "2", ""), "3", ""), "4", ""), "5", ""), "6", ""), "7", ""), "8", ""), "9", "")), PROPER(SUBSTITUTE(SUBSTITUTE(SUBSTITUTE(SUBSTITUTE(SUBSTITUTE(SUBSTITUTE(SUBSTITUTE(SUBSTITUTE(SUBSTITUTE(SUBSTITUTE(MAIN!A221, "0", ""), "1", ""), "2", ""), "3", ""), "4", ""), "5", ""), "6", ""), "7", ""), "8", ""), "9", ""))))</f>
        <v>--</v>
      </c>
      <c r="B221" t="str">
        <f>IF(ISBLANK(MAIN!B221), "--", IFERROR(PROPER(SUBSTITUTE(SUBSTITUTE(SUBSTITUTE(SUBSTITUTE(SUBSTITUTE(SUBSTITUTE(SUBSTITUTE(SUBSTITUTE(SUBSTITUTE(SUBSTITUTE(LEFT(MAIN!B221, FIND(",",MAIN!B221) -1), "0", ""), "1", ""), "2", ""), "3", ""), "4", ""), "5", ""), "6", ""), "7", ""), "8", ""), "9", "")), PROPER(SUBSTITUTE(SUBSTITUTE(SUBSTITUTE(SUBSTITUTE(SUBSTITUTE(SUBSTITUTE(SUBSTITUTE(SUBSTITUTE(SUBSTITUTE(SUBSTITUTE(MAIN!B221, "0", ""), "1", ""), "2", ""), "3", ""), "4", ""), "5", ""), "6", ""), "7", ""), "8", ""), "9", ""))))</f>
        <v>--</v>
      </c>
      <c r="C221" t="str">
        <f>IF(ISBLANK(MAIN!C221), "--", IFERROR(PROPER(SUBSTITUTE(SUBSTITUTE(SUBSTITUTE(SUBSTITUTE(SUBSTITUTE(SUBSTITUTE(SUBSTITUTE(SUBSTITUTE(SUBSTITUTE(SUBSTITUTE(LEFT(MAIN!C221, FIND(",",MAIN!C221) -1), "0", ""), "1", ""), "2", ""), "3", ""), "4", ""), "5", ""), "6", ""), "7", ""), "8", ""), "9", "")), PROPER(SUBSTITUTE(SUBSTITUTE(SUBSTITUTE(SUBSTITUTE(SUBSTITUTE(SUBSTITUTE(SUBSTITUTE(SUBSTITUTE(SUBSTITUTE(SUBSTITUTE(MAIN!C221, "0", ""), "1", ""), "2", ""), "3", ""), "4", ""), "5", ""), "6", ""), "7", ""), "8", ""), "9", ""))))</f>
        <v>--</v>
      </c>
      <c r="D221" t="str">
        <f>IF(ISBLANK(MAIN!D221), "--", IF(ISNUMBER(MATCH(SUBSTITUTE(LEFT(MAIN!D221, IFERROR(FIND(",", MAIN!D221)-1, LEN(MAIN!D221))), " ", ""), lookup_values!$B$2:$B$51, 0)), UPPER(SUBSTITUTE(LEFT(MAIN!D221, IFERROR(FIND(",", MAIN!D221)-1, LEN(MAIN!D221))), " ", "")), IF(ISNA(VLOOKUP(SUBSTITUTE(LEFT(MAIN!D221, IFERROR(FIND(",", MAIN!D221)-1, LEN(MAIN!D221))), " ", ""), lookup_values!$A$2:$B$51, 2, FALSE)), "--", VLOOKUP(SUBSTITUTE(LEFT(MAIN!D221, IFERROR(FIND(",", MAIN!D221)-1, LEN(MAIN!D221))), " ", ""), lookup_values!$A$2:$B$51, 2, FALSE))))</f>
        <v>--</v>
      </c>
      <c r="E221" t="str">
        <f>IF(CLEAN_DATA!D221&lt;&gt;"--","US",IF(ISBLANK(MAIN!E221), "--", IF(ISNUMBER(MATCH(SUBSTITUTE(LEFT(MAIN!E221, IFERROR(FIND(",", MAIN!E221)-1, LEN(MAIN!E221))), " ", ""), lookup_values!$E$2:$E$197, 0)), UPPER(SUBSTITUTE(LEFT(MAIN!E221, IFERROR(FIND(",", MAIN!E221)-1, LEN(MAIN!E221))), " ", "")), IF(ISNA(VLOOKUP(SUBSTITUTE(LEFT(MAIN!E221, IFERROR(FIND(",", MAIN!E221)-1, LEN(MAIN!E221))), " ", ""), lookup_values!$D$2:$E$197, 2, FALSE)), "--", VLOOKUP(SUBSTITUTE(LEFT(MAIN!E221, IFERROR(FIND(",", MAIN!E221)-1, LEN(MAIN!E221))), " ", ""), lookup_values!$D$2:$E$197, 2, FALSE)))))</f>
        <v>--</v>
      </c>
      <c r="F221" t="str">
        <f>IF(ISBLANK(MAIN!F221), "", IF(AND(ISNUMBER(VALUE(TRIM(MAIN!F221))), LEN(TRIM(MAIN!F221))=4), VALUE(TRIM(MAIN!F221)), ""))</f>
        <v/>
      </c>
      <c r="G221">
        <f>IF(ISBLANK(MAIN!G221), 0, IF(ISNUMBER(VALUE(TRIM(MAIN!G221))), VALUE(TRIM(MAIN!G221)), 0))</f>
        <v>0</v>
      </c>
      <c r="H221">
        <f>IF(ISBLANK(MAIN!H221), 0, IF(ISNUMBER(VALUE(TRIM(MAIN!H221))), VALUE(TRIM(MAIN!H221)), 0))</f>
        <v>0</v>
      </c>
      <c r="I221">
        <f>IF(ISBLANK(MAIN!I221), 0, IF(ISNUMBER(VALUE(TRIM(MAIN!I221))), VALUE(TRIM(MAIN!I221)), 0))</f>
        <v>0</v>
      </c>
      <c r="J221">
        <f>IF(ISBLANK(MAIN!J221), 0, IF(ISNUMBER(VALUE(TRIM(MAIN!J221))), VALUE(TRIM(MAIN!J221)), 0))</f>
        <v>0</v>
      </c>
      <c r="K221" cm="1">
        <f t="array" ref="K221">IFERROR(
    VALUE(
        IFERROR(
            UPPER(
                IF(MAX(IFERROR(SEARCH("WD",MAIN!G221:J221), 0))&gt;0, "WD",
                IF(MAX(IFERROR(SEARCH("NS",MAIN!G221:J221), 0))&gt;0, "NS",
                IF(MAX(IFERROR(SEARCH("NC",MAIN!G221:J221), 0))&gt;0, "NC",
                IF(MAX(IFERROR(SEARCH("DQ",MAIN!G221:J221), 0))&gt;0, "DQ",
                IF(ISNUMBER(SEARCH("WD",MAIN!K221)), "WD",
                IF(ISNUMBER(SEARCH("NS",MAIN!K221)), "NS",
                IF(ISNUMBER(SEARCH("NC",MAIN!K221)), "NC",
                IF(ISNUMBER(SEARCH("DQ",MAIN!K221)), "DQ",
                IF(ISNUMBER(SEARCH("A",MAIN!K221)), 0,
                IF(OR(MAIN!K221=0,MAIN!K221=""), 0, --TRIM(MAIN!K221)))))))))))),
            0
        )
    ),
    IFERROR(
        UPPER(
            IF(MAX(IFERROR(SEARCH("WD",MAIN!G221:J221), 0))&gt;0, "WD",
            IF(MAX(IFERROR(SEARCH("NS",MAIN!G221:J221), 0))&gt;0, "NS",
            IF(MAX(IFERROR(SEARCH("NC",MAIN!G221:J221), 0))&gt;0, "NC",
            IF(MAX(IFERROR(SEARCH("DQ",MAIN!G221:J221), 0))&gt;0, "DQ",
            IF(ISNUMBER(SEARCH("WD",MAIN!K221)), "WD",
            IF(ISNUMBER(SEARCH("NS",MAIN!K221)), "NS",
            IF(ISNUMBER(SEARCH("NC",MAIN!K221)), "NC",
            IF(ISNUMBER(SEARCH("DQ",MAIN!K221)), "DQ",
            IF(ISNUMBER(SEARCH("A",MAIN!K221)), 0,
            IF(OR(MAIN!K221=0,MAIN!K221=""), 0, --TRIM(MAIN!K221)))))))))))),
        0
    )
)</f>
        <v>0</v>
      </c>
    </row>
    <row r="222" spans="1:11" x14ac:dyDescent="0.25">
      <c r="A222" t="str">
        <f>IF(ISBLANK(MAIN!A222), "--", IFERROR(PROPER(SUBSTITUTE(SUBSTITUTE(SUBSTITUTE(SUBSTITUTE(SUBSTITUTE(SUBSTITUTE(SUBSTITUTE(SUBSTITUTE(SUBSTITUTE(SUBSTITUTE(LEFT(MAIN!A222, FIND(",",MAIN!A222) -1), "0", ""), "1", ""), "2", ""), "3", ""), "4", ""), "5", ""), "6", ""), "7", ""), "8", ""), "9", "")), PROPER(SUBSTITUTE(SUBSTITUTE(SUBSTITUTE(SUBSTITUTE(SUBSTITUTE(SUBSTITUTE(SUBSTITUTE(SUBSTITUTE(SUBSTITUTE(SUBSTITUTE(MAIN!A222, "0", ""), "1", ""), "2", ""), "3", ""), "4", ""), "5", ""), "6", ""), "7", ""), "8", ""), "9", ""))))</f>
        <v>--</v>
      </c>
      <c r="B222" t="str">
        <f>IF(ISBLANK(MAIN!B222), "--", IFERROR(PROPER(SUBSTITUTE(SUBSTITUTE(SUBSTITUTE(SUBSTITUTE(SUBSTITUTE(SUBSTITUTE(SUBSTITUTE(SUBSTITUTE(SUBSTITUTE(SUBSTITUTE(LEFT(MAIN!B222, FIND(",",MAIN!B222) -1), "0", ""), "1", ""), "2", ""), "3", ""), "4", ""), "5", ""), "6", ""), "7", ""), "8", ""), "9", "")), PROPER(SUBSTITUTE(SUBSTITUTE(SUBSTITUTE(SUBSTITUTE(SUBSTITUTE(SUBSTITUTE(SUBSTITUTE(SUBSTITUTE(SUBSTITUTE(SUBSTITUTE(MAIN!B222, "0", ""), "1", ""), "2", ""), "3", ""), "4", ""), "5", ""), "6", ""), "7", ""), "8", ""), "9", ""))))</f>
        <v>--</v>
      </c>
      <c r="C222" t="str">
        <f>IF(ISBLANK(MAIN!C222), "--", IFERROR(PROPER(SUBSTITUTE(SUBSTITUTE(SUBSTITUTE(SUBSTITUTE(SUBSTITUTE(SUBSTITUTE(SUBSTITUTE(SUBSTITUTE(SUBSTITUTE(SUBSTITUTE(LEFT(MAIN!C222, FIND(",",MAIN!C222) -1), "0", ""), "1", ""), "2", ""), "3", ""), "4", ""), "5", ""), "6", ""), "7", ""), "8", ""), "9", "")), PROPER(SUBSTITUTE(SUBSTITUTE(SUBSTITUTE(SUBSTITUTE(SUBSTITUTE(SUBSTITUTE(SUBSTITUTE(SUBSTITUTE(SUBSTITUTE(SUBSTITUTE(MAIN!C222, "0", ""), "1", ""), "2", ""), "3", ""), "4", ""), "5", ""), "6", ""), "7", ""), "8", ""), "9", ""))))</f>
        <v>--</v>
      </c>
      <c r="D222" t="str">
        <f>IF(ISBLANK(MAIN!D222), "--", IF(ISNUMBER(MATCH(SUBSTITUTE(LEFT(MAIN!D222, IFERROR(FIND(",", MAIN!D222)-1, LEN(MAIN!D222))), " ", ""), lookup_values!$B$2:$B$51, 0)), UPPER(SUBSTITUTE(LEFT(MAIN!D222, IFERROR(FIND(",", MAIN!D222)-1, LEN(MAIN!D222))), " ", "")), IF(ISNA(VLOOKUP(SUBSTITUTE(LEFT(MAIN!D222, IFERROR(FIND(",", MAIN!D222)-1, LEN(MAIN!D222))), " ", ""), lookup_values!$A$2:$B$51, 2, FALSE)), "--", VLOOKUP(SUBSTITUTE(LEFT(MAIN!D222, IFERROR(FIND(",", MAIN!D222)-1, LEN(MAIN!D222))), " ", ""), lookup_values!$A$2:$B$51, 2, FALSE))))</f>
        <v>--</v>
      </c>
      <c r="E222" t="str">
        <f>IF(CLEAN_DATA!D222&lt;&gt;"--","US",IF(ISBLANK(MAIN!E222), "--", IF(ISNUMBER(MATCH(SUBSTITUTE(LEFT(MAIN!E222, IFERROR(FIND(",", MAIN!E222)-1, LEN(MAIN!E222))), " ", ""), lookup_values!$E$2:$E$197, 0)), UPPER(SUBSTITUTE(LEFT(MAIN!E222, IFERROR(FIND(",", MAIN!E222)-1, LEN(MAIN!E222))), " ", "")), IF(ISNA(VLOOKUP(SUBSTITUTE(LEFT(MAIN!E222, IFERROR(FIND(",", MAIN!E222)-1, LEN(MAIN!E222))), " ", ""), lookup_values!$D$2:$E$197, 2, FALSE)), "--", VLOOKUP(SUBSTITUTE(LEFT(MAIN!E222, IFERROR(FIND(",", MAIN!E222)-1, LEN(MAIN!E222))), " ", ""), lookup_values!$D$2:$E$197, 2, FALSE)))))</f>
        <v>--</v>
      </c>
      <c r="F222" t="str">
        <f>IF(ISBLANK(MAIN!F222), "", IF(AND(ISNUMBER(VALUE(TRIM(MAIN!F222))), LEN(TRIM(MAIN!F222))=4), VALUE(TRIM(MAIN!F222)), ""))</f>
        <v/>
      </c>
      <c r="G222">
        <f>IF(ISBLANK(MAIN!G222), 0, IF(ISNUMBER(VALUE(TRIM(MAIN!G222))), VALUE(TRIM(MAIN!G222)), 0))</f>
        <v>0</v>
      </c>
      <c r="H222">
        <f>IF(ISBLANK(MAIN!H222), 0, IF(ISNUMBER(VALUE(TRIM(MAIN!H222))), VALUE(TRIM(MAIN!H222)), 0))</f>
        <v>0</v>
      </c>
      <c r="I222">
        <f>IF(ISBLANK(MAIN!I222), 0, IF(ISNUMBER(VALUE(TRIM(MAIN!I222))), VALUE(TRIM(MAIN!I222)), 0))</f>
        <v>0</v>
      </c>
      <c r="J222">
        <f>IF(ISBLANK(MAIN!J222), 0, IF(ISNUMBER(VALUE(TRIM(MAIN!J222))), VALUE(TRIM(MAIN!J222)), 0))</f>
        <v>0</v>
      </c>
      <c r="K222" cm="1">
        <f t="array" ref="K222">IFERROR(
    VALUE(
        IFERROR(
            UPPER(
                IF(MAX(IFERROR(SEARCH("WD",MAIN!G222:J222), 0))&gt;0, "WD",
                IF(MAX(IFERROR(SEARCH("NS",MAIN!G222:J222), 0))&gt;0, "NS",
                IF(MAX(IFERROR(SEARCH("NC",MAIN!G222:J222), 0))&gt;0, "NC",
                IF(MAX(IFERROR(SEARCH("DQ",MAIN!G222:J222), 0))&gt;0, "DQ",
                IF(ISNUMBER(SEARCH("WD",MAIN!K222)), "WD",
                IF(ISNUMBER(SEARCH("NS",MAIN!K222)), "NS",
                IF(ISNUMBER(SEARCH("NC",MAIN!K222)), "NC",
                IF(ISNUMBER(SEARCH("DQ",MAIN!K222)), "DQ",
                IF(ISNUMBER(SEARCH("A",MAIN!K222)), 0,
                IF(OR(MAIN!K222=0,MAIN!K222=""), 0, --TRIM(MAIN!K222)))))))))))),
            0
        )
    ),
    IFERROR(
        UPPER(
            IF(MAX(IFERROR(SEARCH("WD",MAIN!G222:J222), 0))&gt;0, "WD",
            IF(MAX(IFERROR(SEARCH("NS",MAIN!G222:J222), 0))&gt;0, "NS",
            IF(MAX(IFERROR(SEARCH("NC",MAIN!G222:J222), 0))&gt;0, "NC",
            IF(MAX(IFERROR(SEARCH("DQ",MAIN!G222:J222), 0))&gt;0, "DQ",
            IF(ISNUMBER(SEARCH("WD",MAIN!K222)), "WD",
            IF(ISNUMBER(SEARCH("NS",MAIN!K222)), "NS",
            IF(ISNUMBER(SEARCH("NC",MAIN!K222)), "NC",
            IF(ISNUMBER(SEARCH("DQ",MAIN!K222)), "DQ",
            IF(ISNUMBER(SEARCH("A",MAIN!K222)), 0,
            IF(OR(MAIN!K222=0,MAIN!K222=""), 0, --TRIM(MAIN!K222)))))))))))),
        0
    )
)</f>
        <v>0</v>
      </c>
    </row>
    <row r="223" spans="1:11" x14ac:dyDescent="0.25">
      <c r="A223" t="str">
        <f>IF(ISBLANK(MAIN!A223), "--", IFERROR(PROPER(SUBSTITUTE(SUBSTITUTE(SUBSTITUTE(SUBSTITUTE(SUBSTITUTE(SUBSTITUTE(SUBSTITUTE(SUBSTITUTE(SUBSTITUTE(SUBSTITUTE(LEFT(MAIN!A223, FIND(",",MAIN!A223) -1), "0", ""), "1", ""), "2", ""), "3", ""), "4", ""), "5", ""), "6", ""), "7", ""), "8", ""), "9", "")), PROPER(SUBSTITUTE(SUBSTITUTE(SUBSTITUTE(SUBSTITUTE(SUBSTITUTE(SUBSTITUTE(SUBSTITUTE(SUBSTITUTE(SUBSTITUTE(SUBSTITUTE(MAIN!A223, "0", ""), "1", ""), "2", ""), "3", ""), "4", ""), "5", ""), "6", ""), "7", ""), "8", ""), "9", ""))))</f>
        <v>--</v>
      </c>
      <c r="B223" t="str">
        <f>IF(ISBLANK(MAIN!B223), "--", IFERROR(PROPER(SUBSTITUTE(SUBSTITUTE(SUBSTITUTE(SUBSTITUTE(SUBSTITUTE(SUBSTITUTE(SUBSTITUTE(SUBSTITUTE(SUBSTITUTE(SUBSTITUTE(LEFT(MAIN!B223, FIND(",",MAIN!B223) -1), "0", ""), "1", ""), "2", ""), "3", ""), "4", ""), "5", ""), "6", ""), "7", ""), "8", ""), "9", "")), PROPER(SUBSTITUTE(SUBSTITUTE(SUBSTITUTE(SUBSTITUTE(SUBSTITUTE(SUBSTITUTE(SUBSTITUTE(SUBSTITUTE(SUBSTITUTE(SUBSTITUTE(MAIN!B223, "0", ""), "1", ""), "2", ""), "3", ""), "4", ""), "5", ""), "6", ""), "7", ""), "8", ""), "9", ""))))</f>
        <v>--</v>
      </c>
      <c r="C223" t="str">
        <f>IF(ISBLANK(MAIN!C223), "--", IFERROR(PROPER(SUBSTITUTE(SUBSTITUTE(SUBSTITUTE(SUBSTITUTE(SUBSTITUTE(SUBSTITUTE(SUBSTITUTE(SUBSTITUTE(SUBSTITUTE(SUBSTITUTE(LEFT(MAIN!C223, FIND(",",MAIN!C223) -1), "0", ""), "1", ""), "2", ""), "3", ""), "4", ""), "5", ""), "6", ""), "7", ""), "8", ""), "9", "")), PROPER(SUBSTITUTE(SUBSTITUTE(SUBSTITUTE(SUBSTITUTE(SUBSTITUTE(SUBSTITUTE(SUBSTITUTE(SUBSTITUTE(SUBSTITUTE(SUBSTITUTE(MAIN!C223, "0", ""), "1", ""), "2", ""), "3", ""), "4", ""), "5", ""), "6", ""), "7", ""), "8", ""), "9", ""))))</f>
        <v>--</v>
      </c>
      <c r="D223" t="str">
        <f>IF(ISBLANK(MAIN!D223), "--", IF(ISNUMBER(MATCH(SUBSTITUTE(LEFT(MAIN!D223, IFERROR(FIND(",", MAIN!D223)-1, LEN(MAIN!D223))), " ", ""), lookup_values!$B$2:$B$51, 0)), UPPER(SUBSTITUTE(LEFT(MAIN!D223, IFERROR(FIND(",", MAIN!D223)-1, LEN(MAIN!D223))), " ", "")), IF(ISNA(VLOOKUP(SUBSTITUTE(LEFT(MAIN!D223, IFERROR(FIND(",", MAIN!D223)-1, LEN(MAIN!D223))), " ", ""), lookup_values!$A$2:$B$51, 2, FALSE)), "--", VLOOKUP(SUBSTITUTE(LEFT(MAIN!D223, IFERROR(FIND(",", MAIN!D223)-1, LEN(MAIN!D223))), " ", ""), lookup_values!$A$2:$B$51, 2, FALSE))))</f>
        <v>--</v>
      </c>
      <c r="E223" t="str">
        <f>IF(CLEAN_DATA!D223&lt;&gt;"--","US",IF(ISBLANK(MAIN!E223), "--", IF(ISNUMBER(MATCH(SUBSTITUTE(LEFT(MAIN!E223, IFERROR(FIND(",", MAIN!E223)-1, LEN(MAIN!E223))), " ", ""), lookup_values!$E$2:$E$197, 0)), UPPER(SUBSTITUTE(LEFT(MAIN!E223, IFERROR(FIND(",", MAIN!E223)-1, LEN(MAIN!E223))), " ", "")), IF(ISNA(VLOOKUP(SUBSTITUTE(LEFT(MAIN!E223, IFERROR(FIND(",", MAIN!E223)-1, LEN(MAIN!E223))), " ", ""), lookup_values!$D$2:$E$197, 2, FALSE)), "--", VLOOKUP(SUBSTITUTE(LEFT(MAIN!E223, IFERROR(FIND(",", MAIN!E223)-1, LEN(MAIN!E223))), " ", ""), lookup_values!$D$2:$E$197, 2, FALSE)))))</f>
        <v>--</v>
      </c>
      <c r="F223" t="str">
        <f>IF(ISBLANK(MAIN!F223), "", IF(AND(ISNUMBER(VALUE(TRIM(MAIN!F223))), LEN(TRIM(MAIN!F223))=4), VALUE(TRIM(MAIN!F223)), ""))</f>
        <v/>
      </c>
      <c r="G223">
        <f>IF(ISBLANK(MAIN!G223), 0, IF(ISNUMBER(VALUE(TRIM(MAIN!G223))), VALUE(TRIM(MAIN!G223)), 0))</f>
        <v>0</v>
      </c>
      <c r="H223">
        <f>IF(ISBLANK(MAIN!H223), 0, IF(ISNUMBER(VALUE(TRIM(MAIN!H223))), VALUE(TRIM(MAIN!H223)), 0))</f>
        <v>0</v>
      </c>
      <c r="I223">
        <f>IF(ISBLANK(MAIN!I223), 0, IF(ISNUMBER(VALUE(TRIM(MAIN!I223))), VALUE(TRIM(MAIN!I223)), 0))</f>
        <v>0</v>
      </c>
      <c r="J223">
        <f>IF(ISBLANK(MAIN!J223), 0, IF(ISNUMBER(VALUE(TRIM(MAIN!J223))), VALUE(TRIM(MAIN!J223)), 0))</f>
        <v>0</v>
      </c>
      <c r="K223" cm="1">
        <f t="array" ref="K223">IFERROR(
    VALUE(
        IFERROR(
            UPPER(
                IF(MAX(IFERROR(SEARCH("WD",MAIN!G223:J223), 0))&gt;0, "WD",
                IF(MAX(IFERROR(SEARCH("NS",MAIN!G223:J223), 0))&gt;0, "NS",
                IF(MAX(IFERROR(SEARCH("NC",MAIN!G223:J223), 0))&gt;0, "NC",
                IF(MAX(IFERROR(SEARCH("DQ",MAIN!G223:J223), 0))&gt;0, "DQ",
                IF(ISNUMBER(SEARCH("WD",MAIN!K223)), "WD",
                IF(ISNUMBER(SEARCH("NS",MAIN!K223)), "NS",
                IF(ISNUMBER(SEARCH("NC",MAIN!K223)), "NC",
                IF(ISNUMBER(SEARCH("DQ",MAIN!K223)), "DQ",
                IF(ISNUMBER(SEARCH("A",MAIN!K223)), 0,
                IF(OR(MAIN!K223=0,MAIN!K223=""), 0, --TRIM(MAIN!K223)))))))))))),
            0
        )
    ),
    IFERROR(
        UPPER(
            IF(MAX(IFERROR(SEARCH("WD",MAIN!G223:J223), 0))&gt;0, "WD",
            IF(MAX(IFERROR(SEARCH("NS",MAIN!G223:J223), 0))&gt;0, "NS",
            IF(MAX(IFERROR(SEARCH("NC",MAIN!G223:J223), 0))&gt;0, "NC",
            IF(MAX(IFERROR(SEARCH("DQ",MAIN!G223:J223), 0))&gt;0, "DQ",
            IF(ISNUMBER(SEARCH("WD",MAIN!K223)), "WD",
            IF(ISNUMBER(SEARCH("NS",MAIN!K223)), "NS",
            IF(ISNUMBER(SEARCH("NC",MAIN!K223)), "NC",
            IF(ISNUMBER(SEARCH("DQ",MAIN!K223)), "DQ",
            IF(ISNUMBER(SEARCH("A",MAIN!K223)), 0,
            IF(OR(MAIN!K223=0,MAIN!K223=""), 0, --TRIM(MAIN!K223)))))))))))),
        0
    )
)</f>
        <v>0</v>
      </c>
    </row>
    <row r="224" spans="1:11" x14ac:dyDescent="0.25">
      <c r="A224" t="str">
        <f>IF(ISBLANK(MAIN!A224), "--", IFERROR(PROPER(SUBSTITUTE(SUBSTITUTE(SUBSTITUTE(SUBSTITUTE(SUBSTITUTE(SUBSTITUTE(SUBSTITUTE(SUBSTITUTE(SUBSTITUTE(SUBSTITUTE(LEFT(MAIN!A224, FIND(",",MAIN!A224) -1), "0", ""), "1", ""), "2", ""), "3", ""), "4", ""), "5", ""), "6", ""), "7", ""), "8", ""), "9", "")), PROPER(SUBSTITUTE(SUBSTITUTE(SUBSTITUTE(SUBSTITUTE(SUBSTITUTE(SUBSTITUTE(SUBSTITUTE(SUBSTITUTE(SUBSTITUTE(SUBSTITUTE(MAIN!A224, "0", ""), "1", ""), "2", ""), "3", ""), "4", ""), "5", ""), "6", ""), "7", ""), "8", ""), "9", ""))))</f>
        <v>--</v>
      </c>
      <c r="B224" t="str">
        <f>IF(ISBLANK(MAIN!B224), "--", IFERROR(PROPER(SUBSTITUTE(SUBSTITUTE(SUBSTITUTE(SUBSTITUTE(SUBSTITUTE(SUBSTITUTE(SUBSTITUTE(SUBSTITUTE(SUBSTITUTE(SUBSTITUTE(LEFT(MAIN!B224, FIND(",",MAIN!B224) -1), "0", ""), "1", ""), "2", ""), "3", ""), "4", ""), "5", ""), "6", ""), "7", ""), "8", ""), "9", "")), PROPER(SUBSTITUTE(SUBSTITUTE(SUBSTITUTE(SUBSTITUTE(SUBSTITUTE(SUBSTITUTE(SUBSTITUTE(SUBSTITUTE(SUBSTITUTE(SUBSTITUTE(MAIN!B224, "0", ""), "1", ""), "2", ""), "3", ""), "4", ""), "5", ""), "6", ""), "7", ""), "8", ""), "9", ""))))</f>
        <v>--</v>
      </c>
      <c r="C224" t="str">
        <f>IF(ISBLANK(MAIN!C224), "--", IFERROR(PROPER(SUBSTITUTE(SUBSTITUTE(SUBSTITUTE(SUBSTITUTE(SUBSTITUTE(SUBSTITUTE(SUBSTITUTE(SUBSTITUTE(SUBSTITUTE(SUBSTITUTE(LEFT(MAIN!C224, FIND(",",MAIN!C224) -1), "0", ""), "1", ""), "2", ""), "3", ""), "4", ""), "5", ""), "6", ""), "7", ""), "8", ""), "9", "")), PROPER(SUBSTITUTE(SUBSTITUTE(SUBSTITUTE(SUBSTITUTE(SUBSTITUTE(SUBSTITUTE(SUBSTITUTE(SUBSTITUTE(SUBSTITUTE(SUBSTITUTE(MAIN!C224, "0", ""), "1", ""), "2", ""), "3", ""), "4", ""), "5", ""), "6", ""), "7", ""), "8", ""), "9", ""))))</f>
        <v>--</v>
      </c>
      <c r="D224" t="str">
        <f>IF(ISBLANK(MAIN!D224), "--", IF(ISNUMBER(MATCH(SUBSTITUTE(LEFT(MAIN!D224, IFERROR(FIND(",", MAIN!D224)-1, LEN(MAIN!D224))), " ", ""), lookup_values!$B$2:$B$51, 0)), UPPER(SUBSTITUTE(LEFT(MAIN!D224, IFERROR(FIND(",", MAIN!D224)-1, LEN(MAIN!D224))), " ", "")), IF(ISNA(VLOOKUP(SUBSTITUTE(LEFT(MAIN!D224, IFERROR(FIND(",", MAIN!D224)-1, LEN(MAIN!D224))), " ", ""), lookup_values!$A$2:$B$51, 2, FALSE)), "--", VLOOKUP(SUBSTITUTE(LEFT(MAIN!D224, IFERROR(FIND(",", MAIN!D224)-1, LEN(MAIN!D224))), " ", ""), lookup_values!$A$2:$B$51, 2, FALSE))))</f>
        <v>--</v>
      </c>
      <c r="E224" t="str">
        <f>IF(CLEAN_DATA!D224&lt;&gt;"--","US",IF(ISBLANK(MAIN!E224), "--", IF(ISNUMBER(MATCH(SUBSTITUTE(LEFT(MAIN!E224, IFERROR(FIND(",", MAIN!E224)-1, LEN(MAIN!E224))), " ", ""), lookup_values!$E$2:$E$197, 0)), UPPER(SUBSTITUTE(LEFT(MAIN!E224, IFERROR(FIND(",", MAIN!E224)-1, LEN(MAIN!E224))), " ", "")), IF(ISNA(VLOOKUP(SUBSTITUTE(LEFT(MAIN!E224, IFERROR(FIND(",", MAIN!E224)-1, LEN(MAIN!E224))), " ", ""), lookup_values!$D$2:$E$197, 2, FALSE)), "--", VLOOKUP(SUBSTITUTE(LEFT(MAIN!E224, IFERROR(FIND(",", MAIN!E224)-1, LEN(MAIN!E224))), " ", ""), lookup_values!$D$2:$E$197, 2, FALSE)))))</f>
        <v>--</v>
      </c>
      <c r="F224" t="str">
        <f>IF(ISBLANK(MAIN!F224), "", IF(AND(ISNUMBER(VALUE(TRIM(MAIN!F224))), LEN(TRIM(MAIN!F224))=4), VALUE(TRIM(MAIN!F224)), ""))</f>
        <v/>
      </c>
      <c r="G224">
        <f>IF(ISBLANK(MAIN!G224), 0, IF(ISNUMBER(VALUE(TRIM(MAIN!G224))), VALUE(TRIM(MAIN!G224)), 0))</f>
        <v>0</v>
      </c>
      <c r="H224">
        <f>IF(ISBLANK(MAIN!H224), 0, IF(ISNUMBER(VALUE(TRIM(MAIN!H224))), VALUE(TRIM(MAIN!H224)), 0))</f>
        <v>0</v>
      </c>
      <c r="I224">
        <f>IF(ISBLANK(MAIN!I224), 0, IF(ISNUMBER(VALUE(TRIM(MAIN!I224))), VALUE(TRIM(MAIN!I224)), 0))</f>
        <v>0</v>
      </c>
      <c r="J224">
        <f>IF(ISBLANK(MAIN!J224), 0, IF(ISNUMBER(VALUE(TRIM(MAIN!J224))), VALUE(TRIM(MAIN!J224)), 0))</f>
        <v>0</v>
      </c>
      <c r="K224" cm="1">
        <f t="array" ref="K224">IFERROR(
    VALUE(
        IFERROR(
            UPPER(
                IF(MAX(IFERROR(SEARCH("WD",MAIN!G224:J224), 0))&gt;0, "WD",
                IF(MAX(IFERROR(SEARCH("NS",MAIN!G224:J224), 0))&gt;0, "NS",
                IF(MAX(IFERROR(SEARCH("NC",MAIN!G224:J224), 0))&gt;0, "NC",
                IF(MAX(IFERROR(SEARCH("DQ",MAIN!G224:J224), 0))&gt;0, "DQ",
                IF(ISNUMBER(SEARCH("WD",MAIN!K224)), "WD",
                IF(ISNUMBER(SEARCH("NS",MAIN!K224)), "NS",
                IF(ISNUMBER(SEARCH("NC",MAIN!K224)), "NC",
                IF(ISNUMBER(SEARCH("DQ",MAIN!K224)), "DQ",
                IF(ISNUMBER(SEARCH("A",MAIN!K224)), 0,
                IF(OR(MAIN!K224=0,MAIN!K224=""), 0, --TRIM(MAIN!K224)))))))))))),
            0
        )
    ),
    IFERROR(
        UPPER(
            IF(MAX(IFERROR(SEARCH("WD",MAIN!G224:J224), 0))&gt;0, "WD",
            IF(MAX(IFERROR(SEARCH("NS",MAIN!G224:J224), 0))&gt;0, "NS",
            IF(MAX(IFERROR(SEARCH("NC",MAIN!G224:J224), 0))&gt;0, "NC",
            IF(MAX(IFERROR(SEARCH("DQ",MAIN!G224:J224), 0))&gt;0, "DQ",
            IF(ISNUMBER(SEARCH("WD",MAIN!K224)), "WD",
            IF(ISNUMBER(SEARCH("NS",MAIN!K224)), "NS",
            IF(ISNUMBER(SEARCH("NC",MAIN!K224)), "NC",
            IF(ISNUMBER(SEARCH("DQ",MAIN!K224)), "DQ",
            IF(ISNUMBER(SEARCH("A",MAIN!K224)), 0,
            IF(OR(MAIN!K224=0,MAIN!K224=""), 0, --TRIM(MAIN!K224)))))))))))),
        0
    )
)</f>
        <v>0</v>
      </c>
    </row>
    <row r="225" spans="1:11" x14ac:dyDescent="0.25">
      <c r="A225" t="str">
        <f>IF(ISBLANK(MAIN!A225), "--", IFERROR(PROPER(SUBSTITUTE(SUBSTITUTE(SUBSTITUTE(SUBSTITUTE(SUBSTITUTE(SUBSTITUTE(SUBSTITUTE(SUBSTITUTE(SUBSTITUTE(SUBSTITUTE(LEFT(MAIN!A225, FIND(",",MAIN!A225) -1), "0", ""), "1", ""), "2", ""), "3", ""), "4", ""), "5", ""), "6", ""), "7", ""), "8", ""), "9", "")), PROPER(SUBSTITUTE(SUBSTITUTE(SUBSTITUTE(SUBSTITUTE(SUBSTITUTE(SUBSTITUTE(SUBSTITUTE(SUBSTITUTE(SUBSTITUTE(SUBSTITUTE(MAIN!A225, "0", ""), "1", ""), "2", ""), "3", ""), "4", ""), "5", ""), "6", ""), "7", ""), "8", ""), "9", ""))))</f>
        <v>--</v>
      </c>
      <c r="B225" t="str">
        <f>IF(ISBLANK(MAIN!B225), "--", IFERROR(PROPER(SUBSTITUTE(SUBSTITUTE(SUBSTITUTE(SUBSTITUTE(SUBSTITUTE(SUBSTITUTE(SUBSTITUTE(SUBSTITUTE(SUBSTITUTE(SUBSTITUTE(LEFT(MAIN!B225, FIND(",",MAIN!B225) -1), "0", ""), "1", ""), "2", ""), "3", ""), "4", ""), "5", ""), "6", ""), "7", ""), "8", ""), "9", "")), PROPER(SUBSTITUTE(SUBSTITUTE(SUBSTITUTE(SUBSTITUTE(SUBSTITUTE(SUBSTITUTE(SUBSTITUTE(SUBSTITUTE(SUBSTITUTE(SUBSTITUTE(MAIN!B225, "0", ""), "1", ""), "2", ""), "3", ""), "4", ""), "5", ""), "6", ""), "7", ""), "8", ""), "9", ""))))</f>
        <v>--</v>
      </c>
      <c r="C225" t="str">
        <f>IF(ISBLANK(MAIN!C225), "--", IFERROR(PROPER(SUBSTITUTE(SUBSTITUTE(SUBSTITUTE(SUBSTITUTE(SUBSTITUTE(SUBSTITUTE(SUBSTITUTE(SUBSTITUTE(SUBSTITUTE(SUBSTITUTE(LEFT(MAIN!C225, FIND(",",MAIN!C225) -1), "0", ""), "1", ""), "2", ""), "3", ""), "4", ""), "5", ""), "6", ""), "7", ""), "8", ""), "9", "")), PROPER(SUBSTITUTE(SUBSTITUTE(SUBSTITUTE(SUBSTITUTE(SUBSTITUTE(SUBSTITUTE(SUBSTITUTE(SUBSTITUTE(SUBSTITUTE(SUBSTITUTE(MAIN!C225, "0", ""), "1", ""), "2", ""), "3", ""), "4", ""), "5", ""), "6", ""), "7", ""), "8", ""), "9", ""))))</f>
        <v>--</v>
      </c>
      <c r="D225" t="str">
        <f>IF(ISBLANK(MAIN!D225), "--", IF(ISNUMBER(MATCH(SUBSTITUTE(LEFT(MAIN!D225, IFERROR(FIND(",", MAIN!D225)-1, LEN(MAIN!D225))), " ", ""), lookup_values!$B$2:$B$51, 0)), UPPER(SUBSTITUTE(LEFT(MAIN!D225, IFERROR(FIND(",", MAIN!D225)-1, LEN(MAIN!D225))), " ", "")), IF(ISNA(VLOOKUP(SUBSTITUTE(LEFT(MAIN!D225, IFERROR(FIND(",", MAIN!D225)-1, LEN(MAIN!D225))), " ", ""), lookup_values!$A$2:$B$51, 2, FALSE)), "--", VLOOKUP(SUBSTITUTE(LEFT(MAIN!D225, IFERROR(FIND(",", MAIN!D225)-1, LEN(MAIN!D225))), " ", ""), lookup_values!$A$2:$B$51, 2, FALSE))))</f>
        <v>--</v>
      </c>
      <c r="E225" t="str">
        <f>IF(CLEAN_DATA!D225&lt;&gt;"--","US",IF(ISBLANK(MAIN!E225), "--", IF(ISNUMBER(MATCH(SUBSTITUTE(LEFT(MAIN!E225, IFERROR(FIND(",", MAIN!E225)-1, LEN(MAIN!E225))), " ", ""), lookup_values!$E$2:$E$197, 0)), UPPER(SUBSTITUTE(LEFT(MAIN!E225, IFERROR(FIND(",", MAIN!E225)-1, LEN(MAIN!E225))), " ", "")), IF(ISNA(VLOOKUP(SUBSTITUTE(LEFT(MAIN!E225, IFERROR(FIND(",", MAIN!E225)-1, LEN(MAIN!E225))), " ", ""), lookup_values!$D$2:$E$197, 2, FALSE)), "--", VLOOKUP(SUBSTITUTE(LEFT(MAIN!E225, IFERROR(FIND(",", MAIN!E225)-1, LEN(MAIN!E225))), " ", ""), lookup_values!$D$2:$E$197, 2, FALSE)))))</f>
        <v>--</v>
      </c>
      <c r="F225" t="str">
        <f>IF(ISBLANK(MAIN!F225), "", IF(AND(ISNUMBER(VALUE(TRIM(MAIN!F225))), LEN(TRIM(MAIN!F225))=4), VALUE(TRIM(MAIN!F225)), ""))</f>
        <v/>
      </c>
      <c r="G225">
        <f>IF(ISBLANK(MAIN!G225), 0, IF(ISNUMBER(VALUE(TRIM(MAIN!G225))), VALUE(TRIM(MAIN!G225)), 0))</f>
        <v>0</v>
      </c>
      <c r="H225">
        <f>IF(ISBLANK(MAIN!H225), 0, IF(ISNUMBER(VALUE(TRIM(MAIN!H225))), VALUE(TRIM(MAIN!H225)), 0))</f>
        <v>0</v>
      </c>
      <c r="I225">
        <f>IF(ISBLANK(MAIN!I225), 0, IF(ISNUMBER(VALUE(TRIM(MAIN!I225))), VALUE(TRIM(MAIN!I225)), 0))</f>
        <v>0</v>
      </c>
      <c r="J225">
        <f>IF(ISBLANK(MAIN!J225), 0, IF(ISNUMBER(VALUE(TRIM(MAIN!J225))), VALUE(TRIM(MAIN!J225)), 0))</f>
        <v>0</v>
      </c>
      <c r="K225" cm="1">
        <f t="array" ref="K225">IFERROR(
    VALUE(
        IFERROR(
            UPPER(
                IF(MAX(IFERROR(SEARCH("WD",MAIN!G225:J225), 0))&gt;0, "WD",
                IF(MAX(IFERROR(SEARCH("NS",MAIN!G225:J225), 0))&gt;0, "NS",
                IF(MAX(IFERROR(SEARCH("NC",MAIN!G225:J225), 0))&gt;0, "NC",
                IF(MAX(IFERROR(SEARCH("DQ",MAIN!G225:J225), 0))&gt;0, "DQ",
                IF(ISNUMBER(SEARCH("WD",MAIN!K225)), "WD",
                IF(ISNUMBER(SEARCH("NS",MAIN!K225)), "NS",
                IF(ISNUMBER(SEARCH("NC",MAIN!K225)), "NC",
                IF(ISNUMBER(SEARCH("DQ",MAIN!K225)), "DQ",
                IF(ISNUMBER(SEARCH("A",MAIN!K225)), 0,
                IF(OR(MAIN!K225=0,MAIN!K225=""), 0, --TRIM(MAIN!K225)))))))))))),
            0
        )
    ),
    IFERROR(
        UPPER(
            IF(MAX(IFERROR(SEARCH("WD",MAIN!G225:J225), 0))&gt;0, "WD",
            IF(MAX(IFERROR(SEARCH("NS",MAIN!G225:J225), 0))&gt;0, "NS",
            IF(MAX(IFERROR(SEARCH("NC",MAIN!G225:J225), 0))&gt;0, "NC",
            IF(MAX(IFERROR(SEARCH("DQ",MAIN!G225:J225), 0))&gt;0, "DQ",
            IF(ISNUMBER(SEARCH("WD",MAIN!K225)), "WD",
            IF(ISNUMBER(SEARCH("NS",MAIN!K225)), "NS",
            IF(ISNUMBER(SEARCH("NC",MAIN!K225)), "NC",
            IF(ISNUMBER(SEARCH("DQ",MAIN!K225)), "DQ",
            IF(ISNUMBER(SEARCH("A",MAIN!K225)), 0,
            IF(OR(MAIN!K225=0,MAIN!K225=""), 0, --TRIM(MAIN!K225)))))))))))),
        0
    )
)</f>
        <v>0</v>
      </c>
    </row>
    <row r="226" spans="1:11" x14ac:dyDescent="0.25">
      <c r="A226" t="str">
        <f>IF(ISBLANK(MAIN!A226), "--", IFERROR(PROPER(SUBSTITUTE(SUBSTITUTE(SUBSTITUTE(SUBSTITUTE(SUBSTITUTE(SUBSTITUTE(SUBSTITUTE(SUBSTITUTE(SUBSTITUTE(SUBSTITUTE(LEFT(MAIN!A226, FIND(",",MAIN!A226) -1), "0", ""), "1", ""), "2", ""), "3", ""), "4", ""), "5", ""), "6", ""), "7", ""), "8", ""), "9", "")), PROPER(SUBSTITUTE(SUBSTITUTE(SUBSTITUTE(SUBSTITUTE(SUBSTITUTE(SUBSTITUTE(SUBSTITUTE(SUBSTITUTE(SUBSTITUTE(SUBSTITUTE(MAIN!A226, "0", ""), "1", ""), "2", ""), "3", ""), "4", ""), "5", ""), "6", ""), "7", ""), "8", ""), "9", ""))))</f>
        <v>--</v>
      </c>
      <c r="B226" t="str">
        <f>IF(ISBLANK(MAIN!B226), "--", IFERROR(PROPER(SUBSTITUTE(SUBSTITUTE(SUBSTITUTE(SUBSTITUTE(SUBSTITUTE(SUBSTITUTE(SUBSTITUTE(SUBSTITUTE(SUBSTITUTE(SUBSTITUTE(LEFT(MAIN!B226, FIND(",",MAIN!B226) -1), "0", ""), "1", ""), "2", ""), "3", ""), "4", ""), "5", ""), "6", ""), "7", ""), "8", ""), "9", "")), PROPER(SUBSTITUTE(SUBSTITUTE(SUBSTITUTE(SUBSTITUTE(SUBSTITUTE(SUBSTITUTE(SUBSTITUTE(SUBSTITUTE(SUBSTITUTE(SUBSTITUTE(MAIN!B226, "0", ""), "1", ""), "2", ""), "3", ""), "4", ""), "5", ""), "6", ""), "7", ""), "8", ""), "9", ""))))</f>
        <v>--</v>
      </c>
      <c r="C226" t="str">
        <f>IF(ISBLANK(MAIN!C226), "--", IFERROR(PROPER(SUBSTITUTE(SUBSTITUTE(SUBSTITUTE(SUBSTITUTE(SUBSTITUTE(SUBSTITUTE(SUBSTITUTE(SUBSTITUTE(SUBSTITUTE(SUBSTITUTE(LEFT(MAIN!C226, FIND(",",MAIN!C226) -1), "0", ""), "1", ""), "2", ""), "3", ""), "4", ""), "5", ""), "6", ""), "7", ""), "8", ""), "9", "")), PROPER(SUBSTITUTE(SUBSTITUTE(SUBSTITUTE(SUBSTITUTE(SUBSTITUTE(SUBSTITUTE(SUBSTITUTE(SUBSTITUTE(SUBSTITUTE(SUBSTITUTE(MAIN!C226, "0", ""), "1", ""), "2", ""), "3", ""), "4", ""), "5", ""), "6", ""), "7", ""), "8", ""), "9", ""))))</f>
        <v>--</v>
      </c>
      <c r="D226" t="str">
        <f>IF(ISBLANK(MAIN!D226), "--", IF(ISNUMBER(MATCH(SUBSTITUTE(LEFT(MAIN!D226, IFERROR(FIND(",", MAIN!D226)-1, LEN(MAIN!D226))), " ", ""), lookup_values!$B$2:$B$51, 0)), UPPER(SUBSTITUTE(LEFT(MAIN!D226, IFERROR(FIND(",", MAIN!D226)-1, LEN(MAIN!D226))), " ", "")), IF(ISNA(VLOOKUP(SUBSTITUTE(LEFT(MAIN!D226, IFERROR(FIND(",", MAIN!D226)-1, LEN(MAIN!D226))), " ", ""), lookup_values!$A$2:$B$51, 2, FALSE)), "--", VLOOKUP(SUBSTITUTE(LEFT(MAIN!D226, IFERROR(FIND(",", MAIN!D226)-1, LEN(MAIN!D226))), " ", ""), lookup_values!$A$2:$B$51, 2, FALSE))))</f>
        <v>--</v>
      </c>
      <c r="E226" t="str">
        <f>IF(CLEAN_DATA!D226&lt;&gt;"--","US",IF(ISBLANK(MAIN!E226), "--", IF(ISNUMBER(MATCH(SUBSTITUTE(LEFT(MAIN!E226, IFERROR(FIND(",", MAIN!E226)-1, LEN(MAIN!E226))), " ", ""), lookup_values!$E$2:$E$197, 0)), UPPER(SUBSTITUTE(LEFT(MAIN!E226, IFERROR(FIND(",", MAIN!E226)-1, LEN(MAIN!E226))), " ", "")), IF(ISNA(VLOOKUP(SUBSTITUTE(LEFT(MAIN!E226, IFERROR(FIND(",", MAIN!E226)-1, LEN(MAIN!E226))), " ", ""), lookup_values!$D$2:$E$197, 2, FALSE)), "--", VLOOKUP(SUBSTITUTE(LEFT(MAIN!E226, IFERROR(FIND(",", MAIN!E226)-1, LEN(MAIN!E226))), " ", ""), lookup_values!$D$2:$E$197, 2, FALSE)))))</f>
        <v>--</v>
      </c>
      <c r="F226" t="str">
        <f>IF(ISBLANK(MAIN!F226), "", IF(AND(ISNUMBER(VALUE(TRIM(MAIN!F226))), LEN(TRIM(MAIN!F226))=4), VALUE(TRIM(MAIN!F226)), ""))</f>
        <v/>
      </c>
      <c r="G226">
        <f>IF(ISBLANK(MAIN!G226), 0, IF(ISNUMBER(VALUE(TRIM(MAIN!G226))), VALUE(TRIM(MAIN!G226)), 0))</f>
        <v>0</v>
      </c>
      <c r="H226">
        <f>IF(ISBLANK(MAIN!H226), 0, IF(ISNUMBER(VALUE(TRIM(MAIN!H226))), VALUE(TRIM(MAIN!H226)), 0))</f>
        <v>0</v>
      </c>
      <c r="I226">
        <f>IF(ISBLANK(MAIN!I226), 0, IF(ISNUMBER(VALUE(TRIM(MAIN!I226))), VALUE(TRIM(MAIN!I226)), 0))</f>
        <v>0</v>
      </c>
      <c r="J226">
        <f>IF(ISBLANK(MAIN!J226), 0, IF(ISNUMBER(VALUE(TRIM(MAIN!J226))), VALUE(TRIM(MAIN!J226)), 0))</f>
        <v>0</v>
      </c>
      <c r="K226" cm="1">
        <f t="array" ref="K226">IFERROR(
    VALUE(
        IFERROR(
            UPPER(
                IF(MAX(IFERROR(SEARCH("WD",MAIN!G226:J226), 0))&gt;0, "WD",
                IF(MAX(IFERROR(SEARCH("NS",MAIN!G226:J226), 0))&gt;0, "NS",
                IF(MAX(IFERROR(SEARCH("NC",MAIN!G226:J226), 0))&gt;0, "NC",
                IF(MAX(IFERROR(SEARCH("DQ",MAIN!G226:J226), 0))&gt;0, "DQ",
                IF(ISNUMBER(SEARCH("WD",MAIN!K226)), "WD",
                IF(ISNUMBER(SEARCH("NS",MAIN!K226)), "NS",
                IF(ISNUMBER(SEARCH("NC",MAIN!K226)), "NC",
                IF(ISNUMBER(SEARCH("DQ",MAIN!K226)), "DQ",
                IF(ISNUMBER(SEARCH("A",MAIN!K226)), 0,
                IF(OR(MAIN!K226=0,MAIN!K226=""), 0, --TRIM(MAIN!K226)))))))))))),
            0
        )
    ),
    IFERROR(
        UPPER(
            IF(MAX(IFERROR(SEARCH("WD",MAIN!G226:J226), 0))&gt;0, "WD",
            IF(MAX(IFERROR(SEARCH("NS",MAIN!G226:J226), 0))&gt;0, "NS",
            IF(MAX(IFERROR(SEARCH("NC",MAIN!G226:J226), 0))&gt;0, "NC",
            IF(MAX(IFERROR(SEARCH("DQ",MAIN!G226:J226), 0))&gt;0, "DQ",
            IF(ISNUMBER(SEARCH("WD",MAIN!K226)), "WD",
            IF(ISNUMBER(SEARCH("NS",MAIN!K226)), "NS",
            IF(ISNUMBER(SEARCH("NC",MAIN!K226)), "NC",
            IF(ISNUMBER(SEARCH("DQ",MAIN!K226)), "DQ",
            IF(ISNUMBER(SEARCH("A",MAIN!K226)), 0,
            IF(OR(MAIN!K226=0,MAIN!K226=""), 0, --TRIM(MAIN!K226)))))))))))),
        0
    )
)</f>
        <v>0</v>
      </c>
    </row>
    <row r="227" spans="1:11" x14ac:dyDescent="0.25">
      <c r="A227" t="str">
        <f>IF(ISBLANK(MAIN!A227), "--", IFERROR(PROPER(SUBSTITUTE(SUBSTITUTE(SUBSTITUTE(SUBSTITUTE(SUBSTITUTE(SUBSTITUTE(SUBSTITUTE(SUBSTITUTE(SUBSTITUTE(SUBSTITUTE(LEFT(MAIN!A227, FIND(",",MAIN!A227) -1), "0", ""), "1", ""), "2", ""), "3", ""), "4", ""), "5", ""), "6", ""), "7", ""), "8", ""), "9", "")), PROPER(SUBSTITUTE(SUBSTITUTE(SUBSTITUTE(SUBSTITUTE(SUBSTITUTE(SUBSTITUTE(SUBSTITUTE(SUBSTITUTE(SUBSTITUTE(SUBSTITUTE(MAIN!A227, "0", ""), "1", ""), "2", ""), "3", ""), "4", ""), "5", ""), "6", ""), "7", ""), "8", ""), "9", ""))))</f>
        <v>--</v>
      </c>
      <c r="B227" t="str">
        <f>IF(ISBLANK(MAIN!B227), "--", IFERROR(PROPER(SUBSTITUTE(SUBSTITUTE(SUBSTITUTE(SUBSTITUTE(SUBSTITUTE(SUBSTITUTE(SUBSTITUTE(SUBSTITUTE(SUBSTITUTE(SUBSTITUTE(LEFT(MAIN!B227, FIND(",",MAIN!B227) -1), "0", ""), "1", ""), "2", ""), "3", ""), "4", ""), "5", ""), "6", ""), "7", ""), "8", ""), "9", "")), PROPER(SUBSTITUTE(SUBSTITUTE(SUBSTITUTE(SUBSTITUTE(SUBSTITUTE(SUBSTITUTE(SUBSTITUTE(SUBSTITUTE(SUBSTITUTE(SUBSTITUTE(MAIN!B227, "0", ""), "1", ""), "2", ""), "3", ""), "4", ""), "5", ""), "6", ""), "7", ""), "8", ""), "9", ""))))</f>
        <v>--</v>
      </c>
      <c r="C227" t="str">
        <f>IF(ISBLANK(MAIN!C227), "--", IFERROR(PROPER(SUBSTITUTE(SUBSTITUTE(SUBSTITUTE(SUBSTITUTE(SUBSTITUTE(SUBSTITUTE(SUBSTITUTE(SUBSTITUTE(SUBSTITUTE(SUBSTITUTE(LEFT(MAIN!C227, FIND(",",MAIN!C227) -1), "0", ""), "1", ""), "2", ""), "3", ""), "4", ""), "5", ""), "6", ""), "7", ""), "8", ""), "9", "")), PROPER(SUBSTITUTE(SUBSTITUTE(SUBSTITUTE(SUBSTITUTE(SUBSTITUTE(SUBSTITUTE(SUBSTITUTE(SUBSTITUTE(SUBSTITUTE(SUBSTITUTE(MAIN!C227, "0", ""), "1", ""), "2", ""), "3", ""), "4", ""), "5", ""), "6", ""), "7", ""), "8", ""), "9", ""))))</f>
        <v>--</v>
      </c>
      <c r="D227" t="str">
        <f>IF(ISBLANK(MAIN!D227), "--", IF(ISNUMBER(MATCH(SUBSTITUTE(LEFT(MAIN!D227, IFERROR(FIND(",", MAIN!D227)-1, LEN(MAIN!D227))), " ", ""), lookup_values!$B$2:$B$51, 0)), UPPER(SUBSTITUTE(LEFT(MAIN!D227, IFERROR(FIND(",", MAIN!D227)-1, LEN(MAIN!D227))), " ", "")), IF(ISNA(VLOOKUP(SUBSTITUTE(LEFT(MAIN!D227, IFERROR(FIND(",", MAIN!D227)-1, LEN(MAIN!D227))), " ", ""), lookup_values!$A$2:$B$51, 2, FALSE)), "--", VLOOKUP(SUBSTITUTE(LEFT(MAIN!D227, IFERROR(FIND(",", MAIN!D227)-1, LEN(MAIN!D227))), " ", ""), lookup_values!$A$2:$B$51, 2, FALSE))))</f>
        <v>--</v>
      </c>
      <c r="E227" t="str">
        <f>IF(CLEAN_DATA!D227&lt;&gt;"--","US",IF(ISBLANK(MAIN!E227), "--", IF(ISNUMBER(MATCH(SUBSTITUTE(LEFT(MAIN!E227, IFERROR(FIND(",", MAIN!E227)-1, LEN(MAIN!E227))), " ", ""), lookup_values!$E$2:$E$197, 0)), UPPER(SUBSTITUTE(LEFT(MAIN!E227, IFERROR(FIND(",", MAIN!E227)-1, LEN(MAIN!E227))), " ", "")), IF(ISNA(VLOOKUP(SUBSTITUTE(LEFT(MAIN!E227, IFERROR(FIND(",", MAIN!E227)-1, LEN(MAIN!E227))), " ", ""), lookup_values!$D$2:$E$197, 2, FALSE)), "--", VLOOKUP(SUBSTITUTE(LEFT(MAIN!E227, IFERROR(FIND(",", MAIN!E227)-1, LEN(MAIN!E227))), " ", ""), lookup_values!$D$2:$E$197, 2, FALSE)))))</f>
        <v>--</v>
      </c>
      <c r="F227" t="str">
        <f>IF(ISBLANK(MAIN!F227), "", IF(AND(ISNUMBER(VALUE(TRIM(MAIN!F227))), LEN(TRIM(MAIN!F227))=4), VALUE(TRIM(MAIN!F227)), ""))</f>
        <v/>
      </c>
      <c r="G227">
        <f>IF(ISBLANK(MAIN!G227), 0, IF(ISNUMBER(VALUE(TRIM(MAIN!G227))), VALUE(TRIM(MAIN!G227)), 0))</f>
        <v>0</v>
      </c>
      <c r="H227">
        <f>IF(ISBLANK(MAIN!H227), 0, IF(ISNUMBER(VALUE(TRIM(MAIN!H227))), VALUE(TRIM(MAIN!H227)), 0))</f>
        <v>0</v>
      </c>
      <c r="I227">
        <f>IF(ISBLANK(MAIN!I227), 0, IF(ISNUMBER(VALUE(TRIM(MAIN!I227))), VALUE(TRIM(MAIN!I227)), 0))</f>
        <v>0</v>
      </c>
      <c r="J227">
        <f>IF(ISBLANK(MAIN!J227), 0, IF(ISNUMBER(VALUE(TRIM(MAIN!J227))), VALUE(TRIM(MAIN!J227)), 0))</f>
        <v>0</v>
      </c>
      <c r="K227" cm="1">
        <f t="array" ref="K227">IFERROR(
    VALUE(
        IFERROR(
            UPPER(
                IF(MAX(IFERROR(SEARCH("WD",MAIN!G227:J227), 0))&gt;0, "WD",
                IF(MAX(IFERROR(SEARCH("NS",MAIN!G227:J227), 0))&gt;0, "NS",
                IF(MAX(IFERROR(SEARCH("NC",MAIN!G227:J227), 0))&gt;0, "NC",
                IF(MAX(IFERROR(SEARCH("DQ",MAIN!G227:J227), 0))&gt;0, "DQ",
                IF(ISNUMBER(SEARCH("WD",MAIN!K227)), "WD",
                IF(ISNUMBER(SEARCH("NS",MAIN!K227)), "NS",
                IF(ISNUMBER(SEARCH("NC",MAIN!K227)), "NC",
                IF(ISNUMBER(SEARCH("DQ",MAIN!K227)), "DQ",
                IF(ISNUMBER(SEARCH("A",MAIN!K227)), 0,
                IF(OR(MAIN!K227=0,MAIN!K227=""), 0, --TRIM(MAIN!K227)))))))))))),
            0
        )
    ),
    IFERROR(
        UPPER(
            IF(MAX(IFERROR(SEARCH("WD",MAIN!G227:J227), 0))&gt;0, "WD",
            IF(MAX(IFERROR(SEARCH("NS",MAIN!G227:J227), 0))&gt;0, "NS",
            IF(MAX(IFERROR(SEARCH("NC",MAIN!G227:J227), 0))&gt;0, "NC",
            IF(MAX(IFERROR(SEARCH("DQ",MAIN!G227:J227), 0))&gt;0, "DQ",
            IF(ISNUMBER(SEARCH("WD",MAIN!K227)), "WD",
            IF(ISNUMBER(SEARCH("NS",MAIN!K227)), "NS",
            IF(ISNUMBER(SEARCH("NC",MAIN!K227)), "NC",
            IF(ISNUMBER(SEARCH("DQ",MAIN!K227)), "DQ",
            IF(ISNUMBER(SEARCH("A",MAIN!K227)), 0,
            IF(OR(MAIN!K227=0,MAIN!K227=""), 0, --TRIM(MAIN!K227)))))))))))),
        0
    )
)</f>
        <v>0</v>
      </c>
    </row>
    <row r="228" spans="1:11" x14ac:dyDescent="0.25">
      <c r="A228" t="str">
        <f>IF(ISBLANK(MAIN!A228), "--", IFERROR(PROPER(SUBSTITUTE(SUBSTITUTE(SUBSTITUTE(SUBSTITUTE(SUBSTITUTE(SUBSTITUTE(SUBSTITUTE(SUBSTITUTE(SUBSTITUTE(SUBSTITUTE(LEFT(MAIN!A228, FIND(",",MAIN!A228) -1), "0", ""), "1", ""), "2", ""), "3", ""), "4", ""), "5", ""), "6", ""), "7", ""), "8", ""), "9", "")), PROPER(SUBSTITUTE(SUBSTITUTE(SUBSTITUTE(SUBSTITUTE(SUBSTITUTE(SUBSTITUTE(SUBSTITUTE(SUBSTITUTE(SUBSTITUTE(SUBSTITUTE(MAIN!A228, "0", ""), "1", ""), "2", ""), "3", ""), "4", ""), "5", ""), "6", ""), "7", ""), "8", ""), "9", ""))))</f>
        <v>--</v>
      </c>
      <c r="B228" t="str">
        <f>IF(ISBLANK(MAIN!B228), "--", IFERROR(PROPER(SUBSTITUTE(SUBSTITUTE(SUBSTITUTE(SUBSTITUTE(SUBSTITUTE(SUBSTITUTE(SUBSTITUTE(SUBSTITUTE(SUBSTITUTE(SUBSTITUTE(LEFT(MAIN!B228, FIND(",",MAIN!B228) -1), "0", ""), "1", ""), "2", ""), "3", ""), "4", ""), "5", ""), "6", ""), "7", ""), "8", ""), "9", "")), PROPER(SUBSTITUTE(SUBSTITUTE(SUBSTITUTE(SUBSTITUTE(SUBSTITUTE(SUBSTITUTE(SUBSTITUTE(SUBSTITUTE(SUBSTITUTE(SUBSTITUTE(MAIN!B228, "0", ""), "1", ""), "2", ""), "3", ""), "4", ""), "5", ""), "6", ""), "7", ""), "8", ""), "9", ""))))</f>
        <v>--</v>
      </c>
      <c r="C228" t="str">
        <f>IF(ISBLANK(MAIN!C228), "--", IFERROR(PROPER(SUBSTITUTE(SUBSTITUTE(SUBSTITUTE(SUBSTITUTE(SUBSTITUTE(SUBSTITUTE(SUBSTITUTE(SUBSTITUTE(SUBSTITUTE(SUBSTITUTE(LEFT(MAIN!C228, FIND(",",MAIN!C228) -1), "0", ""), "1", ""), "2", ""), "3", ""), "4", ""), "5", ""), "6", ""), "7", ""), "8", ""), "9", "")), PROPER(SUBSTITUTE(SUBSTITUTE(SUBSTITUTE(SUBSTITUTE(SUBSTITUTE(SUBSTITUTE(SUBSTITUTE(SUBSTITUTE(SUBSTITUTE(SUBSTITUTE(MAIN!C228, "0", ""), "1", ""), "2", ""), "3", ""), "4", ""), "5", ""), "6", ""), "7", ""), "8", ""), "9", ""))))</f>
        <v>--</v>
      </c>
      <c r="D228" t="str">
        <f>IF(ISBLANK(MAIN!D228), "--", IF(ISNUMBER(MATCH(SUBSTITUTE(LEFT(MAIN!D228, IFERROR(FIND(",", MAIN!D228)-1, LEN(MAIN!D228))), " ", ""), lookup_values!$B$2:$B$51, 0)), UPPER(SUBSTITUTE(LEFT(MAIN!D228, IFERROR(FIND(",", MAIN!D228)-1, LEN(MAIN!D228))), " ", "")), IF(ISNA(VLOOKUP(SUBSTITUTE(LEFT(MAIN!D228, IFERROR(FIND(",", MAIN!D228)-1, LEN(MAIN!D228))), " ", ""), lookup_values!$A$2:$B$51, 2, FALSE)), "--", VLOOKUP(SUBSTITUTE(LEFT(MAIN!D228, IFERROR(FIND(",", MAIN!D228)-1, LEN(MAIN!D228))), " ", ""), lookup_values!$A$2:$B$51, 2, FALSE))))</f>
        <v>--</v>
      </c>
      <c r="E228" t="str">
        <f>IF(CLEAN_DATA!D228&lt;&gt;"--","US",IF(ISBLANK(MAIN!E228), "--", IF(ISNUMBER(MATCH(SUBSTITUTE(LEFT(MAIN!E228, IFERROR(FIND(",", MAIN!E228)-1, LEN(MAIN!E228))), " ", ""), lookup_values!$E$2:$E$197, 0)), UPPER(SUBSTITUTE(LEFT(MAIN!E228, IFERROR(FIND(",", MAIN!E228)-1, LEN(MAIN!E228))), " ", "")), IF(ISNA(VLOOKUP(SUBSTITUTE(LEFT(MAIN!E228, IFERROR(FIND(",", MAIN!E228)-1, LEN(MAIN!E228))), " ", ""), lookup_values!$D$2:$E$197, 2, FALSE)), "--", VLOOKUP(SUBSTITUTE(LEFT(MAIN!E228, IFERROR(FIND(",", MAIN!E228)-1, LEN(MAIN!E228))), " ", ""), lookup_values!$D$2:$E$197, 2, FALSE)))))</f>
        <v>--</v>
      </c>
      <c r="F228" t="str">
        <f>IF(ISBLANK(MAIN!F228), "", IF(AND(ISNUMBER(VALUE(TRIM(MAIN!F228))), LEN(TRIM(MAIN!F228))=4), VALUE(TRIM(MAIN!F228)), ""))</f>
        <v/>
      </c>
      <c r="G228">
        <f>IF(ISBLANK(MAIN!G228), 0, IF(ISNUMBER(VALUE(TRIM(MAIN!G228))), VALUE(TRIM(MAIN!G228)), 0))</f>
        <v>0</v>
      </c>
      <c r="H228">
        <f>IF(ISBLANK(MAIN!H228), 0, IF(ISNUMBER(VALUE(TRIM(MAIN!H228))), VALUE(TRIM(MAIN!H228)), 0))</f>
        <v>0</v>
      </c>
      <c r="I228">
        <f>IF(ISBLANK(MAIN!I228), 0, IF(ISNUMBER(VALUE(TRIM(MAIN!I228))), VALUE(TRIM(MAIN!I228)), 0))</f>
        <v>0</v>
      </c>
      <c r="J228">
        <f>IF(ISBLANK(MAIN!J228), 0, IF(ISNUMBER(VALUE(TRIM(MAIN!J228))), VALUE(TRIM(MAIN!J228)), 0))</f>
        <v>0</v>
      </c>
      <c r="K228" cm="1">
        <f t="array" ref="K228">IFERROR(
    VALUE(
        IFERROR(
            UPPER(
                IF(MAX(IFERROR(SEARCH("WD",MAIN!G228:J228), 0))&gt;0, "WD",
                IF(MAX(IFERROR(SEARCH("NS",MAIN!G228:J228), 0))&gt;0, "NS",
                IF(MAX(IFERROR(SEARCH("NC",MAIN!G228:J228), 0))&gt;0, "NC",
                IF(MAX(IFERROR(SEARCH("DQ",MAIN!G228:J228), 0))&gt;0, "DQ",
                IF(ISNUMBER(SEARCH("WD",MAIN!K228)), "WD",
                IF(ISNUMBER(SEARCH("NS",MAIN!K228)), "NS",
                IF(ISNUMBER(SEARCH("NC",MAIN!K228)), "NC",
                IF(ISNUMBER(SEARCH("DQ",MAIN!K228)), "DQ",
                IF(ISNUMBER(SEARCH("A",MAIN!K228)), 0,
                IF(OR(MAIN!K228=0,MAIN!K228=""), 0, --TRIM(MAIN!K228)))))))))))),
            0
        )
    ),
    IFERROR(
        UPPER(
            IF(MAX(IFERROR(SEARCH("WD",MAIN!G228:J228), 0))&gt;0, "WD",
            IF(MAX(IFERROR(SEARCH("NS",MAIN!G228:J228), 0))&gt;0, "NS",
            IF(MAX(IFERROR(SEARCH("NC",MAIN!G228:J228), 0))&gt;0, "NC",
            IF(MAX(IFERROR(SEARCH("DQ",MAIN!G228:J228), 0))&gt;0, "DQ",
            IF(ISNUMBER(SEARCH("WD",MAIN!K228)), "WD",
            IF(ISNUMBER(SEARCH("NS",MAIN!K228)), "NS",
            IF(ISNUMBER(SEARCH("NC",MAIN!K228)), "NC",
            IF(ISNUMBER(SEARCH("DQ",MAIN!K228)), "DQ",
            IF(ISNUMBER(SEARCH("A",MAIN!K228)), 0,
            IF(OR(MAIN!K228=0,MAIN!K228=""), 0, --TRIM(MAIN!K228)))))))))))),
        0
    )
)</f>
        <v>0</v>
      </c>
    </row>
    <row r="229" spans="1:11" x14ac:dyDescent="0.25">
      <c r="A229" t="str">
        <f>IF(ISBLANK(MAIN!A229), "--", IFERROR(PROPER(SUBSTITUTE(SUBSTITUTE(SUBSTITUTE(SUBSTITUTE(SUBSTITUTE(SUBSTITUTE(SUBSTITUTE(SUBSTITUTE(SUBSTITUTE(SUBSTITUTE(LEFT(MAIN!A229, FIND(",",MAIN!A229) -1), "0", ""), "1", ""), "2", ""), "3", ""), "4", ""), "5", ""), "6", ""), "7", ""), "8", ""), "9", "")), PROPER(SUBSTITUTE(SUBSTITUTE(SUBSTITUTE(SUBSTITUTE(SUBSTITUTE(SUBSTITUTE(SUBSTITUTE(SUBSTITUTE(SUBSTITUTE(SUBSTITUTE(MAIN!A229, "0", ""), "1", ""), "2", ""), "3", ""), "4", ""), "5", ""), "6", ""), "7", ""), "8", ""), "9", ""))))</f>
        <v>--</v>
      </c>
      <c r="B229" t="str">
        <f>IF(ISBLANK(MAIN!B229), "--", IFERROR(PROPER(SUBSTITUTE(SUBSTITUTE(SUBSTITUTE(SUBSTITUTE(SUBSTITUTE(SUBSTITUTE(SUBSTITUTE(SUBSTITUTE(SUBSTITUTE(SUBSTITUTE(LEFT(MAIN!B229, FIND(",",MAIN!B229) -1), "0", ""), "1", ""), "2", ""), "3", ""), "4", ""), "5", ""), "6", ""), "7", ""), "8", ""), "9", "")), PROPER(SUBSTITUTE(SUBSTITUTE(SUBSTITUTE(SUBSTITUTE(SUBSTITUTE(SUBSTITUTE(SUBSTITUTE(SUBSTITUTE(SUBSTITUTE(SUBSTITUTE(MAIN!B229, "0", ""), "1", ""), "2", ""), "3", ""), "4", ""), "5", ""), "6", ""), "7", ""), "8", ""), "9", ""))))</f>
        <v>--</v>
      </c>
      <c r="C229" t="str">
        <f>IF(ISBLANK(MAIN!C229), "--", IFERROR(PROPER(SUBSTITUTE(SUBSTITUTE(SUBSTITUTE(SUBSTITUTE(SUBSTITUTE(SUBSTITUTE(SUBSTITUTE(SUBSTITUTE(SUBSTITUTE(SUBSTITUTE(LEFT(MAIN!C229, FIND(",",MAIN!C229) -1), "0", ""), "1", ""), "2", ""), "3", ""), "4", ""), "5", ""), "6", ""), "7", ""), "8", ""), "9", "")), PROPER(SUBSTITUTE(SUBSTITUTE(SUBSTITUTE(SUBSTITUTE(SUBSTITUTE(SUBSTITUTE(SUBSTITUTE(SUBSTITUTE(SUBSTITUTE(SUBSTITUTE(MAIN!C229, "0", ""), "1", ""), "2", ""), "3", ""), "4", ""), "5", ""), "6", ""), "7", ""), "8", ""), "9", ""))))</f>
        <v>--</v>
      </c>
      <c r="D229" t="str">
        <f>IF(ISBLANK(MAIN!D229), "--", IF(ISNUMBER(MATCH(SUBSTITUTE(LEFT(MAIN!D229, IFERROR(FIND(",", MAIN!D229)-1, LEN(MAIN!D229))), " ", ""), lookup_values!$B$2:$B$51, 0)), UPPER(SUBSTITUTE(LEFT(MAIN!D229, IFERROR(FIND(",", MAIN!D229)-1, LEN(MAIN!D229))), " ", "")), IF(ISNA(VLOOKUP(SUBSTITUTE(LEFT(MAIN!D229, IFERROR(FIND(",", MAIN!D229)-1, LEN(MAIN!D229))), " ", ""), lookup_values!$A$2:$B$51, 2, FALSE)), "--", VLOOKUP(SUBSTITUTE(LEFT(MAIN!D229, IFERROR(FIND(",", MAIN!D229)-1, LEN(MAIN!D229))), " ", ""), lookup_values!$A$2:$B$51, 2, FALSE))))</f>
        <v>--</v>
      </c>
      <c r="E229" t="str">
        <f>IF(CLEAN_DATA!D229&lt;&gt;"--","US",IF(ISBLANK(MAIN!E229), "--", IF(ISNUMBER(MATCH(SUBSTITUTE(LEFT(MAIN!E229, IFERROR(FIND(",", MAIN!E229)-1, LEN(MAIN!E229))), " ", ""), lookup_values!$E$2:$E$197, 0)), UPPER(SUBSTITUTE(LEFT(MAIN!E229, IFERROR(FIND(",", MAIN!E229)-1, LEN(MAIN!E229))), " ", "")), IF(ISNA(VLOOKUP(SUBSTITUTE(LEFT(MAIN!E229, IFERROR(FIND(",", MAIN!E229)-1, LEN(MAIN!E229))), " ", ""), lookup_values!$D$2:$E$197, 2, FALSE)), "--", VLOOKUP(SUBSTITUTE(LEFT(MAIN!E229, IFERROR(FIND(",", MAIN!E229)-1, LEN(MAIN!E229))), " ", ""), lookup_values!$D$2:$E$197, 2, FALSE)))))</f>
        <v>--</v>
      </c>
      <c r="F229" t="str">
        <f>IF(ISBLANK(MAIN!F229), "", IF(AND(ISNUMBER(VALUE(TRIM(MAIN!F229))), LEN(TRIM(MAIN!F229))=4), VALUE(TRIM(MAIN!F229)), ""))</f>
        <v/>
      </c>
      <c r="G229">
        <f>IF(ISBLANK(MAIN!G229), 0, IF(ISNUMBER(VALUE(TRIM(MAIN!G229))), VALUE(TRIM(MAIN!G229)), 0))</f>
        <v>0</v>
      </c>
      <c r="H229">
        <f>IF(ISBLANK(MAIN!H229), 0, IF(ISNUMBER(VALUE(TRIM(MAIN!H229))), VALUE(TRIM(MAIN!H229)), 0))</f>
        <v>0</v>
      </c>
      <c r="I229">
        <f>IF(ISBLANK(MAIN!I229), 0, IF(ISNUMBER(VALUE(TRIM(MAIN!I229))), VALUE(TRIM(MAIN!I229)), 0))</f>
        <v>0</v>
      </c>
      <c r="J229">
        <f>IF(ISBLANK(MAIN!J229), 0, IF(ISNUMBER(VALUE(TRIM(MAIN!J229))), VALUE(TRIM(MAIN!J229)), 0))</f>
        <v>0</v>
      </c>
      <c r="K229" cm="1">
        <f t="array" ref="K229">IFERROR(
    VALUE(
        IFERROR(
            UPPER(
                IF(MAX(IFERROR(SEARCH("WD",MAIN!G229:J229), 0))&gt;0, "WD",
                IF(MAX(IFERROR(SEARCH("NS",MAIN!G229:J229), 0))&gt;0, "NS",
                IF(MAX(IFERROR(SEARCH("NC",MAIN!G229:J229), 0))&gt;0, "NC",
                IF(MAX(IFERROR(SEARCH("DQ",MAIN!G229:J229), 0))&gt;0, "DQ",
                IF(ISNUMBER(SEARCH("WD",MAIN!K229)), "WD",
                IF(ISNUMBER(SEARCH("NS",MAIN!K229)), "NS",
                IF(ISNUMBER(SEARCH("NC",MAIN!K229)), "NC",
                IF(ISNUMBER(SEARCH("DQ",MAIN!K229)), "DQ",
                IF(ISNUMBER(SEARCH("A",MAIN!K229)), 0,
                IF(OR(MAIN!K229=0,MAIN!K229=""), 0, --TRIM(MAIN!K229)))))))))))),
            0
        )
    ),
    IFERROR(
        UPPER(
            IF(MAX(IFERROR(SEARCH("WD",MAIN!G229:J229), 0))&gt;0, "WD",
            IF(MAX(IFERROR(SEARCH("NS",MAIN!G229:J229), 0))&gt;0, "NS",
            IF(MAX(IFERROR(SEARCH("NC",MAIN!G229:J229), 0))&gt;0, "NC",
            IF(MAX(IFERROR(SEARCH("DQ",MAIN!G229:J229), 0))&gt;0, "DQ",
            IF(ISNUMBER(SEARCH("WD",MAIN!K229)), "WD",
            IF(ISNUMBER(SEARCH("NS",MAIN!K229)), "NS",
            IF(ISNUMBER(SEARCH("NC",MAIN!K229)), "NC",
            IF(ISNUMBER(SEARCH("DQ",MAIN!K229)), "DQ",
            IF(ISNUMBER(SEARCH("A",MAIN!K229)), 0,
            IF(OR(MAIN!K229=0,MAIN!K229=""), 0, --TRIM(MAIN!K229)))))))))))),
        0
    )
)</f>
        <v>0</v>
      </c>
    </row>
    <row r="230" spans="1:11" x14ac:dyDescent="0.25">
      <c r="A230" t="str">
        <f>IF(ISBLANK(MAIN!A230), "--", IFERROR(PROPER(SUBSTITUTE(SUBSTITUTE(SUBSTITUTE(SUBSTITUTE(SUBSTITUTE(SUBSTITUTE(SUBSTITUTE(SUBSTITUTE(SUBSTITUTE(SUBSTITUTE(LEFT(MAIN!A230, FIND(",",MAIN!A230) -1), "0", ""), "1", ""), "2", ""), "3", ""), "4", ""), "5", ""), "6", ""), "7", ""), "8", ""), "9", "")), PROPER(SUBSTITUTE(SUBSTITUTE(SUBSTITUTE(SUBSTITUTE(SUBSTITUTE(SUBSTITUTE(SUBSTITUTE(SUBSTITUTE(SUBSTITUTE(SUBSTITUTE(MAIN!A230, "0", ""), "1", ""), "2", ""), "3", ""), "4", ""), "5", ""), "6", ""), "7", ""), "8", ""), "9", ""))))</f>
        <v>--</v>
      </c>
      <c r="B230" t="str">
        <f>IF(ISBLANK(MAIN!B230), "--", IFERROR(PROPER(SUBSTITUTE(SUBSTITUTE(SUBSTITUTE(SUBSTITUTE(SUBSTITUTE(SUBSTITUTE(SUBSTITUTE(SUBSTITUTE(SUBSTITUTE(SUBSTITUTE(LEFT(MAIN!B230, FIND(",",MAIN!B230) -1), "0", ""), "1", ""), "2", ""), "3", ""), "4", ""), "5", ""), "6", ""), "7", ""), "8", ""), "9", "")), PROPER(SUBSTITUTE(SUBSTITUTE(SUBSTITUTE(SUBSTITUTE(SUBSTITUTE(SUBSTITUTE(SUBSTITUTE(SUBSTITUTE(SUBSTITUTE(SUBSTITUTE(MAIN!B230, "0", ""), "1", ""), "2", ""), "3", ""), "4", ""), "5", ""), "6", ""), "7", ""), "8", ""), "9", ""))))</f>
        <v>--</v>
      </c>
      <c r="C230" t="str">
        <f>IF(ISBLANK(MAIN!C230), "--", IFERROR(PROPER(SUBSTITUTE(SUBSTITUTE(SUBSTITUTE(SUBSTITUTE(SUBSTITUTE(SUBSTITUTE(SUBSTITUTE(SUBSTITUTE(SUBSTITUTE(SUBSTITUTE(LEFT(MAIN!C230, FIND(",",MAIN!C230) -1), "0", ""), "1", ""), "2", ""), "3", ""), "4", ""), "5", ""), "6", ""), "7", ""), "8", ""), "9", "")), PROPER(SUBSTITUTE(SUBSTITUTE(SUBSTITUTE(SUBSTITUTE(SUBSTITUTE(SUBSTITUTE(SUBSTITUTE(SUBSTITUTE(SUBSTITUTE(SUBSTITUTE(MAIN!C230, "0", ""), "1", ""), "2", ""), "3", ""), "4", ""), "5", ""), "6", ""), "7", ""), "8", ""), "9", ""))))</f>
        <v>--</v>
      </c>
      <c r="D230" t="str">
        <f>IF(ISBLANK(MAIN!D230), "--", IF(ISNUMBER(MATCH(SUBSTITUTE(LEFT(MAIN!D230, IFERROR(FIND(",", MAIN!D230)-1, LEN(MAIN!D230))), " ", ""), lookup_values!$B$2:$B$51, 0)), UPPER(SUBSTITUTE(LEFT(MAIN!D230, IFERROR(FIND(",", MAIN!D230)-1, LEN(MAIN!D230))), " ", "")), IF(ISNA(VLOOKUP(SUBSTITUTE(LEFT(MAIN!D230, IFERROR(FIND(",", MAIN!D230)-1, LEN(MAIN!D230))), " ", ""), lookup_values!$A$2:$B$51, 2, FALSE)), "--", VLOOKUP(SUBSTITUTE(LEFT(MAIN!D230, IFERROR(FIND(",", MAIN!D230)-1, LEN(MAIN!D230))), " ", ""), lookup_values!$A$2:$B$51, 2, FALSE))))</f>
        <v>--</v>
      </c>
      <c r="E230" t="str">
        <f>IF(CLEAN_DATA!D230&lt;&gt;"--","US",IF(ISBLANK(MAIN!E230), "--", IF(ISNUMBER(MATCH(SUBSTITUTE(LEFT(MAIN!E230, IFERROR(FIND(",", MAIN!E230)-1, LEN(MAIN!E230))), " ", ""), lookup_values!$E$2:$E$197, 0)), UPPER(SUBSTITUTE(LEFT(MAIN!E230, IFERROR(FIND(",", MAIN!E230)-1, LEN(MAIN!E230))), " ", "")), IF(ISNA(VLOOKUP(SUBSTITUTE(LEFT(MAIN!E230, IFERROR(FIND(",", MAIN!E230)-1, LEN(MAIN!E230))), " ", ""), lookup_values!$D$2:$E$197, 2, FALSE)), "--", VLOOKUP(SUBSTITUTE(LEFT(MAIN!E230, IFERROR(FIND(",", MAIN!E230)-1, LEN(MAIN!E230))), " ", ""), lookup_values!$D$2:$E$197, 2, FALSE)))))</f>
        <v>--</v>
      </c>
      <c r="F230" t="str">
        <f>IF(ISBLANK(MAIN!F230), "", IF(AND(ISNUMBER(VALUE(TRIM(MAIN!F230))), LEN(TRIM(MAIN!F230))=4), VALUE(TRIM(MAIN!F230)), ""))</f>
        <v/>
      </c>
      <c r="G230">
        <f>IF(ISBLANK(MAIN!G230), 0, IF(ISNUMBER(VALUE(TRIM(MAIN!G230))), VALUE(TRIM(MAIN!G230)), 0))</f>
        <v>0</v>
      </c>
      <c r="H230">
        <f>IF(ISBLANK(MAIN!H230), 0, IF(ISNUMBER(VALUE(TRIM(MAIN!H230))), VALUE(TRIM(MAIN!H230)), 0))</f>
        <v>0</v>
      </c>
      <c r="I230">
        <f>IF(ISBLANK(MAIN!I230), 0, IF(ISNUMBER(VALUE(TRIM(MAIN!I230))), VALUE(TRIM(MAIN!I230)), 0))</f>
        <v>0</v>
      </c>
      <c r="J230">
        <f>IF(ISBLANK(MAIN!J230), 0, IF(ISNUMBER(VALUE(TRIM(MAIN!J230))), VALUE(TRIM(MAIN!J230)), 0))</f>
        <v>0</v>
      </c>
      <c r="K230" cm="1">
        <f t="array" ref="K230">IFERROR(
    VALUE(
        IFERROR(
            UPPER(
                IF(MAX(IFERROR(SEARCH("WD",MAIN!G230:J230), 0))&gt;0, "WD",
                IF(MAX(IFERROR(SEARCH("NS",MAIN!G230:J230), 0))&gt;0, "NS",
                IF(MAX(IFERROR(SEARCH("NC",MAIN!G230:J230), 0))&gt;0, "NC",
                IF(MAX(IFERROR(SEARCH("DQ",MAIN!G230:J230), 0))&gt;0, "DQ",
                IF(ISNUMBER(SEARCH("WD",MAIN!K230)), "WD",
                IF(ISNUMBER(SEARCH("NS",MAIN!K230)), "NS",
                IF(ISNUMBER(SEARCH("NC",MAIN!K230)), "NC",
                IF(ISNUMBER(SEARCH("DQ",MAIN!K230)), "DQ",
                IF(ISNUMBER(SEARCH("A",MAIN!K230)), 0,
                IF(OR(MAIN!K230=0,MAIN!K230=""), 0, --TRIM(MAIN!K230)))))))))))),
            0
        )
    ),
    IFERROR(
        UPPER(
            IF(MAX(IFERROR(SEARCH("WD",MAIN!G230:J230), 0))&gt;0, "WD",
            IF(MAX(IFERROR(SEARCH("NS",MAIN!G230:J230), 0))&gt;0, "NS",
            IF(MAX(IFERROR(SEARCH("NC",MAIN!G230:J230), 0))&gt;0, "NC",
            IF(MAX(IFERROR(SEARCH("DQ",MAIN!G230:J230), 0))&gt;0, "DQ",
            IF(ISNUMBER(SEARCH("WD",MAIN!K230)), "WD",
            IF(ISNUMBER(SEARCH("NS",MAIN!K230)), "NS",
            IF(ISNUMBER(SEARCH("NC",MAIN!K230)), "NC",
            IF(ISNUMBER(SEARCH("DQ",MAIN!K230)), "DQ",
            IF(ISNUMBER(SEARCH("A",MAIN!K230)), 0,
            IF(OR(MAIN!K230=0,MAIN!K230=""), 0, --TRIM(MAIN!K230)))))))))))),
        0
    )
)</f>
        <v>0</v>
      </c>
    </row>
    <row r="231" spans="1:11" x14ac:dyDescent="0.25">
      <c r="A231" t="str">
        <f>IF(ISBLANK(MAIN!A231), "--", IFERROR(PROPER(SUBSTITUTE(SUBSTITUTE(SUBSTITUTE(SUBSTITUTE(SUBSTITUTE(SUBSTITUTE(SUBSTITUTE(SUBSTITUTE(SUBSTITUTE(SUBSTITUTE(LEFT(MAIN!A231, FIND(",",MAIN!A231) -1), "0", ""), "1", ""), "2", ""), "3", ""), "4", ""), "5", ""), "6", ""), "7", ""), "8", ""), "9", "")), PROPER(SUBSTITUTE(SUBSTITUTE(SUBSTITUTE(SUBSTITUTE(SUBSTITUTE(SUBSTITUTE(SUBSTITUTE(SUBSTITUTE(SUBSTITUTE(SUBSTITUTE(MAIN!A231, "0", ""), "1", ""), "2", ""), "3", ""), "4", ""), "5", ""), "6", ""), "7", ""), "8", ""), "9", ""))))</f>
        <v>--</v>
      </c>
      <c r="B231" t="str">
        <f>IF(ISBLANK(MAIN!B231), "--", IFERROR(PROPER(SUBSTITUTE(SUBSTITUTE(SUBSTITUTE(SUBSTITUTE(SUBSTITUTE(SUBSTITUTE(SUBSTITUTE(SUBSTITUTE(SUBSTITUTE(SUBSTITUTE(LEFT(MAIN!B231, FIND(",",MAIN!B231) -1), "0", ""), "1", ""), "2", ""), "3", ""), "4", ""), "5", ""), "6", ""), "7", ""), "8", ""), "9", "")), PROPER(SUBSTITUTE(SUBSTITUTE(SUBSTITUTE(SUBSTITUTE(SUBSTITUTE(SUBSTITUTE(SUBSTITUTE(SUBSTITUTE(SUBSTITUTE(SUBSTITUTE(MAIN!B231, "0", ""), "1", ""), "2", ""), "3", ""), "4", ""), "5", ""), "6", ""), "7", ""), "8", ""), "9", ""))))</f>
        <v>--</v>
      </c>
      <c r="C231" t="str">
        <f>IF(ISBLANK(MAIN!C231), "--", IFERROR(PROPER(SUBSTITUTE(SUBSTITUTE(SUBSTITUTE(SUBSTITUTE(SUBSTITUTE(SUBSTITUTE(SUBSTITUTE(SUBSTITUTE(SUBSTITUTE(SUBSTITUTE(LEFT(MAIN!C231, FIND(",",MAIN!C231) -1), "0", ""), "1", ""), "2", ""), "3", ""), "4", ""), "5", ""), "6", ""), "7", ""), "8", ""), "9", "")), PROPER(SUBSTITUTE(SUBSTITUTE(SUBSTITUTE(SUBSTITUTE(SUBSTITUTE(SUBSTITUTE(SUBSTITUTE(SUBSTITUTE(SUBSTITUTE(SUBSTITUTE(MAIN!C231, "0", ""), "1", ""), "2", ""), "3", ""), "4", ""), "5", ""), "6", ""), "7", ""), "8", ""), "9", ""))))</f>
        <v>--</v>
      </c>
      <c r="D231" t="str">
        <f>IF(ISBLANK(MAIN!D231), "--", IF(ISNUMBER(MATCH(SUBSTITUTE(LEFT(MAIN!D231, IFERROR(FIND(",", MAIN!D231)-1, LEN(MAIN!D231))), " ", ""), lookup_values!$B$2:$B$51, 0)), UPPER(SUBSTITUTE(LEFT(MAIN!D231, IFERROR(FIND(",", MAIN!D231)-1, LEN(MAIN!D231))), " ", "")), IF(ISNA(VLOOKUP(SUBSTITUTE(LEFT(MAIN!D231, IFERROR(FIND(",", MAIN!D231)-1, LEN(MAIN!D231))), " ", ""), lookup_values!$A$2:$B$51, 2, FALSE)), "--", VLOOKUP(SUBSTITUTE(LEFT(MAIN!D231, IFERROR(FIND(",", MAIN!D231)-1, LEN(MAIN!D231))), " ", ""), lookup_values!$A$2:$B$51, 2, FALSE))))</f>
        <v>--</v>
      </c>
      <c r="E231" t="str">
        <f>IF(CLEAN_DATA!D231&lt;&gt;"--","US",IF(ISBLANK(MAIN!E231), "--", IF(ISNUMBER(MATCH(SUBSTITUTE(LEFT(MAIN!E231, IFERROR(FIND(",", MAIN!E231)-1, LEN(MAIN!E231))), " ", ""), lookup_values!$E$2:$E$197, 0)), UPPER(SUBSTITUTE(LEFT(MAIN!E231, IFERROR(FIND(",", MAIN!E231)-1, LEN(MAIN!E231))), " ", "")), IF(ISNA(VLOOKUP(SUBSTITUTE(LEFT(MAIN!E231, IFERROR(FIND(",", MAIN!E231)-1, LEN(MAIN!E231))), " ", ""), lookup_values!$D$2:$E$197, 2, FALSE)), "--", VLOOKUP(SUBSTITUTE(LEFT(MAIN!E231, IFERROR(FIND(",", MAIN!E231)-1, LEN(MAIN!E231))), " ", ""), lookup_values!$D$2:$E$197, 2, FALSE)))))</f>
        <v>--</v>
      </c>
      <c r="F231" t="str">
        <f>IF(ISBLANK(MAIN!F231), "", IF(AND(ISNUMBER(VALUE(TRIM(MAIN!F231))), LEN(TRIM(MAIN!F231))=4), VALUE(TRIM(MAIN!F231)), ""))</f>
        <v/>
      </c>
      <c r="G231">
        <f>IF(ISBLANK(MAIN!G231), 0, IF(ISNUMBER(VALUE(TRIM(MAIN!G231))), VALUE(TRIM(MAIN!G231)), 0))</f>
        <v>0</v>
      </c>
      <c r="H231">
        <f>IF(ISBLANK(MAIN!H231), 0, IF(ISNUMBER(VALUE(TRIM(MAIN!H231))), VALUE(TRIM(MAIN!H231)), 0))</f>
        <v>0</v>
      </c>
      <c r="I231">
        <f>IF(ISBLANK(MAIN!I231), 0, IF(ISNUMBER(VALUE(TRIM(MAIN!I231))), VALUE(TRIM(MAIN!I231)), 0))</f>
        <v>0</v>
      </c>
      <c r="J231">
        <f>IF(ISBLANK(MAIN!J231), 0, IF(ISNUMBER(VALUE(TRIM(MAIN!J231))), VALUE(TRIM(MAIN!J231)), 0))</f>
        <v>0</v>
      </c>
      <c r="K231" cm="1">
        <f t="array" ref="K231">IFERROR(
    VALUE(
        IFERROR(
            UPPER(
                IF(MAX(IFERROR(SEARCH("WD",MAIN!G231:J231), 0))&gt;0, "WD",
                IF(MAX(IFERROR(SEARCH("NS",MAIN!G231:J231), 0))&gt;0, "NS",
                IF(MAX(IFERROR(SEARCH("NC",MAIN!G231:J231), 0))&gt;0, "NC",
                IF(MAX(IFERROR(SEARCH("DQ",MAIN!G231:J231), 0))&gt;0, "DQ",
                IF(ISNUMBER(SEARCH("WD",MAIN!K231)), "WD",
                IF(ISNUMBER(SEARCH("NS",MAIN!K231)), "NS",
                IF(ISNUMBER(SEARCH("NC",MAIN!K231)), "NC",
                IF(ISNUMBER(SEARCH("DQ",MAIN!K231)), "DQ",
                IF(ISNUMBER(SEARCH("A",MAIN!K231)), 0,
                IF(OR(MAIN!K231=0,MAIN!K231=""), 0, --TRIM(MAIN!K231)))))))))))),
            0
        )
    ),
    IFERROR(
        UPPER(
            IF(MAX(IFERROR(SEARCH("WD",MAIN!G231:J231), 0))&gt;0, "WD",
            IF(MAX(IFERROR(SEARCH("NS",MAIN!G231:J231), 0))&gt;0, "NS",
            IF(MAX(IFERROR(SEARCH("NC",MAIN!G231:J231), 0))&gt;0, "NC",
            IF(MAX(IFERROR(SEARCH("DQ",MAIN!G231:J231), 0))&gt;0, "DQ",
            IF(ISNUMBER(SEARCH("WD",MAIN!K231)), "WD",
            IF(ISNUMBER(SEARCH("NS",MAIN!K231)), "NS",
            IF(ISNUMBER(SEARCH("NC",MAIN!K231)), "NC",
            IF(ISNUMBER(SEARCH("DQ",MAIN!K231)), "DQ",
            IF(ISNUMBER(SEARCH("A",MAIN!K231)), 0,
            IF(OR(MAIN!K231=0,MAIN!K231=""), 0, --TRIM(MAIN!K231)))))))))))),
        0
    )
)</f>
        <v>0</v>
      </c>
    </row>
    <row r="232" spans="1:11" x14ac:dyDescent="0.25">
      <c r="A232" t="str">
        <f>IF(ISBLANK(MAIN!A232), "--", IFERROR(PROPER(SUBSTITUTE(SUBSTITUTE(SUBSTITUTE(SUBSTITUTE(SUBSTITUTE(SUBSTITUTE(SUBSTITUTE(SUBSTITUTE(SUBSTITUTE(SUBSTITUTE(LEFT(MAIN!A232, FIND(",",MAIN!A232) -1), "0", ""), "1", ""), "2", ""), "3", ""), "4", ""), "5", ""), "6", ""), "7", ""), "8", ""), "9", "")), PROPER(SUBSTITUTE(SUBSTITUTE(SUBSTITUTE(SUBSTITUTE(SUBSTITUTE(SUBSTITUTE(SUBSTITUTE(SUBSTITUTE(SUBSTITUTE(SUBSTITUTE(MAIN!A232, "0", ""), "1", ""), "2", ""), "3", ""), "4", ""), "5", ""), "6", ""), "7", ""), "8", ""), "9", ""))))</f>
        <v>--</v>
      </c>
      <c r="B232" t="str">
        <f>IF(ISBLANK(MAIN!B232), "--", IFERROR(PROPER(SUBSTITUTE(SUBSTITUTE(SUBSTITUTE(SUBSTITUTE(SUBSTITUTE(SUBSTITUTE(SUBSTITUTE(SUBSTITUTE(SUBSTITUTE(SUBSTITUTE(LEFT(MAIN!B232, FIND(",",MAIN!B232) -1), "0", ""), "1", ""), "2", ""), "3", ""), "4", ""), "5", ""), "6", ""), "7", ""), "8", ""), "9", "")), PROPER(SUBSTITUTE(SUBSTITUTE(SUBSTITUTE(SUBSTITUTE(SUBSTITUTE(SUBSTITUTE(SUBSTITUTE(SUBSTITUTE(SUBSTITUTE(SUBSTITUTE(MAIN!B232, "0", ""), "1", ""), "2", ""), "3", ""), "4", ""), "5", ""), "6", ""), "7", ""), "8", ""), "9", ""))))</f>
        <v>--</v>
      </c>
      <c r="C232" t="str">
        <f>IF(ISBLANK(MAIN!C232), "--", IFERROR(PROPER(SUBSTITUTE(SUBSTITUTE(SUBSTITUTE(SUBSTITUTE(SUBSTITUTE(SUBSTITUTE(SUBSTITUTE(SUBSTITUTE(SUBSTITUTE(SUBSTITUTE(LEFT(MAIN!C232, FIND(",",MAIN!C232) -1), "0", ""), "1", ""), "2", ""), "3", ""), "4", ""), "5", ""), "6", ""), "7", ""), "8", ""), "9", "")), PROPER(SUBSTITUTE(SUBSTITUTE(SUBSTITUTE(SUBSTITUTE(SUBSTITUTE(SUBSTITUTE(SUBSTITUTE(SUBSTITUTE(SUBSTITUTE(SUBSTITUTE(MAIN!C232, "0", ""), "1", ""), "2", ""), "3", ""), "4", ""), "5", ""), "6", ""), "7", ""), "8", ""), "9", ""))))</f>
        <v>--</v>
      </c>
      <c r="D232" t="str">
        <f>IF(ISBLANK(MAIN!D232), "--", IF(ISNUMBER(MATCH(SUBSTITUTE(LEFT(MAIN!D232, IFERROR(FIND(",", MAIN!D232)-1, LEN(MAIN!D232))), " ", ""), lookup_values!$B$2:$B$51, 0)), UPPER(SUBSTITUTE(LEFT(MAIN!D232, IFERROR(FIND(",", MAIN!D232)-1, LEN(MAIN!D232))), " ", "")), IF(ISNA(VLOOKUP(SUBSTITUTE(LEFT(MAIN!D232, IFERROR(FIND(",", MAIN!D232)-1, LEN(MAIN!D232))), " ", ""), lookup_values!$A$2:$B$51, 2, FALSE)), "--", VLOOKUP(SUBSTITUTE(LEFT(MAIN!D232, IFERROR(FIND(",", MAIN!D232)-1, LEN(MAIN!D232))), " ", ""), lookup_values!$A$2:$B$51, 2, FALSE))))</f>
        <v>--</v>
      </c>
      <c r="E232" t="str">
        <f>IF(CLEAN_DATA!D232&lt;&gt;"--","US",IF(ISBLANK(MAIN!E232), "--", IF(ISNUMBER(MATCH(SUBSTITUTE(LEFT(MAIN!E232, IFERROR(FIND(",", MAIN!E232)-1, LEN(MAIN!E232))), " ", ""), lookup_values!$E$2:$E$197, 0)), UPPER(SUBSTITUTE(LEFT(MAIN!E232, IFERROR(FIND(",", MAIN!E232)-1, LEN(MAIN!E232))), " ", "")), IF(ISNA(VLOOKUP(SUBSTITUTE(LEFT(MAIN!E232, IFERROR(FIND(",", MAIN!E232)-1, LEN(MAIN!E232))), " ", ""), lookup_values!$D$2:$E$197, 2, FALSE)), "--", VLOOKUP(SUBSTITUTE(LEFT(MAIN!E232, IFERROR(FIND(",", MAIN!E232)-1, LEN(MAIN!E232))), " ", ""), lookup_values!$D$2:$E$197, 2, FALSE)))))</f>
        <v>--</v>
      </c>
      <c r="F232" t="str">
        <f>IF(ISBLANK(MAIN!F232), "", IF(AND(ISNUMBER(VALUE(TRIM(MAIN!F232))), LEN(TRIM(MAIN!F232))=4), VALUE(TRIM(MAIN!F232)), ""))</f>
        <v/>
      </c>
      <c r="G232">
        <f>IF(ISBLANK(MAIN!G232), 0, IF(ISNUMBER(VALUE(TRIM(MAIN!G232))), VALUE(TRIM(MAIN!G232)), 0))</f>
        <v>0</v>
      </c>
      <c r="H232">
        <f>IF(ISBLANK(MAIN!H232), 0, IF(ISNUMBER(VALUE(TRIM(MAIN!H232))), VALUE(TRIM(MAIN!H232)), 0))</f>
        <v>0</v>
      </c>
      <c r="I232">
        <f>IF(ISBLANK(MAIN!I232), 0, IF(ISNUMBER(VALUE(TRIM(MAIN!I232))), VALUE(TRIM(MAIN!I232)), 0))</f>
        <v>0</v>
      </c>
      <c r="J232">
        <f>IF(ISBLANK(MAIN!J232), 0, IF(ISNUMBER(VALUE(TRIM(MAIN!J232))), VALUE(TRIM(MAIN!J232)), 0))</f>
        <v>0</v>
      </c>
      <c r="K232" cm="1">
        <f t="array" ref="K232">IFERROR(
    VALUE(
        IFERROR(
            UPPER(
                IF(MAX(IFERROR(SEARCH("WD",MAIN!G232:J232), 0))&gt;0, "WD",
                IF(MAX(IFERROR(SEARCH("NS",MAIN!G232:J232), 0))&gt;0, "NS",
                IF(MAX(IFERROR(SEARCH("NC",MAIN!G232:J232), 0))&gt;0, "NC",
                IF(MAX(IFERROR(SEARCH("DQ",MAIN!G232:J232), 0))&gt;0, "DQ",
                IF(ISNUMBER(SEARCH("WD",MAIN!K232)), "WD",
                IF(ISNUMBER(SEARCH("NS",MAIN!K232)), "NS",
                IF(ISNUMBER(SEARCH("NC",MAIN!K232)), "NC",
                IF(ISNUMBER(SEARCH("DQ",MAIN!K232)), "DQ",
                IF(ISNUMBER(SEARCH("A",MAIN!K232)), 0,
                IF(OR(MAIN!K232=0,MAIN!K232=""), 0, --TRIM(MAIN!K232)))))))))))),
            0
        )
    ),
    IFERROR(
        UPPER(
            IF(MAX(IFERROR(SEARCH("WD",MAIN!G232:J232), 0))&gt;0, "WD",
            IF(MAX(IFERROR(SEARCH("NS",MAIN!G232:J232), 0))&gt;0, "NS",
            IF(MAX(IFERROR(SEARCH("NC",MAIN!G232:J232), 0))&gt;0, "NC",
            IF(MAX(IFERROR(SEARCH("DQ",MAIN!G232:J232), 0))&gt;0, "DQ",
            IF(ISNUMBER(SEARCH("WD",MAIN!K232)), "WD",
            IF(ISNUMBER(SEARCH("NS",MAIN!K232)), "NS",
            IF(ISNUMBER(SEARCH("NC",MAIN!K232)), "NC",
            IF(ISNUMBER(SEARCH("DQ",MAIN!K232)), "DQ",
            IF(ISNUMBER(SEARCH("A",MAIN!K232)), 0,
            IF(OR(MAIN!K232=0,MAIN!K232=""), 0, --TRIM(MAIN!K232)))))))))))),
        0
    )
)</f>
        <v>0</v>
      </c>
    </row>
    <row r="233" spans="1:11" x14ac:dyDescent="0.25">
      <c r="A233" t="str">
        <f>IF(ISBLANK(MAIN!A233), "--", IFERROR(PROPER(SUBSTITUTE(SUBSTITUTE(SUBSTITUTE(SUBSTITUTE(SUBSTITUTE(SUBSTITUTE(SUBSTITUTE(SUBSTITUTE(SUBSTITUTE(SUBSTITUTE(LEFT(MAIN!A233, FIND(",",MAIN!A233) -1), "0", ""), "1", ""), "2", ""), "3", ""), "4", ""), "5", ""), "6", ""), "7", ""), "8", ""), "9", "")), PROPER(SUBSTITUTE(SUBSTITUTE(SUBSTITUTE(SUBSTITUTE(SUBSTITUTE(SUBSTITUTE(SUBSTITUTE(SUBSTITUTE(SUBSTITUTE(SUBSTITUTE(MAIN!A233, "0", ""), "1", ""), "2", ""), "3", ""), "4", ""), "5", ""), "6", ""), "7", ""), "8", ""), "9", ""))))</f>
        <v>--</v>
      </c>
      <c r="B233" t="str">
        <f>IF(ISBLANK(MAIN!B233), "--", IFERROR(PROPER(SUBSTITUTE(SUBSTITUTE(SUBSTITUTE(SUBSTITUTE(SUBSTITUTE(SUBSTITUTE(SUBSTITUTE(SUBSTITUTE(SUBSTITUTE(SUBSTITUTE(LEFT(MAIN!B233, FIND(",",MAIN!B233) -1), "0", ""), "1", ""), "2", ""), "3", ""), "4", ""), "5", ""), "6", ""), "7", ""), "8", ""), "9", "")), PROPER(SUBSTITUTE(SUBSTITUTE(SUBSTITUTE(SUBSTITUTE(SUBSTITUTE(SUBSTITUTE(SUBSTITUTE(SUBSTITUTE(SUBSTITUTE(SUBSTITUTE(MAIN!B233, "0", ""), "1", ""), "2", ""), "3", ""), "4", ""), "5", ""), "6", ""), "7", ""), "8", ""), "9", ""))))</f>
        <v>--</v>
      </c>
      <c r="C233" t="str">
        <f>IF(ISBLANK(MAIN!C233), "--", IFERROR(PROPER(SUBSTITUTE(SUBSTITUTE(SUBSTITUTE(SUBSTITUTE(SUBSTITUTE(SUBSTITUTE(SUBSTITUTE(SUBSTITUTE(SUBSTITUTE(SUBSTITUTE(LEFT(MAIN!C233, FIND(",",MAIN!C233) -1), "0", ""), "1", ""), "2", ""), "3", ""), "4", ""), "5", ""), "6", ""), "7", ""), "8", ""), "9", "")), PROPER(SUBSTITUTE(SUBSTITUTE(SUBSTITUTE(SUBSTITUTE(SUBSTITUTE(SUBSTITUTE(SUBSTITUTE(SUBSTITUTE(SUBSTITUTE(SUBSTITUTE(MAIN!C233, "0", ""), "1", ""), "2", ""), "3", ""), "4", ""), "5", ""), "6", ""), "7", ""), "8", ""), "9", ""))))</f>
        <v>--</v>
      </c>
      <c r="D233" t="str">
        <f>IF(ISBLANK(MAIN!D233), "--", IF(ISNUMBER(MATCH(SUBSTITUTE(LEFT(MAIN!D233, IFERROR(FIND(",", MAIN!D233)-1, LEN(MAIN!D233))), " ", ""), lookup_values!$B$2:$B$51, 0)), UPPER(SUBSTITUTE(LEFT(MAIN!D233, IFERROR(FIND(",", MAIN!D233)-1, LEN(MAIN!D233))), " ", "")), IF(ISNA(VLOOKUP(SUBSTITUTE(LEFT(MAIN!D233, IFERROR(FIND(",", MAIN!D233)-1, LEN(MAIN!D233))), " ", ""), lookup_values!$A$2:$B$51, 2, FALSE)), "--", VLOOKUP(SUBSTITUTE(LEFT(MAIN!D233, IFERROR(FIND(",", MAIN!D233)-1, LEN(MAIN!D233))), " ", ""), lookup_values!$A$2:$B$51, 2, FALSE))))</f>
        <v>--</v>
      </c>
      <c r="E233" t="str">
        <f>IF(CLEAN_DATA!D233&lt;&gt;"--","US",IF(ISBLANK(MAIN!E233), "--", IF(ISNUMBER(MATCH(SUBSTITUTE(LEFT(MAIN!E233, IFERROR(FIND(",", MAIN!E233)-1, LEN(MAIN!E233))), " ", ""), lookup_values!$E$2:$E$197, 0)), UPPER(SUBSTITUTE(LEFT(MAIN!E233, IFERROR(FIND(",", MAIN!E233)-1, LEN(MAIN!E233))), " ", "")), IF(ISNA(VLOOKUP(SUBSTITUTE(LEFT(MAIN!E233, IFERROR(FIND(",", MAIN!E233)-1, LEN(MAIN!E233))), " ", ""), lookup_values!$D$2:$E$197, 2, FALSE)), "--", VLOOKUP(SUBSTITUTE(LEFT(MAIN!E233, IFERROR(FIND(",", MAIN!E233)-1, LEN(MAIN!E233))), " ", ""), lookup_values!$D$2:$E$197, 2, FALSE)))))</f>
        <v>--</v>
      </c>
      <c r="F233" t="str">
        <f>IF(ISBLANK(MAIN!F233), "", IF(AND(ISNUMBER(VALUE(TRIM(MAIN!F233))), LEN(TRIM(MAIN!F233))=4), VALUE(TRIM(MAIN!F233)), ""))</f>
        <v/>
      </c>
      <c r="G233">
        <f>IF(ISBLANK(MAIN!G233), 0, IF(ISNUMBER(VALUE(TRIM(MAIN!G233))), VALUE(TRIM(MAIN!G233)), 0))</f>
        <v>0</v>
      </c>
      <c r="H233">
        <f>IF(ISBLANK(MAIN!H233), 0, IF(ISNUMBER(VALUE(TRIM(MAIN!H233))), VALUE(TRIM(MAIN!H233)), 0))</f>
        <v>0</v>
      </c>
      <c r="I233">
        <f>IF(ISBLANK(MAIN!I233), 0, IF(ISNUMBER(VALUE(TRIM(MAIN!I233))), VALUE(TRIM(MAIN!I233)), 0))</f>
        <v>0</v>
      </c>
      <c r="J233">
        <f>IF(ISBLANK(MAIN!J233), 0, IF(ISNUMBER(VALUE(TRIM(MAIN!J233))), VALUE(TRIM(MAIN!J233)), 0))</f>
        <v>0</v>
      </c>
      <c r="K233" cm="1">
        <f t="array" ref="K233">IFERROR(
    VALUE(
        IFERROR(
            UPPER(
                IF(MAX(IFERROR(SEARCH("WD",MAIN!G233:J233), 0))&gt;0, "WD",
                IF(MAX(IFERROR(SEARCH("NS",MAIN!G233:J233), 0))&gt;0, "NS",
                IF(MAX(IFERROR(SEARCH("NC",MAIN!G233:J233), 0))&gt;0, "NC",
                IF(MAX(IFERROR(SEARCH("DQ",MAIN!G233:J233), 0))&gt;0, "DQ",
                IF(ISNUMBER(SEARCH("WD",MAIN!K233)), "WD",
                IF(ISNUMBER(SEARCH("NS",MAIN!K233)), "NS",
                IF(ISNUMBER(SEARCH("NC",MAIN!K233)), "NC",
                IF(ISNUMBER(SEARCH("DQ",MAIN!K233)), "DQ",
                IF(ISNUMBER(SEARCH("A",MAIN!K233)), 0,
                IF(OR(MAIN!K233=0,MAIN!K233=""), 0, --TRIM(MAIN!K233)))))))))))),
            0
        )
    ),
    IFERROR(
        UPPER(
            IF(MAX(IFERROR(SEARCH("WD",MAIN!G233:J233), 0))&gt;0, "WD",
            IF(MAX(IFERROR(SEARCH("NS",MAIN!G233:J233), 0))&gt;0, "NS",
            IF(MAX(IFERROR(SEARCH("NC",MAIN!G233:J233), 0))&gt;0, "NC",
            IF(MAX(IFERROR(SEARCH("DQ",MAIN!G233:J233), 0))&gt;0, "DQ",
            IF(ISNUMBER(SEARCH("WD",MAIN!K233)), "WD",
            IF(ISNUMBER(SEARCH("NS",MAIN!K233)), "NS",
            IF(ISNUMBER(SEARCH("NC",MAIN!K233)), "NC",
            IF(ISNUMBER(SEARCH("DQ",MAIN!K233)), "DQ",
            IF(ISNUMBER(SEARCH("A",MAIN!K233)), 0,
            IF(OR(MAIN!K233=0,MAIN!K233=""), 0, --TRIM(MAIN!K233)))))))))))),
        0
    )
)</f>
        <v>0</v>
      </c>
    </row>
    <row r="234" spans="1:11" x14ac:dyDescent="0.25">
      <c r="A234" t="str">
        <f>IF(ISBLANK(MAIN!A234), "--", IFERROR(PROPER(SUBSTITUTE(SUBSTITUTE(SUBSTITUTE(SUBSTITUTE(SUBSTITUTE(SUBSTITUTE(SUBSTITUTE(SUBSTITUTE(SUBSTITUTE(SUBSTITUTE(LEFT(MAIN!A234, FIND(",",MAIN!A234) -1), "0", ""), "1", ""), "2", ""), "3", ""), "4", ""), "5", ""), "6", ""), "7", ""), "8", ""), "9", "")), PROPER(SUBSTITUTE(SUBSTITUTE(SUBSTITUTE(SUBSTITUTE(SUBSTITUTE(SUBSTITUTE(SUBSTITUTE(SUBSTITUTE(SUBSTITUTE(SUBSTITUTE(MAIN!A234, "0", ""), "1", ""), "2", ""), "3", ""), "4", ""), "5", ""), "6", ""), "7", ""), "8", ""), "9", ""))))</f>
        <v>--</v>
      </c>
      <c r="B234" t="str">
        <f>IF(ISBLANK(MAIN!B234), "--", IFERROR(PROPER(SUBSTITUTE(SUBSTITUTE(SUBSTITUTE(SUBSTITUTE(SUBSTITUTE(SUBSTITUTE(SUBSTITUTE(SUBSTITUTE(SUBSTITUTE(SUBSTITUTE(LEFT(MAIN!B234, FIND(",",MAIN!B234) -1), "0", ""), "1", ""), "2", ""), "3", ""), "4", ""), "5", ""), "6", ""), "7", ""), "8", ""), "9", "")), PROPER(SUBSTITUTE(SUBSTITUTE(SUBSTITUTE(SUBSTITUTE(SUBSTITUTE(SUBSTITUTE(SUBSTITUTE(SUBSTITUTE(SUBSTITUTE(SUBSTITUTE(MAIN!B234, "0", ""), "1", ""), "2", ""), "3", ""), "4", ""), "5", ""), "6", ""), "7", ""), "8", ""), "9", ""))))</f>
        <v>--</v>
      </c>
      <c r="C234" t="str">
        <f>IF(ISBLANK(MAIN!C234), "--", IFERROR(PROPER(SUBSTITUTE(SUBSTITUTE(SUBSTITUTE(SUBSTITUTE(SUBSTITUTE(SUBSTITUTE(SUBSTITUTE(SUBSTITUTE(SUBSTITUTE(SUBSTITUTE(LEFT(MAIN!C234, FIND(",",MAIN!C234) -1), "0", ""), "1", ""), "2", ""), "3", ""), "4", ""), "5", ""), "6", ""), "7", ""), "8", ""), "9", "")), PROPER(SUBSTITUTE(SUBSTITUTE(SUBSTITUTE(SUBSTITUTE(SUBSTITUTE(SUBSTITUTE(SUBSTITUTE(SUBSTITUTE(SUBSTITUTE(SUBSTITUTE(MAIN!C234, "0", ""), "1", ""), "2", ""), "3", ""), "4", ""), "5", ""), "6", ""), "7", ""), "8", ""), "9", ""))))</f>
        <v>--</v>
      </c>
      <c r="D234" t="str">
        <f>IF(ISBLANK(MAIN!D234), "--", IF(ISNUMBER(MATCH(SUBSTITUTE(LEFT(MAIN!D234, IFERROR(FIND(",", MAIN!D234)-1, LEN(MAIN!D234))), " ", ""), lookup_values!$B$2:$B$51, 0)), UPPER(SUBSTITUTE(LEFT(MAIN!D234, IFERROR(FIND(",", MAIN!D234)-1, LEN(MAIN!D234))), " ", "")), IF(ISNA(VLOOKUP(SUBSTITUTE(LEFT(MAIN!D234, IFERROR(FIND(",", MAIN!D234)-1, LEN(MAIN!D234))), " ", ""), lookup_values!$A$2:$B$51, 2, FALSE)), "--", VLOOKUP(SUBSTITUTE(LEFT(MAIN!D234, IFERROR(FIND(",", MAIN!D234)-1, LEN(MAIN!D234))), " ", ""), lookup_values!$A$2:$B$51, 2, FALSE))))</f>
        <v>--</v>
      </c>
      <c r="E234" t="str">
        <f>IF(CLEAN_DATA!D234&lt;&gt;"--","US",IF(ISBLANK(MAIN!E234), "--", IF(ISNUMBER(MATCH(SUBSTITUTE(LEFT(MAIN!E234, IFERROR(FIND(",", MAIN!E234)-1, LEN(MAIN!E234))), " ", ""), lookup_values!$E$2:$E$197, 0)), UPPER(SUBSTITUTE(LEFT(MAIN!E234, IFERROR(FIND(",", MAIN!E234)-1, LEN(MAIN!E234))), " ", "")), IF(ISNA(VLOOKUP(SUBSTITUTE(LEFT(MAIN!E234, IFERROR(FIND(",", MAIN!E234)-1, LEN(MAIN!E234))), " ", ""), lookup_values!$D$2:$E$197, 2, FALSE)), "--", VLOOKUP(SUBSTITUTE(LEFT(MAIN!E234, IFERROR(FIND(",", MAIN!E234)-1, LEN(MAIN!E234))), " ", ""), lookup_values!$D$2:$E$197, 2, FALSE)))))</f>
        <v>--</v>
      </c>
      <c r="F234" t="str">
        <f>IF(ISBLANK(MAIN!F234), "", IF(AND(ISNUMBER(VALUE(TRIM(MAIN!F234))), LEN(TRIM(MAIN!F234))=4), VALUE(TRIM(MAIN!F234)), ""))</f>
        <v/>
      </c>
      <c r="G234">
        <f>IF(ISBLANK(MAIN!G234), 0, IF(ISNUMBER(VALUE(TRIM(MAIN!G234))), VALUE(TRIM(MAIN!G234)), 0))</f>
        <v>0</v>
      </c>
      <c r="H234">
        <f>IF(ISBLANK(MAIN!H234), 0, IF(ISNUMBER(VALUE(TRIM(MAIN!H234))), VALUE(TRIM(MAIN!H234)), 0))</f>
        <v>0</v>
      </c>
      <c r="I234">
        <f>IF(ISBLANK(MAIN!I234), 0, IF(ISNUMBER(VALUE(TRIM(MAIN!I234))), VALUE(TRIM(MAIN!I234)), 0))</f>
        <v>0</v>
      </c>
      <c r="J234">
        <f>IF(ISBLANK(MAIN!J234), 0, IF(ISNUMBER(VALUE(TRIM(MAIN!J234))), VALUE(TRIM(MAIN!J234)), 0))</f>
        <v>0</v>
      </c>
      <c r="K234" cm="1">
        <f t="array" ref="K234">IFERROR(
    VALUE(
        IFERROR(
            UPPER(
                IF(MAX(IFERROR(SEARCH("WD",MAIN!G234:J234), 0))&gt;0, "WD",
                IF(MAX(IFERROR(SEARCH("NS",MAIN!G234:J234), 0))&gt;0, "NS",
                IF(MAX(IFERROR(SEARCH("NC",MAIN!G234:J234), 0))&gt;0, "NC",
                IF(MAX(IFERROR(SEARCH("DQ",MAIN!G234:J234), 0))&gt;0, "DQ",
                IF(ISNUMBER(SEARCH("WD",MAIN!K234)), "WD",
                IF(ISNUMBER(SEARCH("NS",MAIN!K234)), "NS",
                IF(ISNUMBER(SEARCH("NC",MAIN!K234)), "NC",
                IF(ISNUMBER(SEARCH("DQ",MAIN!K234)), "DQ",
                IF(ISNUMBER(SEARCH("A",MAIN!K234)), 0,
                IF(OR(MAIN!K234=0,MAIN!K234=""), 0, --TRIM(MAIN!K234)))))))))))),
            0
        )
    ),
    IFERROR(
        UPPER(
            IF(MAX(IFERROR(SEARCH("WD",MAIN!G234:J234), 0))&gt;0, "WD",
            IF(MAX(IFERROR(SEARCH("NS",MAIN!G234:J234), 0))&gt;0, "NS",
            IF(MAX(IFERROR(SEARCH("NC",MAIN!G234:J234), 0))&gt;0, "NC",
            IF(MAX(IFERROR(SEARCH("DQ",MAIN!G234:J234), 0))&gt;0, "DQ",
            IF(ISNUMBER(SEARCH("WD",MAIN!K234)), "WD",
            IF(ISNUMBER(SEARCH("NS",MAIN!K234)), "NS",
            IF(ISNUMBER(SEARCH("NC",MAIN!K234)), "NC",
            IF(ISNUMBER(SEARCH("DQ",MAIN!K234)), "DQ",
            IF(ISNUMBER(SEARCH("A",MAIN!K234)), 0,
            IF(OR(MAIN!K234=0,MAIN!K234=""), 0, --TRIM(MAIN!K234)))))))))))),
        0
    )
)</f>
        <v>0</v>
      </c>
    </row>
    <row r="235" spans="1:11" x14ac:dyDescent="0.25">
      <c r="A235" t="str">
        <f>IF(ISBLANK(MAIN!A235), "--", IFERROR(PROPER(SUBSTITUTE(SUBSTITUTE(SUBSTITUTE(SUBSTITUTE(SUBSTITUTE(SUBSTITUTE(SUBSTITUTE(SUBSTITUTE(SUBSTITUTE(SUBSTITUTE(LEFT(MAIN!A235, FIND(",",MAIN!A235) -1), "0", ""), "1", ""), "2", ""), "3", ""), "4", ""), "5", ""), "6", ""), "7", ""), "8", ""), "9", "")), PROPER(SUBSTITUTE(SUBSTITUTE(SUBSTITUTE(SUBSTITUTE(SUBSTITUTE(SUBSTITUTE(SUBSTITUTE(SUBSTITUTE(SUBSTITUTE(SUBSTITUTE(MAIN!A235, "0", ""), "1", ""), "2", ""), "3", ""), "4", ""), "5", ""), "6", ""), "7", ""), "8", ""), "9", ""))))</f>
        <v>--</v>
      </c>
      <c r="B235" t="str">
        <f>IF(ISBLANK(MAIN!B235), "--", IFERROR(PROPER(SUBSTITUTE(SUBSTITUTE(SUBSTITUTE(SUBSTITUTE(SUBSTITUTE(SUBSTITUTE(SUBSTITUTE(SUBSTITUTE(SUBSTITUTE(SUBSTITUTE(LEFT(MAIN!B235, FIND(",",MAIN!B235) -1), "0", ""), "1", ""), "2", ""), "3", ""), "4", ""), "5", ""), "6", ""), "7", ""), "8", ""), "9", "")), PROPER(SUBSTITUTE(SUBSTITUTE(SUBSTITUTE(SUBSTITUTE(SUBSTITUTE(SUBSTITUTE(SUBSTITUTE(SUBSTITUTE(SUBSTITUTE(SUBSTITUTE(MAIN!B235, "0", ""), "1", ""), "2", ""), "3", ""), "4", ""), "5", ""), "6", ""), "7", ""), "8", ""), "9", ""))))</f>
        <v>--</v>
      </c>
      <c r="C235" t="str">
        <f>IF(ISBLANK(MAIN!C235), "--", IFERROR(PROPER(SUBSTITUTE(SUBSTITUTE(SUBSTITUTE(SUBSTITUTE(SUBSTITUTE(SUBSTITUTE(SUBSTITUTE(SUBSTITUTE(SUBSTITUTE(SUBSTITUTE(LEFT(MAIN!C235, FIND(",",MAIN!C235) -1), "0", ""), "1", ""), "2", ""), "3", ""), "4", ""), "5", ""), "6", ""), "7", ""), "8", ""), "9", "")), PROPER(SUBSTITUTE(SUBSTITUTE(SUBSTITUTE(SUBSTITUTE(SUBSTITUTE(SUBSTITUTE(SUBSTITUTE(SUBSTITUTE(SUBSTITUTE(SUBSTITUTE(MAIN!C235, "0", ""), "1", ""), "2", ""), "3", ""), "4", ""), "5", ""), "6", ""), "7", ""), "8", ""), "9", ""))))</f>
        <v>--</v>
      </c>
      <c r="D235" t="str">
        <f>IF(ISBLANK(MAIN!D235), "--", IF(ISNUMBER(MATCH(SUBSTITUTE(LEFT(MAIN!D235, IFERROR(FIND(",", MAIN!D235)-1, LEN(MAIN!D235))), " ", ""), lookup_values!$B$2:$B$51, 0)), UPPER(SUBSTITUTE(LEFT(MAIN!D235, IFERROR(FIND(",", MAIN!D235)-1, LEN(MAIN!D235))), " ", "")), IF(ISNA(VLOOKUP(SUBSTITUTE(LEFT(MAIN!D235, IFERROR(FIND(",", MAIN!D235)-1, LEN(MAIN!D235))), " ", ""), lookup_values!$A$2:$B$51, 2, FALSE)), "--", VLOOKUP(SUBSTITUTE(LEFT(MAIN!D235, IFERROR(FIND(",", MAIN!D235)-1, LEN(MAIN!D235))), " ", ""), lookup_values!$A$2:$B$51, 2, FALSE))))</f>
        <v>--</v>
      </c>
      <c r="E235" t="str">
        <f>IF(CLEAN_DATA!D235&lt;&gt;"--","US",IF(ISBLANK(MAIN!E235), "--", IF(ISNUMBER(MATCH(SUBSTITUTE(LEFT(MAIN!E235, IFERROR(FIND(",", MAIN!E235)-1, LEN(MAIN!E235))), " ", ""), lookup_values!$E$2:$E$197, 0)), UPPER(SUBSTITUTE(LEFT(MAIN!E235, IFERROR(FIND(",", MAIN!E235)-1, LEN(MAIN!E235))), " ", "")), IF(ISNA(VLOOKUP(SUBSTITUTE(LEFT(MAIN!E235, IFERROR(FIND(",", MAIN!E235)-1, LEN(MAIN!E235))), " ", ""), lookup_values!$D$2:$E$197, 2, FALSE)), "--", VLOOKUP(SUBSTITUTE(LEFT(MAIN!E235, IFERROR(FIND(",", MAIN!E235)-1, LEN(MAIN!E235))), " ", ""), lookup_values!$D$2:$E$197, 2, FALSE)))))</f>
        <v>--</v>
      </c>
      <c r="F235" t="str">
        <f>IF(ISBLANK(MAIN!F235), "", IF(AND(ISNUMBER(VALUE(TRIM(MAIN!F235))), LEN(TRIM(MAIN!F235))=4), VALUE(TRIM(MAIN!F235)), ""))</f>
        <v/>
      </c>
      <c r="G235">
        <f>IF(ISBLANK(MAIN!G235), 0, IF(ISNUMBER(VALUE(TRIM(MAIN!G235))), VALUE(TRIM(MAIN!G235)), 0))</f>
        <v>0</v>
      </c>
      <c r="H235">
        <f>IF(ISBLANK(MAIN!H235), 0, IF(ISNUMBER(VALUE(TRIM(MAIN!H235))), VALUE(TRIM(MAIN!H235)), 0))</f>
        <v>0</v>
      </c>
      <c r="I235">
        <f>IF(ISBLANK(MAIN!I235), 0, IF(ISNUMBER(VALUE(TRIM(MAIN!I235))), VALUE(TRIM(MAIN!I235)), 0))</f>
        <v>0</v>
      </c>
      <c r="J235">
        <f>IF(ISBLANK(MAIN!J235), 0, IF(ISNUMBER(VALUE(TRIM(MAIN!J235))), VALUE(TRIM(MAIN!J235)), 0))</f>
        <v>0</v>
      </c>
      <c r="K235" cm="1">
        <f t="array" ref="K235">IFERROR(
    VALUE(
        IFERROR(
            UPPER(
                IF(MAX(IFERROR(SEARCH("WD",MAIN!G235:J235), 0))&gt;0, "WD",
                IF(MAX(IFERROR(SEARCH("NS",MAIN!G235:J235), 0))&gt;0, "NS",
                IF(MAX(IFERROR(SEARCH("NC",MAIN!G235:J235), 0))&gt;0, "NC",
                IF(MAX(IFERROR(SEARCH("DQ",MAIN!G235:J235), 0))&gt;0, "DQ",
                IF(ISNUMBER(SEARCH("WD",MAIN!K235)), "WD",
                IF(ISNUMBER(SEARCH("NS",MAIN!K235)), "NS",
                IF(ISNUMBER(SEARCH("NC",MAIN!K235)), "NC",
                IF(ISNUMBER(SEARCH("DQ",MAIN!K235)), "DQ",
                IF(ISNUMBER(SEARCH("A",MAIN!K235)), 0,
                IF(OR(MAIN!K235=0,MAIN!K235=""), 0, --TRIM(MAIN!K235)))))))))))),
            0
        )
    ),
    IFERROR(
        UPPER(
            IF(MAX(IFERROR(SEARCH("WD",MAIN!G235:J235), 0))&gt;0, "WD",
            IF(MAX(IFERROR(SEARCH("NS",MAIN!G235:J235), 0))&gt;0, "NS",
            IF(MAX(IFERROR(SEARCH("NC",MAIN!G235:J235), 0))&gt;0, "NC",
            IF(MAX(IFERROR(SEARCH("DQ",MAIN!G235:J235), 0))&gt;0, "DQ",
            IF(ISNUMBER(SEARCH("WD",MAIN!K235)), "WD",
            IF(ISNUMBER(SEARCH("NS",MAIN!K235)), "NS",
            IF(ISNUMBER(SEARCH("NC",MAIN!K235)), "NC",
            IF(ISNUMBER(SEARCH("DQ",MAIN!K235)), "DQ",
            IF(ISNUMBER(SEARCH("A",MAIN!K235)), 0,
            IF(OR(MAIN!K235=0,MAIN!K235=""), 0, --TRIM(MAIN!K235)))))))))))),
        0
    )
)</f>
        <v>0</v>
      </c>
    </row>
    <row r="236" spans="1:11" x14ac:dyDescent="0.25">
      <c r="A236" t="str">
        <f>IF(ISBLANK(MAIN!A236), "--", IFERROR(PROPER(SUBSTITUTE(SUBSTITUTE(SUBSTITUTE(SUBSTITUTE(SUBSTITUTE(SUBSTITUTE(SUBSTITUTE(SUBSTITUTE(SUBSTITUTE(SUBSTITUTE(LEFT(MAIN!A236, FIND(",",MAIN!A236) -1), "0", ""), "1", ""), "2", ""), "3", ""), "4", ""), "5", ""), "6", ""), "7", ""), "8", ""), "9", "")), PROPER(SUBSTITUTE(SUBSTITUTE(SUBSTITUTE(SUBSTITUTE(SUBSTITUTE(SUBSTITUTE(SUBSTITUTE(SUBSTITUTE(SUBSTITUTE(SUBSTITUTE(MAIN!A236, "0", ""), "1", ""), "2", ""), "3", ""), "4", ""), "5", ""), "6", ""), "7", ""), "8", ""), "9", ""))))</f>
        <v>--</v>
      </c>
      <c r="B236" t="str">
        <f>IF(ISBLANK(MAIN!B236), "--", IFERROR(PROPER(SUBSTITUTE(SUBSTITUTE(SUBSTITUTE(SUBSTITUTE(SUBSTITUTE(SUBSTITUTE(SUBSTITUTE(SUBSTITUTE(SUBSTITUTE(SUBSTITUTE(LEFT(MAIN!B236, FIND(",",MAIN!B236) -1), "0", ""), "1", ""), "2", ""), "3", ""), "4", ""), "5", ""), "6", ""), "7", ""), "8", ""), "9", "")), PROPER(SUBSTITUTE(SUBSTITUTE(SUBSTITUTE(SUBSTITUTE(SUBSTITUTE(SUBSTITUTE(SUBSTITUTE(SUBSTITUTE(SUBSTITUTE(SUBSTITUTE(MAIN!B236, "0", ""), "1", ""), "2", ""), "3", ""), "4", ""), "5", ""), "6", ""), "7", ""), "8", ""), "9", ""))))</f>
        <v>--</v>
      </c>
      <c r="C236" t="str">
        <f>IF(ISBLANK(MAIN!C236), "--", IFERROR(PROPER(SUBSTITUTE(SUBSTITUTE(SUBSTITUTE(SUBSTITUTE(SUBSTITUTE(SUBSTITUTE(SUBSTITUTE(SUBSTITUTE(SUBSTITUTE(SUBSTITUTE(LEFT(MAIN!C236, FIND(",",MAIN!C236) -1), "0", ""), "1", ""), "2", ""), "3", ""), "4", ""), "5", ""), "6", ""), "7", ""), "8", ""), "9", "")), PROPER(SUBSTITUTE(SUBSTITUTE(SUBSTITUTE(SUBSTITUTE(SUBSTITUTE(SUBSTITUTE(SUBSTITUTE(SUBSTITUTE(SUBSTITUTE(SUBSTITUTE(MAIN!C236, "0", ""), "1", ""), "2", ""), "3", ""), "4", ""), "5", ""), "6", ""), "7", ""), "8", ""), "9", ""))))</f>
        <v>--</v>
      </c>
      <c r="D236" t="str">
        <f>IF(ISBLANK(MAIN!D236), "--", IF(ISNUMBER(MATCH(SUBSTITUTE(LEFT(MAIN!D236, IFERROR(FIND(",", MAIN!D236)-1, LEN(MAIN!D236))), " ", ""), lookup_values!$B$2:$B$51, 0)), UPPER(SUBSTITUTE(LEFT(MAIN!D236, IFERROR(FIND(",", MAIN!D236)-1, LEN(MAIN!D236))), " ", "")), IF(ISNA(VLOOKUP(SUBSTITUTE(LEFT(MAIN!D236, IFERROR(FIND(",", MAIN!D236)-1, LEN(MAIN!D236))), " ", ""), lookup_values!$A$2:$B$51, 2, FALSE)), "--", VLOOKUP(SUBSTITUTE(LEFT(MAIN!D236, IFERROR(FIND(",", MAIN!D236)-1, LEN(MAIN!D236))), " ", ""), lookup_values!$A$2:$B$51, 2, FALSE))))</f>
        <v>--</v>
      </c>
      <c r="E236" t="str">
        <f>IF(CLEAN_DATA!D236&lt;&gt;"--","US",IF(ISBLANK(MAIN!E236), "--", IF(ISNUMBER(MATCH(SUBSTITUTE(LEFT(MAIN!E236, IFERROR(FIND(",", MAIN!E236)-1, LEN(MAIN!E236))), " ", ""), lookup_values!$E$2:$E$197, 0)), UPPER(SUBSTITUTE(LEFT(MAIN!E236, IFERROR(FIND(",", MAIN!E236)-1, LEN(MAIN!E236))), " ", "")), IF(ISNA(VLOOKUP(SUBSTITUTE(LEFT(MAIN!E236, IFERROR(FIND(",", MAIN!E236)-1, LEN(MAIN!E236))), " ", ""), lookup_values!$D$2:$E$197, 2, FALSE)), "--", VLOOKUP(SUBSTITUTE(LEFT(MAIN!E236, IFERROR(FIND(",", MAIN!E236)-1, LEN(MAIN!E236))), " ", ""), lookup_values!$D$2:$E$197, 2, FALSE)))))</f>
        <v>--</v>
      </c>
      <c r="F236" t="str">
        <f>IF(ISBLANK(MAIN!F236), "", IF(AND(ISNUMBER(VALUE(TRIM(MAIN!F236))), LEN(TRIM(MAIN!F236))=4), VALUE(TRIM(MAIN!F236)), ""))</f>
        <v/>
      </c>
      <c r="G236">
        <f>IF(ISBLANK(MAIN!G236), 0, IF(ISNUMBER(VALUE(TRIM(MAIN!G236))), VALUE(TRIM(MAIN!G236)), 0))</f>
        <v>0</v>
      </c>
      <c r="H236">
        <f>IF(ISBLANK(MAIN!H236), 0, IF(ISNUMBER(VALUE(TRIM(MAIN!H236))), VALUE(TRIM(MAIN!H236)), 0))</f>
        <v>0</v>
      </c>
      <c r="I236">
        <f>IF(ISBLANK(MAIN!I236), 0, IF(ISNUMBER(VALUE(TRIM(MAIN!I236))), VALUE(TRIM(MAIN!I236)), 0))</f>
        <v>0</v>
      </c>
      <c r="J236">
        <f>IF(ISBLANK(MAIN!J236), 0, IF(ISNUMBER(VALUE(TRIM(MAIN!J236))), VALUE(TRIM(MAIN!J236)), 0))</f>
        <v>0</v>
      </c>
      <c r="K236" cm="1">
        <f t="array" ref="K236">IFERROR(
    VALUE(
        IFERROR(
            UPPER(
                IF(MAX(IFERROR(SEARCH("WD",MAIN!G236:J236), 0))&gt;0, "WD",
                IF(MAX(IFERROR(SEARCH("NS",MAIN!G236:J236), 0))&gt;0, "NS",
                IF(MAX(IFERROR(SEARCH("NC",MAIN!G236:J236), 0))&gt;0, "NC",
                IF(MAX(IFERROR(SEARCH("DQ",MAIN!G236:J236), 0))&gt;0, "DQ",
                IF(ISNUMBER(SEARCH("WD",MAIN!K236)), "WD",
                IF(ISNUMBER(SEARCH("NS",MAIN!K236)), "NS",
                IF(ISNUMBER(SEARCH("NC",MAIN!K236)), "NC",
                IF(ISNUMBER(SEARCH("DQ",MAIN!K236)), "DQ",
                IF(ISNUMBER(SEARCH("A",MAIN!K236)), 0,
                IF(OR(MAIN!K236=0,MAIN!K236=""), 0, --TRIM(MAIN!K236)))))))))))),
            0
        )
    ),
    IFERROR(
        UPPER(
            IF(MAX(IFERROR(SEARCH("WD",MAIN!G236:J236), 0))&gt;0, "WD",
            IF(MAX(IFERROR(SEARCH("NS",MAIN!G236:J236), 0))&gt;0, "NS",
            IF(MAX(IFERROR(SEARCH("NC",MAIN!G236:J236), 0))&gt;0, "NC",
            IF(MAX(IFERROR(SEARCH("DQ",MAIN!G236:J236), 0))&gt;0, "DQ",
            IF(ISNUMBER(SEARCH("WD",MAIN!K236)), "WD",
            IF(ISNUMBER(SEARCH("NS",MAIN!K236)), "NS",
            IF(ISNUMBER(SEARCH("NC",MAIN!K236)), "NC",
            IF(ISNUMBER(SEARCH("DQ",MAIN!K236)), "DQ",
            IF(ISNUMBER(SEARCH("A",MAIN!K236)), 0,
            IF(OR(MAIN!K236=0,MAIN!K236=""), 0, --TRIM(MAIN!K236)))))))))))),
        0
    )
)</f>
        <v>0</v>
      </c>
    </row>
    <row r="237" spans="1:11" x14ac:dyDescent="0.25">
      <c r="A237" t="str">
        <f>IF(ISBLANK(MAIN!A237), "--", IFERROR(PROPER(SUBSTITUTE(SUBSTITUTE(SUBSTITUTE(SUBSTITUTE(SUBSTITUTE(SUBSTITUTE(SUBSTITUTE(SUBSTITUTE(SUBSTITUTE(SUBSTITUTE(LEFT(MAIN!A237, FIND(",",MAIN!A237) -1), "0", ""), "1", ""), "2", ""), "3", ""), "4", ""), "5", ""), "6", ""), "7", ""), "8", ""), "9", "")), PROPER(SUBSTITUTE(SUBSTITUTE(SUBSTITUTE(SUBSTITUTE(SUBSTITUTE(SUBSTITUTE(SUBSTITUTE(SUBSTITUTE(SUBSTITUTE(SUBSTITUTE(MAIN!A237, "0", ""), "1", ""), "2", ""), "3", ""), "4", ""), "5", ""), "6", ""), "7", ""), "8", ""), "9", ""))))</f>
        <v>--</v>
      </c>
      <c r="B237" t="str">
        <f>IF(ISBLANK(MAIN!B237), "--", IFERROR(PROPER(SUBSTITUTE(SUBSTITUTE(SUBSTITUTE(SUBSTITUTE(SUBSTITUTE(SUBSTITUTE(SUBSTITUTE(SUBSTITUTE(SUBSTITUTE(SUBSTITUTE(LEFT(MAIN!B237, FIND(",",MAIN!B237) -1), "0", ""), "1", ""), "2", ""), "3", ""), "4", ""), "5", ""), "6", ""), "7", ""), "8", ""), "9", "")), PROPER(SUBSTITUTE(SUBSTITUTE(SUBSTITUTE(SUBSTITUTE(SUBSTITUTE(SUBSTITUTE(SUBSTITUTE(SUBSTITUTE(SUBSTITUTE(SUBSTITUTE(MAIN!B237, "0", ""), "1", ""), "2", ""), "3", ""), "4", ""), "5", ""), "6", ""), "7", ""), "8", ""), "9", ""))))</f>
        <v>--</v>
      </c>
      <c r="C237" t="str">
        <f>IF(ISBLANK(MAIN!C237), "--", IFERROR(PROPER(SUBSTITUTE(SUBSTITUTE(SUBSTITUTE(SUBSTITUTE(SUBSTITUTE(SUBSTITUTE(SUBSTITUTE(SUBSTITUTE(SUBSTITUTE(SUBSTITUTE(LEFT(MAIN!C237, FIND(",",MAIN!C237) -1), "0", ""), "1", ""), "2", ""), "3", ""), "4", ""), "5", ""), "6", ""), "7", ""), "8", ""), "9", "")), PROPER(SUBSTITUTE(SUBSTITUTE(SUBSTITUTE(SUBSTITUTE(SUBSTITUTE(SUBSTITUTE(SUBSTITUTE(SUBSTITUTE(SUBSTITUTE(SUBSTITUTE(MAIN!C237, "0", ""), "1", ""), "2", ""), "3", ""), "4", ""), "5", ""), "6", ""), "7", ""), "8", ""), "9", ""))))</f>
        <v>--</v>
      </c>
      <c r="D237" t="str">
        <f>IF(ISBLANK(MAIN!D237), "--", IF(ISNUMBER(MATCH(SUBSTITUTE(LEFT(MAIN!D237, IFERROR(FIND(",", MAIN!D237)-1, LEN(MAIN!D237))), " ", ""), lookup_values!$B$2:$B$51, 0)), UPPER(SUBSTITUTE(LEFT(MAIN!D237, IFERROR(FIND(",", MAIN!D237)-1, LEN(MAIN!D237))), " ", "")), IF(ISNA(VLOOKUP(SUBSTITUTE(LEFT(MAIN!D237, IFERROR(FIND(",", MAIN!D237)-1, LEN(MAIN!D237))), " ", ""), lookup_values!$A$2:$B$51, 2, FALSE)), "--", VLOOKUP(SUBSTITUTE(LEFT(MAIN!D237, IFERROR(FIND(",", MAIN!D237)-1, LEN(MAIN!D237))), " ", ""), lookup_values!$A$2:$B$51, 2, FALSE))))</f>
        <v>--</v>
      </c>
      <c r="E237" t="str">
        <f>IF(CLEAN_DATA!D237&lt;&gt;"--","US",IF(ISBLANK(MAIN!E237), "--", IF(ISNUMBER(MATCH(SUBSTITUTE(LEFT(MAIN!E237, IFERROR(FIND(",", MAIN!E237)-1, LEN(MAIN!E237))), " ", ""), lookup_values!$E$2:$E$197, 0)), UPPER(SUBSTITUTE(LEFT(MAIN!E237, IFERROR(FIND(",", MAIN!E237)-1, LEN(MAIN!E237))), " ", "")), IF(ISNA(VLOOKUP(SUBSTITUTE(LEFT(MAIN!E237, IFERROR(FIND(",", MAIN!E237)-1, LEN(MAIN!E237))), " ", ""), lookup_values!$D$2:$E$197, 2, FALSE)), "--", VLOOKUP(SUBSTITUTE(LEFT(MAIN!E237, IFERROR(FIND(",", MAIN!E237)-1, LEN(MAIN!E237))), " ", ""), lookup_values!$D$2:$E$197, 2, FALSE)))))</f>
        <v>--</v>
      </c>
      <c r="F237" t="str">
        <f>IF(ISBLANK(MAIN!F237), "", IF(AND(ISNUMBER(VALUE(TRIM(MAIN!F237))), LEN(TRIM(MAIN!F237))=4), VALUE(TRIM(MAIN!F237)), ""))</f>
        <v/>
      </c>
      <c r="G237">
        <f>IF(ISBLANK(MAIN!G237), 0, IF(ISNUMBER(VALUE(TRIM(MAIN!G237))), VALUE(TRIM(MAIN!G237)), 0))</f>
        <v>0</v>
      </c>
      <c r="H237">
        <f>IF(ISBLANK(MAIN!H237), 0, IF(ISNUMBER(VALUE(TRIM(MAIN!H237))), VALUE(TRIM(MAIN!H237)), 0))</f>
        <v>0</v>
      </c>
      <c r="I237">
        <f>IF(ISBLANK(MAIN!I237), 0, IF(ISNUMBER(VALUE(TRIM(MAIN!I237))), VALUE(TRIM(MAIN!I237)), 0))</f>
        <v>0</v>
      </c>
      <c r="J237">
        <f>IF(ISBLANK(MAIN!J237), 0, IF(ISNUMBER(VALUE(TRIM(MAIN!J237))), VALUE(TRIM(MAIN!J237)), 0))</f>
        <v>0</v>
      </c>
      <c r="K237" cm="1">
        <f t="array" ref="K237">IFERROR(
    VALUE(
        IFERROR(
            UPPER(
                IF(MAX(IFERROR(SEARCH("WD",MAIN!G237:J237), 0))&gt;0, "WD",
                IF(MAX(IFERROR(SEARCH("NS",MAIN!G237:J237), 0))&gt;0, "NS",
                IF(MAX(IFERROR(SEARCH("NC",MAIN!G237:J237), 0))&gt;0, "NC",
                IF(MAX(IFERROR(SEARCH("DQ",MAIN!G237:J237), 0))&gt;0, "DQ",
                IF(ISNUMBER(SEARCH("WD",MAIN!K237)), "WD",
                IF(ISNUMBER(SEARCH("NS",MAIN!K237)), "NS",
                IF(ISNUMBER(SEARCH("NC",MAIN!K237)), "NC",
                IF(ISNUMBER(SEARCH("DQ",MAIN!K237)), "DQ",
                IF(ISNUMBER(SEARCH("A",MAIN!K237)), 0,
                IF(OR(MAIN!K237=0,MAIN!K237=""), 0, --TRIM(MAIN!K237)))))))))))),
            0
        )
    ),
    IFERROR(
        UPPER(
            IF(MAX(IFERROR(SEARCH("WD",MAIN!G237:J237), 0))&gt;0, "WD",
            IF(MAX(IFERROR(SEARCH("NS",MAIN!G237:J237), 0))&gt;0, "NS",
            IF(MAX(IFERROR(SEARCH("NC",MAIN!G237:J237), 0))&gt;0, "NC",
            IF(MAX(IFERROR(SEARCH("DQ",MAIN!G237:J237), 0))&gt;0, "DQ",
            IF(ISNUMBER(SEARCH("WD",MAIN!K237)), "WD",
            IF(ISNUMBER(SEARCH("NS",MAIN!K237)), "NS",
            IF(ISNUMBER(SEARCH("NC",MAIN!K237)), "NC",
            IF(ISNUMBER(SEARCH("DQ",MAIN!K237)), "DQ",
            IF(ISNUMBER(SEARCH("A",MAIN!K237)), 0,
            IF(OR(MAIN!K237=0,MAIN!K237=""), 0, --TRIM(MAIN!K237)))))))))))),
        0
    )
)</f>
        <v>0</v>
      </c>
    </row>
    <row r="238" spans="1:11" x14ac:dyDescent="0.25">
      <c r="A238" t="str">
        <f>IF(ISBLANK(MAIN!A238), "--", IFERROR(PROPER(SUBSTITUTE(SUBSTITUTE(SUBSTITUTE(SUBSTITUTE(SUBSTITUTE(SUBSTITUTE(SUBSTITUTE(SUBSTITUTE(SUBSTITUTE(SUBSTITUTE(LEFT(MAIN!A238, FIND(",",MAIN!A238) -1), "0", ""), "1", ""), "2", ""), "3", ""), "4", ""), "5", ""), "6", ""), "7", ""), "8", ""), "9", "")), PROPER(SUBSTITUTE(SUBSTITUTE(SUBSTITUTE(SUBSTITUTE(SUBSTITUTE(SUBSTITUTE(SUBSTITUTE(SUBSTITUTE(SUBSTITUTE(SUBSTITUTE(MAIN!A238, "0", ""), "1", ""), "2", ""), "3", ""), "4", ""), "5", ""), "6", ""), "7", ""), "8", ""), "9", ""))))</f>
        <v>--</v>
      </c>
      <c r="B238" t="str">
        <f>IF(ISBLANK(MAIN!B238), "--", IFERROR(PROPER(SUBSTITUTE(SUBSTITUTE(SUBSTITUTE(SUBSTITUTE(SUBSTITUTE(SUBSTITUTE(SUBSTITUTE(SUBSTITUTE(SUBSTITUTE(SUBSTITUTE(LEFT(MAIN!B238, FIND(",",MAIN!B238) -1), "0", ""), "1", ""), "2", ""), "3", ""), "4", ""), "5", ""), "6", ""), "7", ""), "8", ""), "9", "")), PROPER(SUBSTITUTE(SUBSTITUTE(SUBSTITUTE(SUBSTITUTE(SUBSTITUTE(SUBSTITUTE(SUBSTITUTE(SUBSTITUTE(SUBSTITUTE(SUBSTITUTE(MAIN!B238, "0", ""), "1", ""), "2", ""), "3", ""), "4", ""), "5", ""), "6", ""), "7", ""), "8", ""), "9", ""))))</f>
        <v>--</v>
      </c>
      <c r="C238" t="str">
        <f>IF(ISBLANK(MAIN!C238), "--", IFERROR(PROPER(SUBSTITUTE(SUBSTITUTE(SUBSTITUTE(SUBSTITUTE(SUBSTITUTE(SUBSTITUTE(SUBSTITUTE(SUBSTITUTE(SUBSTITUTE(SUBSTITUTE(LEFT(MAIN!C238, FIND(",",MAIN!C238) -1), "0", ""), "1", ""), "2", ""), "3", ""), "4", ""), "5", ""), "6", ""), "7", ""), "8", ""), "9", "")), PROPER(SUBSTITUTE(SUBSTITUTE(SUBSTITUTE(SUBSTITUTE(SUBSTITUTE(SUBSTITUTE(SUBSTITUTE(SUBSTITUTE(SUBSTITUTE(SUBSTITUTE(MAIN!C238, "0", ""), "1", ""), "2", ""), "3", ""), "4", ""), "5", ""), "6", ""), "7", ""), "8", ""), "9", ""))))</f>
        <v>--</v>
      </c>
      <c r="D238" t="str">
        <f>IF(ISBLANK(MAIN!D238), "--", IF(ISNUMBER(MATCH(SUBSTITUTE(LEFT(MAIN!D238, IFERROR(FIND(",", MAIN!D238)-1, LEN(MAIN!D238))), " ", ""), lookup_values!$B$2:$B$51, 0)), UPPER(SUBSTITUTE(LEFT(MAIN!D238, IFERROR(FIND(",", MAIN!D238)-1, LEN(MAIN!D238))), " ", "")), IF(ISNA(VLOOKUP(SUBSTITUTE(LEFT(MAIN!D238, IFERROR(FIND(",", MAIN!D238)-1, LEN(MAIN!D238))), " ", ""), lookup_values!$A$2:$B$51, 2, FALSE)), "--", VLOOKUP(SUBSTITUTE(LEFT(MAIN!D238, IFERROR(FIND(",", MAIN!D238)-1, LEN(MAIN!D238))), " ", ""), lookup_values!$A$2:$B$51, 2, FALSE))))</f>
        <v>--</v>
      </c>
      <c r="E238" t="str">
        <f>IF(CLEAN_DATA!D238&lt;&gt;"--","US",IF(ISBLANK(MAIN!E238), "--", IF(ISNUMBER(MATCH(SUBSTITUTE(LEFT(MAIN!E238, IFERROR(FIND(",", MAIN!E238)-1, LEN(MAIN!E238))), " ", ""), lookup_values!$E$2:$E$197, 0)), UPPER(SUBSTITUTE(LEFT(MAIN!E238, IFERROR(FIND(",", MAIN!E238)-1, LEN(MAIN!E238))), " ", "")), IF(ISNA(VLOOKUP(SUBSTITUTE(LEFT(MAIN!E238, IFERROR(FIND(",", MAIN!E238)-1, LEN(MAIN!E238))), " ", ""), lookup_values!$D$2:$E$197, 2, FALSE)), "--", VLOOKUP(SUBSTITUTE(LEFT(MAIN!E238, IFERROR(FIND(",", MAIN!E238)-1, LEN(MAIN!E238))), " ", ""), lookup_values!$D$2:$E$197, 2, FALSE)))))</f>
        <v>--</v>
      </c>
      <c r="F238" t="str">
        <f>IF(ISBLANK(MAIN!F238), "", IF(AND(ISNUMBER(VALUE(TRIM(MAIN!F238))), LEN(TRIM(MAIN!F238))=4), VALUE(TRIM(MAIN!F238)), ""))</f>
        <v/>
      </c>
      <c r="G238">
        <f>IF(ISBLANK(MAIN!G238), 0, IF(ISNUMBER(VALUE(TRIM(MAIN!G238))), VALUE(TRIM(MAIN!G238)), 0))</f>
        <v>0</v>
      </c>
      <c r="H238">
        <f>IF(ISBLANK(MAIN!H238), 0, IF(ISNUMBER(VALUE(TRIM(MAIN!H238))), VALUE(TRIM(MAIN!H238)), 0))</f>
        <v>0</v>
      </c>
      <c r="I238">
        <f>IF(ISBLANK(MAIN!I238), 0, IF(ISNUMBER(VALUE(TRIM(MAIN!I238))), VALUE(TRIM(MAIN!I238)), 0))</f>
        <v>0</v>
      </c>
      <c r="J238">
        <f>IF(ISBLANK(MAIN!J238), 0, IF(ISNUMBER(VALUE(TRIM(MAIN!J238))), VALUE(TRIM(MAIN!J238)), 0))</f>
        <v>0</v>
      </c>
      <c r="K238" cm="1">
        <f t="array" ref="K238">IFERROR(
    VALUE(
        IFERROR(
            UPPER(
                IF(MAX(IFERROR(SEARCH("WD",MAIN!G238:J238), 0))&gt;0, "WD",
                IF(MAX(IFERROR(SEARCH("NS",MAIN!G238:J238), 0))&gt;0, "NS",
                IF(MAX(IFERROR(SEARCH("NC",MAIN!G238:J238), 0))&gt;0, "NC",
                IF(MAX(IFERROR(SEARCH("DQ",MAIN!G238:J238), 0))&gt;0, "DQ",
                IF(ISNUMBER(SEARCH("WD",MAIN!K238)), "WD",
                IF(ISNUMBER(SEARCH("NS",MAIN!K238)), "NS",
                IF(ISNUMBER(SEARCH("NC",MAIN!K238)), "NC",
                IF(ISNUMBER(SEARCH("DQ",MAIN!K238)), "DQ",
                IF(ISNUMBER(SEARCH("A",MAIN!K238)), 0,
                IF(OR(MAIN!K238=0,MAIN!K238=""), 0, --TRIM(MAIN!K238)))))))))))),
            0
        )
    ),
    IFERROR(
        UPPER(
            IF(MAX(IFERROR(SEARCH("WD",MAIN!G238:J238), 0))&gt;0, "WD",
            IF(MAX(IFERROR(SEARCH("NS",MAIN!G238:J238), 0))&gt;0, "NS",
            IF(MAX(IFERROR(SEARCH("NC",MAIN!G238:J238), 0))&gt;0, "NC",
            IF(MAX(IFERROR(SEARCH("DQ",MAIN!G238:J238), 0))&gt;0, "DQ",
            IF(ISNUMBER(SEARCH("WD",MAIN!K238)), "WD",
            IF(ISNUMBER(SEARCH("NS",MAIN!K238)), "NS",
            IF(ISNUMBER(SEARCH("NC",MAIN!K238)), "NC",
            IF(ISNUMBER(SEARCH("DQ",MAIN!K238)), "DQ",
            IF(ISNUMBER(SEARCH("A",MAIN!K238)), 0,
            IF(OR(MAIN!K238=0,MAIN!K238=""), 0, --TRIM(MAIN!K238)))))))))))),
        0
    )
)</f>
        <v>0</v>
      </c>
    </row>
    <row r="239" spans="1:11" x14ac:dyDescent="0.25">
      <c r="A239" t="str">
        <f>IF(ISBLANK(MAIN!A239), "--", IFERROR(PROPER(SUBSTITUTE(SUBSTITUTE(SUBSTITUTE(SUBSTITUTE(SUBSTITUTE(SUBSTITUTE(SUBSTITUTE(SUBSTITUTE(SUBSTITUTE(SUBSTITUTE(LEFT(MAIN!A239, FIND(",",MAIN!A239) -1), "0", ""), "1", ""), "2", ""), "3", ""), "4", ""), "5", ""), "6", ""), "7", ""), "8", ""), "9", "")), PROPER(SUBSTITUTE(SUBSTITUTE(SUBSTITUTE(SUBSTITUTE(SUBSTITUTE(SUBSTITUTE(SUBSTITUTE(SUBSTITUTE(SUBSTITUTE(SUBSTITUTE(MAIN!A239, "0", ""), "1", ""), "2", ""), "3", ""), "4", ""), "5", ""), "6", ""), "7", ""), "8", ""), "9", ""))))</f>
        <v>--</v>
      </c>
      <c r="B239" t="str">
        <f>IF(ISBLANK(MAIN!B239), "--", IFERROR(PROPER(SUBSTITUTE(SUBSTITUTE(SUBSTITUTE(SUBSTITUTE(SUBSTITUTE(SUBSTITUTE(SUBSTITUTE(SUBSTITUTE(SUBSTITUTE(SUBSTITUTE(LEFT(MAIN!B239, FIND(",",MAIN!B239) -1), "0", ""), "1", ""), "2", ""), "3", ""), "4", ""), "5", ""), "6", ""), "7", ""), "8", ""), "9", "")), PROPER(SUBSTITUTE(SUBSTITUTE(SUBSTITUTE(SUBSTITUTE(SUBSTITUTE(SUBSTITUTE(SUBSTITUTE(SUBSTITUTE(SUBSTITUTE(SUBSTITUTE(MAIN!B239, "0", ""), "1", ""), "2", ""), "3", ""), "4", ""), "5", ""), "6", ""), "7", ""), "8", ""), "9", ""))))</f>
        <v>--</v>
      </c>
      <c r="C239" t="str">
        <f>IF(ISBLANK(MAIN!C239), "--", IFERROR(PROPER(SUBSTITUTE(SUBSTITUTE(SUBSTITUTE(SUBSTITUTE(SUBSTITUTE(SUBSTITUTE(SUBSTITUTE(SUBSTITUTE(SUBSTITUTE(SUBSTITUTE(LEFT(MAIN!C239, FIND(",",MAIN!C239) -1), "0", ""), "1", ""), "2", ""), "3", ""), "4", ""), "5", ""), "6", ""), "7", ""), "8", ""), "9", "")), PROPER(SUBSTITUTE(SUBSTITUTE(SUBSTITUTE(SUBSTITUTE(SUBSTITUTE(SUBSTITUTE(SUBSTITUTE(SUBSTITUTE(SUBSTITUTE(SUBSTITUTE(MAIN!C239, "0", ""), "1", ""), "2", ""), "3", ""), "4", ""), "5", ""), "6", ""), "7", ""), "8", ""), "9", ""))))</f>
        <v>--</v>
      </c>
      <c r="D239" t="str">
        <f>IF(ISBLANK(MAIN!D239), "--", IF(ISNUMBER(MATCH(SUBSTITUTE(LEFT(MAIN!D239, IFERROR(FIND(",", MAIN!D239)-1, LEN(MAIN!D239))), " ", ""), lookup_values!$B$2:$B$51, 0)), UPPER(SUBSTITUTE(LEFT(MAIN!D239, IFERROR(FIND(",", MAIN!D239)-1, LEN(MAIN!D239))), " ", "")), IF(ISNA(VLOOKUP(SUBSTITUTE(LEFT(MAIN!D239, IFERROR(FIND(",", MAIN!D239)-1, LEN(MAIN!D239))), " ", ""), lookup_values!$A$2:$B$51, 2, FALSE)), "--", VLOOKUP(SUBSTITUTE(LEFT(MAIN!D239, IFERROR(FIND(",", MAIN!D239)-1, LEN(MAIN!D239))), " ", ""), lookup_values!$A$2:$B$51, 2, FALSE))))</f>
        <v>--</v>
      </c>
      <c r="E239" t="str">
        <f>IF(CLEAN_DATA!D239&lt;&gt;"--","US",IF(ISBLANK(MAIN!E239), "--", IF(ISNUMBER(MATCH(SUBSTITUTE(LEFT(MAIN!E239, IFERROR(FIND(",", MAIN!E239)-1, LEN(MAIN!E239))), " ", ""), lookup_values!$E$2:$E$197, 0)), UPPER(SUBSTITUTE(LEFT(MAIN!E239, IFERROR(FIND(",", MAIN!E239)-1, LEN(MAIN!E239))), " ", "")), IF(ISNA(VLOOKUP(SUBSTITUTE(LEFT(MAIN!E239, IFERROR(FIND(",", MAIN!E239)-1, LEN(MAIN!E239))), " ", ""), lookup_values!$D$2:$E$197, 2, FALSE)), "--", VLOOKUP(SUBSTITUTE(LEFT(MAIN!E239, IFERROR(FIND(",", MAIN!E239)-1, LEN(MAIN!E239))), " ", ""), lookup_values!$D$2:$E$197, 2, FALSE)))))</f>
        <v>--</v>
      </c>
      <c r="F239" t="str">
        <f>IF(ISBLANK(MAIN!F239), "", IF(AND(ISNUMBER(VALUE(TRIM(MAIN!F239))), LEN(TRIM(MAIN!F239))=4), VALUE(TRIM(MAIN!F239)), ""))</f>
        <v/>
      </c>
      <c r="G239">
        <f>IF(ISBLANK(MAIN!G239), 0, IF(ISNUMBER(VALUE(TRIM(MAIN!G239))), VALUE(TRIM(MAIN!G239)), 0))</f>
        <v>0</v>
      </c>
      <c r="H239">
        <f>IF(ISBLANK(MAIN!H239), 0, IF(ISNUMBER(VALUE(TRIM(MAIN!H239))), VALUE(TRIM(MAIN!H239)), 0))</f>
        <v>0</v>
      </c>
      <c r="I239">
        <f>IF(ISBLANK(MAIN!I239), 0, IF(ISNUMBER(VALUE(TRIM(MAIN!I239))), VALUE(TRIM(MAIN!I239)), 0))</f>
        <v>0</v>
      </c>
      <c r="J239">
        <f>IF(ISBLANK(MAIN!J239), 0, IF(ISNUMBER(VALUE(TRIM(MAIN!J239))), VALUE(TRIM(MAIN!J239)), 0))</f>
        <v>0</v>
      </c>
      <c r="K239" cm="1">
        <f t="array" ref="K239">IFERROR(
    VALUE(
        IFERROR(
            UPPER(
                IF(MAX(IFERROR(SEARCH("WD",MAIN!G239:J239), 0))&gt;0, "WD",
                IF(MAX(IFERROR(SEARCH("NS",MAIN!G239:J239), 0))&gt;0, "NS",
                IF(MAX(IFERROR(SEARCH("NC",MAIN!G239:J239), 0))&gt;0, "NC",
                IF(MAX(IFERROR(SEARCH("DQ",MAIN!G239:J239), 0))&gt;0, "DQ",
                IF(ISNUMBER(SEARCH("WD",MAIN!K239)), "WD",
                IF(ISNUMBER(SEARCH("NS",MAIN!K239)), "NS",
                IF(ISNUMBER(SEARCH("NC",MAIN!K239)), "NC",
                IF(ISNUMBER(SEARCH("DQ",MAIN!K239)), "DQ",
                IF(ISNUMBER(SEARCH("A",MAIN!K239)), 0,
                IF(OR(MAIN!K239=0,MAIN!K239=""), 0, --TRIM(MAIN!K239)))))))))))),
            0
        )
    ),
    IFERROR(
        UPPER(
            IF(MAX(IFERROR(SEARCH("WD",MAIN!G239:J239), 0))&gt;0, "WD",
            IF(MAX(IFERROR(SEARCH("NS",MAIN!G239:J239), 0))&gt;0, "NS",
            IF(MAX(IFERROR(SEARCH("NC",MAIN!G239:J239), 0))&gt;0, "NC",
            IF(MAX(IFERROR(SEARCH("DQ",MAIN!G239:J239), 0))&gt;0, "DQ",
            IF(ISNUMBER(SEARCH("WD",MAIN!K239)), "WD",
            IF(ISNUMBER(SEARCH("NS",MAIN!K239)), "NS",
            IF(ISNUMBER(SEARCH("NC",MAIN!K239)), "NC",
            IF(ISNUMBER(SEARCH("DQ",MAIN!K239)), "DQ",
            IF(ISNUMBER(SEARCH("A",MAIN!K239)), 0,
            IF(OR(MAIN!K239=0,MAIN!K239=""), 0, --TRIM(MAIN!K239)))))))))))),
        0
    )
)</f>
        <v>0</v>
      </c>
    </row>
    <row r="240" spans="1:11" x14ac:dyDescent="0.25">
      <c r="A240" t="str">
        <f>IF(ISBLANK(MAIN!A240), "--", IFERROR(PROPER(SUBSTITUTE(SUBSTITUTE(SUBSTITUTE(SUBSTITUTE(SUBSTITUTE(SUBSTITUTE(SUBSTITUTE(SUBSTITUTE(SUBSTITUTE(SUBSTITUTE(LEFT(MAIN!A240, FIND(",",MAIN!A240) -1), "0", ""), "1", ""), "2", ""), "3", ""), "4", ""), "5", ""), "6", ""), "7", ""), "8", ""), "9", "")), PROPER(SUBSTITUTE(SUBSTITUTE(SUBSTITUTE(SUBSTITUTE(SUBSTITUTE(SUBSTITUTE(SUBSTITUTE(SUBSTITUTE(SUBSTITUTE(SUBSTITUTE(MAIN!A240, "0", ""), "1", ""), "2", ""), "3", ""), "4", ""), "5", ""), "6", ""), "7", ""), "8", ""), "9", ""))))</f>
        <v>--</v>
      </c>
      <c r="B240" t="str">
        <f>IF(ISBLANK(MAIN!B240), "--", IFERROR(PROPER(SUBSTITUTE(SUBSTITUTE(SUBSTITUTE(SUBSTITUTE(SUBSTITUTE(SUBSTITUTE(SUBSTITUTE(SUBSTITUTE(SUBSTITUTE(SUBSTITUTE(LEFT(MAIN!B240, FIND(",",MAIN!B240) -1), "0", ""), "1", ""), "2", ""), "3", ""), "4", ""), "5", ""), "6", ""), "7", ""), "8", ""), "9", "")), PROPER(SUBSTITUTE(SUBSTITUTE(SUBSTITUTE(SUBSTITUTE(SUBSTITUTE(SUBSTITUTE(SUBSTITUTE(SUBSTITUTE(SUBSTITUTE(SUBSTITUTE(MAIN!B240, "0", ""), "1", ""), "2", ""), "3", ""), "4", ""), "5", ""), "6", ""), "7", ""), "8", ""), "9", ""))))</f>
        <v>--</v>
      </c>
      <c r="C240" t="str">
        <f>IF(ISBLANK(MAIN!C240), "--", IFERROR(PROPER(SUBSTITUTE(SUBSTITUTE(SUBSTITUTE(SUBSTITUTE(SUBSTITUTE(SUBSTITUTE(SUBSTITUTE(SUBSTITUTE(SUBSTITUTE(SUBSTITUTE(LEFT(MAIN!C240, FIND(",",MAIN!C240) -1), "0", ""), "1", ""), "2", ""), "3", ""), "4", ""), "5", ""), "6", ""), "7", ""), "8", ""), "9", "")), PROPER(SUBSTITUTE(SUBSTITUTE(SUBSTITUTE(SUBSTITUTE(SUBSTITUTE(SUBSTITUTE(SUBSTITUTE(SUBSTITUTE(SUBSTITUTE(SUBSTITUTE(MAIN!C240, "0", ""), "1", ""), "2", ""), "3", ""), "4", ""), "5", ""), "6", ""), "7", ""), "8", ""), "9", ""))))</f>
        <v>--</v>
      </c>
      <c r="D240" t="str">
        <f>IF(ISBLANK(MAIN!D240), "--", IF(ISNUMBER(MATCH(SUBSTITUTE(LEFT(MAIN!D240, IFERROR(FIND(",", MAIN!D240)-1, LEN(MAIN!D240))), " ", ""), lookup_values!$B$2:$B$51, 0)), UPPER(SUBSTITUTE(LEFT(MAIN!D240, IFERROR(FIND(",", MAIN!D240)-1, LEN(MAIN!D240))), " ", "")), IF(ISNA(VLOOKUP(SUBSTITUTE(LEFT(MAIN!D240, IFERROR(FIND(",", MAIN!D240)-1, LEN(MAIN!D240))), " ", ""), lookup_values!$A$2:$B$51, 2, FALSE)), "--", VLOOKUP(SUBSTITUTE(LEFT(MAIN!D240, IFERROR(FIND(",", MAIN!D240)-1, LEN(MAIN!D240))), " ", ""), lookup_values!$A$2:$B$51, 2, FALSE))))</f>
        <v>--</v>
      </c>
      <c r="E240" t="str">
        <f>IF(CLEAN_DATA!D240&lt;&gt;"--","US",IF(ISBLANK(MAIN!E240), "--", IF(ISNUMBER(MATCH(SUBSTITUTE(LEFT(MAIN!E240, IFERROR(FIND(",", MAIN!E240)-1, LEN(MAIN!E240))), " ", ""), lookup_values!$E$2:$E$197, 0)), UPPER(SUBSTITUTE(LEFT(MAIN!E240, IFERROR(FIND(",", MAIN!E240)-1, LEN(MAIN!E240))), " ", "")), IF(ISNA(VLOOKUP(SUBSTITUTE(LEFT(MAIN!E240, IFERROR(FIND(",", MAIN!E240)-1, LEN(MAIN!E240))), " ", ""), lookup_values!$D$2:$E$197, 2, FALSE)), "--", VLOOKUP(SUBSTITUTE(LEFT(MAIN!E240, IFERROR(FIND(",", MAIN!E240)-1, LEN(MAIN!E240))), " ", ""), lookup_values!$D$2:$E$197, 2, FALSE)))))</f>
        <v>--</v>
      </c>
      <c r="F240" t="str">
        <f>IF(ISBLANK(MAIN!F240), "", IF(AND(ISNUMBER(VALUE(TRIM(MAIN!F240))), LEN(TRIM(MAIN!F240))=4), VALUE(TRIM(MAIN!F240)), ""))</f>
        <v/>
      </c>
      <c r="G240">
        <f>IF(ISBLANK(MAIN!G240), 0, IF(ISNUMBER(VALUE(TRIM(MAIN!G240))), VALUE(TRIM(MAIN!G240)), 0))</f>
        <v>0</v>
      </c>
      <c r="H240">
        <f>IF(ISBLANK(MAIN!H240), 0, IF(ISNUMBER(VALUE(TRIM(MAIN!H240))), VALUE(TRIM(MAIN!H240)), 0))</f>
        <v>0</v>
      </c>
      <c r="I240">
        <f>IF(ISBLANK(MAIN!I240), 0, IF(ISNUMBER(VALUE(TRIM(MAIN!I240))), VALUE(TRIM(MAIN!I240)), 0))</f>
        <v>0</v>
      </c>
      <c r="J240">
        <f>IF(ISBLANK(MAIN!J240), 0, IF(ISNUMBER(VALUE(TRIM(MAIN!J240))), VALUE(TRIM(MAIN!J240)), 0))</f>
        <v>0</v>
      </c>
      <c r="K240" cm="1">
        <f t="array" ref="K240">IFERROR(
    VALUE(
        IFERROR(
            UPPER(
                IF(MAX(IFERROR(SEARCH("WD",MAIN!G240:J240), 0))&gt;0, "WD",
                IF(MAX(IFERROR(SEARCH("NS",MAIN!G240:J240), 0))&gt;0, "NS",
                IF(MAX(IFERROR(SEARCH("NC",MAIN!G240:J240), 0))&gt;0, "NC",
                IF(MAX(IFERROR(SEARCH("DQ",MAIN!G240:J240), 0))&gt;0, "DQ",
                IF(ISNUMBER(SEARCH("WD",MAIN!K240)), "WD",
                IF(ISNUMBER(SEARCH("NS",MAIN!K240)), "NS",
                IF(ISNUMBER(SEARCH("NC",MAIN!K240)), "NC",
                IF(ISNUMBER(SEARCH("DQ",MAIN!K240)), "DQ",
                IF(ISNUMBER(SEARCH("A",MAIN!K240)), 0,
                IF(OR(MAIN!K240=0,MAIN!K240=""), 0, --TRIM(MAIN!K240)))))))))))),
            0
        )
    ),
    IFERROR(
        UPPER(
            IF(MAX(IFERROR(SEARCH("WD",MAIN!G240:J240), 0))&gt;0, "WD",
            IF(MAX(IFERROR(SEARCH("NS",MAIN!G240:J240), 0))&gt;0, "NS",
            IF(MAX(IFERROR(SEARCH("NC",MAIN!G240:J240), 0))&gt;0, "NC",
            IF(MAX(IFERROR(SEARCH("DQ",MAIN!G240:J240), 0))&gt;0, "DQ",
            IF(ISNUMBER(SEARCH("WD",MAIN!K240)), "WD",
            IF(ISNUMBER(SEARCH("NS",MAIN!K240)), "NS",
            IF(ISNUMBER(SEARCH("NC",MAIN!K240)), "NC",
            IF(ISNUMBER(SEARCH("DQ",MAIN!K240)), "DQ",
            IF(ISNUMBER(SEARCH("A",MAIN!K240)), 0,
            IF(OR(MAIN!K240=0,MAIN!K240=""), 0, --TRIM(MAIN!K240)))))))))))),
        0
    )
)</f>
        <v>0</v>
      </c>
    </row>
    <row r="241" spans="1:11" x14ac:dyDescent="0.25">
      <c r="A241" t="str">
        <f>IF(ISBLANK(MAIN!A241), "--", IFERROR(PROPER(SUBSTITUTE(SUBSTITUTE(SUBSTITUTE(SUBSTITUTE(SUBSTITUTE(SUBSTITUTE(SUBSTITUTE(SUBSTITUTE(SUBSTITUTE(SUBSTITUTE(LEFT(MAIN!A241, FIND(",",MAIN!A241) -1), "0", ""), "1", ""), "2", ""), "3", ""), "4", ""), "5", ""), "6", ""), "7", ""), "8", ""), "9", "")), PROPER(SUBSTITUTE(SUBSTITUTE(SUBSTITUTE(SUBSTITUTE(SUBSTITUTE(SUBSTITUTE(SUBSTITUTE(SUBSTITUTE(SUBSTITUTE(SUBSTITUTE(MAIN!A241, "0", ""), "1", ""), "2", ""), "3", ""), "4", ""), "5", ""), "6", ""), "7", ""), "8", ""), "9", ""))))</f>
        <v>--</v>
      </c>
      <c r="B241" t="str">
        <f>IF(ISBLANK(MAIN!B241), "--", IFERROR(PROPER(SUBSTITUTE(SUBSTITUTE(SUBSTITUTE(SUBSTITUTE(SUBSTITUTE(SUBSTITUTE(SUBSTITUTE(SUBSTITUTE(SUBSTITUTE(SUBSTITUTE(LEFT(MAIN!B241, FIND(",",MAIN!B241) -1), "0", ""), "1", ""), "2", ""), "3", ""), "4", ""), "5", ""), "6", ""), "7", ""), "8", ""), "9", "")), PROPER(SUBSTITUTE(SUBSTITUTE(SUBSTITUTE(SUBSTITUTE(SUBSTITUTE(SUBSTITUTE(SUBSTITUTE(SUBSTITUTE(SUBSTITUTE(SUBSTITUTE(MAIN!B241, "0", ""), "1", ""), "2", ""), "3", ""), "4", ""), "5", ""), "6", ""), "7", ""), "8", ""), "9", ""))))</f>
        <v>--</v>
      </c>
      <c r="C241" t="str">
        <f>IF(ISBLANK(MAIN!C241), "--", IFERROR(PROPER(SUBSTITUTE(SUBSTITUTE(SUBSTITUTE(SUBSTITUTE(SUBSTITUTE(SUBSTITUTE(SUBSTITUTE(SUBSTITUTE(SUBSTITUTE(SUBSTITUTE(LEFT(MAIN!C241, FIND(",",MAIN!C241) -1), "0", ""), "1", ""), "2", ""), "3", ""), "4", ""), "5", ""), "6", ""), "7", ""), "8", ""), "9", "")), PROPER(SUBSTITUTE(SUBSTITUTE(SUBSTITUTE(SUBSTITUTE(SUBSTITUTE(SUBSTITUTE(SUBSTITUTE(SUBSTITUTE(SUBSTITUTE(SUBSTITUTE(MAIN!C241, "0", ""), "1", ""), "2", ""), "3", ""), "4", ""), "5", ""), "6", ""), "7", ""), "8", ""), "9", ""))))</f>
        <v>--</v>
      </c>
      <c r="D241" t="str">
        <f>IF(ISBLANK(MAIN!D241), "--", IF(ISNUMBER(MATCH(SUBSTITUTE(LEFT(MAIN!D241, IFERROR(FIND(",", MAIN!D241)-1, LEN(MAIN!D241))), " ", ""), lookup_values!$B$2:$B$51, 0)), UPPER(SUBSTITUTE(LEFT(MAIN!D241, IFERROR(FIND(",", MAIN!D241)-1, LEN(MAIN!D241))), " ", "")), IF(ISNA(VLOOKUP(SUBSTITUTE(LEFT(MAIN!D241, IFERROR(FIND(",", MAIN!D241)-1, LEN(MAIN!D241))), " ", ""), lookup_values!$A$2:$B$51, 2, FALSE)), "--", VLOOKUP(SUBSTITUTE(LEFT(MAIN!D241, IFERROR(FIND(",", MAIN!D241)-1, LEN(MAIN!D241))), " ", ""), lookup_values!$A$2:$B$51, 2, FALSE))))</f>
        <v>--</v>
      </c>
      <c r="E241" t="str">
        <f>IF(CLEAN_DATA!D241&lt;&gt;"--","US",IF(ISBLANK(MAIN!E241), "--", IF(ISNUMBER(MATCH(SUBSTITUTE(LEFT(MAIN!E241, IFERROR(FIND(",", MAIN!E241)-1, LEN(MAIN!E241))), " ", ""), lookup_values!$E$2:$E$197, 0)), UPPER(SUBSTITUTE(LEFT(MAIN!E241, IFERROR(FIND(",", MAIN!E241)-1, LEN(MAIN!E241))), " ", "")), IF(ISNA(VLOOKUP(SUBSTITUTE(LEFT(MAIN!E241, IFERROR(FIND(",", MAIN!E241)-1, LEN(MAIN!E241))), " ", ""), lookup_values!$D$2:$E$197, 2, FALSE)), "--", VLOOKUP(SUBSTITUTE(LEFT(MAIN!E241, IFERROR(FIND(",", MAIN!E241)-1, LEN(MAIN!E241))), " ", ""), lookup_values!$D$2:$E$197, 2, FALSE)))))</f>
        <v>--</v>
      </c>
      <c r="F241" t="str">
        <f>IF(ISBLANK(MAIN!F241), "", IF(AND(ISNUMBER(VALUE(TRIM(MAIN!F241))), LEN(TRIM(MAIN!F241))=4), VALUE(TRIM(MAIN!F241)), ""))</f>
        <v/>
      </c>
      <c r="G241">
        <f>IF(ISBLANK(MAIN!G241), 0, IF(ISNUMBER(VALUE(TRIM(MAIN!G241))), VALUE(TRIM(MAIN!G241)), 0))</f>
        <v>0</v>
      </c>
      <c r="H241">
        <f>IF(ISBLANK(MAIN!H241), 0, IF(ISNUMBER(VALUE(TRIM(MAIN!H241))), VALUE(TRIM(MAIN!H241)), 0))</f>
        <v>0</v>
      </c>
      <c r="I241">
        <f>IF(ISBLANK(MAIN!I241), 0, IF(ISNUMBER(VALUE(TRIM(MAIN!I241))), VALUE(TRIM(MAIN!I241)), 0))</f>
        <v>0</v>
      </c>
      <c r="J241">
        <f>IF(ISBLANK(MAIN!J241), 0, IF(ISNUMBER(VALUE(TRIM(MAIN!J241))), VALUE(TRIM(MAIN!J241)), 0))</f>
        <v>0</v>
      </c>
      <c r="K241" cm="1">
        <f t="array" ref="K241">IFERROR(
    VALUE(
        IFERROR(
            UPPER(
                IF(MAX(IFERROR(SEARCH("WD",MAIN!G241:J241), 0))&gt;0, "WD",
                IF(MAX(IFERROR(SEARCH("NS",MAIN!G241:J241), 0))&gt;0, "NS",
                IF(MAX(IFERROR(SEARCH("NC",MAIN!G241:J241), 0))&gt;0, "NC",
                IF(MAX(IFERROR(SEARCH("DQ",MAIN!G241:J241), 0))&gt;0, "DQ",
                IF(ISNUMBER(SEARCH("WD",MAIN!K241)), "WD",
                IF(ISNUMBER(SEARCH("NS",MAIN!K241)), "NS",
                IF(ISNUMBER(SEARCH("NC",MAIN!K241)), "NC",
                IF(ISNUMBER(SEARCH("DQ",MAIN!K241)), "DQ",
                IF(ISNUMBER(SEARCH("A",MAIN!K241)), 0,
                IF(OR(MAIN!K241=0,MAIN!K241=""), 0, --TRIM(MAIN!K241)))))))))))),
            0
        )
    ),
    IFERROR(
        UPPER(
            IF(MAX(IFERROR(SEARCH("WD",MAIN!G241:J241), 0))&gt;0, "WD",
            IF(MAX(IFERROR(SEARCH("NS",MAIN!G241:J241), 0))&gt;0, "NS",
            IF(MAX(IFERROR(SEARCH("NC",MAIN!G241:J241), 0))&gt;0, "NC",
            IF(MAX(IFERROR(SEARCH("DQ",MAIN!G241:J241), 0))&gt;0, "DQ",
            IF(ISNUMBER(SEARCH("WD",MAIN!K241)), "WD",
            IF(ISNUMBER(SEARCH("NS",MAIN!K241)), "NS",
            IF(ISNUMBER(SEARCH("NC",MAIN!K241)), "NC",
            IF(ISNUMBER(SEARCH("DQ",MAIN!K241)), "DQ",
            IF(ISNUMBER(SEARCH("A",MAIN!K241)), 0,
            IF(OR(MAIN!K241=0,MAIN!K241=""), 0, --TRIM(MAIN!K241)))))))))))),
        0
    )
)</f>
        <v>0</v>
      </c>
    </row>
    <row r="242" spans="1:11" x14ac:dyDescent="0.25">
      <c r="A242" t="str">
        <f>IF(ISBLANK(MAIN!A242), "--", IFERROR(PROPER(SUBSTITUTE(SUBSTITUTE(SUBSTITUTE(SUBSTITUTE(SUBSTITUTE(SUBSTITUTE(SUBSTITUTE(SUBSTITUTE(SUBSTITUTE(SUBSTITUTE(LEFT(MAIN!A242, FIND(",",MAIN!A242) -1), "0", ""), "1", ""), "2", ""), "3", ""), "4", ""), "5", ""), "6", ""), "7", ""), "8", ""), "9", "")), PROPER(SUBSTITUTE(SUBSTITUTE(SUBSTITUTE(SUBSTITUTE(SUBSTITUTE(SUBSTITUTE(SUBSTITUTE(SUBSTITUTE(SUBSTITUTE(SUBSTITUTE(MAIN!A242, "0", ""), "1", ""), "2", ""), "3", ""), "4", ""), "5", ""), "6", ""), "7", ""), "8", ""), "9", ""))))</f>
        <v>--</v>
      </c>
      <c r="B242" t="str">
        <f>IF(ISBLANK(MAIN!B242), "--", IFERROR(PROPER(SUBSTITUTE(SUBSTITUTE(SUBSTITUTE(SUBSTITUTE(SUBSTITUTE(SUBSTITUTE(SUBSTITUTE(SUBSTITUTE(SUBSTITUTE(SUBSTITUTE(LEFT(MAIN!B242, FIND(",",MAIN!B242) -1), "0", ""), "1", ""), "2", ""), "3", ""), "4", ""), "5", ""), "6", ""), "7", ""), "8", ""), "9", "")), PROPER(SUBSTITUTE(SUBSTITUTE(SUBSTITUTE(SUBSTITUTE(SUBSTITUTE(SUBSTITUTE(SUBSTITUTE(SUBSTITUTE(SUBSTITUTE(SUBSTITUTE(MAIN!B242, "0", ""), "1", ""), "2", ""), "3", ""), "4", ""), "5", ""), "6", ""), "7", ""), "8", ""), "9", ""))))</f>
        <v>--</v>
      </c>
      <c r="C242" t="str">
        <f>IF(ISBLANK(MAIN!C242), "--", IFERROR(PROPER(SUBSTITUTE(SUBSTITUTE(SUBSTITUTE(SUBSTITUTE(SUBSTITUTE(SUBSTITUTE(SUBSTITUTE(SUBSTITUTE(SUBSTITUTE(SUBSTITUTE(LEFT(MAIN!C242, FIND(",",MAIN!C242) -1), "0", ""), "1", ""), "2", ""), "3", ""), "4", ""), "5", ""), "6", ""), "7", ""), "8", ""), "9", "")), PROPER(SUBSTITUTE(SUBSTITUTE(SUBSTITUTE(SUBSTITUTE(SUBSTITUTE(SUBSTITUTE(SUBSTITUTE(SUBSTITUTE(SUBSTITUTE(SUBSTITUTE(MAIN!C242, "0", ""), "1", ""), "2", ""), "3", ""), "4", ""), "5", ""), "6", ""), "7", ""), "8", ""), "9", ""))))</f>
        <v>--</v>
      </c>
      <c r="D242" t="str">
        <f>IF(ISBLANK(MAIN!D242), "--", IF(ISNUMBER(MATCH(SUBSTITUTE(LEFT(MAIN!D242, IFERROR(FIND(",", MAIN!D242)-1, LEN(MAIN!D242))), " ", ""), lookup_values!$B$2:$B$51, 0)), UPPER(SUBSTITUTE(LEFT(MAIN!D242, IFERROR(FIND(",", MAIN!D242)-1, LEN(MAIN!D242))), " ", "")), IF(ISNA(VLOOKUP(SUBSTITUTE(LEFT(MAIN!D242, IFERROR(FIND(",", MAIN!D242)-1, LEN(MAIN!D242))), " ", ""), lookup_values!$A$2:$B$51, 2, FALSE)), "--", VLOOKUP(SUBSTITUTE(LEFT(MAIN!D242, IFERROR(FIND(",", MAIN!D242)-1, LEN(MAIN!D242))), " ", ""), lookup_values!$A$2:$B$51, 2, FALSE))))</f>
        <v>--</v>
      </c>
      <c r="E242" t="str">
        <f>IF(CLEAN_DATA!D242&lt;&gt;"--","US",IF(ISBLANK(MAIN!E242), "--", IF(ISNUMBER(MATCH(SUBSTITUTE(LEFT(MAIN!E242, IFERROR(FIND(",", MAIN!E242)-1, LEN(MAIN!E242))), " ", ""), lookup_values!$E$2:$E$197, 0)), UPPER(SUBSTITUTE(LEFT(MAIN!E242, IFERROR(FIND(",", MAIN!E242)-1, LEN(MAIN!E242))), " ", "")), IF(ISNA(VLOOKUP(SUBSTITUTE(LEFT(MAIN!E242, IFERROR(FIND(",", MAIN!E242)-1, LEN(MAIN!E242))), " ", ""), lookup_values!$D$2:$E$197, 2, FALSE)), "--", VLOOKUP(SUBSTITUTE(LEFT(MAIN!E242, IFERROR(FIND(",", MAIN!E242)-1, LEN(MAIN!E242))), " ", ""), lookup_values!$D$2:$E$197, 2, FALSE)))))</f>
        <v>--</v>
      </c>
      <c r="F242" t="str">
        <f>IF(ISBLANK(MAIN!F242), "", IF(AND(ISNUMBER(VALUE(TRIM(MAIN!F242))), LEN(TRIM(MAIN!F242))=4), VALUE(TRIM(MAIN!F242)), ""))</f>
        <v/>
      </c>
      <c r="G242">
        <f>IF(ISBLANK(MAIN!G242), 0, IF(ISNUMBER(VALUE(TRIM(MAIN!G242))), VALUE(TRIM(MAIN!G242)), 0))</f>
        <v>0</v>
      </c>
      <c r="H242">
        <f>IF(ISBLANK(MAIN!H242), 0, IF(ISNUMBER(VALUE(TRIM(MAIN!H242))), VALUE(TRIM(MAIN!H242)), 0))</f>
        <v>0</v>
      </c>
      <c r="I242">
        <f>IF(ISBLANK(MAIN!I242), 0, IF(ISNUMBER(VALUE(TRIM(MAIN!I242))), VALUE(TRIM(MAIN!I242)), 0))</f>
        <v>0</v>
      </c>
      <c r="J242">
        <f>IF(ISBLANK(MAIN!J242), 0, IF(ISNUMBER(VALUE(TRIM(MAIN!J242))), VALUE(TRIM(MAIN!J242)), 0))</f>
        <v>0</v>
      </c>
      <c r="K242" cm="1">
        <f t="array" ref="K242">IFERROR(
    VALUE(
        IFERROR(
            UPPER(
                IF(MAX(IFERROR(SEARCH("WD",MAIN!G242:J242), 0))&gt;0, "WD",
                IF(MAX(IFERROR(SEARCH("NS",MAIN!G242:J242), 0))&gt;0, "NS",
                IF(MAX(IFERROR(SEARCH("NC",MAIN!G242:J242), 0))&gt;0, "NC",
                IF(MAX(IFERROR(SEARCH("DQ",MAIN!G242:J242), 0))&gt;0, "DQ",
                IF(ISNUMBER(SEARCH("WD",MAIN!K242)), "WD",
                IF(ISNUMBER(SEARCH("NS",MAIN!K242)), "NS",
                IF(ISNUMBER(SEARCH("NC",MAIN!K242)), "NC",
                IF(ISNUMBER(SEARCH("DQ",MAIN!K242)), "DQ",
                IF(ISNUMBER(SEARCH("A",MAIN!K242)), 0,
                IF(OR(MAIN!K242=0,MAIN!K242=""), 0, --TRIM(MAIN!K242)))))))))))),
            0
        )
    ),
    IFERROR(
        UPPER(
            IF(MAX(IFERROR(SEARCH("WD",MAIN!G242:J242), 0))&gt;0, "WD",
            IF(MAX(IFERROR(SEARCH("NS",MAIN!G242:J242), 0))&gt;0, "NS",
            IF(MAX(IFERROR(SEARCH("NC",MAIN!G242:J242), 0))&gt;0, "NC",
            IF(MAX(IFERROR(SEARCH("DQ",MAIN!G242:J242), 0))&gt;0, "DQ",
            IF(ISNUMBER(SEARCH("WD",MAIN!K242)), "WD",
            IF(ISNUMBER(SEARCH("NS",MAIN!K242)), "NS",
            IF(ISNUMBER(SEARCH("NC",MAIN!K242)), "NC",
            IF(ISNUMBER(SEARCH("DQ",MAIN!K242)), "DQ",
            IF(ISNUMBER(SEARCH("A",MAIN!K242)), 0,
            IF(OR(MAIN!K242=0,MAIN!K242=""), 0, --TRIM(MAIN!K242)))))))))))),
        0
    )
)</f>
        <v>0</v>
      </c>
    </row>
    <row r="243" spans="1:11" x14ac:dyDescent="0.25">
      <c r="A243" t="str">
        <f>IF(ISBLANK(MAIN!A243), "--", IFERROR(PROPER(SUBSTITUTE(SUBSTITUTE(SUBSTITUTE(SUBSTITUTE(SUBSTITUTE(SUBSTITUTE(SUBSTITUTE(SUBSTITUTE(SUBSTITUTE(SUBSTITUTE(LEFT(MAIN!A243, FIND(",",MAIN!A243) -1), "0", ""), "1", ""), "2", ""), "3", ""), "4", ""), "5", ""), "6", ""), "7", ""), "8", ""), "9", "")), PROPER(SUBSTITUTE(SUBSTITUTE(SUBSTITUTE(SUBSTITUTE(SUBSTITUTE(SUBSTITUTE(SUBSTITUTE(SUBSTITUTE(SUBSTITUTE(SUBSTITUTE(MAIN!A243, "0", ""), "1", ""), "2", ""), "3", ""), "4", ""), "5", ""), "6", ""), "7", ""), "8", ""), "9", ""))))</f>
        <v>--</v>
      </c>
      <c r="B243" t="str">
        <f>IF(ISBLANK(MAIN!B243), "--", IFERROR(PROPER(SUBSTITUTE(SUBSTITUTE(SUBSTITUTE(SUBSTITUTE(SUBSTITUTE(SUBSTITUTE(SUBSTITUTE(SUBSTITUTE(SUBSTITUTE(SUBSTITUTE(LEFT(MAIN!B243, FIND(",",MAIN!B243) -1), "0", ""), "1", ""), "2", ""), "3", ""), "4", ""), "5", ""), "6", ""), "7", ""), "8", ""), "9", "")), PROPER(SUBSTITUTE(SUBSTITUTE(SUBSTITUTE(SUBSTITUTE(SUBSTITUTE(SUBSTITUTE(SUBSTITUTE(SUBSTITUTE(SUBSTITUTE(SUBSTITUTE(MAIN!B243, "0", ""), "1", ""), "2", ""), "3", ""), "4", ""), "5", ""), "6", ""), "7", ""), "8", ""), "9", ""))))</f>
        <v>--</v>
      </c>
      <c r="C243" t="str">
        <f>IF(ISBLANK(MAIN!C243), "--", IFERROR(PROPER(SUBSTITUTE(SUBSTITUTE(SUBSTITUTE(SUBSTITUTE(SUBSTITUTE(SUBSTITUTE(SUBSTITUTE(SUBSTITUTE(SUBSTITUTE(SUBSTITUTE(LEFT(MAIN!C243, FIND(",",MAIN!C243) -1), "0", ""), "1", ""), "2", ""), "3", ""), "4", ""), "5", ""), "6", ""), "7", ""), "8", ""), "9", "")), PROPER(SUBSTITUTE(SUBSTITUTE(SUBSTITUTE(SUBSTITUTE(SUBSTITUTE(SUBSTITUTE(SUBSTITUTE(SUBSTITUTE(SUBSTITUTE(SUBSTITUTE(MAIN!C243, "0", ""), "1", ""), "2", ""), "3", ""), "4", ""), "5", ""), "6", ""), "7", ""), "8", ""), "9", ""))))</f>
        <v>--</v>
      </c>
      <c r="D243" t="str">
        <f>IF(ISBLANK(MAIN!D243), "--", IF(ISNUMBER(MATCH(SUBSTITUTE(LEFT(MAIN!D243, IFERROR(FIND(",", MAIN!D243)-1, LEN(MAIN!D243))), " ", ""), lookup_values!$B$2:$B$51, 0)), UPPER(SUBSTITUTE(LEFT(MAIN!D243, IFERROR(FIND(",", MAIN!D243)-1, LEN(MAIN!D243))), " ", "")), IF(ISNA(VLOOKUP(SUBSTITUTE(LEFT(MAIN!D243, IFERROR(FIND(",", MAIN!D243)-1, LEN(MAIN!D243))), " ", ""), lookup_values!$A$2:$B$51, 2, FALSE)), "--", VLOOKUP(SUBSTITUTE(LEFT(MAIN!D243, IFERROR(FIND(",", MAIN!D243)-1, LEN(MAIN!D243))), " ", ""), lookup_values!$A$2:$B$51, 2, FALSE))))</f>
        <v>--</v>
      </c>
      <c r="E243" t="str">
        <f>IF(CLEAN_DATA!D243&lt;&gt;"--","US",IF(ISBLANK(MAIN!E243), "--", IF(ISNUMBER(MATCH(SUBSTITUTE(LEFT(MAIN!E243, IFERROR(FIND(",", MAIN!E243)-1, LEN(MAIN!E243))), " ", ""), lookup_values!$E$2:$E$197, 0)), UPPER(SUBSTITUTE(LEFT(MAIN!E243, IFERROR(FIND(",", MAIN!E243)-1, LEN(MAIN!E243))), " ", "")), IF(ISNA(VLOOKUP(SUBSTITUTE(LEFT(MAIN!E243, IFERROR(FIND(",", MAIN!E243)-1, LEN(MAIN!E243))), " ", ""), lookup_values!$D$2:$E$197, 2, FALSE)), "--", VLOOKUP(SUBSTITUTE(LEFT(MAIN!E243, IFERROR(FIND(",", MAIN!E243)-1, LEN(MAIN!E243))), " ", ""), lookup_values!$D$2:$E$197, 2, FALSE)))))</f>
        <v>--</v>
      </c>
      <c r="F243" t="str">
        <f>IF(ISBLANK(MAIN!F243), "", IF(AND(ISNUMBER(VALUE(TRIM(MAIN!F243))), LEN(TRIM(MAIN!F243))=4), VALUE(TRIM(MAIN!F243)), ""))</f>
        <v/>
      </c>
      <c r="G243">
        <f>IF(ISBLANK(MAIN!G243), 0, IF(ISNUMBER(VALUE(TRIM(MAIN!G243))), VALUE(TRIM(MAIN!G243)), 0))</f>
        <v>0</v>
      </c>
      <c r="H243">
        <f>IF(ISBLANK(MAIN!H243), 0, IF(ISNUMBER(VALUE(TRIM(MAIN!H243))), VALUE(TRIM(MAIN!H243)), 0))</f>
        <v>0</v>
      </c>
      <c r="I243">
        <f>IF(ISBLANK(MAIN!I243), 0, IF(ISNUMBER(VALUE(TRIM(MAIN!I243))), VALUE(TRIM(MAIN!I243)), 0))</f>
        <v>0</v>
      </c>
      <c r="J243">
        <f>IF(ISBLANK(MAIN!J243), 0, IF(ISNUMBER(VALUE(TRIM(MAIN!J243))), VALUE(TRIM(MAIN!J243)), 0))</f>
        <v>0</v>
      </c>
      <c r="K243" cm="1">
        <f t="array" ref="K243">IFERROR(
    VALUE(
        IFERROR(
            UPPER(
                IF(MAX(IFERROR(SEARCH("WD",MAIN!G243:J243), 0))&gt;0, "WD",
                IF(MAX(IFERROR(SEARCH("NS",MAIN!G243:J243), 0))&gt;0, "NS",
                IF(MAX(IFERROR(SEARCH("NC",MAIN!G243:J243), 0))&gt;0, "NC",
                IF(MAX(IFERROR(SEARCH("DQ",MAIN!G243:J243), 0))&gt;0, "DQ",
                IF(ISNUMBER(SEARCH("WD",MAIN!K243)), "WD",
                IF(ISNUMBER(SEARCH("NS",MAIN!K243)), "NS",
                IF(ISNUMBER(SEARCH("NC",MAIN!K243)), "NC",
                IF(ISNUMBER(SEARCH("DQ",MAIN!K243)), "DQ",
                IF(ISNUMBER(SEARCH("A",MAIN!K243)), 0,
                IF(OR(MAIN!K243=0,MAIN!K243=""), 0, --TRIM(MAIN!K243)))))))))))),
            0
        )
    ),
    IFERROR(
        UPPER(
            IF(MAX(IFERROR(SEARCH("WD",MAIN!G243:J243), 0))&gt;0, "WD",
            IF(MAX(IFERROR(SEARCH("NS",MAIN!G243:J243), 0))&gt;0, "NS",
            IF(MAX(IFERROR(SEARCH("NC",MAIN!G243:J243), 0))&gt;0, "NC",
            IF(MAX(IFERROR(SEARCH("DQ",MAIN!G243:J243), 0))&gt;0, "DQ",
            IF(ISNUMBER(SEARCH("WD",MAIN!K243)), "WD",
            IF(ISNUMBER(SEARCH("NS",MAIN!K243)), "NS",
            IF(ISNUMBER(SEARCH("NC",MAIN!K243)), "NC",
            IF(ISNUMBER(SEARCH("DQ",MAIN!K243)), "DQ",
            IF(ISNUMBER(SEARCH("A",MAIN!K243)), 0,
            IF(OR(MAIN!K243=0,MAIN!K243=""), 0, --TRIM(MAIN!K243)))))))))))),
        0
    )
)</f>
        <v>0</v>
      </c>
    </row>
    <row r="244" spans="1:11" x14ac:dyDescent="0.25">
      <c r="A244" t="str">
        <f>IF(ISBLANK(MAIN!A244), "--", IFERROR(PROPER(SUBSTITUTE(SUBSTITUTE(SUBSTITUTE(SUBSTITUTE(SUBSTITUTE(SUBSTITUTE(SUBSTITUTE(SUBSTITUTE(SUBSTITUTE(SUBSTITUTE(LEFT(MAIN!A244, FIND(",",MAIN!A244) -1), "0", ""), "1", ""), "2", ""), "3", ""), "4", ""), "5", ""), "6", ""), "7", ""), "8", ""), "9", "")), PROPER(SUBSTITUTE(SUBSTITUTE(SUBSTITUTE(SUBSTITUTE(SUBSTITUTE(SUBSTITUTE(SUBSTITUTE(SUBSTITUTE(SUBSTITUTE(SUBSTITUTE(MAIN!A244, "0", ""), "1", ""), "2", ""), "3", ""), "4", ""), "5", ""), "6", ""), "7", ""), "8", ""), "9", ""))))</f>
        <v>--</v>
      </c>
      <c r="B244" t="str">
        <f>IF(ISBLANK(MAIN!B244), "--", IFERROR(PROPER(SUBSTITUTE(SUBSTITUTE(SUBSTITUTE(SUBSTITUTE(SUBSTITUTE(SUBSTITUTE(SUBSTITUTE(SUBSTITUTE(SUBSTITUTE(SUBSTITUTE(LEFT(MAIN!B244, FIND(",",MAIN!B244) -1), "0", ""), "1", ""), "2", ""), "3", ""), "4", ""), "5", ""), "6", ""), "7", ""), "8", ""), "9", "")), PROPER(SUBSTITUTE(SUBSTITUTE(SUBSTITUTE(SUBSTITUTE(SUBSTITUTE(SUBSTITUTE(SUBSTITUTE(SUBSTITUTE(SUBSTITUTE(SUBSTITUTE(MAIN!B244, "0", ""), "1", ""), "2", ""), "3", ""), "4", ""), "5", ""), "6", ""), "7", ""), "8", ""), "9", ""))))</f>
        <v>--</v>
      </c>
      <c r="C244" t="str">
        <f>IF(ISBLANK(MAIN!C244), "--", IFERROR(PROPER(SUBSTITUTE(SUBSTITUTE(SUBSTITUTE(SUBSTITUTE(SUBSTITUTE(SUBSTITUTE(SUBSTITUTE(SUBSTITUTE(SUBSTITUTE(SUBSTITUTE(LEFT(MAIN!C244, FIND(",",MAIN!C244) -1), "0", ""), "1", ""), "2", ""), "3", ""), "4", ""), "5", ""), "6", ""), "7", ""), "8", ""), "9", "")), PROPER(SUBSTITUTE(SUBSTITUTE(SUBSTITUTE(SUBSTITUTE(SUBSTITUTE(SUBSTITUTE(SUBSTITUTE(SUBSTITUTE(SUBSTITUTE(SUBSTITUTE(MAIN!C244, "0", ""), "1", ""), "2", ""), "3", ""), "4", ""), "5", ""), "6", ""), "7", ""), "8", ""), "9", ""))))</f>
        <v>--</v>
      </c>
      <c r="D244" t="str">
        <f>IF(ISBLANK(MAIN!D244), "--", IF(ISNUMBER(MATCH(SUBSTITUTE(LEFT(MAIN!D244, IFERROR(FIND(",", MAIN!D244)-1, LEN(MAIN!D244))), " ", ""), lookup_values!$B$2:$B$51, 0)), UPPER(SUBSTITUTE(LEFT(MAIN!D244, IFERROR(FIND(",", MAIN!D244)-1, LEN(MAIN!D244))), " ", "")), IF(ISNA(VLOOKUP(SUBSTITUTE(LEFT(MAIN!D244, IFERROR(FIND(",", MAIN!D244)-1, LEN(MAIN!D244))), " ", ""), lookup_values!$A$2:$B$51, 2, FALSE)), "--", VLOOKUP(SUBSTITUTE(LEFT(MAIN!D244, IFERROR(FIND(",", MAIN!D244)-1, LEN(MAIN!D244))), " ", ""), lookup_values!$A$2:$B$51, 2, FALSE))))</f>
        <v>--</v>
      </c>
      <c r="E244" t="str">
        <f>IF(CLEAN_DATA!D244&lt;&gt;"--","US",IF(ISBLANK(MAIN!E244), "--", IF(ISNUMBER(MATCH(SUBSTITUTE(LEFT(MAIN!E244, IFERROR(FIND(",", MAIN!E244)-1, LEN(MAIN!E244))), " ", ""), lookup_values!$E$2:$E$197, 0)), UPPER(SUBSTITUTE(LEFT(MAIN!E244, IFERROR(FIND(",", MAIN!E244)-1, LEN(MAIN!E244))), " ", "")), IF(ISNA(VLOOKUP(SUBSTITUTE(LEFT(MAIN!E244, IFERROR(FIND(",", MAIN!E244)-1, LEN(MAIN!E244))), " ", ""), lookup_values!$D$2:$E$197, 2, FALSE)), "--", VLOOKUP(SUBSTITUTE(LEFT(MAIN!E244, IFERROR(FIND(",", MAIN!E244)-1, LEN(MAIN!E244))), " ", ""), lookup_values!$D$2:$E$197, 2, FALSE)))))</f>
        <v>--</v>
      </c>
      <c r="F244" t="str">
        <f>IF(ISBLANK(MAIN!F244), "", IF(AND(ISNUMBER(VALUE(TRIM(MAIN!F244))), LEN(TRIM(MAIN!F244))=4), VALUE(TRIM(MAIN!F244)), ""))</f>
        <v/>
      </c>
      <c r="G244">
        <f>IF(ISBLANK(MAIN!G244), 0, IF(ISNUMBER(VALUE(TRIM(MAIN!G244))), VALUE(TRIM(MAIN!G244)), 0))</f>
        <v>0</v>
      </c>
      <c r="H244">
        <f>IF(ISBLANK(MAIN!H244), 0, IF(ISNUMBER(VALUE(TRIM(MAIN!H244))), VALUE(TRIM(MAIN!H244)), 0))</f>
        <v>0</v>
      </c>
      <c r="I244">
        <f>IF(ISBLANK(MAIN!I244), 0, IF(ISNUMBER(VALUE(TRIM(MAIN!I244))), VALUE(TRIM(MAIN!I244)), 0))</f>
        <v>0</v>
      </c>
      <c r="J244">
        <f>IF(ISBLANK(MAIN!J244), 0, IF(ISNUMBER(VALUE(TRIM(MAIN!J244))), VALUE(TRIM(MAIN!J244)), 0))</f>
        <v>0</v>
      </c>
      <c r="K244" cm="1">
        <f t="array" ref="K244">IFERROR(
    VALUE(
        IFERROR(
            UPPER(
                IF(MAX(IFERROR(SEARCH("WD",MAIN!G244:J244), 0))&gt;0, "WD",
                IF(MAX(IFERROR(SEARCH("NS",MAIN!G244:J244), 0))&gt;0, "NS",
                IF(MAX(IFERROR(SEARCH("NC",MAIN!G244:J244), 0))&gt;0, "NC",
                IF(MAX(IFERROR(SEARCH("DQ",MAIN!G244:J244), 0))&gt;0, "DQ",
                IF(ISNUMBER(SEARCH("WD",MAIN!K244)), "WD",
                IF(ISNUMBER(SEARCH("NS",MAIN!K244)), "NS",
                IF(ISNUMBER(SEARCH("NC",MAIN!K244)), "NC",
                IF(ISNUMBER(SEARCH("DQ",MAIN!K244)), "DQ",
                IF(ISNUMBER(SEARCH("A",MAIN!K244)), 0,
                IF(OR(MAIN!K244=0,MAIN!K244=""), 0, --TRIM(MAIN!K244)))))))))))),
            0
        )
    ),
    IFERROR(
        UPPER(
            IF(MAX(IFERROR(SEARCH("WD",MAIN!G244:J244), 0))&gt;0, "WD",
            IF(MAX(IFERROR(SEARCH("NS",MAIN!G244:J244), 0))&gt;0, "NS",
            IF(MAX(IFERROR(SEARCH("NC",MAIN!G244:J244), 0))&gt;0, "NC",
            IF(MAX(IFERROR(SEARCH("DQ",MAIN!G244:J244), 0))&gt;0, "DQ",
            IF(ISNUMBER(SEARCH("WD",MAIN!K244)), "WD",
            IF(ISNUMBER(SEARCH("NS",MAIN!K244)), "NS",
            IF(ISNUMBER(SEARCH("NC",MAIN!K244)), "NC",
            IF(ISNUMBER(SEARCH("DQ",MAIN!K244)), "DQ",
            IF(ISNUMBER(SEARCH("A",MAIN!K244)), 0,
            IF(OR(MAIN!K244=0,MAIN!K244=""), 0, --TRIM(MAIN!K244)))))))))))),
        0
    )
)</f>
        <v>0</v>
      </c>
    </row>
    <row r="245" spans="1:11" x14ac:dyDescent="0.25">
      <c r="A245" t="str">
        <f>IF(ISBLANK(MAIN!A245), "--", IFERROR(PROPER(SUBSTITUTE(SUBSTITUTE(SUBSTITUTE(SUBSTITUTE(SUBSTITUTE(SUBSTITUTE(SUBSTITUTE(SUBSTITUTE(SUBSTITUTE(SUBSTITUTE(LEFT(MAIN!A245, FIND(",",MAIN!A245) -1), "0", ""), "1", ""), "2", ""), "3", ""), "4", ""), "5", ""), "6", ""), "7", ""), "8", ""), "9", "")), PROPER(SUBSTITUTE(SUBSTITUTE(SUBSTITUTE(SUBSTITUTE(SUBSTITUTE(SUBSTITUTE(SUBSTITUTE(SUBSTITUTE(SUBSTITUTE(SUBSTITUTE(MAIN!A245, "0", ""), "1", ""), "2", ""), "3", ""), "4", ""), "5", ""), "6", ""), "7", ""), "8", ""), "9", ""))))</f>
        <v>--</v>
      </c>
      <c r="B245" t="str">
        <f>IF(ISBLANK(MAIN!B245), "--", IFERROR(PROPER(SUBSTITUTE(SUBSTITUTE(SUBSTITUTE(SUBSTITUTE(SUBSTITUTE(SUBSTITUTE(SUBSTITUTE(SUBSTITUTE(SUBSTITUTE(SUBSTITUTE(LEFT(MAIN!B245, FIND(",",MAIN!B245) -1), "0", ""), "1", ""), "2", ""), "3", ""), "4", ""), "5", ""), "6", ""), "7", ""), "8", ""), "9", "")), PROPER(SUBSTITUTE(SUBSTITUTE(SUBSTITUTE(SUBSTITUTE(SUBSTITUTE(SUBSTITUTE(SUBSTITUTE(SUBSTITUTE(SUBSTITUTE(SUBSTITUTE(MAIN!B245, "0", ""), "1", ""), "2", ""), "3", ""), "4", ""), "5", ""), "6", ""), "7", ""), "8", ""), "9", ""))))</f>
        <v>--</v>
      </c>
      <c r="C245" t="str">
        <f>IF(ISBLANK(MAIN!C245), "--", IFERROR(PROPER(SUBSTITUTE(SUBSTITUTE(SUBSTITUTE(SUBSTITUTE(SUBSTITUTE(SUBSTITUTE(SUBSTITUTE(SUBSTITUTE(SUBSTITUTE(SUBSTITUTE(LEFT(MAIN!C245, FIND(",",MAIN!C245) -1), "0", ""), "1", ""), "2", ""), "3", ""), "4", ""), "5", ""), "6", ""), "7", ""), "8", ""), "9", "")), PROPER(SUBSTITUTE(SUBSTITUTE(SUBSTITUTE(SUBSTITUTE(SUBSTITUTE(SUBSTITUTE(SUBSTITUTE(SUBSTITUTE(SUBSTITUTE(SUBSTITUTE(MAIN!C245, "0", ""), "1", ""), "2", ""), "3", ""), "4", ""), "5", ""), "6", ""), "7", ""), "8", ""), "9", ""))))</f>
        <v>--</v>
      </c>
      <c r="D245" t="str">
        <f>IF(ISBLANK(MAIN!D245), "--", IF(ISNUMBER(MATCH(SUBSTITUTE(LEFT(MAIN!D245, IFERROR(FIND(",", MAIN!D245)-1, LEN(MAIN!D245))), " ", ""), lookup_values!$B$2:$B$51, 0)), UPPER(SUBSTITUTE(LEFT(MAIN!D245, IFERROR(FIND(",", MAIN!D245)-1, LEN(MAIN!D245))), " ", "")), IF(ISNA(VLOOKUP(SUBSTITUTE(LEFT(MAIN!D245, IFERROR(FIND(",", MAIN!D245)-1, LEN(MAIN!D245))), " ", ""), lookup_values!$A$2:$B$51, 2, FALSE)), "--", VLOOKUP(SUBSTITUTE(LEFT(MAIN!D245, IFERROR(FIND(",", MAIN!D245)-1, LEN(MAIN!D245))), " ", ""), lookup_values!$A$2:$B$51, 2, FALSE))))</f>
        <v>--</v>
      </c>
      <c r="E245" t="str">
        <f>IF(CLEAN_DATA!D245&lt;&gt;"--","US",IF(ISBLANK(MAIN!E245), "--", IF(ISNUMBER(MATCH(SUBSTITUTE(LEFT(MAIN!E245, IFERROR(FIND(",", MAIN!E245)-1, LEN(MAIN!E245))), " ", ""), lookup_values!$E$2:$E$197, 0)), UPPER(SUBSTITUTE(LEFT(MAIN!E245, IFERROR(FIND(",", MAIN!E245)-1, LEN(MAIN!E245))), " ", "")), IF(ISNA(VLOOKUP(SUBSTITUTE(LEFT(MAIN!E245, IFERROR(FIND(",", MAIN!E245)-1, LEN(MAIN!E245))), " ", ""), lookup_values!$D$2:$E$197, 2, FALSE)), "--", VLOOKUP(SUBSTITUTE(LEFT(MAIN!E245, IFERROR(FIND(",", MAIN!E245)-1, LEN(MAIN!E245))), " ", ""), lookup_values!$D$2:$E$197, 2, FALSE)))))</f>
        <v>--</v>
      </c>
      <c r="F245" t="str">
        <f>IF(ISBLANK(MAIN!F245), "", IF(AND(ISNUMBER(VALUE(TRIM(MAIN!F245))), LEN(TRIM(MAIN!F245))=4), VALUE(TRIM(MAIN!F245)), ""))</f>
        <v/>
      </c>
      <c r="G245">
        <f>IF(ISBLANK(MAIN!G245), 0, IF(ISNUMBER(VALUE(TRIM(MAIN!G245))), VALUE(TRIM(MAIN!G245)), 0))</f>
        <v>0</v>
      </c>
      <c r="H245">
        <f>IF(ISBLANK(MAIN!H245), 0, IF(ISNUMBER(VALUE(TRIM(MAIN!H245))), VALUE(TRIM(MAIN!H245)), 0))</f>
        <v>0</v>
      </c>
      <c r="I245">
        <f>IF(ISBLANK(MAIN!I245), 0, IF(ISNUMBER(VALUE(TRIM(MAIN!I245))), VALUE(TRIM(MAIN!I245)), 0))</f>
        <v>0</v>
      </c>
      <c r="J245">
        <f>IF(ISBLANK(MAIN!J245), 0, IF(ISNUMBER(VALUE(TRIM(MAIN!J245))), VALUE(TRIM(MAIN!J245)), 0))</f>
        <v>0</v>
      </c>
      <c r="K245" cm="1">
        <f t="array" ref="K245">IFERROR(
    VALUE(
        IFERROR(
            UPPER(
                IF(MAX(IFERROR(SEARCH("WD",MAIN!G245:J245), 0))&gt;0, "WD",
                IF(MAX(IFERROR(SEARCH("NS",MAIN!G245:J245), 0))&gt;0, "NS",
                IF(MAX(IFERROR(SEARCH("NC",MAIN!G245:J245), 0))&gt;0, "NC",
                IF(MAX(IFERROR(SEARCH("DQ",MAIN!G245:J245), 0))&gt;0, "DQ",
                IF(ISNUMBER(SEARCH("WD",MAIN!K245)), "WD",
                IF(ISNUMBER(SEARCH("NS",MAIN!K245)), "NS",
                IF(ISNUMBER(SEARCH("NC",MAIN!K245)), "NC",
                IF(ISNUMBER(SEARCH("DQ",MAIN!K245)), "DQ",
                IF(ISNUMBER(SEARCH("A",MAIN!K245)), 0,
                IF(OR(MAIN!K245=0,MAIN!K245=""), 0, --TRIM(MAIN!K245)))))))))))),
            0
        )
    ),
    IFERROR(
        UPPER(
            IF(MAX(IFERROR(SEARCH("WD",MAIN!G245:J245), 0))&gt;0, "WD",
            IF(MAX(IFERROR(SEARCH("NS",MAIN!G245:J245), 0))&gt;0, "NS",
            IF(MAX(IFERROR(SEARCH("NC",MAIN!G245:J245), 0))&gt;0, "NC",
            IF(MAX(IFERROR(SEARCH("DQ",MAIN!G245:J245), 0))&gt;0, "DQ",
            IF(ISNUMBER(SEARCH("WD",MAIN!K245)), "WD",
            IF(ISNUMBER(SEARCH("NS",MAIN!K245)), "NS",
            IF(ISNUMBER(SEARCH("NC",MAIN!K245)), "NC",
            IF(ISNUMBER(SEARCH("DQ",MAIN!K245)), "DQ",
            IF(ISNUMBER(SEARCH("A",MAIN!K245)), 0,
            IF(OR(MAIN!K245=0,MAIN!K245=""), 0, --TRIM(MAIN!K245)))))))))))),
        0
    )
)</f>
        <v>0</v>
      </c>
    </row>
    <row r="246" spans="1:11" x14ac:dyDescent="0.25">
      <c r="A246" t="str">
        <f>IF(ISBLANK(MAIN!A246), "--", IFERROR(PROPER(SUBSTITUTE(SUBSTITUTE(SUBSTITUTE(SUBSTITUTE(SUBSTITUTE(SUBSTITUTE(SUBSTITUTE(SUBSTITUTE(SUBSTITUTE(SUBSTITUTE(LEFT(MAIN!A246, FIND(",",MAIN!A246) -1), "0", ""), "1", ""), "2", ""), "3", ""), "4", ""), "5", ""), "6", ""), "7", ""), "8", ""), "9", "")), PROPER(SUBSTITUTE(SUBSTITUTE(SUBSTITUTE(SUBSTITUTE(SUBSTITUTE(SUBSTITUTE(SUBSTITUTE(SUBSTITUTE(SUBSTITUTE(SUBSTITUTE(MAIN!A246, "0", ""), "1", ""), "2", ""), "3", ""), "4", ""), "5", ""), "6", ""), "7", ""), "8", ""), "9", ""))))</f>
        <v>--</v>
      </c>
      <c r="B246" t="str">
        <f>IF(ISBLANK(MAIN!B246), "--", IFERROR(PROPER(SUBSTITUTE(SUBSTITUTE(SUBSTITUTE(SUBSTITUTE(SUBSTITUTE(SUBSTITUTE(SUBSTITUTE(SUBSTITUTE(SUBSTITUTE(SUBSTITUTE(LEFT(MAIN!B246, FIND(",",MAIN!B246) -1), "0", ""), "1", ""), "2", ""), "3", ""), "4", ""), "5", ""), "6", ""), "7", ""), "8", ""), "9", "")), PROPER(SUBSTITUTE(SUBSTITUTE(SUBSTITUTE(SUBSTITUTE(SUBSTITUTE(SUBSTITUTE(SUBSTITUTE(SUBSTITUTE(SUBSTITUTE(SUBSTITUTE(MAIN!B246, "0", ""), "1", ""), "2", ""), "3", ""), "4", ""), "5", ""), "6", ""), "7", ""), "8", ""), "9", ""))))</f>
        <v>--</v>
      </c>
      <c r="C246" t="str">
        <f>IF(ISBLANK(MAIN!C246), "--", IFERROR(PROPER(SUBSTITUTE(SUBSTITUTE(SUBSTITUTE(SUBSTITUTE(SUBSTITUTE(SUBSTITUTE(SUBSTITUTE(SUBSTITUTE(SUBSTITUTE(SUBSTITUTE(LEFT(MAIN!C246, FIND(",",MAIN!C246) -1), "0", ""), "1", ""), "2", ""), "3", ""), "4", ""), "5", ""), "6", ""), "7", ""), "8", ""), "9", "")), PROPER(SUBSTITUTE(SUBSTITUTE(SUBSTITUTE(SUBSTITUTE(SUBSTITUTE(SUBSTITUTE(SUBSTITUTE(SUBSTITUTE(SUBSTITUTE(SUBSTITUTE(MAIN!C246, "0", ""), "1", ""), "2", ""), "3", ""), "4", ""), "5", ""), "6", ""), "7", ""), "8", ""), "9", ""))))</f>
        <v>--</v>
      </c>
      <c r="D246" t="str">
        <f>IF(ISBLANK(MAIN!D246), "--", IF(ISNUMBER(MATCH(SUBSTITUTE(LEFT(MAIN!D246, IFERROR(FIND(",", MAIN!D246)-1, LEN(MAIN!D246))), " ", ""), lookup_values!$B$2:$B$51, 0)), UPPER(SUBSTITUTE(LEFT(MAIN!D246, IFERROR(FIND(",", MAIN!D246)-1, LEN(MAIN!D246))), " ", "")), IF(ISNA(VLOOKUP(SUBSTITUTE(LEFT(MAIN!D246, IFERROR(FIND(",", MAIN!D246)-1, LEN(MAIN!D246))), " ", ""), lookup_values!$A$2:$B$51, 2, FALSE)), "--", VLOOKUP(SUBSTITUTE(LEFT(MAIN!D246, IFERROR(FIND(",", MAIN!D246)-1, LEN(MAIN!D246))), " ", ""), lookup_values!$A$2:$B$51, 2, FALSE))))</f>
        <v>--</v>
      </c>
      <c r="E246" t="str">
        <f>IF(CLEAN_DATA!D246&lt;&gt;"--","US",IF(ISBLANK(MAIN!E246), "--", IF(ISNUMBER(MATCH(SUBSTITUTE(LEFT(MAIN!E246, IFERROR(FIND(",", MAIN!E246)-1, LEN(MAIN!E246))), " ", ""), lookup_values!$E$2:$E$197, 0)), UPPER(SUBSTITUTE(LEFT(MAIN!E246, IFERROR(FIND(",", MAIN!E246)-1, LEN(MAIN!E246))), " ", "")), IF(ISNA(VLOOKUP(SUBSTITUTE(LEFT(MAIN!E246, IFERROR(FIND(",", MAIN!E246)-1, LEN(MAIN!E246))), " ", ""), lookup_values!$D$2:$E$197, 2, FALSE)), "--", VLOOKUP(SUBSTITUTE(LEFT(MAIN!E246, IFERROR(FIND(",", MAIN!E246)-1, LEN(MAIN!E246))), " ", ""), lookup_values!$D$2:$E$197, 2, FALSE)))))</f>
        <v>--</v>
      </c>
      <c r="F246" t="str">
        <f>IF(ISBLANK(MAIN!F246), "", IF(AND(ISNUMBER(VALUE(TRIM(MAIN!F246))), LEN(TRIM(MAIN!F246))=4), VALUE(TRIM(MAIN!F246)), ""))</f>
        <v/>
      </c>
      <c r="G246">
        <f>IF(ISBLANK(MAIN!G246), 0, IF(ISNUMBER(VALUE(TRIM(MAIN!G246))), VALUE(TRIM(MAIN!G246)), 0))</f>
        <v>0</v>
      </c>
      <c r="H246">
        <f>IF(ISBLANK(MAIN!H246), 0, IF(ISNUMBER(VALUE(TRIM(MAIN!H246))), VALUE(TRIM(MAIN!H246)), 0))</f>
        <v>0</v>
      </c>
      <c r="I246">
        <f>IF(ISBLANK(MAIN!I246), 0, IF(ISNUMBER(VALUE(TRIM(MAIN!I246))), VALUE(TRIM(MAIN!I246)), 0))</f>
        <v>0</v>
      </c>
      <c r="J246">
        <f>IF(ISBLANK(MAIN!J246), 0, IF(ISNUMBER(VALUE(TRIM(MAIN!J246))), VALUE(TRIM(MAIN!J246)), 0))</f>
        <v>0</v>
      </c>
      <c r="K246" cm="1">
        <f t="array" ref="K246">IFERROR(
    VALUE(
        IFERROR(
            UPPER(
                IF(MAX(IFERROR(SEARCH("WD",MAIN!G246:J246), 0))&gt;0, "WD",
                IF(MAX(IFERROR(SEARCH("NS",MAIN!G246:J246), 0))&gt;0, "NS",
                IF(MAX(IFERROR(SEARCH("NC",MAIN!G246:J246), 0))&gt;0, "NC",
                IF(MAX(IFERROR(SEARCH("DQ",MAIN!G246:J246), 0))&gt;0, "DQ",
                IF(ISNUMBER(SEARCH("WD",MAIN!K246)), "WD",
                IF(ISNUMBER(SEARCH("NS",MAIN!K246)), "NS",
                IF(ISNUMBER(SEARCH("NC",MAIN!K246)), "NC",
                IF(ISNUMBER(SEARCH("DQ",MAIN!K246)), "DQ",
                IF(ISNUMBER(SEARCH("A",MAIN!K246)), 0,
                IF(OR(MAIN!K246=0,MAIN!K246=""), 0, --TRIM(MAIN!K246)))))))))))),
            0
        )
    ),
    IFERROR(
        UPPER(
            IF(MAX(IFERROR(SEARCH("WD",MAIN!G246:J246), 0))&gt;0, "WD",
            IF(MAX(IFERROR(SEARCH("NS",MAIN!G246:J246), 0))&gt;0, "NS",
            IF(MAX(IFERROR(SEARCH("NC",MAIN!G246:J246), 0))&gt;0, "NC",
            IF(MAX(IFERROR(SEARCH("DQ",MAIN!G246:J246), 0))&gt;0, "DQ",
            IF(ISNUMBER(SEARCH("WD",MAIN!K246)), "WD",
            IF(ISNUMBER(SEARCH("NS",MAIN!K246)), "NS",
            IF(ISNUMBER(SEARCH("NC",MAIN!K246)), "NC",
            IF(ISNUMBER(SEARCH("DQ",MAIN!K246)), "DQ",
            IF(ISNUMBER(SEARCH("A",MAIN!K246)), 0,
            IF(OR(MAIN!K246=0,MAIN!K246=""), 0, --TRIM(MAIN!K246)))))))))))),
        0
    )
)</f>
        <v>0</v>
      </c>
    </row>
    <row r="247" spans="1:11" x14ac:dyDescent="0.25">
      <c r="A247" t="str">
        <f>IF(ISBLANK(MAIN!A247), "--", IFERROR(PROPER(SUBSTITUTE(SUBSTITUTE(SUBSTITUTE(SUBSTITUTE(SUBSTITUTE(SUBSTITUTE(SUBSTITUTE(SUBSTITUTE(SUBSTITUTE(SUBSTITUTE(LEFT(MAIN!A247, FIND(",",MAIN!A247) -1), "0", ""), "1", ""), "2", ""), "3", ""), "4", ""), "5", ""), "6", ""), "7", ""), "8", ""), "9", "")), PROPER(SUBSTITUTE(SUBSTITUTE(SUBSTITUTE(SUBSTITUTE(SUBSTITUTE(SUBSTITUTE(SUBSTITUTE(SUBSTITUTE(SUBSTITUTE(SUBSTITUTE(MAIN!A247, "0", ""), "1", ""), "2", ""), "3", ""), "4", ""), "5", ""), "6", ""), "7", ""), "8", ""), "9", ""))))</f>
        <v>--</v>
      </c>
      <c r="B247" t="str">
        <f>IF(ISBLANK(MAIN!B247), "--", IFERROR(PROPER(SUBSTITUTE(SUBSTITUTE(SUBSTITUTE(SUBSTITUTE(SUBSTITUTE(SUBSTITUTE(SUBSTITUTE(SUBSTITUTE(SUBSTITUTE(SUBSTITUTE(LEFT(MAIN!B247, FIND(",",MAIN!B247) -1), "0", ""), "1", ""), "2", ""), "3", ""), "4", ""), "5", ""), "6", ""), "7", ""), "8", ""), "9", "")), PROPER(SUBSTITUTE(SUBSTITUTE(SUBSTITUTE(SUBSTITUTE(SUBSTITUTE(SUBSTITUTE(SUBSTITUTE(SUBSTITUTE(SUBSTITUTE(SUBSTITUTE(MAIN!B247, "0", ""), "1", ""), "2", ""), "3", ""), "4", ""), "5", ""), "6", ""), "7", ""), "8", ""), "9", ""))))</f>
        <v>--</v>
      </c>
      <c r="C247" t="str">
        <f>IF(ISBLANK(MAIN!C247), "--", IFERROR(PROPER(SUBSTITUTE(SUBSTITUTE(SUBSTITUTE(SUBSTITUTE(SUBSTITUTE(SUBSTITUTE(SUBSTITUTE(SUBSTITUTE(SUBSTITUTE(SUBSTITUTE(LEFT(MAIN!C247, FIND(",",MAIN!C247) -1), "0", ""), "1", ""), "2", ""), "3", ""), "4", ""), "5", ""), "6", ""), "7", ""), "8", ""), "9", "")), PROPER(SUBSTITUTE(SUBSTITUTE(SUBSTITUTE(SUBSTITUTE(SUBSTITUTE(SUBSTITUTE(SUBSTITUTE(SUBSTITUTE(SUBSTITUTE(SUBSTITUTE(MAIN!C247, "0", ""), "1", ""), "2", ""), "3", ""), "4", ""), "5", ""), "6", ""), "7", ""), "8", ""), "9", ""))))</f>
        <v>--</v>
      </c>
      <c r="D247" t="str">
        <f>IF(ISBLANK(MAIN!D247), "--", IF(ISNUMBER(MATCH(SUBSTITUTE(LEFT(MAIN!D247, IFERROR(FIND(",", MAIN!D247)-1, LEN(MAIN!D247))), " ", ""), lookup_values!$B$2:$B$51, 0)), UPPER(SUBSTITUTE(LEFT(MAIN!D247, IFERROR(FIND(",", MAIN!D247)-1, LEN(MAIN!D247))), " ", "")), IF(ISNA(VLOOKUP(SUBSTITUTE(LEFT(MAIN!D247, IFERROR(FIND(",", MAIN!D247)-1, LEN(MAIN!D247))), " ", ""), lookup_values!$A$2:$B$51, 2, FALSE)), "--", VLOOKUP(SUBSTITUTE(LEFT(MAIN!D247, IFERROR(FIND(",", MAIN!D247)-1, LEN(MAIN!D247))), " ", ""), lookup_values!$A$2:$B$51, 2, FALSE))))</f>
        <v>--</v>
      </c>
      <c r="E247" t="str">
        <f>IF(CLEAN_DATA!D247&lt;&gt;"--","US",IF(ISBLANK(MAIN!E247), "--", IF(ISNUMBER(MATCH(SUBSTITUTE(LEFT(MAIN!E247, IFERROR(FIND(",", MAIN!E247)-1, LEN(MAIN!E247))), " ", ""), lookup_values!$E$2:$E$197, 0)), UPPER(SUBSTITUTE(LEFT(MAIN!E247, IFERROR(FIND(",", MAIN!E247)-1, LEN(MAIN!E247))), " ", "")), IF(ISNA(VLOOKUP(SUBSTITUTE(LEFT(MAIN!E247, IFERROR(FIND(",", MAIN!E247)-1, LEN(MAIN!E247))), " ", ""), lookup_values!$D$2:$E$197, 2, FALSE)), "--", VLOOKUP(SUBSTITUTE(LEFT(MAIN!E247, IFERROR(FIND(",", MAIN!E247)-1, LEN(MAIN!E247))), " ", ""), lookup_values!$D$2:$E$197, 2, FALSE)))))</f>
        <v>--</v>
      </c>
      <c r="F247" t="str">
        <f>IF(ISBLANK(MAIN!F247), "", IF(AND(ISNUMBER(VALUE(TRIM(MAIN!F247))), LEN(TRIM(MAIN!F247))=4), VALUE(TRIM(MAIN!F247)), ""))</f>
        <v/>
      </c>
      <c r="G247">
        <f>IF(ISBLANK(MAIN!G247), 0, IF(ISNUMBER(VALUE(TRIM(MAIN!G247))), VALUE(TRIM(MAIN!G247)), 0))</f>
        <v>0</v>
      </c>
      <c r="H247">
        <f>IF(ISBLANK(MAIN!H247), 0, IF(ISNUMBER(VALUE(TRIM(MAIN!H247))), VALUE(TRIM(MAIN!H247)), 0))</f>
        <v>0</v>
      </c>
      <c r="I247">
        <f>IF(ISBLANK(MAIN!I247), 0, IF(ISNUMBER(VALUE(TRIM(MAIN!I247))), VALUE(TRIM(MAIN!I247)), 0))</f>
        <v>0</v>
      </c>
      <c r="J247">
        <f>IF(ISBLANK(MAIN!J247), 0, IF(ISNUMBER(VALUE(TRIM(MAIN!J247))), VALUE(TRIM(MAIN!J247)), 0))</f>
        <v>0</v>
      </c>
      <c r="K247" cm="1">
        <f t="array" ref="K247">IFERROR(
    VALUE(
        IFERROR(
            UPPER(
                IF(MAX(IFERROR(SEARCH("WD",MAIN!G247:J247), 0))&gt;0, "WD",
                IF(MAX(IFERROR(SEARCH("NS",MAIN!G247:J247), 0))&gt;0, "NS",
                IF(MAX(IFERROR(SEARCH("NC",MAIN!G247:J247), 0))&gt;0, "NC",
                IF(MAX(IFERROR(SEARCH("DQ",MAIN!G247:J247), 0))&gt;0, "DQ",
                IF(ISNUMBER(SEARCH("WD",MAIN!K247)), "WD",
                IF(ISNUMBER(SEARCH("NS",MAIN!K247)), "NS",
                IF(ISNUMBER(SEARCH("NC",MAIN!K247)), "NC",
                IF(ISNUMBER(SEARCH("DQ",MAIN!K247)), "DQ",
                IF(ISNUMBER(SEARCH("A",MAIN!K247)), 0,
                IF(OR(MAIN!K247=0,MAIN!K247=""), 0, --TRIM(MAIN!K247)))))))))))),
            0
        )
    ),
    IFERROR(
        UPPER(
            IF(MAX(IFERROR(SEARCH("WD",MAIN!G247:J247), 0))&gt;0, "WD",
            IF(MAX(IFERROR(SEARCH("NS",MAIN!G247:J247), 0))&gt;0, "NS",
            IF(MAX(IFERROR(SEARCH("NC",MAIN!G247:J247), 0))&gt;0, "NC",
            IF(MAX(IFERROR(SEARCH("DQ",MAIN!G247:J247), 0))&gt;0, "DQ",
            IF(ISNUMBER(SEARCH("WD",MAIN!K247)), "WD",
            IF(ISNUMBER(SEARCH("NS",MAIN!K247)), "NS",
            IF(ISNUMBER(SEARCH("NC",MAIN!K247)), "NC",
            IF(ISNUMBER(SEARCH("DQ",MAIN!K247)), "DQ",
            IF(ISNUMBER(SEARCH("A",MAIN!K247)), 0,
            IF(OR(MAIN!K247=0,MAIN!K247=""), 0, --TRIM(MAIN!K247)))))))))))),
        0
    )
)</f>
        <v>0</v>
      </c>
    </row>
    <row r="248" spans="1:11" x14ac:dyDescent="0.25">
      <c r="A248" t="str">
        <f>IF(ISBLANK(MAIN!A248), "--", IFERROR(PROPER(SUBSTITUTE(SUBSTITUTE(SUBSTITUTE(SUBSTITUTE(SUBSTITUTE(SUBSTITUTE(SUBSTITUTE(SUBSTITUTE(SUBSTITUTE(SUBSTITUTE(LEFT(MAIN!A248, FIND(",",MAIN!A248) -1), "0", ""), "1", ""), "2", ""), "3", ""), "4", ""), "5", ""), "6", ""), "7", ""), "8", ""), "9", "")), PROPER(SUBSTITUTE(SUBSTITUTE(SUBSTITUTE(SUBSTITUTE(SUBSTITUTE(SUBSTITUTE(SUBSTITUTE(SUBSTITUTE(SUBSTITUTE(SUBSTITUTE(MAIN!A248, "0", ""), "1", ""), "2", ""), "3", ""), "4", ""), "5", ""), "6", ""), "7", ""), "8", ""), "9", ""))))</f>
        <v>--</v>
      </c>
      <c r="B248" t="str">
        <f>IF(ISBLANK(MAIN!B248), "--", IFERROR(PROPER(SUBSTITUTE(SUBSTITUTE(SUBSTITUTE(SUBSTITUTE(SUBSTITUTE(SUBSTITUTE(SUBSTITUTE(SUBSTITUTE(SUBSTITUTE(SUBSTITUTE(LEFT(MAIN!B248, FIND(",",MAIN!B248) -1), "0", ""), "1", ""), "2", ""), "3", ""), "4", ""), "5", ""), "6", ""), "7", ""), "8", ""), "9", "")), PROPER(SUBSTITUTE(SUBSTITUTE(SUBSTITUTE(SUBSTITUTE(SUBSTITUTE(SUBSTITUTE(SUBSTITUTE(SUBSTITUTE(SUBSTITUTE(SUBSTITUTE(MAIN!B248, "0", ""), "1", ""), "2", ""), "3", ""), "4", ""), "5", ""), "6", ""), "7", ""), "8", ""), "9", ""))))</f>
        <v>--</v>
      </c>
      <c r="C248" t="str">
        <f>IF(ISBLANK(MAIN!C248), "--", IFERROR(PROPER(SUBSTITUTE(SUBSTITUTE(SUBSTITUTE(SUBSTITUTE(SUBSTITUTE(SUBSTITUTE(SUBSTITUTE(SUBSTITUTE(SUBSTITUTE(SUBSTITUTE(LEFT(MAIN!C248, FIND(",",MAIN!C248) -1), "0", ""), "1", ""), "2", ""), "3", ""), "4", ""), "5", ""), "6", ""), "7", ""), "8", ""), "9", "")), PROPER(SUBSTITUTE(SUBSTITUTE(SUBSTITUTE(SUBSTITUTE(SUBSTITUTE(SUBSTITUTE(SUBSTITUTE(SUBSTITUTE(SUBSTITUTE(SUBSTITUTE(MAIN!C248, "0", ""), "1", ""), "2", ""), "3", ""), "4", ""), "5", ""), "6", ""), "7", ""), "8", ""), "9", ""))))</f>
        <v>--</v>
      </c>
      <c r="D248" t="str">
        <f>IF(ISBLANK(MAIN!D248), "--", IF(ISNUMBER(MATCH(SUBSTITUTE(LEFT(MAIN!D248, IFERROR(FIND(",", MAIN!D248)-1, LEN(MAIN!D248))), " ", ""), lookup_values!$B$2:$B$51, 0)), UPPER(SUBSTITUTE(LEFT(MAIN!D248, IFERROR(FIND(",", MAIN!D248)-1, LEN(MAIN!D248))), " ", "")), IF(ISNA(VLOOKUP(SUBSTITUTE(LEFT(MAIN!D248, IFERROR(FIND(",", MAIN!D248)-1, LEN(MAIN!D248))), " ", ""), lookup_values!$A$2:$B$51, 2, FALSE)), "--", VLOOKUP(SUBSTITUTE(LEFT(MAIN!D248, IFERROR(FIND(",", MAIN!D248)-1, LEN(MAIN!D248))), " ", ""), lookup_values!$A$2:$B$51, 2, FALSE))))</f>
        <v>--</v>
      </c>
      <c r="E248" t="str">
        <f>IF(CLEAN_DATA!D248&lt;&gt;"--","US",IF(ISBLANK(MAIN!E248), "--", IF(ISNUMBER(MATCH(SUBSTITUTE(LEFT(MAIN!E248, IFERROR(FIND(",", MAIN!E248)-1, LEN(MAIN!E248))), " ", ""), lookup_values!$E$2:$E$197, 0)), UPPER(SUBSTITUTE(LEFT(MAIN!E248, IFERROR(FIND(",", MAIN!E248)-1, LEN(MAIN!E248))), " ", "")), IF(ISNA(VLOOKUP(SUBSTITUTE(LEFT(MAIN!E248, IFERROR(FIND(",", MAIN!E248)-1, LEN(MAIN!E248))), " ", ""), lookup_values!$D$2:$E$197, 2, FALSE)), "--", VLOOKUP(SUBSTITUTE(LEFT(MAIN!E248, IFERROR(FIND(",", MAIN!E248)-1, LEN(MAIN!E248))), " ", ""), lookup_values!$D$2:$E$197, 2, FALSE)))))</f>
        <v>--</v>
      </c>
      <c r="F248" t="str">
        <f>IF(ISBLANK(MAIN!F248), "", IF(AND(ISNUMBER(VALUE(TRIM(MAIN!F248))), LEN(TRIM(MAIN!F248))=4), VALUE(TRIM(MAIN!F248)), ""))</f>
        <v/>
      </c>
      <c r="G248">
        <f>IF(ISBLANK(MAIN!G248), 0, IF(ISNUMBER(VALUE(TRIM(MAIN!G248))), VALUE(TRIM(MAIN!G248)), 0))</f>
        <v>0</v>
      </c>
      <c r="H248">
        <f>IF(ISBLANK(MAIN!H248), 0, IF(ISNUMBER(VALUE(TRIM(MAIN!H248))), VALUE(TRIM(MAIN!H248)), 0))</f>
        <v>0</v>
      </c>
      <c r="I248">
        <f>IF(ISBLANK(MAIN!I248), 0, IF(ISNUMBER(VALUE(TRIM(MAIN!I248))), VALUE(TRIM(MAIN!I248)), 0))</f>
        <v>0</v>
      </c>
      <c r="J248">
        <f>IF(ISBLANK(MAIN!J248), 0, IF(ISNUMBER(VALUE(TRIM(MAIN!J248))), VALUE(TRIM(MAIN!J248)), 0))</f>
        <v>0</v>
      </c>
      <c r="K248" cm="1">
        <f t="array" ref="K248">IFERROR(
    VALUE(
        IFERROR(
            UPPER(
                IF(MAX(IFERROR(SEARCH("WD",MAIN!G248:J248), 0))&gt;0, "WD",
                IF(MAX(IFERROR(SEARCH("NS",MAIN!G248:J248), 0))&gt;0, "NS",
                IF(MAX(IFERROR(SEARCH("NC",MAIN!G248:J248), 0))&gt;0, "NC",
                IF(MAX(IFERROR(SEARCH("DQ",MAIN!G248:J248), 0))&gt;0, "DQ",
                IF(ISNUMBER(SEARCH("WD",MAIN!K248)), "WD",
                IF(ISNUMBER(SEARCH("NS",MAIN!K248)), "NS",
                IF(ISNUMBER(SEARCH("NC",MAIN!K248)), "NC",
                IF(ISNUMBER(SEARCH("DQ",MAIN!K248)), "DQ",
                IF(ISNUMBER(SEARCH("A",MAIN!K248)), 0,
                IF(OR(MAIN!K248=0,MAIN!K248=""), 0, --TRIM(MAIN!K248)))))))))))),
            0
        )
    ),
    IFERROR(
        UPPER(
            IF(MAX(IFERROR(SEARCH("WD",MAIN!G248:J248), 0))&gt;0, "WD",
            IF(MAX(IFERROR(SEARCH("NS",MAIN!G248:J248), 0))&gt;0, "NS",
            IF(MAX(IFERROR(SEARCH("NC",MAIN!G248:J248), 0))&gt;0, "NC",
            IF(MAX(IFERROR(SEARCH("DQ",MAIN!G248:J248), 0))&gt;0, "DQ",
            IF(ISNUMBER(SEARCH("WD",MAIN!K248)), "WD",
            IF(ISNUMBER(SEARCH("NS",MAIN!K248)), "NS",
            IF(ISNUMBER(SEARCH("NC",MAIN!K248)), "NC",
            IF(ISNUMBER(SEARCH("DQ",MAIN!K248)), "DQ",
            IF(ISNUMBER(SEARCH("A",MAIN!K248)), 0,
            IF(OR(MAIN!K248=0,MAIN!K248=""), 0, --TRIM(MAIN!K248)))))))))))),
        0
    )
)</f>
        <v>0</v>
      </c>
    </row>
    <row r="249" spans="1:11" x14ac:dyDescent="0.25">
      <c r="A249" t="str">
        <f>IF(ISBLANK(MAIN!A249), "--", IFERROR(PROPER(SUBSTITUTE(SUBSTITUTE(SUBSTITUTE(SUBSTITUTE(SUBSTITUTE(SUBSTITUTE(SUBSTITUTE(SUBSTITUTE(SUBSTITUTE(SUBSTITUTE(LEFT(MAIN!A249, FIND(",",MAIN!A249) -1), "0", ""), "1", ""), "2", ""), "3", ""), "4", ""), "5", ""), "6", ""), "7", ""), "8", ""), "9", "")), PROPER(SUBSTITUTE(SUBSTITUTE(SUBSTITUTE(SUBSTITUTE(SUBSTITUTE(SUBSTITUTE(SUBSTITUTE(SUBSTITUTE(SUBSTITUTE(SUBSTITUTE(MAIN!A249, "0", ""), "1", ""), "2", ""), "3", ""), "4", ""), "5", ""), "6", ""), "7", ""), "8", ""), "9", ""))))</f>
        <v>--</v>
      </c>
      <c r="B249" t="str">
        <f>IF(ISBLANK(MAIN!B249), "--", IFERROR(PROPER(SUBSTITUTE(SUBSTITUTE(SUBSTITUTE(SUBSTITUTE(SUBSTITUTE(SUBSTITUTE(SUBSTITUTE(SUBSTITUTE(SUBSTITUTE(SUBSTITUTE(LEFT(MAIN!B249, FIND(",",MAIN!B249) -1), "0", ""), "1", ""), "2", ""), "3", ""), "4", ""), "5", ""), "6", ""), "7", ""), "8", ""), "9", "")), PROPER(SUBSTITUTE(SUBSTITUTE(SUBSTITUTE(SUBSTITUTE(SUBSTITUTE(SUBSTITUTE(SUBSTITUTE(SUBSTITUTE(SUBSTITUTE(SUBSTITUTE(MAIN!B249, "0", ""), "1", ""), "2", ""), "3", ""), "4", ""), "5", ""), "6", ""), "7", ""), "8", ""), "9", ""))))</f>
        <v>--</v>
      </c>
      <c r="C249" t="str">
        <f>IF(ISBLANK(MAIN!C249), "--", IFERROR(PROPER(SUBSTITUTE(SUBSTITUTE(SUBSTITUTE(SUBSTITUTE(SUBSTITUTE(SUBSTITUTE(SUBSTITUTE(SUBSTITUTE(SUBSTITUTE(SUBSTITUTE(LEFT(MAIN!C249, FIND(",",MAIN!C249) -1), "0", ""), "1", ""), "2", ""), "3", ""), "4", ""), "5", ""), "6", ""), "7", ""), "8", ""), "9", "")), PROPER(SUBSTITUTE(SUBSTITUTE(SUBSTITUTE(SUBSTITUTE(SUBSTITUTE(SUBSTITUTE(SUBSTITUTE(SUBSTITUTE(SUBSTITUTE(SUBSTITUTE(MAIN!C249, "0", ""), "1", ""), "2", ""), "3", ""), "4", ""), "5", ""), "6", ""), "7", ""), "8", ""), "9", ""))))</f>
        <v>--</v>
      </c>
      <c r="D249" t="str">
        <f>IF(ISBLANK(MAIN!D249), "--", IF(ISNUMBER(MATCH(SUBSTITUTE(LEFT(MAIN!D249, IFERROR(FIND(",", MAIN!D249)-1, LEN(MAIN!D249))), " ", ""), lookup_values!$B$2:$B$51, 0)), UPPER(SUBSTITUTE(LEFT(MAIN!D249, IFERROR(FIND(",", MAIN!D249)-1, LEN(MAIN!D249))), " ", "")), IF(ISNA(VLOOKUP(SUBSTITUTE(LEFT(MAIN!D249, IFERROR(FIND(",", MAIN!D249)-1, LEN(MAIN!D249))), " ", ""), lookup_values!$A$2:$B$51, 2, FALSE)), "--", VLOOKUP(SUBSTITUTE(LEFT(MAIN!D249, IFERROR(FIND(",", MAIN!D249)-1, LEN(MAIN!D249))), " ", ""), lookup_values!$A$2:$B$51, 2, FALSE))))</f>
        <v>--</v>
      </c>
      <c r="E249" t="str">
        <f>IF(CLEAN_DATA!D249&lt;&gt;"--","US",IF(ISBLANK(MAIN!E249), "--", IF(ISNUMBER(MATCH(SUBSTITUTE(LEFT(MAIN!E249, IFERROR(FIND(",", MAIN!E249)-1, LEN(MAIN!E249))), " ", ""), lookup_values!$E$2:$E$197, 0)), UPPER(SUBSTITUTE(LEFT(MAIN!E249, IFERROR(FIND(",", MAIN!E249)-1, LEN(MAIN!E249))), " ", "")), IF(ISNA(VLOOKUP(SUBSTITUTE(LEFT(MAIN!E249, IFERROR(FIND(",", MAIN!E249)-1, LEN(MAIN!E249))), " ", ""), lookup_values!$D$2:$E$197, 2, FALSE)), "--", VLOOKUP(SUBSTITUTE(LEFT(MAIN!E249, IFERROR(FIND(",", MAIN!E249)-1, LEN(MAIN!E249))), " ", ""), lookup_values!$D$2:$E$197, 2, FALSE)))))</f>
        <v>--</v>
      </c>
      <c r="F249" t="str">
        <f>IF(ISBLANK(MAIN!F249), "", IF(AND(ISNUMBER(VALUE(TRIM(MAIN!F249))), LEN(TRIM(MAIN!F249))=4), VALUE(TRIM(MAIN!F249)), ""))</f>
        <v/>
      </c>
      <c r="G249">
        <f>IF(ISBLANK(MAIN!G249), 0, IF(ISNUMBER(VALUE(TRIM(MAIN!G249))), VALUE(TRIM(MAIN!G249)), 0))</f>
        <v>0</v>
      </c>
      <c r="H249">
        <f>IF(ISBLANK(MAIN!H249), 0, IF(ISNUMBER(VALUE(TRIM(MAIN!H249))), VALUE(TRIM(MAIN!H249)), 0))</f>
        <v>0</v>
      </c>
      <c r="I249">
        <f>IF(ISBLANK(MAIN!I249), 0, IF(ISNUMBER(VALUE(TRIM(MAIN!I249))), VALUE(TRIM(MAIN!I249)), 0))</f>
        <v>0</v>
      </c>
      <c r="J249">
        <f>IF(ISBLANK(MAIN!J249), 0, IF(ISNUMBER(VALUE(TRIM(MAIN!J249))), VALUE(TRIM(MAIN!J249)), 0))</f>
        <v>0</v>
      </c>
      <c r="K249" cm="1">
        <f t="array" ref="K249">IFERROR(
    VALUE(
        IFERROR(
            UPPER(
                IF(MAX(IFERROR(SEARCH("WD",MAIN!G249:J249), 0))&gt;0, "WD",
                IF(MAX(IFERROR(SEARCH("NS",MAIN!G249:J249), 0))&gt;0, "NS",
                IF(MAX(IFERROR(SEARCH("NC",MAIN!G249:J249), 0))&gt;0, "NC",
                IF(MAX(IFERROR(SEARCH("DQ",MAIN!G249:J249), 0))&gt;0, "DQ",
                IF(ISNUMBER(SEARCH("WD",MAIN!K249)), "WD",
                IF(ISNUMBER(SEARCH("NS",MAIN!K249)), "NS",
                IF(ISNUMBER(SEARCH("NC",MAIN!K249)), "NC",
                IF(ISNUMBER(SEARCH("DQ",MAIN!K249)), "DQ",
                IF(ISNUMBER(SEARCH("A",MAIN!K249)), 0,
                IF(OR(MAIN!K249=0,MAIN!K249=""), 0, --TRIM(MAIN!K249)))))))))))),
            0
        )
    ),
    IFERROR(
        UPPER(
            IF(MAX(IFERROR(SEARCH("WD",MAIN!G249:J249), 0))&gt;0, "WD",
            IF(MAX(IFERROR(SEARCH("NS",MAIN!G249:J249), 0))&gt;0, "NS",
            IF(MAX(IFERROR(SEARCH("NC",MAIN!G249:J249), 0))&gt;0, "NC",
            IF(MAX(IFERROR(SEARCH("DQ",MAIN!G249:J249), 0))&gt;0, "DQ",
            IF(ISNUMBER(SEARCH("WD",MAIN!K249)), "WD",
            IF(ISNUMBER(SEARCH("NS",MAIN!K249)), "NS",
            IF(ISNUMBER(SEARCH("NC",MAIN!K249)), "NC",
            IF(ISNUMBER(SEARCH("DQ",MAIN!K249)), "DQ",
            IF(ISNUMBER(SEARCH("A",MAIN!K249)), 0,
            IF(OR(MAIN!K249=0,MAIN!K249=""), 0, --TRIM(MAIN!K249)))))))))))),
        0
    )
)</f>
        <v>0</v>
      </c>
    </row>
    <row r="250" spans="1:11" x14ac:dyDescent="0.25">
      <c r="A250" t="str">
        <f>IF(ISBLANK(MAIN!A250), "--", IFERROR(PROPER(SUBSTITUTE(SUBSTITUTE(SUBSTITUTE(SUBSTITUTE(SUBSTITUTE(SUBSTITUTE(SUBSTITUTE(SUBSTITUTE(SUBSTITUTE(SUBSTITUTE(LEFT(MAIN!A250, FIND(",",MAIN!A250) -1), "0", ""), "1", ""), "2", ""), "3", ""), "4", ""), "5", ""), "6", ""), "7", ""), "8", ""), "9", "")), PROPER(SUBSTITUTE(SUBSTITUTE(SUBSTITUTE(SUBSTITUTE(SUBSTITUTE(SUBSTITUTE(SUBSTITUTE(SUBSTITUTE(SUBSTITUTE(SUBSTITUTE(MAIN!A250, "0", ""), "1", ""), "2", ""), "3", ""), "4", ""), "5", ""), "6", ""), "7", ""), "8", ""), "9", ""))))</f>
        <v>--</v>
      </c>
      <c r="B250" t="str">
        <f>IF(ISBLANK(MAIN!B250), "--", IFERROR(PROPER(SUBSTITUTE(SUBSTITUTE(SUBSTITUTE(SUBSTITUTE(SUBSTITUTE(SUBSTITUTE(SUBSTITUTE(SUBSTITUTE(SUBSTITUTE(SUBSTITUTE(LEFT(MAIN!B250, FIND(",",MAIN!B250) -1), "0", ""), "1", ""), "2", ""), "3", ""), "4", ""), "5", ""), "6", ""), "7", ""), "8", ""), "9", "")), PROPER(SUBSTITUTE(SUBSTITUTE(SUBSTITUTE(SUBSTITUTE(SUBSTITUTE(SUBSTITUTE(SUBSTITUTE(SUBSTITUTE(SUBSTITUTE(SUBSTITUTE(MAIN!B250, "0", ""), "1", ""), "2", ""), "3", ""), "4", ""), "5", ""), "6", ""), "7", ""), "8", ""), "9", ""))))</f>
        <v>--</v>
      </c>
      <c r="C250" t="str">
        <f>IF(ISBLANK(MAIN!C250), "--", IFERROR(PROPER(SUBSTITUTE(SUBSTITUTE(SUBSTITUTE(SUBSTITUTE(SUBSTITUTE(SUBSTITUTE(SUBSTITUTE(SUBSTITUTE(SUBSTITUTE(SUBSTITUTE(LEFT(MAIN!C250, FIND(",",MAIN!C250) -1), "0", ""), "1", ""), "2", ""), "3", ""), "4", ""), "5", ""), "6", ""), "7", ""), "8", ""), "9", "")), PROPER(SUBSTITUTE(SUBSTITUTE(SUBSTITUTE(SUBSTITUTE(SUBSTITUTE(SUBSTITUTE(SUBSTITUTE(SUBSTITUTE(SUBSTITUTE(SUBSTITUTE(MAIN!C250, "0", ""), "1", ""), "2", ""), "3", ""), "4", ""), "5", ""), "6", ""), "7", ""), "8", ""), "9", ""))))</f>
        <v>--</v>
      </c>
      <c r="D250" t="str">
        <f>IF(ISBLANK(MAIN!D250), "--", IF(ISNUMBER(MATCH(SUBSTITUTE(LEFT(MAIN!D250, IFERROR(FIND(",", MAIN!D250)-1, LEN(MAIN!D250))), " ", ""), lookup_values!$B$2:$B$51, 0)), UPPER(SUBSTITUTE(LEFT(MAIN!D250, IFERROR(FIND(",", MAIN!D250)-1, LEN(MAIN!D250))), " ", "")), IF(ISNA(VLOOKUP(SUBSTITUTE(LEFT(MAIN!D250, IFERROR(FIND(",", MAIN!D250)-1, LEN(MAIN!D250))), " ", ""), lookup_values!$A$2:$B$51, 2, FALSE)), "--", VLOOKUP(SUBSTITUTE(LEFT(MAIN!D250, IFERROR(FIND(",", MAIN!D250)-1, LEN(MAIN!D250))), " ", ""), lookup_values!$A$2:$B$51, 2, FALSE))))</f>
        <v>--</v>
      </c>
      <c r="E250" t="str">
        <f>IF(CLEAN_DATA!D250&lt;&gt;"--","US",IF(ISBLANK(MAIN!E250), "--", IF(ISNUMBER(MATCH(SUBSTITUTE(LEFT(MAIN!E250, IFERROR(FIND(",", MAIN!E250)-1, LEN(MAIN!E250))), " ", ""), lookup_values!$E$2:$E$197, 0)), UPPER(SUBSTITUTE(LEFT(MAIN!E250, IFERROR(FIND(",", MAIN!E250)-1, LEN(MAIN!E250))), " ", "")), IF(ISNA(VLOOKUP(SUBSTITUTE(LEFT(MAIN!E250, IFERROR(FIND(",", MAIN!E250)-1, LEN(MAIN!E250))), " ", ""), lookup_values!$D$2:$E$197, 2, FALSE)), "--", VLOOKUP(SUBSTITUTE(LEFT(MAIN!E250, IFERROR(FIND(",", MAIN!E250)-1, LEN(MAIN!E250))), " ", ""), lookup_values!$D$2:$E$197, 2, FALSE)))))</f>
        <v>--</v>
      </c>
      <c r="F250" t="str">
        <f>IF(ISBLANK(MAIN!F250), "", IF(AND(ISNUMBER(VALUE(TRIM(MAIN!F250))), LEN(TRIM(MAIN!F250))=4), VALUE(TRIM(MAIN!F250)), ""))</f>
        <v/>
      </c>
      <c r="G250">
        <f>IF(ISBLANK(MAIN!G250), 0, IF(ISNUMBER(VALUE(TRIM(MAIN!G250))), VALUE(TRIM(MAIN!G250)), 0))</f>
        <v>0</v>
      </c>
      <c r="H250">
        <f>IF(ISBLANK(MAIN!H250), 0, IF(ISNUMBER(VALUE(TRIM(MAIN!H250))), VALUE(TRIM(MAIN!H250)), 0))</f>
        <v>0</v>
      </c>
      <c r="I250">
        <f>IF(ISBLANK(MAIN!I250), 0, IF(ISNUMBER(VALUE(TRIM(MAIN!I250))), VALUE(TRIM(MAIN!I250)), 0))</f>
        <v>0</v>
      </c>
      <c r="J250">
        <f>IF(ISBLANK(MAIN!J250), 0, IF(ISNUMBER(VALUE(TRIM(MAIN!J250))), VALUE(TRIM(MAIN!J250)), 0))</f>
        <v>0</v>
      </c>
      <c r="K250" cm="1">
        <f t="array" ref="K250">IFERROR(
    VALUE(
        IFERROR(
            UPPER(
                IF(MAX(IFERROR(SEARCH("WD",MAIN!G250:J250), 0))&gt;0, "WD",
                IF(MAX(IFERROR(SEARCH("NS",MAIN!G250:J250), 0))&gt;0, "NS",
                IF(MAX(IFERROR(SEARCH("NC",MAIN!G250:J250), 0))&gt;0, "NC",
                IF(MAX(IFERROR(SEARCH("DQ",MAIN!G250:J250), 0))&gt;0, "DQ",
                IF(ISNUMBER(SEARCH("WD",MAIN!K250)), "WD",
                IF(ISNUMBER(SEARCH("NS",MAIN!K250)), "NS",
                IF(ISNUMBER(SEARCH("NC",MAIN!K250)), "NC",
                IF(ISNUMBER(SEARCH("DQ",MAIN!K250)), "DQ",
                IF(ISNUMBER(SEARCH("A",MAIN!K250)), 0,
                IF(OR(MAIN!K250=0,MAIN!K250=""), 0, --TRIM(MAIN!K250)))))))))))),
            0
        )
    ),
    IFERROR(
        UPPER(
            IF(MAX(IFERROR(SEARCH("WD",MAIN!G250:J250), 0))&gt;0, "WD",
            IF(MAX(IFERROR(SEARCH("NS",MAIN!G250:J250), 0))&gt;0, "NS",
            IF(MAX(IFERROR(SEARCH("NC",MAIN!G250:J250), 0))&gt;0, "NC",
            IF(MAX(IFERROR(SEARCH("DQ",MAIN!G250:J250), 0))&gt;0, "DQ",
            IF(ISNUMBER(SEARCH("WD",MAIN!K250)), "WD",
            IF(ISNUMBER(SEARCH("NS",MAIN!K250)), "NS",
            IF(ISNUMBER(SEARCH("NC",MAIN!K250)), "NC",
            IF(ISNUMBER(SEARCH("DQ",MAIN!K250)), "DQ",
            IF(ISNUMBER(SEARCH("A",MAIN!K250)), 0,
            IF(OR(MAIN!K250=0,MAIN!K250=""), 0, --TRIM(MAIN!K250)))))))))))),
        0
    )
)</f>
        <v>0</v>
      </c>
    </row>
    <row r="251" spans="1:11" x14ac:dyDescent="0.25">
      <c r="A251" t="str">
        <f>IF(ISBLANK(MAIN!A251), "--", IFERROR(PROPER(SUBSTITUTE(SUBSTITUTE(SUBSTITUTE(SUBSTITUTE(SUBSTITUTE(SUBSTITUTE(SUBSTITUTE(SUBSTITUTE(SUBSTITUTE(SUBSTITUTE(LEFT(MAIN!A251, FIND(",",MAIN!A251) -1), "0", ""), "1", ""), "2", ""), "3", ""), "4", ""), "5", ""), "6", ""), "7", ""), "8", ""), "9", "")), PROPER(SUBSTITUTE(SUBSTITUTE(SUBSTITUTE(SUBSTITUTE(SUBSTITUTE(SUBSTITUTE(SUBSTITUTE(SUBSTITUTE(SUBSTITUTE(SUBSTITUTE(MAIN!A251, "0", ""), "1", ""), "2", ""), "3", ""), "4", ""), "5", ""), "6", ""), "7", ""), "8", ""), "9", ""))))</f>
        <v>--</v>
      </c>
      <c r="B251" t="str">
        <f>IF(ISBLANK(MAIN!B251), "--", IFERROR(PROPER(SUBSTITUTE(SUBSTITUTE(SUBSTITUTE(SUBSTITUTE(SUBSTITUTE(SUBSTITUTE(SUBSTITUTE(SUBSTITUTE(SUBSTITUTE(SUBSTITUTE(LEFT(MAIN!B251, FIND(",",MAIN!B251) -1), "0", ""), "1", ""), "2", ""), "3", ""), "4", ""), "5", ""), "6", ""), "7", ""), "8", ""), "9", "")), PROPER(SUBSTITUTE(SUBSTITUTE(SUBSTITUTE(SUBSTITUTE(SUBSTITUTE(SUBSTITUTE(SUBSTITUTE(SUBSTITUTE(SUBSTITUTE(SUBSTITUTE(MAIN!B251, "0", ""), "1", ""), "2", ""), "3", ""), "4", ""), "5", ""), "6", ""), "7", ""), "8", ""), "9", ""))))</f>
        <v>--</v>
      </c>
      <c r="C251" t="str">
        <f>IF(ISBLANK(MAIN!C251), "--", IFERROR(PROPER(SUBSTITUTE(SUBSTITUTE(SUBSTITUTE(SUBSTITUTE(SUBSTITUTE(SUBSTITUTE(SUBSTITUTE(SUBSTITUTE(SUBSTITUTE(SUBSTITUTE(LEFT(MAIN!C251, FIND(",",MAIN!C251) -1), "0", ""), "1", ""), "2", ""), "3", ""), "4", ""), "5", ""), "6", ""), "7", ""), "8", ""), "9", "")), PROPER(SUBSTITUTE(SUBSTITUTE(SUBSTITUTE(SUBSTITUTE(SUBSTITUTE(SUBSTITUTE(SUBSTITUTE(SUBSTITUTE(SUBSTITUTE(SUBSTITUTE(MAIN!C251, "0", ""), "1", ""), "2", ""), "3", ""), "4", ""), "5", ""), "6", ""), "7", ""), "8", ""), "9", ""))))</f>
        <v>--</v>
      </c>
      <c r="D251" t="str">
        <f>IF(ISBLANK(MAIN!D251), "--", IF(ISNUMBER(MATCH(SUBSTITUTE(LEFT(MAIN!D251, IFERROR(FIND(",", MAIN!D251)-1, LEN(MAIN!D251))), " ", ""), lookup_values!$B$2:$B$51, 0)), UPPER(SUBSTITUTE(LEFT(MAIN!D251, IFERROR(FIND(",", MAIN!D251)-1, LEN(MAIN!D251))), " ", "")), IF(ISNA(VLOOKUP(SUBSTITUTE(LEFT(MAIN!D251, IFERROR(FIND(",", MAIN!D251)-1, LEN(MAIN!D251))), " ", ""), lookup_values!$A$2:$B$51, 2, FALSE)), "--", VLOOKUP(SUBSTITUTE(LEFT(MAIN!D251, IFERROR(FIND(",", MAIN!D251)-1, LEN(MAIN!D251))), " ", ""), lookup_values!$A$2:$B$51, 2, FALSE))))</f>
        <v>--</v>
      </c>
      <c r="E251" t="str">
        <f>IF(CLEAN_DATA!D251&lt;&gt;"--","US",IF(ISBLANK(MAIN!E251), "--", IF(ISNUMBER(MATCH(SUBSTITUTE(LEFT(MAIN!E251, IFERROR(FIND(",", MAIN!E251)-1, LEN(MAIN!E251))), " ", ""), lookup_values!$E$2:$E$197, 0)), UPPER(SUBSTITUTE(LEFT(MAIN!E251, IFERROR(FIND(",", MAIN!E251)-1, LEN(MAIN!E251))), " ", "")), IF(ISNA(VLOOKUP(SUBSTITUTE(LEFT(MAIN!E251, IFERROR(FIND(",", MAIN!E251)-1, LEN(MAIN!E251))), " ", ""), lookup_values!$D$2:$E$197, 2, FALSE)), "--", VLOOKUP(SUBSTITUTE(LEFT(MAIN!E251, IFERROR(FIND(",", MAIN!E251)-1, LEN(MAIN!E251))), " ", ""), lookup_values!$D$2:$E$197, 2, FALSE)))))</f>
        <v>--</v>
      </c>
      <c r="F251" t="str">
        <f>IF(ISBLANK(MAIN!F251), "", IF(AND(ISNUMBER(VALUE(TRIM(MAIN!F251))), LEN(TRIM(MAIN!F251))=4), VALUE(TRIM(MAIN!F251)), ""))</f>
        <v/>
      </c>
      <c r="G251">
        <f>IF(ISBLANK(MAIN!G251), 0, IF(ISNUMBER(VALUE(TRIM(MAIN!G251))), VALUE(TRIM(MAIN!G251)), 0))</f>
        <v>0</v>
      </c>
      <c r="H251">
        <f>IF(ISBLANK(MAIN!H251), 0, IF(ISNUMBER(VALUE(TRIM(MAIN!H251))), VALUE(TRIM(MAIN!H251)), 0))</f>
        <v>0</v>
      </c>
      <c r="I251">
        <f>IF(ISBLANK(MAIN!I251), 0, IF(ISNUMBER(VALUE(TRIM(MAIN!I251))), VALUE(TRIM(MAIN!I251)), 0))</f>
        <v>0</v>
      </c>
      <c r="J251">
        <f>IF(ISBLANK(MAIN!J251), 0, IF(ISNUMBER(VALUE(TRIM(MAIN!J251))), VALUE(TRIM(MAIN!J251)), 0))</f>
        <v>0</v>
      </c>
      <c r="K251" cm="1">
        <f t="array" ref="K251">IFERROR(
    VALUE(
        IFERROR(
            UPPER(
                IF(MAX(IFERROR(SEARCH("WD",MAIN!G251:J251), 0))&gt;0, "WD",
                IF(MAX(IFERROR(SEARCH("NS",MAIN!G251:J251), 0))&gt;0, "NS",
                IF(MAX(IFERROR(SEARCH("NC",MAIN!G251:J251), 0))&gt;0, "NC",
                IF(MAX(IFERROR(SEARCH("DQ",MAIN!G251:J251), 0))&gt;0, "DQ",
                IF(ISNUMBER(SEARCH("WD",MAIN!K251)), "WD",
                IF(ISNUMBER(SEARCH("NS",MAIN!K251)), "NS",
                IF(ISNUMBER(SEARCH("NC",MAIN!K251)), "NC",
                IF(ISNUMBER(SEARCH("DQ",MAIN!K251)), "DQ",
                IF(ISNUMBER(SEARCH("A",MAIN!K251)), 0,
                IF(OR(MAIN!K251=0,MAIN!K251=""), 0, --TRIM(MAIN!K251)))))))))))),
            0
        )
    ),
    IFERROR(
        UPPER(
            IF(MAX(IFERROR(SEARCH("WD",MAIN!G251:J251), 0))&gt;0, "WD",
            IF(MAX(IFERROR(SEARCH("NS",MAIN!G251:J251), 0))&gt;0, "NS",
            IF(MAX(IFERROR(SEARCH("NC",MAIN!G251:J251), 0))&gt;0, "NC",
            IF(MAX(IFERROR(SEARCH("DQ",MAIN!G251:J251), 0))&gt;0, "DQ",
            IF(ISNUMBER(SEARCH("WD",MAIN!K251)), "WD",
            IF(ISNUMBER(SEARCH("NS",MAIN!K251)), "NS",
            IF(ISNUMBER(SEARCH("NC",MAIN!K251)), "NC",
            IF(ISNUMBER(SEARCH("DQ",MAIN!K251)), "DQ",
            IF(ISNUMBER(SEARCH("A",MAIN!K251)), 0,
            IF(OR(MAIN!K251=0,MAIN!K251=""), 0, --TRIM(MAIN!K251)))))))))))),
        0
    )
)</f>
        <v>0</v>
      </c>
    </row>
    <row r="252" spans="1:11" x14ac:dyDescent="0.25">
      <c r="A252" t="str">
        <f>IF(ISBLANK(MAIN!A252), "--", IFERROR(PROPER(SUBSTITUTE(SUBSTITUTE(SUBSTITUTE(SUBSTITUTE(SUBSTITUTE(SUBSTITUTE(SUBSTITUTE(SUBSTITUTE(SUBSTITUTE(SUBSTITUTE(LEFT(MAIN!A252, FIND(",",MAIN!A252) -1), "0", ""), "1", ""), "2", ""), "3", ""), "4", ""), "5", ""), "6", ""), "7", ""), "8", ""), "9", "")), PROPER(SUBSTITUTE(SUBSTITUTE(SUBSTITUTE(SUBSTITUTE(SUBSTITUTE(SUBSTITUTE(SUBSTITUTE(SUBSTITUTE(SUBSTITUTE(SUBSTITUTE(MAIN!A252, "0", ""), "1", ""), "2", ""), "3", ""), "4", ""), "5", ""), "6", ""), "7", ""), "8", ""), "9", ""))))</f>
        <v>--</v>
      </c>
      <c r="B252" t="str">
        <f>IF(ISBLANK(MAIN!B252), "--", IFERROR(PROPER(SUBSTITUTE(SUBSTITUTE(SUBSTITUTE(SUBSTITUTE(SUBSTITUTE(SUBSTITUTE(SUBSTITUTE(SUBSTITUTE(SUBSTITUTE(SUBSTITUTE(LEFT(MAIN!B252, FIND(",",MAIN!B252) -1), "0", ""), "1", ""), "2", ""), "3", ""), "4", ""), "5", ""), "6", ""), "7", ""), "8", ""), "9", "")), PROPER(SUBSTITUTE(SUBSTITUTE(SUBSTITUTE(SUBSTITUTE(SUBSTITUTE(SUBSTITUTE(SUBSTITUTE(SUBSTITUTE(SUBSTITUTE(SUBSTITUTE(MAIN!B252, "0", ""), "1", ""), "2", ""), "3", ""), "4", ""), "5", ""), "6", ""), "7", ""), "8", ""), "9", ""))))</f>
        <v>--</v>
      </c>
      <c r="C252" t="str">
        <f>IF(ISBLANK(MAIN!C252), "--", IFERROR(PROPER(SUBSTITUTE(SUBSTITUTE(SUBSTITUTE(SUBSTITUTE(SUBSTITUTE(SUBSTITUTE(SUBSTITUTE(SUBSTITUTE(SUBSTITUTE(SUBSTITUTE(LEFT(MAIN!C252, FIND(",",MAIN!C252) -1), "0", ""), "1", ""), "2", ""), "3", ""), "4", ""), "5", ""), "6", ""), "7", ""), "8", ""), "9", "")), PROPER(SUBSTITUTE(SUBSTITUTE(SUBSTITUTE(SUBSTITUTE(SUBSTITUTE(SUBSTITUTE(SUBSTITUTE(SUBSTITUTE(SUBSTITUTE(SUBSTITUTE(MAIN!C252, "0", ""), "1", ""), "2", ""), "3", ""), "4", ""), "5", ""), "6", ""), "7", ""), "8", ""), "9", ""))))</f>
        <v>--</v>
      </c>
      <c r="D252" t="str">
        <f>IF(ISBLANK(MAIN!D252), "--", IF(ISNUMBER(MATCH(SUBSTITUTE(LEFT(MAIN!D252, IFERROR(FIND(",", MAIN!D252)-1, LEN(MAIN!D252))), " ", ""), lookup_values!$B$2:$B$51, 0)), UPPER(SUBSTITUTE(LEFT(MAIN!D252, IFERROR(FIND(",", MAIN!D252)-1, LEN(MAIN!D252))), " ", "")), IF(ISNA(VLOOKUP(SUBSTITUTE(LEFT(MAIN!D252, IFERROR(FIND(",", MAIN!D252)-1, LEN(MAIN!D252))), " ", ""), lookup_values!$A$2:$B$51, 2, FALSE)), "--", VLOOKUP(SUBSTITUTE(LEFT(MAIN!D252, IFERROR(FIND(",", MAIN!D252)-1, LEN(MAIN!D252))), " ", ""), lookup_values!$A$2:$B$51, 2, FALSE))))</f>
        <v>--</v>
      </c>
      <c r="E252" t="str">
        <f>IF(CLEAN_DATA!D252&lt;&gt;"--","US",IF(ISBLANK(MAIN!E252), "--", IF(ISNUMBER(MATCH(SUBSTITUTE(LEFT(MAIN!E252, IFERROR(FIND(",", MAIN!E252)-1, LEN(MAIN!E252))), " ", ""), lookup_values!$E$2:$E$197, 0)), UPPER(SUBSTITUTE(LEFT(MAIN!E252, IFERROR(FIND(",", MAIN!E252)-1, LEN(MAIN!E252))), " ", "")), IF(ISNA(VLOOKUP(SUBSTITUTE(LEFT(MAIN!E252, IFERROR(FIND(",", MAIN!E252)-1, LEN(MAIN!E252))), " ", ""), lookup_values!$D$2:$E$197, 2, FALSE)), "--", VLOOKUP(SUBSTITUTE(LEFT(MAIN!E252, IFERROR(FIND(",", MAIN!E252)-1, LEN(MAIN!E252))), " ", ""), lookup_values!$D$2:$E$197, 2, FALSE)))))</f>
        <v>--</v>
      </c>
      <c r="F252" t="str">
        <f>IF(ISBLANK(MAIN!F252), "", IF(AND(ISNUMBER(VALUE(TRIM(MAIN!F252))), LEN(TRIM(MAIN!F252))=4), VALUE(TRIM(MAIN!F252)), ""))</f>
        <v/>
      </c>
      <c r="G252">
        <f>IF(ISBLANK(MAIN!G252), 0, IF(ISNUMBER(VALUE(TRIM(MAIN!G252))), VALUE(TRIM(MAIN!G252)), 0))</f>
        <v>0</v>
      </c>
      <c r="H252">
        <f>IF(ISBLANK(MAIN!H252), 0, IF(ISNUMBER(VALUE(TRIM(MAIN!H252))), VALUE(TRIM(MAIN!H252)), 0))</f>
        <v>0</v>
      </c>
      <c r="I252">
        <f>IF(ISBLANK(MAIN!I252), 0, IF(ISNUMBER(VALUE(TRIM(MAIN!I252))), VALUE(TRIM(MAIN!I252)), 0))</f>
        <v>0</v>
      </c>
      <c r="J252">
        <f>IF(ISBLANK(MAIN!J252), 0, IF(ISNUMBER(VALUE(TRIM(MAIN!J252))), VALUE(TRIM(MAIN!J252)), 0))</f>
        <v>0</v>
      </c>
      <c r="K252" cm="1">
        <f t="array" ref="K252">IFERROR(
    VALUE(
        IFERROR(
            UPPER(
                IF(MAX(IFERROR(SEARCH("WD",MAIN!G252:J252), 0))&gt;0, "WD",
                IF(MAX(IFERROR(SEARCH("NS",MAIN!G252:J252), 0))&gt;0, "NS",
                IF(MAX(IFERROR(SEARCH("NC",MAIN!G252:J252), 0))&gt;0, "NC",
                IF(MAX(IFERROR(SEARCH("DQ",MAIN!G252:J252), 0))&gt;0, "DQ",
                IF(ISNUMBER(SEARCH("WD",MAIN!K252)), "WD",
                IF(ISNUMBER(SEARCH("NS",MAIN!K252)), "NS",
                IF(ISNUMBER(SEARCH("NC",MAIN!K252)), "NC",
                IF(ISNUMBER(SEARCH("DQ",MAIN!K252)), "DQ",
                IF(ISNUMBER(SEARCH("A",MAIN!K252)), 0,
                IF(OR(MAIN!K252=0,MAIN!K252=""), 0, --TRIM(MAIN!K252)))))))))))),
            0
        )
    ),
    IFERROR(
        UPPER(
            IF(MAX(IFERROR(SEARCH("WD",MAIN!G252:J252), 0))&gt;0, "WD",
            IF(MAX(IFERROR(SEARCH("NS",MAIN!G252:J252), 0))&gt;0, "NS",
            IF(MAX(IFERROR(SEARCH("NC",MAIN!G252:J252), 0))&gt;0, "NC",
            IF(MAX(IFERROR(SEARCH("DQ",MAIN!G252:J252), 0))&gt;0, "DQ",
            IF(ISNUMBER(SEARCH("WD",MAIN!K252)), "WD",
            IF(ISNUMBER(SEARCH("NS",MAIN!K252)), "NS",
            IF(ISNUMBER(SEARCH("NC",MAIN!K252)), "NC",
            IF(ISNUMBER(SEARCH("DQ",MAIN!K252)), "DQ",
            IF(ISNUMBER(SEARCH("A",MAIN!K252)), 0,
            IF(OR(MAIN!K252=0,MAIN!K252=""), 0, --TRIM(MAIN!K252)))))))))))),
        0
    )
)</f>
        <v>0</v>
      </c>
    </row>
    <row r="253" spans="1:11" x14ac:dyDescent="0.25">
      <c r="A253" t="str">
        <f>IF(ISBLANK(MAIN!A253), "--", IFERROR(PROPER(SUBSTITUTE(SUBSTITUTE(SUBSTITUTE(SUBSTITUTE(SUBSTITUTE(SUBSTITUTE(SUBSTITUTE(SUBSTITUTE(SUBSTITUTE(SUBSTITUTE(LEFT(MAIN!A253, FIND(",",MAIN!A253) -1), "0", ""), "1", ""), "2", ""), "3", ""), "4", ""), "5", ""), "6", ""), "7", ""), "8", ""), "9", "")), PROPER(SUBSTITUTE(SUBSTITUTE(SUBSTITUTE(SUBSTITUTE(SUBSTITUTE(SUBSTITUTE(SUBSTITUTE(SUBSTITUTE(SUBSTITUTE(SUBSTITUTE(MAIN!A253, "0", ""), "1", ""), "2", ""), "3", ""), "4", ""), "5", ""), "6", ""), "7", ""), "8", ""), "9", ""))))</f>
        <v>--</v>
      </c>
      <c r="B253" t="str">
        <f>IF(ISBLANK(MAIN!B253), "--", IFERROR(PROPER(SUBSTITUTE(SUBSTITUTE(SUBSTITUTE(SUBSTITUTE(SUBSTITUTE(SUBSTITUTE(SUBSTITUTE(SUBSTITUTE(SUBSTITUTE(SUBSTITUTE(LEFT(MAIN!B253, FIND(",",MAIN!B253) -1), "0", ""), "1", ""), "2", ""), "3", ""), "4", ""), "5", ""), "6", ""), "7", ""), "8", ""), "9", "")), PROPER(SUBSTITUTE(SUBSTITUTE(SUBSTITUTE(SUBSTITUTE(SUBSTITUTE(SUBSTITUTE(SUBSTITUTE(SUBSTITUTE(SUBSTITUTE(SUBSTITUTE(MAIN!B253, "0", ""), "1", ""), "2", ""), "3", ""), "4", ""), "5", ""), "6", ""), "7", ""), "8", ""), "9", ""))))</f>
        <v>--</v>
      </c>
      <c r="C253" t="str">
        <f>IF(ISBLANK(MAIN!C253), "--", IFERROR(PROPER(SUBSTITUTE(SUBSTITUTE(SUBSTITUTE(SUBSTITUTE(SUBSTITUTE(SUBSTITUTE(SUBSTITUTE(SUBSTITUTE(SUBSTITUTE(SUBSTITUTE(LEFT(MAIN!C253, FIND(",",MAIN!C253) -1), "0", ""), "1", ""), "2", ""), "3", ""), "4", ""), "5", ""), "6", ""), "7", ""), "8", ""), "9", "")), PROPER(SUBSTITUTE(SUBSTITUTE(SUBSTITUTE(SUBSTITUTE(SUBSTITUTE(SUBSTITUTE(SUBSTITUTE(SUBSTITUTE(SUBSTITUTE(SUBSTITUTE(MAIN!C253, "0", ""), "1", ""), "2", ""), "3", ""), "4", ""), "5", ""), "6", ""), "7", ""), "8", ""), "9", ""))))</f>
        <v>--</v>
      </c>
      <c r="D253" t="str">
        <f>IF(ISBLANK(MAIN!D253), "--", IF(ISNUMBER(MATCH(SUBSTITUTE(LEFT(MAIN!D253, IFERROR(FIND(",", MAIN!D253)-1, LEN(MAIN!D253))), " ", ""), lookup_values!$B$2:$B$51, 0)), UPPER(SUBSTITUTE(LEFT(MAIN!D253, IFERROR(FIND(",", MAIN!D253)-1, LEN(MAIN!D253))), " ", "")), IF(ISNA(VLOOKUP(SUBSTITUTE(LEFT(MAIN!D253, IFERROR(FIND(",", MAIN!D253)-1, LEN(MAIN!D253))), " ", ""), lookup_values!$A$2:$B$51, 2, FALSE)), "--", VLOOKUP(SUBSTITUTE(LEFT(MAIN!D253, IFERROR(FIND(",", MAIN!D253)-1, LEN(MAIN!D253))), " ", ""), lookup_values!$A$2:$B$51, 2, FALSE))))</f>
        <v>--</v>
      </c>
      <c r="E253" t="str">
        <f>IF(CLEAN_DATA!D253&lt;&gt;"--","US",IF(ISBLANK(MAIN!E253), "--", IF(ISNUMBER(MATCH(SUBSTITUTE(LEFT(MAIN!E253, IFERROR(FIND(",", MAIN!E253)-1, LEN(MAIN!E253))), " ", ""), lookup_values!$E$2:$E$197, 0)), UPPER(SUBSTITUTE(LEFT(MAIN!E253, IFERROR(FIND(",", MAIN!E253)-1, LEN(MAIN!E253))), " ", "")), IF(ISNA(VLOOKUP(SUBSTITUTE(LEFT(MAIN!E253, IFERROR(FIND(",", MAIN!E253)-1, LEN(MAIN!E253))), " ", ""), lookup_values!$D$2:$E$197, 2, FALSE)), "--", VLOOKUP(SUBSTITUTE(LEFT(MAIN!E253, IFERROR(FIND(",", MAIN!E253)-1, LEN(MAIN!E253))), " ", ""), lookup_values!$D$2:$E$197, 2, FALSE)))))</f>
        <v>--</v>
      </c>
      <c r="F253" t="str">
        <f>IF(ISBLANK(MAIN!F253), "", IF(AND(ISNUMBER(VALUE(TRIM(MAIN!F253))), LEN(TRIM(MAIN!F253))=4), VALUE(TRIM(MAIN!F253)), ""))</f>
        <v/>
      </c>
      <c r="G253">
        <f>IF(ISBLANK(MAIN!G253), 0, IF(ISNUMBER(VALUE(TRIM(MAIN!G253))), VALUE(TRIM(MAIN!G253)), 0))</f>
        <v>0</v>
      </c>
      <c r="H253">
        <f>IF(ISBLANK(MAIN!H253), 0, IF(ISNUMBER(VALUE(TRIM(MAIN!H253))), VALUE(TRIM(MAIN!H253)), 0))</f>
        <v>0</v>
      </c>
      <c r="I253">
        <f>IF(ISBLANK(MAIN!I253), 0, IF(ISNUMBER(VALUE(TRIM(MAIN!I253))), VALUE(TRIM(MAIN!I253)), 0))</f>
        <v>0</v>
      </c>
      <c r="J253">
        <f>IF(ISBLANK(MAIN!J253), 0, IF(ISNUMBER(VALUE(TRIM(MAIN!J253))), VALUE(TRIM(MAIN!J253)), 0))</f>
        <v>0</v>
      </c>
      <c r="K253" cm="1">
        <f t="array" ref="K253">IFERROR(
    VALUE(
        IFERROR(
            UPPER(
                IF(MAX(IFERROR(SEARCH("WD",MAIN!G253:J253), 0))&gt;0, "WD",
                IF(MAX(IFERROR(SEARCH("NS",MAIN!G253:J253), 0))&gt;0, "NS",
                IF(MAX(IFERROR(SEARCH("NC",MAIN!G253:J253), 0))&gt;0, "NC",
                IF(MAX(IFERROR(SEARCH("DQ",MAIN!G253:J253), 0))&gt;0, "DQ",
                IF(ISNUMBER(SEARCH("WD",MAIN!K253)), "WD",
                IF(ISNUMBER(SEARCH("NS",MAIN!K253)), "NS",
                IF(ISNUMBER(SEARCH("NC",MAIN!K253)), "NC",
                IF(ISNUMBER(SEARCH("DQ",MAIN!K253)), "DQ",
                IF(ISNUMBER(SEARCH("A",MAIN!K253)), 0,
                IF(OR(MAIN!K253=0,MAIN!K253=""), 0, --TRIM(MAIN!K253)))))))))))),
            0
        )
    ),
    IFERROR(
        UPPER(
            IF(MAX(IFERROR(SEARCH("WD",MAIN!G253:J253), 0))&gt;0, "WD",
            IF(MAX(IFERROR(SEARCH("NS",MAIN!G253:J253), 0))&gt;0, "NS",
            IF(MAX(IFERROR(SEARCH("NC",MAIN!G253:J253), 0))&gt;0, "NC",
            IF(MAX(IFERROR(SEARCH("DQ",MAIN!G253:J253), 0))&gt;0, "DQ",
            IF(ISNUMBER(SEARCH("WD",MAIN!K253)), "WD",
            IF(ISNUMBER(SEARCH("NS",MAIN!K253)), "NS",
            IF(ISNUMBER(SEARCH("NC",MAIN!K253)), "NC",
            IF(ISNUMBER(SEARCH("DQ",MAIN!K253)), "DQ",
            IF(ISNUMBER(SEARCH("A",MAIN!K253)), 0,
            IF(OR(MAIN!K253=0,MAIN!K253=""), 0, --TRIM(MAIN!K253)))))))))))),
        0
    )
)</f>
        <v>0</v>
      </c>
    </row>
    <row r="254" spans="1:11" x14ac:dyDescent="0.25">
      <c r="A254" t="str">
        <f>IF(ISBLANK(MAIN!A254), "--", IFERROR(PROPER(SUBSTITUTE(SUBSTITUTE(SUBSTITUTE(SUBSTITUTE(SUBSTITUTE(SUBSTITUTE(SUBSTITUTE(SUBSTITUTE(SUBSTITUTE(SUBSTITUTE(LEFT(MAIN!A254, FIND(",",MAIN!A254) -1), "0", ""), "1", ""), "2", ""), "3", ""), "4", ""), "5", ""), "6", ""), "7", ""), "8", ""), "9", "")), PROPER(SUBSTITUTE(SUBSTITUTE(SUBSTITUTE(SUBSTITUTE(SUBSTITUTE(SUBSTITUTE(SUBSTITUTE(SUBSTITUTE(SUBSTITUTE(SUBSTITUTE(MAIN!A254, "0", ""), "1", ""), "2", ""), "3", ""), "4", ""), "5", ""), "6", ""), "7", ""), "8", ""), "9", ""))))</f>
        <v>--</v>
      </c>
      <c r="B254" t="str">
        <f>IF(ISBLANK(MAIN!B254), "--", IFERROR(PROPER(SUBSTITUTE(SUBSTITUTE(SUBSTITUTE(SUBSTITUTE(SUBSTITUTE(SUBSTITUTE(SUBSTITUTE(SUBSTITUTE(SUBSTITUTE(SUBSTITUTE(LEFT(MAIN!B254, FIND(",",MAIN!B254) -1), "0", ""), "1", ""), "2", ""), "3", ""), "4", ""), "5", ""), "6", ""), "7", ""), "8", ""), "9", "")), PROPER(SUBSTITUTE(SUBSTITUTE(SUBSTITUTE(SUBSTITUTE(SUBSTITUTE(SUBSTITUTE(SUBSTITUTE(SUBSTITUTE(SUBSTITUTE(SUBSTITUTE(MAIN!B254, "0", ""), "1", ""), "2", ""), "3", ""), "4", ""), "5", ""), "6", ""), "7", ""), "8", ""), "9", ""))))</f>
        <v>--</v>
      </c>
      <c r="C254" t="str">
        <f>IF(ISBLANK(MAIN!C254), "--", IFERROR(PROPER(SUBSTITUTE(SUBSTITUTE(SUBSTITUTE(SUBSTITUTE(SUBSTITUTE(SUBSTITUTE(SUBSTITUTE(SUBSTITUTE(SUBSTITUTE(SUBSTITUTE(LEFT(MAIN!C254, FIND(",",MAIN!C254) -1), "0", ""), "1", ""), "2", ""), "3", ""), "4", ""), "5", ""), "6", ""), "7", ""), "8", ""), "9", "")), PROPER(SUBSTITUTE(SUBSTITUTE(SUBSTITUTE(SUBSTITUTE(SUBSTITUTE(SUBSTITUTE(SUBSTITUTE(SUBSTITUTE(SUBSTITUTE(SUBSTITUTE(MAIN!C254, "0", ""), "1", ""), "2", ""), "3", ""), "4", ""), "5", ""), "6", ""), "7", ""), "8", ""), "9", ""))))</f>
        <v>--</v>
      </c>
      <c r="D254" t="str">
        <f>IF(ISBLANK(MAIN!D254), "--", IF(ISNUMBER(MATCH(SUBSTITUTE(LEFT(MAIN!D254, IFERROR(FIND(",", MAIN!D254)-1, LEN(MAIN!D254))), " ", ""), lookup_values!$B$2:$B$51, 0)), UPPER(SUBSTITUTE(LEFT(MAIN!D254, IFERROR(FIND(",", MAIN!D254)-1, LEN(MAIN!D254))), " ", "")), IF(ISNA(VLOOKUP(SUBSTITUTE(LEFT(MAIN!D254, IFERROR(FIND(",", MAIN!D254)-1, LEN(MAIN!D254))), " ", ""), lookup_values!$A$2:$B$51, 2, FALSE)), "--", VLOOKUP(SUBSTITUTE(LEFT(MAIN!D254, IFERROR(FIND(",", MAIN!D254)-1, LEN(MAIN!D254))), " ", ""), lookup_values!$A$2:$B$51, 2, FALSE))))</f>
        <v>--</v>
      </c>
      <c r="E254" t="str">
        <f>IF(CLEAN_DATA!D254&lt;&gt;"--","US",IF(ISBLANK(MAIN!E254), "--", IF(ISNUMBER(MATCH(SUBSTITUTE(LEFT(MAIN!E254, IFERROR(FIND(",", MAIN!E254)-1, LEN(MAIN!E254))), " ", ""), lookup_values!$E$2:$E$197, 0)), UPPER(SUBSTITUTE(LEFT(MAIN!E254, IFERROR(FIND(",", MAIN!E254)-1, LEN(MAIN!E254))), " ", "")), IF(ISNA(VLOOKUP(SUBSTITUTE(LEFT(MAIN!E254, IFERROR(FIND(",", MAIN!E254)-1, LEN(MAIN!E254))), " ", ""), lookup_values!$D$2:$E$197, 2, FALSE)), "--", VLOOKUP(SUBSTITUTE(LEFT(MAIN!E254, IFERROR(FIND(",", MAIN!E254)-1, LEN(MAIN!E254))), " ", ""), lookup_values!$D$2:$E$197, 2, FALSE)))))</f>
        <v>--</v>
      </c>
      <c r="F254" t="str">
        <f>IF(ISBLANK(MAIN!F254), "", IF(AND(ISNUMBER(VALUE(TRIM(MAIN!F254))), LEN(TRIM(MAIN!F254))=4), VALUE(TRIM(MAIN!F254)), ""))</f>
        <v/>
      </c>
      <c r="G254">
        <f>IF(ISBLANK(MAIN!G254), 0, IF(ISNUMBER(VALUE(TRIM(MAIN!G254))), VALUE(TRIM(MAIN!G254)), 0))</f>
        <v>0</v>
      </c>
      <c r="H254">
        <f>IF(ISBLANK(MAIN!H254), 0, IF(ISNUMBER(VALUE(TRIM(MAIN!H254))), VALUE(TRIM(MAIN!H254)), 0))</f>
        <v>0</v>
      </c>
      <c r="I254">
        <f>IF(ISBLANK(MAIN!I254), 0, IF(ISNUMBER(VALUE(TRIM(MAIN!I254))), VALUE(TRIM(MAIN!I254)), 0))</f>
        <v>0</v>
      </c>
      <c r="J254">
        <f>IF(ISBLANK(MAIN!J254), 0, IF(ISNUMBER(VALUE(TRIM(MAIN!J254))), VALUE(TRIM(MAIN!J254)), 0))</f>
        <v>0</v>
      </c>
      <c r="K254" cm="1">
        <f t="array" ref="K254">IFERROR(
    VALUE(
        IFERROR(
            UPPER(
                IF(MAX(IFERROR(SEARCH("WD",MAIN!G254:J254), 0))&gt;0, "WD",
                IF(MAX(IFERROR(SEARCH("NS",MAIN!G254:J254), 0))&gt;0, "NS",
                IF(MAX(IFERROR(SEARCH("NC",MAIN!G254:J254), 0))&gt;0, "NC",
                IF(MAX(IFERROR(SEARCH("DQ",MAIN!G254:J254), 0))&gt;0, "DQ",
                IF(ISNUMBER(SEARCH("WD",MAIN!K254)), "WD",
                IF(ISNUMBER(SEARCH("NS",MAIN!K254)), "NS",
                IF(ISNUMBER(SEARCH("NC",MAIN!K254)), "NC",
                IF(ISNUMBER(SEARCH("DQ",MAIN!K254)), "DQ",
                IF(ISNUMBER(SEARCH("A",MAIN!K254)), 0,
                IF(OR(MAIN!K254=0,MAIN!K254=""), 0, --TRIM(MAIN!K254)))))))))))),
            0
        )
    ),
    IFERROR(
        UPPER(
            IF(MAX(IFERROR(SEARCH("WD",MAIN!G254:J254), 0))&gt;0, "WD",
            IF(MAX(IFERROR(SEARCH("NS",MAIN!G254:J254), 0))&gt;0, "NS",
            IF(MAX(IFERROR(SEARCH("NC",MAIN!G254:J254), 0))&gt;0, "NC",
            IF(MAX(IFERROR(SEARCH("DQ",MAIN!G254:J254), 0))&gt;0, "DQ",
            IF(ISNUMBER(SEARCH("WD",MAIN!K254)), "WD",
            IF(ISNUMBER(SEARCH("NS",MAIN!K254)), "NS",
            IF(ISNUMBER(SEARCH("NC",MAIN!K254)), "NC",
            IF(ISNUMBER(SEARCH("DQ",MAIN!K254)), "DQ",
            IF(ISNUMBER(SEARCH("A",MAIN!K254)), 0,
            IF(OR(MAIN!K254=0,MAIN!K254=""), 0, --TRIM(MAIN!K254)))))))))))),
        0
    )
)</f>
        <v>0</v>
      </c>
    </row>
    <row r="255" spans="1:11" x14ac:dyDescent="0.25">
      <c r="A255" t="str">
        <f>IF(ISBLANK(MAIN!A255), "--", IFERROR(PROPER(SUBSTITUTE(SUBSTITUTE(SUBSTITUTE(SUBSTITUTE(SUBSTITUTE(SUBSTITUTE(SUBSTITUTE(SUBSTITUTE(SUBSTITUTE(SUBSTITUTE(LEFT(MAIN!A255, FIND(",",MAIN!A255) -1), "0", ""), "1", ""), "2", ""), "3", ""), "4", ""), "5", ""), "6", ""), "7", ""), "8", ""), "9", "")), PROPER(SUBSTITUTE(SUBSTITUTE(SUBSTITUTE(SUBSTITUTE(SUBSTITUTE(SUBSTITUTE(SUBSTITUTE(SUBSTITUTE(SUBSTITUTE(SUBSTITUTE(MAIN!A255, "0", ""), "1", ""), "2", ""), "3", ""), "4", ""), "5", ""), "6", ""), "7", ""), "8", ""), "9", ""))))</f>
        <v>--</v>
      </c>
      <c r="B255" t="str">
        <f>IF(ISBLANK(MAIN!B255), "--", IFERROR(PROPER(SUBSTITUTE(SUBSTITUTE(SUBSTITUTE(SUBSTITUTE(SUBSTITUTE(SUBSTITUTE(SUBSTITUTE(SUBSTITUTE(SUBSTITUTE(SUBSTITUTE(LEFT(MAIN!B255, FIND(",",MAIN!B255) -1), "0", ""), "1", ""), "2", ""), "3", ""), "4", ""), "5", ""), "6", ""), "7", ""), "8", ""), "9", "")), PROPER(SUBSTITUTE(SUBSTITUTE(SUBSTITUTE(SUBSTITUTE(SUBSTITUTE(SUBSTITUTE(SUBSTITUTE(SUBSTITUTE(SUBSTITUTE(SUBSTITUTE(MAIN!B255, "0", ""), "1", ""), "2", ""), "3", ""), "4", ""), "5", ""), "6", ""), "7", ""), "8", ""), "9", ""))))</f>
        <v>--</v>
      </c>
      <c r="C255" t="str">
        <f>IF(ISBLANK(MAIN!C255), "--", IFERROR(PROPER(SUBSTITUTE(SUBSTITUTE(SUBSTITUTE(SUBSTITUTE(SUBSTITUTE(SUBSTITUTE(SUBSTITUTE(SUBSTITUTE(SUBSTITUTE(SUBSTITUTE(LEFT(MAIN!C255, FIND(",",MAIN!C255) -1), "0", ""), "1", ""), "2", ""), "3", ""), "4", ""), "5", ""), "6", ""), "7", ""), "8", ""), "9", "")), PROPER(SUBSTITUTE(SUBSTITUTE(SUBSTITUTE(SUBSTITUTE(SUBSTITUTE(SUBSTITUTE(SUBSTITUTE(SUBSTITUTE(SUBSTITUTE(SUBSTITUTE(MAIN!C255, "0", ""), "1", ""), "2", ""), "3", ""), "4", ""), "5", ""), "6", ""), "7", ""), "8", ""), "9", ""))))</f>
        <v>--</v>
      </c>
      <c r="D255" t="str">
        <f>IF(ISBLANK(MAIN!D255), "--", IF(ISNUMBER(MATCH(SUBSTITUTE(LEFT(MAIN!D255, IFERROR(FIND(",", MAIN!D255)-1, LEN(MAIN!D255))), " ", ""), lookup_values!$B$2:$B$51, 0)), UPPER(SUBSTITUTE(LEFT(MAIN!D255, IFERROR(FIND(",", MAIN!D255)-1, LEN(MAIN!D255))), " ", "")), IF(ISNA(VLOOKUP(SUBSTITUTE(LEFT(MAIN!D255, IFERROR(FIND(",", MAIN!D255)-1, LEN(MAIN!D255))), " ", ""), lookup_values!$A$2:$B$51, 2, FALSE)), "--", VLOOKUP(SUBSTITUTE(LEFT(MAIN!D255, IFERROR(FIND(",", MAIN!D255)-1, LEN(MAIN!D255))), " ", ""), lookup_values!$A$2:$B$51, 2, FALSE))))</f>
        <v>--</v>
      </c>
      <c r="E255" t="str">
        <f>IF(CLEAN_DATA!D255&lt;&gt;"--","US",IF(ISBLANK(MAIN!E255), "--", IF(ISNUMBER(MATCH(SUBSTITUTE(LEFT(MAIN!E255, IFERROR(FIND(",", MAIN!E255)-1, LEN(MAIN!E255))), " ", ""), lookup_values!$E$2:$E$197, 0)), UPPER(SUBSTITUTE(LEFT(MAIN!E255, IFERROR(FIND(",", MAIN!E255)-1, LEN(MAIN!E255))), " ", "")), IF(ISNA(VLOOKUP(SUBSTITUTE(LEFT(MAIN!E255, IFERROR(FIND(",", MAIN!E255)-1, LEN(MAIN!E255))), " ", ""), lookup_values!$D$2:$E$197, 2, FALSE)), "--", VLOOKUP(SUBSTITUTE(LEFT(MAIN!E255, IFERROR(FIND(",", MAIN!E255)-1, LEN(MAIN!E255))), " ", ""), lookup_values!$D$2:$E$197, 2, FALSE)))))</f>
        <v>--</v>
      </c>
      <c r="F255" t="str">
        <f>IF(ISBLANK(MAIN!F255), "", IF(AND(ISNUMBER(VALUE(TRIM(MAIN!F255))), LEN(TRIM(MAIN!F255))=4), VALUE(TRIM(MAIN!F255)), ""))</f>
        <v/>
      </c>
      <c r="G255">
        <f>IF(ISBLANK(MAIN!G255), 0, IF(ISNUMBER(VALUE(TRIM(MAIN!G255))), VALUE(TRIM(MAIN!G255)), 0))</f>
        <v>0</v>
      </c>
      <c r="H255">
        <f>IF(ISBLANK(MAIN!H255), 0, IF(ISNUMBER(VALUE(TRIM(MAIN!H255))), VALUE(TRIM(MAIN!H255)), 0))</f>
        <v>0</v>
      </c>
      <c r="I255">
        <f>IF(ISBLANK(MAIN!I255), 0, IF(ISNUMBER(VALUE(TRIM(MAIN!I255))), VALUE(TRIM(MAIN!I255)), 0))</f>
        <v>0</v>
      </c>
      <c r="J255">
        <f>IF(ISBLANK(MAIN!J255), 0, IF(ISNUMBER(VALUE(TRIM(MAIN!J255))), VALUE(TRIM(MAIN!J255)), 0))</f>
        <v>0</v>
      </c>
      <c r="K255" cm="1">
        <f t="array" ref="K255">IFERROR(
    VALUE(
        IFERROR(
            UPPER(
                IF(MAX(IFERROR(SEARCH("WD",MAIN!G255:J255), 0))&gt;0, "WD",
                IF(MAX(IFERROR(SEARCH("NS",MAIN!G255:J255), 0))&gt;0, "NS",
                IF(MAX(IFERROR(SEARCH("NC",MAIN!G255:J255), 0))&gt;0, "NC",
                IF(MAX(IFERROR(SEARCH("DQ",MAIN!G255:J255), 0))&gt;0, "DQ",
                IF(ISNUMBER(SEARCH("WD",MAIN!K255)), "WD",
                IF(ISNUMBER(SEARCH("NS",MAIN!K255)), "NS",
                IF(ISNUMBER(SEARCH("NC",MAIN!K255)), "NC",
                IF(ISNUMBER(SEARCH("DQ",MAIN!K255)), "DQ",
                IF(ISNUMBER(SEARCH("A",MAIN!K255)), 0,
                IF(OR(MAIN!K255=0,MAIN!K255=""), 0, --TRIM(MAIN!K255)))))))))))),
            0
        )
    ),
    IFERROR(
        UPPER(
            IF(MAX(IFERROR(SEARCH("WD",MAIN!G255:J255), 0))&gt;0, "WD",
            IF(MAX(IFERROR(SEARCH("NS",MAIN!G255:J255), 0))&gt;0, "NS",
            IF(MAX(IFERROR(SEARCH("NC",MAIN!G255:J255), 0))&gt;0, "NC",
            IF(MAX(IFERROR(SEARCH("DQ",MAIN!G255:J255), 0))&gt;0, "DQ",
            IF(ISNUMBER(SEARCH("WD",MAIN!K255)), "WD",
            IF(ISNUMBER(SEARCH("NS",MAIN!K255)), "NS",
            IF(ISNUMBER(SEARCH("NC",MAIN!K255)), "NC",
            IF(ISNUMBER(SEARCH("DQ",MAIN!K255)), "DQ",
            IF(ISNUMBER(SEARCH("A",MAIN!K255)), 0,
            IF(OR(MAIN!K255=0,MAIN!K255=""), 0, --TRIM(MAIN!K255)))))))))))),
        0
    )
)</f>
        <v>0</v>
      </c>
    </row>
    <row r="256" spans="1:11" x14ac:dyDescent="0.25">
      <c r="A256" t="str">
        <f>IF(ISBLANK(MAIN!A256), "--", IFERROR(PROPER(SUBSTITUTE(SUBSTITUTE(SUBSTITUTE(SUBSTITUTE(SUBSTITUTE(SUBSTITUTE(SUBSTITUTE(SUBSTITUTE(SUBSTITUTE(SUBSTITUTE(LEFT(MAIN!A256, FIND(",",MAIN!A256) -1), "0", ""), "1", ""), "2", ""), "3", ""), "4", ""), "5", ""), "6", ""), "7", ""), "8", ""), "9", "")), PROPER(SUBSTITUTE(SUBSTITUTE(SUBSTITUTE(SUBSTITUTE(SUBSTITUTE(SUBSTITUTE(SUBSTITUTE(SUBSTITUTE(SUBSTITUTE(SUBSTITUTE(MAIN!A256, "0", ""), "1", ""), "2", ""), "3", ""), "4", ""), "5", ""), "6", ""), "7", ""), "8", ""), "9", ""))))</f>
        <v>--</v>
      </c>
      <c r="B256" t="str">
        <f>IF(ISBLANK(MAIN!B256), "--", IFERROR(PROPER(SUBSTITUTE(SUBSTITUTE(SUBSTITUTE(SUBSTITUTE(SUBSTITUTE(SUBSTITUTE(SUBSTITUTE(SUBSTITUTE(SUBSTITUTE(SUBSTITUTE(LEFT(MAIN!B256, FIND(",",MAIN!B256) -1), "0", ""), "1", ""), "2", ""), "3", ""), "4", ""), "5", ""), "6", ""), "7", ""), "8", ""), "9", "")), PROPER(SUBSTITUTE(SUBSTITUTE(SUBSTITUTE(SUBSTITUTE(SUBSTITUTE(SUBSTITUTE(SUBSTITUTE(SUBSTITUTE(SUBSTITUTE(SUBSTITUTE(MAIN!B256, "0", ""), "1", ""), "2", ""), "3", ""), "4", ""), "5", ""), "6", ""), "7", ""), "8", ""), "9", ""))))</f>
        <v>--</v>
      </c>
      <c r="C256" t="str">
        <f>IF(ISBLANK(MAIN!C256), "--", IFERROR(PROPER(SUBSTITUTE(SUBSTITUTE(SUBSTITUTE(SUBSTITUTE(SUBSTITUTE(SUBSTITUTE(SUBSTITUTE(SUBSTITUTE(SUBSTITUTE(SUBSTITUTE(LEFT(MAIN!C256, FIND(",",MAIN!C256) -1), "0", ""), "1", ""), "2", ""), "3", ""), "4", ""), "5", ""), "6", ""), "7", ""), "8", ""), "9", "")), PROPER(SUBSTITUTE(SUBSTITUTE(SUBSTITUTE(SUBSTITUTE(SUBSTITUTE(SUBSTITUTE(SUBSTITUTE(SUBSTITUTE(SUBSTITUTE(SUBSTITUTE(MAIN!C256, "0", ""), "1", ""), "2", ""), "3", ""), "4", ""), "5", ""), "6", ""), "7", ""), "8", ""), "9", ""))))</f>
        <v>--</v>
      </c>
      <c r="D256" t="str">
        <f>IF(ISBLANK(MAIN!D256), "--", IF(ISNUMBER(MATCH(SUBSTITUTE(LEFT(MAIN!D256, IFERROR(FIND(",", MAIN!D256)-1, LEN(MAIN!D256))), " ", ""), lookup_values!$B$2:$B$51, 0)), UPPER(SUBSTITUTE(LEFT(MAIN!D256, IFERROR(FIND(",", MAIN!D256)-1, LEN(MAIN!D256))), " ", "")), IF(ISNA(VLOOKUP(SUBSTITUTE(LEFT(MAIN!D256, IFERROR(FIND(",", MAIN!D256)-1, LEN(MAIN!D256))), " ", ""), lookup_values!$A$2:$B$51, 2, FALSE)), "--", VLOOKUP(SUBSTITUTE(LEFT(MAIN!D256, IFERROR(FIND(",", MAIN!D256)-1, LEN(MAIN!D256))), " ", ""), lookup_values!$A$2:$B$51, 2, FALSE))))</f>
        <v>--</v>
      </c>
      <c r="E256" t="str">
        <f>IF(CLEAN_DATA!D256&lt;&gt;"--","US",IF(ISBLANK(MAIN!E256), "--", IF(ISNUMBER(MATCH(SUBSTITUTE(LEFT(MAIN!E256, IFERROR(FIND(",", MAIN!E256)-1, LEN(MAIN!E256))), " ", ""), lookup_values!$E$2:$E$197, 0)), UPPER(SUBSTITUTE(LEFT(MAIN!E256, IFERROR(FIND(",", MAIN!E256)-1, LEN(MAIN!E256))), " ", "")), IF(ISNA(VLOOKUP(SUBSTITUTE(LEFT(MAIN!E256, IFERROR(FIND(",", MAIN!E256)-1, LEN(MAIN!E256))), " ", ""), lookup_values!$D$2:$E$197, 2, FALSE)), "--", VLOOKUP(SUBSTITUTE(LEFT(MAIN!E256, IFERROR(FIND(",", MAIN!E256)-1, LEN(MAIN!E256))), " ", ""), lookup_values!$D$2:$E$197, 2, FALSE)))))</f>
        <v>--</v>
      </c>
      <c r="F256" t="str">
        <f>IF(ISBLANK(MAIN!F256), "", IF(AND(ISNUMBER(VALUE(TRIM(MAIN!F256))), LEN(TRIM(MAIN!F256))=4), VALUE(TRIM(MAIN!F256)), ""))</f>
        <v/>
      </c>
      <c r="G256">
        <f>IF(ISBLANK(MAIN!G256), 0, IF(ISNUMBER(VALUE(TRIM(MAIN!G256))), VALUE(TRIM(MAIN!G256)), 0))</f>
        <v>0</v>
      </c>
      <c r="H256">
        <f>IF(ISBLANK(MAIN!H256), 0, IF(ISNUMBER(VALUE(TRIM(MAIN!H256))), VALUE(TRIM(MAIN!H256)), 0))</f>
        <v>0</v>
      </c>
      <c r="I256">
        <f>IF(ISBLANK(MAIN!I256), 0, IF(ISNUMBER(VALUE(TRIM(MAIN!I256))), VALUE(TRIM(MAIN!I256)), 0))</f>
        <v>0</v>
      </c>
      <c r="J256">
        <f>IF(ISBLANK(MAIN!J256), 0, IF(ISNUMBER(VALUE(TRIM(MAIN!J256))), VALUE(TRIM(MAIN!J256)), 0))</f>
        <v>0</v>
      </c>
      <c r="K256" cm="1">
        <f t="array" ref="K256">IFERROR(
    VALUE(
        IFERROR(
            UPPER(
                IF(MAX(IFERROR(SEARCH("WD",MAIN!G256:J256), 0))&gt;0, "WD",
                IF(MAX(IFERROR(SEARCH("NS",MAIN!G256:J256), 0))&gt;0, "NS",
                IF(MAX(IFERROR(SEARCH("NC",MAIN!G256:J256), 0))&gt;0, "NC",
                IF(MAX(IFERROR(SEARCH("DQ",MAIN!G256:J256), 0))&gt;0, "DQ",
                IF(ISNUMBER(SEARCH("WD",MAIN!K256)), "WD",
                IF(ISNUMBER(SEARCH("NS",MAIN!K256)), "NS",
                IF(ISNUMBER(SEARCH("NC",MAIN!K256)), "NC",
                IF(ISNUMBER(SEARCH("DQ",MAIN!K256)), "DQ",
                IF(ISNUMBER(SEARCH("A",MAIN!K256)), 0,
                IF(OR(MAIN!K256=0,MAIN!K256=""), 0, --TRIM(MAIN!K256)))))))))))),
            0
        )
    ),
    IFERROR(
        UPPER(
            IF(MAX(IFERROR(SEARCH("WD",MAIN!G256:J256), 0))&gt;0, "WD",
            IF(MAX(IFERROR(SEARCH("NS",MAIN!G256:J256), 0))&gt;0, "NS",
            IF(MAX(IFERROR(SEARCH("NC",MAIN!G256:J256), 0))&gt;0, "NC",
            IF(MAX(IFERROR(SEARCH("DQ",MAIN!G256:J256), 0))&gt;0, "DQ",
            IF(ISNUMBER(SEARCH("WD",MAIN!K256)), "WD",
            IF(ISNUMBER(SEARCH("NS",MAIN!K256)), "NS",
            IF(ISNUMBER(SEARCH("NC",MAIN!K256)), "NC",
            IF(ISNUMBER(SEARCH("DQ",MAIN!K256)), "DQ",
            IF(ISNUMBER(SEARCH("A",MAIN!K256)), 0,
            IF(OR(MAIN!K256=0,MAIN!K256=""), 0, --TRIM(MAIN!K256)))))))))))),
        0
    )
)</f>
        <v>0</v>
      </c>
    </row>
    <row r="257" spans="1:11" x14ac:dyDescent="0.25">
      <c r="A257" t="str">
        <f>IF(ISBLANK(MAIN!A257), "--", IFERROR(PROPER(SUBSTITUTE(SUBSTITUTE(SUBSTITUTE(SUBSTITUTE(SUBSTITUTE(SUBSTITUTE(SUBSTITUTE(SUBSTITUTE(SUBSTITUTE(SUBSTITUTE(LEFT(MAIN!A257, FIND(",",MAIN!A257) -1), "0", ""), "1", ""), "2", ""), "3", ""), "4", ""), "5", ""), "6", ""), "7", ""), "8", ""), "9", "")), PROPER(SUBSTITUTE(SUBSTITUTE(SUBSTITUTE(SUBSTITUTE(SUBSTITUTE(SUBSTITUTE(SUBSTITUTE(SUBSTITUTE(SUBSTITUTE(SUBSTITUTE(MAIN!A257, "0", ""), "1", ""), "2", ""), "3", ""), "4", ""), "5", ""), "6", ""), "7", ""), "8", ""), "9", ""))))</f>
        <v>--</v>
      </c>
      <c r="B257" t="str">
        <f>IF(ISBLANK(MAIN!B257), "--", IFERROR(PROPER(SUBSTITUTE(SUBSTITUTE(SUBSTITUTE(SUBSTITUTE(SUBSTITUTE(SUBSTITUTE(SUBSTITUTE(SUBSTITUTE(SUBSTITUTE(SUBSTITUTE(LEFT(MAIN!B257, FIND(",",MAIN!B257) -1), "0", ""), "1", ""), "2", ""), "3", ""), "4", ""), "5", ""), "6", ""), "7", ""), "8", ""), "9", "")), PROPER(SUBSTITUTE(SUBSTITUTE(SUBSTITUTE(SUBSTITUTE(SUBSTITUTE(SUBSTITUTE(SUBSTITUTE(SUBSTITUTE(SUBSTITUTE(SUBSTITUTE(MAIN!B257, "0", ""), "1", ""), "2", ""), "3", ""), "4", ""), "5", ""), "6", ""), "7", ""), "8", ""), "9", ""))))</f>
        <v>--</v>
      </c>
      <c r="C257" t="str">
        <f>IF(ISBLANK(MAIN!C257), "--", IFERROR(PROPER(SUBSTITUTE(SUBSTITUTE(SUBSTITUTE(SUBSTITUTE(SUBSTITUTE(SUBSTITUTE(SUBSTITUTE(SUBSTITUTE(SUBSTITUTE(SUBSTITUTE(LEFT(MAIN!C257, FIND(",",MAIN!C257) -1), "0", ""), "1", ""), "2", ""), "3", ""), "4", ""), "5", ""), "6", ""), "7", ""), "8", ""), "9", "")), PROPER(SUBSTITUTE(SUBSTITUTE(SUBSTITUTE(SUBSTITUTE(SUBSTITUTE(SUBSTITUTE(SUBSTITUTE(SUBSTITUTE(SUBSTITUTE(SUBSTITUTE(MAIN!C257, "0", ""), "1", ""), "2", ""), "3", ""), "4", ""), "5", ""), "6", ""), "7", ""), "8", ""), "9", ""))))</f>
        <v>--</v>
      </c>
      <c r="D257" t="str">
        <f>IF(ISBLANK(MAIN!D257), "--", IF(ISNUMBER(MATCH(SUBSTITUTE(LEFT(MAIN!D257, IFERROR(FIND(",", MAIN!D257)-1, LEN(MAIN!D257))), " ", ""), lookup_values!$B$2:$B$51, 0)), UPPER(SUBSTITUTE(LEFT(MAIN!D257, IFERROR(FIND(",", MAIN!D257)-1, LEN(MAIN!D257))), " ", "")), IF(ISNA(VLOOKUP(SUBSTITUTE(LEFT(MAIN!D257, IFERROR(FIND(",", MAIN!D257)-1, LEN(MAIN!D257))), " ", ""), lookup_values!$A$2:$B$51, 2, FALSE)), "--", VLOOKUP(SUBSTITUTE(LEFT(MAIN!D257, IFERROR(FIND(",", MAIN!D257)-1, LEN(MAIN!D257))), " ", ""), lookup_values!$A$2:$B$51, 2, FALSE))))</f>
        <v>--</v>
      </c>
      <c r="E257" t="str">
        <f>IF(CLEAN_DATA!D257&lt;&gt;"--","US",IF(ISBLANK(MAIN!E257), "--", IF(ISNUMBER(MATCH(SUBSTITUTE(LEFT(MAIN!E257, IFERROR(FIND(",", MAIN!E257)-1, LEN(MAIN!E257))), " ", ""), lookup_values!$E$2:$E$197, 0)), UPPER(SUBSTITUTE(LEFT(MAIN!E257, IFERROR(FIND(",", MAIN!E257)-1, LEN(MAIN!E257))), " ", "")), IF(ISNA(VLOOKUP(SUBSTITUTE(LEFT(MAIN!E257, IFERROR(FIND(",", MAIN!E257)-1, LEN(MAIN!E257))), " ", ""), lookup_values!$D$2:$E$197, 2, FALSE)), "--", VLOOKUP(SUBSTITUTE(LEFT(MAIN!E257, IFERROR(FIND(",", MAIN!E257)-1, LEN(MAIN!E257))), " ", ""), lookup_values!$D$2:$E$197, 2, FALSE)))))</f>
        <v>--</v>
      </c>
      <c r="F257" t="str">
        <f>IF(ISBLANK(MAIN!F257), "", IF(AND(ISNUMBER(VALUE(TRIM(MAIN!F257))), LEN(TRIM(MAIN!F257))=4), VALUE(TRIM(MAIN!F257)), ""))</f>
        <v/>
      </c>
      <c r="G257">
        <f>IF(ISBLANK(MAIN!G257), 0, IF(ISNUMBER(VALUE(TRIM(MAIN!G257))), VALUE(TRIM(MAIN!G257)), 0))</f>
        <v>0</v>
      </c>
      <c r="H257">
        <f>IF(ISBLANK(MAIN!H257), 0, IF(ISNUMBER(VALUE(TRIM(MAIN!H257))), VALUE(TRIM(MAIN!H257)), 0))</f>
        <v>0</v>
      </c>
      <c r="I257">
        <f>IF(ISBLANK(MAIN!I257), 0, IF(ISNUMBER(VALUE(TRIM(MAIN!I257))), VALUE(TRIM(MAIN!I257)), 0))</f>
        <v>0</v>
      </c>
      <c r="J257">
        <f>IF(ISBLANK(MAIN!J257), 0, IF(ISNUMBER(VALUE(TRIM(MAIN!J257))), VALUE(TRIM(MAIN!J257)), 0))</f>
        <v>0</v>
      </c>
      <c r="K257" cm="1">
        <f t="array" ref="K257">IFERROR(
    VALUE(
        IFERROR(
            UPPER(
                IF(MAX(IFERROR(SEARCH("WD",MAIN!G257:J257), 0))&gt;0, "WD",
                IF(MAX(IFERROR(SEARCH("NS",MAIN!G257:J257), 0))&gt;0, "NS",
                IF(MAX(IFERROR(SEARCH("NC",MAIN!G257:J257), 0))&gt;0, "NC",
                IF(MAX(IFERROR(SEARCH("DQ",MAIN!G257:J257), 0))&gt;0, "DQ",
                IF(ISNUMBER(SEARCH("WD",MAIN!K257)), "WD",
                IF(ISNUMBER(SEARCH("NS",MAIN!K257)), "NS",
                IF(ISNUMBER(SEARCH("NC",MAIN!K257)), "NC",
                IF(ISNUMBER(SEARCH("DQ",MAIN!K257)), "DQ",
                IF(ISNUMBER(SEARCH("A",MAIN!K257)), 0,
                IF(OR(MAIN!K257=0,MAIN!K257=""), 0, --TRIM(MAIN!K257)))))))))))),
            0
        )
    ),
    IFERROR(
        UPPER(
            IF(MAX(IFERROR(SEARCH("WD",MAIN!G257:J257), 0))&gt;0, "WD",
            IF(MAX(IFERROR(SEARCH("NS",MAIN!G257:J257), 0))&gt;0, "NS",
            IF(MAX(IFERROR(SEARCH("NC",MAIN!G257:J257), 0))&gt;0, "NC",
            IF(MAX(IFERROR(SEARCH("DQ",MAIN!G257:J257), 0))&gt;0, "DQ",
            IF(ISNUMBER(SEARCH("WD",MAIN!K257)), "WD",
            IF(ISNUMBER(SEARCH("NS",MAIN!K257)), "NS",
            IF(ISNUMBER(SEARCH("NC",MAIN!K257)), "NC",
            IF(ISNUMBER(SEARCH("DQ",MAIN!K257)), "DQ",
            IF(ISNUMBER(SEARCH("A",MAIN!K257)), 0,
            IF(OR(MAIN!K257=0,MAIN!K257=""), 0, --TRIM(MAIN!K257)))))))))))),
        0
    )
)</f>
        <v>0</v>
      </c>
    </row>
    <row r="258" spans="1:11" x14ac:dyDescent="0.25">
      <c r="A258" t="str">
        <f>IF(ISBLANK(MAIN!A258), "--", IFERROR(PROPER(SUBSTITUTE(SUBSTITUTE(SUBSTITUTE(SUBSTITUTE(SUBSTITUTE(SUBSTITUTE(SUBSTITUTE(SUBSTITUTE(SUBSTITUTE(SUBSTITUTE(LEFT(MAIN!A258, FIND(",",MAIN!A258) -1), "0", ""), "1", ""), "2", ""), "3", ""), "4", ""), "5", ""), "6", ""), "7", ""), "8", ""), "9", "")), PROPER(SUBSTITUTE(SUBSTITUTE(SUBSTITUTE(SUBSTITUTE(SUBSTITUTE(SUBSTITUTE(SUBSTITUTE(SUBSTITUTE(SUBSTITUTE(SUBSTITUTE(MAIN!A258, "0", ""), "1", ""), "2", ""), "3", ""), "4", ""), "5", ""), "6", ""), "7", ""), "8", ""), "9", ""))))</f>
        <v>--</v>
      </c>
      <c r="B258" t="str">
        <f>IF(ISBLANK(MAIN!B258), "--", IFERROR(PROPER(SUBSTITUTE(SUBSTITUTE(SUBSTITUTE(SUBSTITUTE(SUBSTITUTE(SUBSTITUTE(SUBSTITUTE(SUBSTITUTE(SUBSTITUTE(SUBSTITUTE(LEFT(MAIN!B258, FIND(",",MAIN!B258) -1), "0", ""), "1", ""), "2", ""), "3", ""), "4", ""), "5", ""), "6", ""), "7", ""), "8", ""), "9", "")), PROPER(SUBSTITUTE(SUBSTITUTE(SUBSTITUTE(SUBSTITUTE(SUBSTITUTE(SUBSTITUTE(SUBSTITUTE(SUBSTITUTE(SUBSTITUTE(SUBSTITUTE(MAIN!B258, "0", ""), "1", ""), "2", ""), "3", ""), "4", ""), "5", ""), "6", ""), "7", ""), "8", ""), "9", ""))))</f>
        <v>--</v>
      </c>
      <c r="C258" t="str">
        <f>IF(ISBLANK(MAIN!C258), "--", IFERROR(PROPER(SUBSTITUTE(SUBSTITUTE(SUBSTITUTE(SUBSTITUTE(SUBSTITUTE(SUBSTITUTE(SUBSTITUTE(SUBSTITUTE(SUBSTITUTE(SUBSTITUTE(LEFT(MAIN!C258, FIND(",",MAIN!C258) -1), "0", ""), "1", ""), "2", ""), "3", ""), "4", ""), "5", ""), "6", ""), "7", ""), "8", ""), "9", "")), PROPER(SUBSTITUTE(SUBSTITUTE(SUBSTITUTE(SUBSTITUTE(SUBSTITUTE(SUBSTITUTE(SUBSTITUTE(SUBSTITUTE(SUBSTITUTE(SUBSTITUTE(MAIN!C258, "0", ""), "1", ""), "2", ""), "3", ""), "4", ""), "5", ""), "6", ""), "7", ""), "8", ""), "9", ""))))</f>
        <v>--</v>
      </c>
      <c r="D258" t="str">
        <f>IF(ISBLANK(MAIN!D258), "--", IF(ISNUMBER(MATCH(SUBSTITUTE(LEFT(MAIN!D258, IFERROR(FIND(",", MAIN!D258)-1, LEN(MAIN!D258))), " ", ""), lookup_values!$B$2:$B$51, 0)), UPPER(SUBSTITUTE(LEFT(MAIN!D258, IFERROR(FIND(",", MAIN!D258)-1, LEN(MAIN!D258))), " ", "")), IF(ISNA(VLOOKUP(SUBSTITUTE(LEFT(MAIN!D258, IFERROR(FIND(",", MAIN!D258)-1, LEN(MAIN!D258))), " ", ""), lookup_values!$A$2:$B$51, 2, FALSE)), "--", VLOOKUP(SUBSTITUTE(LEFT(MAIN!D258, IFERROR(FIND(",", MAIN!D258)-1, LEN(MAIN!D258))), " ", ""), lookup_values!$A$2:$B$51, 2, FALSE))))</f>
        <v>--</v>
      </c>
      <c r="E258" t="str">
        <f>IF(CLEAN_DATA!D258&lt;&gt;"--","US",IF(ISBLANK(MAIN!E258), "--", IF(ISNUMBER(MATCH(SUBSTITUTE(LEFT(MAIN!E258, IFERROR(FIND(",", MAIN!E258)-1, LEN(MAIN!E258))), " ", ""), lookup_values!$E$2:$E$197, 0)), UPPER(SUBSTITUTE(LEFT(MAIN!E258, IFERROR(FIND(",", MAIN!E258)-1, LEN(MAIN!E258))), " ", "")), IF(ISNA(VLOOKUP(SUBSTITUTE(LEFT(MAIN!E258, IFERROR(FIND(",", MAIN!E258)-1, LEN(MAIN!E258))), " ", ""), lookup_values!$D$2:$E$197, 2, FALSE)), "--", VLOOKUP(SUBSTITUTE(LEFT(MAIN!E258, IFERROR(FIND(",", MAIN!E258)-1, LEN(MAIN!E258))), " ", ""), lookup_values!$D$2:$E$197, 2, FALSE)))))</f>
        <v>--</v>
      </c>
      <c r="F258" t="str">
        <f>IF(ISBLANK(MAIN!F258), "", IF(AND(ISNUMBER(VALUE(TRIM(MAIN!F258))), LEN(TRIM(MAIN!F258))=4), VALUE(TRIM(MAIN!F258)), ""))</f>
        <v/>
      </c>
      <c r="G258">
        <f>IF(ISBLANK(MAIN!G258), 0, IF(ISNUMBER(VALUE(TRIM(MAIN!G258))), VALUE(TRIM(MAIN!G258)), 0))</f>
        <v>0</v>
      </c>
      <c r="H258">
        <f>IF(ISBLANK(MAIN!H258), 0, IF(ISNUMBER(VALUE(TRIM(MAIN!H258))), VALUE(TRIM(MAIN!H258)), 0))</f>
        <v>0</v>
      </c>
      <c r="I258">
        <f>IF(ISBLANK(MAIN!I258), 0, IF(ISNUMBER(VALUE(TRIM(MAIN!I258))), VALUE(TRIM(MAIN!I258)), 0))</f>
        <v>0</v>
      </c>
      <c r="J258">
        <f>IF(ISBLANK(MAIN!J258), 0, IF(ISNUMBER(VALUE(TRIM(MAIN!J258))), VALUE(TRIM(MAIN!J258)), 0))</f>
        <v>0</v>
      </c>
      <c r="K258" cm="1">
        <f t="array" ref="K258">IFERROR(
    VALUE(
        IFERROR(
            UPPER(
                IF(MAX(IFERROR(SEARCH("WD",MAIN!G258:J258), 0))&gt;0, "WD",
                IF(MAX(IFERROR(SEARCH("NS",MAIN!G258:J258), 0))&gt;0, "NS",
                IF(MAX(IFERROR(SEARCH("NC",MAIN!G258:J258), 0))&gt;0, "NC",
                IF(MAX(IFERROR(SEARCH("DQ",MAIN!G258:J258), 0))&gt;0, "DQ",
                IF(ISNUMBER(SEARCH("WD",MAIN!K258)), "WD",
                IF(ISNUMBER(SEARCH("NS",MAIN!K258)), "NS",
                IF(ISNUMBER(SEARCH("NC",MAIN!K258)), "NC",
                IF(ISNUMBER(SEARCH("DQ",MAIN!K258)), "DQ",
                IF(ISNUMBER(SEARCH("A",MAIN!K258)), 0,
                IF(OR(MAIN!K258=0,MAIN!K258=""), 0, --TRIM(MAIN!K258)))))))))))),
            0
        )
    ),
    IFERROR(
        UPPER(
            IF(MAX(IFERROR(SEARCH("WD",MAIN!G258:J258), 0))&gt;0, "WD",
            IF(MAX(IFERROR(SEARCH("NS",MAIN!G258:J258), 0))&gt;0, "NS",
            IF(MAX(IFERROR(SEARCH("NC",MAIN!G258:J258), 0))&gt;0, "NC",
            IF(MAX(IFERROR(SEARCH("DQ",MAIN!G258:J258), 0))&gt;0, "DQ",
            IF(ISNUMBER(SEARCH("WD",MAIN!K258)), "WD",
            IF(ISNUMBER(SEARCH("NS",MAIN!K258)), "NS",
            IF(ISNUMBER(SEARCH("NC",MAIN!K258)), "NC",
            IF(ISNUMBER(SEARCH("DQ",MAIN!K258)), "DQ",
            IF(ISNUMBER(SEARCH("A",MAIN!K258)), 0,
            IF(OR(MAIN!K258=0,MAIN!K258=""), 0, --TRIM(MAIN!K258)))))))))))),
        0
    )
)</f>
        <v>0</v>
      </c>
    </row>
    <row r="259" spans="1:11" x14ac:dyDescent="0.25">
      <c r="A259" t="str">
        <f>IF(ISBLANK(MAIN!A259), "--", IFERROR(PROPER(SUBSTITUTE(SUBSTITUTE(SUBSTITUTE(SUBSTITUTE(SUBSTITUTE(SUBSTITUTE(SUBSTITUTE(SUBSTITUTE(SUBSTITUTE(SUBSTITUTE(LEFT(MAIN!A259, FIND(",",MAIN!A259) -1), "0", ""), "1", ""), "2", ""), "3", ""), "4", ""), "5", ""), "6", ""), "7", ""), "8", ""), "9", "")), PROPER(SUBSTITUTE(SUBSTITUTE(SUBSTITUTE(SUBSTITUTE(SUBSTITUTE(SUBSTITUTE(SUBSTITUTE(SUBSTITUTE(SUBSTITUTE(SUBSTITUTE(MAIN!A259, "0", ""), "1", ""), "2", ""), "3", ""), "4", ""), "5", ""), "6", ""), "7", ""), "8", ""), "9", ""))))</f>
        <v>--</v>
      </c>
      <c r="B259" t="str">
        <f>IF(ISBLANK(MAIN!B259), "--", IFERROR(PROPER(SUBSTITUTE(SUBSTITUTE(SUBSTITUTE(SUBSTITUTE(SUBSTITUTE(SUBSTITUTE(SUBSTITUTE(SUBSTITUTE(SUBSTITUTE(SUBSTITUTE(LEFT(MAIN!B259, FIND(",",MAIN!B259) -1), "0", ""), "1", ""), "2", ""), "3", ""), "4", ""), "5", ""), "6", ""), "7", ""), "8", ""), "9", "")), PROPER(SUBSTITUTE(SUBSTITUTE(SUBSTITUTE(SUBSTITUTE(SUBSTITUTE(SUBSTITUTE(SUBSTITUTE(SUBSTITUTE(SUBSTITUTE(SUBSTITUTE(MAIN!B259, "0", ""), "1", ""), "2", ""), "3", ""), "4", ""), "5", ""), "6", ""), "7", ""), "8", ""), "9", ""))))</f>
        <v>--</v>
      </c>
      <c r="C259" t="str">
        <f>IF(ISBLANK(MAIN!C259), "--", IFERROR(PROPER(SUBSTITUTE(SUBSTITUTE(SUBSTITUTE(SUBSTITUTE(SUBSTITUTE(SUBSTITUTE(SUBSTITUTE(SUBSTITUTE(SUBSTITUTE(SUBSTITUTE(LEFT(MAIN!C259, FIND(",",MAIN!C259) -1), "0", ""), "1", ""), "2", ""), "3", ""), "4", ""), "5", ""), "6", ""), "7", ""), "8", ""), "9", "")), PROPER(SUBSTITUTE(SUBSTITUTE(SUBSTITUTE(SUBSTITUTE(SUBSTITUTE(SUBSTITUTE(SUBSTITUTE(SUBSTITUTE(SUBSTITUTE(SUBSTITUTE(MAIN!C259, "0", ""), "1", ""), "2", ""), "3", ""), "4", ""), "5", ""), "6", ""), "7", ""), "8", ""), "9", ""))))</f>
        <v>--</v>
      </c>
      <c r="D259" t="str">
        <f>IF(ISBLANK(MAIN!D259), "--", IF(ISNUMBER(MATCH(SUBSTITUTE(LEFT(MAIN!D259, IFERROR(FIND(",", MAIN!D259)-1, LEN(MAIN!D259))), " ", ""), lookup_values!$B$2:$B$51, 0)), UPPER(SUBSTITUTE(LEFT(MAIN!D259, IFERROR(FIND(",", MAIN!D259)-1, LEN(MAIN!D259))), " ", "")), IF(ISNA(VLOOKUP(SUBSTITUTE(LEFT(MAIN!D259, IFERROR(FIND(",", MAIN!D259)-1, LEN(MAIN!D259))), " ", ""), lookup_values!$A$2:$B$51, 2, FALSE)), "--", VLOOKUP(SUBSTITUTE(LEFT(MAIN!D259, IFERROR(FIND(",", MAIN!D259)-1, LEN(MAIN!D259))), " ", ""), lookup_values!$A$2:$B$51, 2, FALSE))))</f>
        <v>--</v>
      </c>
      <c r="E259" t="str">
        <f>IF(CLEAN_DATA!D259&lt;&gt;"--","US",IF(ISBLANK(MAIN!E259), "--", IF(ISNUMBER(MATCH(SUBSTITUTE(LEFT(MAIN!E259, IFERROR(FIND(",", MAIN!E259)-1, LEN(MAIN!E259))), " ", ""), lookup_values!$E$2:$E$197, 0)), UPPER(SUBSTITUTE(LEFT(MAIN!E259, IFERROR(FIND(",", MAIN!E259)-1, LEN(MAIN!E259))), " ", "")), IF(ISNA(VLOOKUP(SUBSTITUTE(LEFT(MAIN!E259, IFERROR(FIND(",", MAIN!E259)-1, LEN(MAIN!E259))), " ", ""), lookup_values!$D$2:$E$197, 2, FALSE)), "--", VLOOKUP(SUBSTITUTE(LEFT(MAIN!E259, IFERROR(FIND(",", MAIN!E259)-1, LEN(MAIN!E259))), " ", ""), lookup_values!$D$2:$E$197, 2, FALSE)))))</f>
        <v>--</v>
      </c>
      <c r="F259" t="str">
        <f>IF(ISBLANK(MAIN!F259), "", IF(AND(ISNUMBER(VALUE(TRIM(MAIN!F259))), LEN(TRIM(MAIN!F259))=4), VALUE(TRIM(MAIN!F259)), ""))</f>
        <v/>
      </c>
      <c r="G259">
        <f>IF(ISBLANK(MAIN!G259), 0, IF(ISNUMBER(VALUE(TRIM(MAIN!G259))), VALUE(TRIM(MAIN!G259)), 0))</f>
        <v>0</v>
      </c>
      <c r="H259">
        <f>IF(ISBLANK(MAIN!H259), 0, IF(ISNUMBER(VALUE(TRIM(MAIN!H259))), VALUE(TRIM(MAIN!H259)), 0))</f>
        <v>0</v>
      </c>
      <c r="I259">
        <f>IF(ISBLANK(MAIN!I259), 0, IF(ISNUMBER(VALUE(TRIM(MAIN!I259))), VALUE(TRIM(MAIN!I259)), 0))</f>
        <v>0</v>
      </c>
      <c r="J259">
        <f>IF(ISBLANK(MAIN!J259), 0, IF(ISNUMBER(VALUE(TRIM(MAIN!J259))), VALUE(TRIM(MAIN!J259)), 0))</f>
        <v>0</v>
      </c>
      <c r="K259" cm="1">
        <f t="array" ref="K259">IFERROR(
    VALUE(
        IFERROR(
            UPPER(
                IF(MAX(IFERROR(SEARCH("WD",MAIN!G259:J259), 0))&gt;0, "WD",
                IF(MAX(IFERROR(SEARCH("NS",MAIN!G259:J259), 0))&gt;0, "NS",
                IF(MAX(IFERROR(SEARCH("NC",MAIN!G259:J259), 0))&gt;0, "NC",
                IF(MAX(IFERROR(SEARCH("DQ",MAIN!G259:J259), 0))&gt;0, "DQ",
                IF(ISNUMBER(SEARCH("WD",MAIN!K259)), "WD",
                IF(ISNUMBER(SEARCH("NS",MAIN!K259)), "NS",
                IF(ISNUMBER(SEARCH("NC",MAIN!K259)), "NC",
                IF(ISNUMBER(SEARCH("DQ",MAIN!K259)), "DQ",
                IF(ISNUMBER(SEARCH("A",MAIN!K259)), 0,
                IF(OR(MAIN!K259=0,MAIN!K259=""), 0, --TRIM(MAIN!K259)))))))))))),
            0
        )
    ),
    IFERROR(
        UPPER(
            IF(MAX(IFERROR(SEARCH("WD",MAIN!G259:J259), 0))&gt;0, "WD",
            IF(MAX(IFERROR(SEARCH("NS",MAIN!G259:J259), 0))&gt;0, "NS",
            IF(MAX(IFERROR(SEARCH("NC",MAIN!G259:J259), 0))&gt;0, "NC",
            IF(MAX(IFERROR(SEARCH("DQ",MAIN!G259:J259), 0))&gt;0, "DQ",
            IF(ISNUMBER(SEARCH("WD",MAIN!K259)), "WD",
            IF(ISNUMBER(SEARCH("NS",MAIN!K259)), "NS",
            IF(ISNUMBER(SEARCH("NC",MAIN!K259)), "NC",
            IF(ISNUMBER(SEARCH("DQ",MAIN!K259)), "DQ",
            IF(ISNUMBER(SEARCH("A",MAIN!K259)), 0,
            IF(OR(MAIN!K259=0,MAIN!K259=""), 0, --TRIM(MAIN!K259)))))))))))),
        0
    )
)</f>
        <v>0</v>
      </c>
    </row>
    <row r="260" spans="1:11" x14ac:dyDescent="0.25">
      <c r="A260" t="str">
        <f>IF(ISBLANK(MAIN!A260), "--", IFERROR(PROPER(SUBSTITUTE(SUBSTITUTE(SUBSTITUTE(SUBSTITUTE(SUBSTITUTE(SUBSTITUTE(SUBSTITUTE(SUBSTITUTE(SUBSTITUTE(SUBSTITUTE(LEFT(MAIN!A260, FIND(",",MAIN!A260) -1), "0", ""), "1", ""), "2", ""), "3", ""), "4", ""), "5", ""), "6", ""), "7", ""), "8", ""), "9", "")), PROPER(SUBSTITUTE(SUBSTITUTE(SUBSTITUTE(SUBSTITUTE(SUBSTITUTE(SUBSTITUTE(SUBSTITUTE(SUBSTITUTE(SUBSTITUTE(SUBSTITUTE(MAIN!A260, "0", ""), "1", ""), "2", ""), "3", ""), "4", ""), "5", ""), "6", ""), "7", ""), "8", ""), "9", ""))))</f>
        <v>--</v>
      </c>
      <c r="B260" t="str">
        <f>IF(ISBLANK(MAIN!B260), "--", IFERROR(PROPER(SUBSTITUTE(SUBSTITUTE(SUBSTITUTE(SUBSTITUTE(SUBSTITUTE(SUBSTITUTE(SUBSTITUTE(SUBSTITUTE(SUBSTITUTE(SUBSTITUTE(LEFT(MAIN!B260, FIND(",",MAIN!B260) -1), "0", ""), "1", ""), "2", ""), "3", ""), "4", ""), "5", ""), "6", ""), "7", ""), "8", ""), "9", "")), PROPER(SUBSTITUTE(SUBSTITUTE(SUBSTITUTE(SUBSTITUTE(SUBSTITUTE(SUBSTITUTE(SUBSTITUTE(SUBSTITUTE(SUBSTITUTE(SUBSTITUTE(MAIN!B260, "0", ""), "1", ""), "2", ""), "3", ""), "4", ""), "5", ""), "6", ""), "7", ""), "8", ""), "9", ""))))</f>
        <v>--</v>
      </c>
      <c r="C260" t="str">
        <f>IF(ISBLANK(MAIN!C260), "--", IFERROR(PROPER(SUBSTITUTE(SUBSTITUTE(SUBSTITUTE(SUBSTITUTE(SUBSTITUTE(SUBSTITUTE(SUBSTITUTE(SUBSTITUTE(SUBSTITUTE(SUBSTITUTE(LEFT(MAIN!C260, FIND(",",MAIN!C260) -1), "0", ""), "1", ""), "2", ""), "3", ""), "4", ""), "5", ""), "6", ""), "7", ""), "8", ""), "9", "")), PROPER(SUBSTITUTE(SUBSTITUTE(SUBSTITUTE(SUBSTITUTE(SUBSTITUTE(SUBSTITUTE(SUBSTITUTE(SUBSTITUTE(SUBSTITUTE(SUBSTITUTE(MAIN!C260, "0", ""), "1", ""), "2", ""), "3", ""), "4", ""), "5", ""), "6", ""), "7", ""), "8", ""), "9", ""))))</f>
        <v>--</v>
      </c>
      <c r="D260" t="str">
        <f>IF(ISBLANK(MAIN!D260), "--", IF(ISNUMBER(MATCH(SUBSTITUTE(LEFT(MAIN!D260, IFERROR(FIND(",", MAIN!D260)-1, LEN(MAIN!D260))), " ", ""), lookup_values!$B$2:$B$51, 0)), UPPER(SUBSTITUTE(LEFT(MAIN!D260, IFERROR(FIND(",", MAIN!D260)-1, LEN(MAIN!D260))), " ", "")), IF(ISNA(VLOOKUP(SUBSTITUTE(LEFT(MAIN!D260, IFERROR(FIND(",", MAIN!D260)-1, LEN(MAIN!D260))), " ", ""), lookup_values!$A$2:$B$51, 2, FALSE)), "--", VLOOKUP(SUBSTITUTE(LEFT(MAIN!D260, IFERROR(FIND(",", MAIN!D260)-1, LEN(MAIN!D260))), " ", ""), lookup_values!$A$2:$B$51, 2, FALSE))))</f>
        <v>--</v>
      </c>
      <c r="E260" t="str">
        <f>IF(CLEAN_DATA!D260&lt;&gt;"--","US",IF(ISBLANK(MAIN!E260), "--", IF(ISNUMBER(MATCH(SUBSTITUTE(LEFT(MAIN!E260, IFERROR(FIND(",", MAIN!E260)-1, LEN(MAIN!E260))), " ", ""), lookup_values!$E$2:$E$197, 0)), UPPER(SUBSTITUTE(LEFT(MAIN!E260, IFERROR(FIND(",", MAIN!E260)-1, LEN(MAIN!E260))), " ", "")), IF(ISNA(VLOOKUP(SUBSTITUTE(LEFT(MAIN!E260, IFERROR(FIND(",", MAIN!E260)-1, LEN(MAIN!E260))), " ", ""), lookup_values!$D$2:$E$197, 2, FALSE)), "--", VLOOKUP(SUBSTITUTE(LEFT(MAIN!E260, IFERROR(FIND(",", MAIN!E260)-1, LEN(MAIN!E260))), " ", ""), lookup_values!$D$2:$E$197, 2, FALSE)))))</f>
        <v>--</v>
      </c>
      <c r="F260" t="str">
        <f>IF(ISBLANK(MAIN!F260), "", IF(AND(ISNUMBER(VALUE(TRIM(MAIN!F260))), LEN(TRIM(MAIN!F260))=4), VALUE(TRIM(MAIN!F260)), ""))</f>
        <v/>
      </c>
      <c r="G260">
        <f>IF(ISBLANK(MAIN!G260), 0, IF(ISNUMBER(VALUE(TRIM(MAIN!G260))), VALUE(TRIM(MAIN!G260)), 0))</f>
        <v>0</v>
      </c>
      <c r="H260">
        <f>IF(ISBLANK(MAIN!H260), 0, IF(ISNUMBER(VALUE(TRIM(MAIN!H260))), VALUE(TRIM(MAIN!H260)), 0))</f>
        <v>0</v>
      </c>
      <c r="I260">
        <f>IF(ISBLANK(MAIN!I260), 0, IF(ISNUMBER(VALUE(TRIM(MAIN!I260))), VALUE(TRIM(MAIN!I260)), 0))</f>
        <v>0</v>
      </c>
      <c r="J260">
        <f>IF(ISBLANK(MAIN!J260), 0, IF(ISNUMBER(VALUE(TRIM(MAIN!J260))), VALUE(TRIM(MAIN!J260)), 0))</f>
        <v>0</v>
      </c>
      <c r="K260" cm="1">
        <f t="array" ref="K260">IFERROR(
    VALUE(
        IFERROR(
            UPPER(
                IF(MAX(IFERROR(SEARCH("WD",MAIN!G260:J260), 0))&gt;0, "WD",
                IF(MAX(IFERROR(SEARCH("NS",MAIN!G260:J260), 0))&gt;0, "NS",
                IF(MAX(IFERROR(SEARCH("NC",MAIN!G260:J260), 0))&gt;0, "NC",
                IF(MAX(IFERROR(SEARCH("DQ",MAIN!G260:J260), 0))&gt;0, "DQ",
                IF(ISNUMBER(SEARCH("WD",MAIN!K260)), "WD",
                IF(ISNUMBER(SEARCH("NS",MAIN!K260)), "NS",
                IF(ISNUMBER(SEARCH("NC",MAIN!K260)), "NC",
                IF(ISNUMBER(SEARCH("DQ",MAIN!K260)), "DQ",
                IF(ISNUMBER(SEARCH("A",MAIN!K260)), 0,
                IF(OR(MAIN!K260=0,MAIN!K260=""), 0, --TRIM(MAIN!K260)))))))))))),
            0
        )
    ),
    IFERROR(
        UPPER(
            IF(MAX(IFERROR(SEARCH("WD",MAIN!G260:J260), 0))&gt;0, "WD",
            IF(MAX(IFERROR(SEARCH("NS",MAIN!G260:J260), 0))&gt;0, "NS",
            IF(MAX(IFERROR(SEARCH("NC",MAIN!G260:J260), 0))&gt;0, "NC",
            IF(MAX(IFERROR(SEARCH("DQ",MAIN!G260:J260), 0))&gt;0, "DQ",
            IF(ISNUMBER(SEARCH("WD",MAIN!K260)), "WD",
            IF(ISNUMBER(SEARCH("NS",MAIN!K260)), "NS",
            IF(ISNUMBER(SEARCH("NC",MAIN!K260)), "NC",
            IF(ISNUMBER(SEARCH("DQ",MAIN!K260)), "DQ",
            IF(ISNUMBER(SEARCH("A",MAIN!K260)), 0,
            IF(OR(MAIN!K260=0,MAIN!K260=""), 0, --TRIM(MAIN!K260)))))))))))),
        0
    )
)</f>
        <v>0</v>
      </c>
    </row>
    <row r="261" spans="1:11" x14ac:dyDescent="0.25">
      <c r="A261" t="str">
        <f>IF(ISBLANK(MAIN!A261), "--", IFERROR(PROPER(SUBSTITUTE(SUBSTITUTE(SUBSTITUTE(SUBSTITUTE(SUBSTITUTE(SUBSTITUTE(SUBSTITUTE(SUBSTITUTE(SUBSTITUTE(SUBSTITUTE(LEFT(MAIN!A261, FIND(",",MAIN!A261) -1), "0", ""), "1", ""), "2", ""), "3", ""), "4", ""), "5", ""), "6", ""), "7", ""), "8", ""), "9", "")), PROPER(SUBSTITUTE(SUBSTITUTE(SUBSTITUTE(SUBSTITUTE(SUBSTITUTE(SUBSTITUTE(SUBSTITUTE(SUBSTITUTE(SUBSTITUTE(SUBSTITUTE(MAIN!A261, "0", ""), "1", ""), "2", ""), "3", ""), "4", ""), "5", ""), "6", ""), "7", ""), "8", ""), "9", ""))))</f>
        <v>--</v>
      </c>
      <c r="B261" t="str">
        <f>IF(ISBLANK(MAIN!B261), "--", IFERROR(PROPER(SUBSTITUTE(SUBSTITUTE(SUBSTITUTE(SUBSTITUTE(SUBSTITUTE(SUBSTITUTE(SUBSTITUTE(SUBSTITUTE(SUBSTITUTE(SUBSTITUTE(LEFT(MAIN!B261, FIND(",",MAIN!B261) -1), "0", ""), "1", ""), "2", ""), "3", ""), "4", ""), "5", ""), "6", ""), "7", ""), "8", ""), "9", "")), PROPER(SUBSTITUTE(SUBSTITUTE(SUBSTITUTE(SUBSTITUTE(SUBSTITUTE(SUBSTITUTE(SUBSTITUTE(SUBSTITUTE(SUBSTITUTE(SUBSTITUTE(MAIN!B261, "0", ""), "1", ""), "2", ""), "3", ""), "4", ""), "5", ""), "6", ""), "7", ""), "8", ""), "9", ""))))</f>
        <v>--</v>
      </c>
      <c r="C261" t="str">
        <f>IF(ISBLANK(MAIN!C261), "--", IFERROR(PROPER(SUBSTITUTE(SUBSTITUTE(SUBSTITUTE(SUBSTITUTE(SUBSTITUTE(SUBSTITUTE(SUBSTITUTE(SUBSTITUTE(SUBSTITUTE(SUBSTITUTE(LEFT(MAIN!C261, FIND(",",MAIN!C261) -1), "0", ""), "1", ""), "2", ""), "3", ""), "4", ""), "5", ""), "6", ""), "7", ""), "8", ""), "9", "")), PROPER(SUBSTITUTE(SUBSTITUTE(SUBSTITUTE(SUBSTITUTE(SUBSTITUTE(SUBSTITUTE(SUBSTITUTE(SUBSTITUTE(SUBSTITUTE(SUBSTITUTE(MAIN!C261, "0", ""), "1", ""), "2", ""), "3", ""), "4", ""), "5", ""), "6", ""), "7", ""), "8", ""), "9", ""))))</f>
        <v>--</v>
      </c>
      <c r="D261" t="str">
        <f>IF(ISBLANK(MAIN!D261), "--", IF(ISNUMBER(MATCH(SUBSTITUTE(LEFT(MAIN!D261, IFERROR(FIND(",", MAIN!D261)-1, LEN(MAIN!D261))), " ", ""), lookup_values!$B$2:$B$51, 0)), UPPER(SUBSTITUTE(LEFT(MAIN!D261, IFERROR(FIND(",", MAIN!D261)-1, LEN(MAIN!D261))), " ", "")), IF(ISNA(VLOOKUP(SUBSTITUTE(LEFT(MAIN!D261, IFERROR(FIND(",", MAIN!D261)-1, LEN(MAIN!D261))), " ", ""), lookup_values!$A$2:$B$51, 2, FALSE)), "--", VLOOKUP(SUBSTITUTE(LEFT(MAIN!D261, IFERROR(FIND(",", MAIN!D261)-1, LEN(MAIN!D261))), " ", ""), lookup_values!$A$2:$B$51, 2, FALSE))))</f>
        <v>--</v>
      </c>
      <c r="E261" t="str">
        <f>IF(CLEAN_DATA!D261&lt;&gt;"--","US",IF(ISBLANK(MAIN!E261), "--", IF(ISNUMBER(MATCH(SUBSTITUTE(LEFT(MAIN!E261, IFERROR(FIND(",", MAIN!E261)-1, LEN(MAIN!E261))), " ", ""), lookup_values!$E$2:$E$197, 0)), UPPER(SUBSTITUTE(LEFT(MAIN!E261, IFERROR(FIND(",", MAIN!E261)-1, LEN(MAIN!E261))), " ", "")), IF(ISNA(VLOOKUP(SUBSTITUTE(LEFT(MAIN!E261, IFERROR(FIND(",", MAIN!E261)-1, LEN(MAIN!E261))), " ", ""), lookup_values!$D$2:$E$197, 2, FALSE)), "--", VLOOKUP(SUBSTITUTE(LEFT(MAIN!E261, IFERROR(FIND(",", MAIN!E261)-1, LEN(MAIN!E261))), " ", ""), lookup_values!$D$2:$E$197, 2, FALSE)))))</f>
        <v>--</v>
      </c>
      <c r="F261" t="str">
        <f>IF(ISBLANK(MAIN!F261), "", IF(AND(ISNUMBER(VALUE(TRIM(MAIN!F261))), LEN(TRIM(MAIN!F261))=4), VALUE(TRIM(MAIN!F261)), ""))</f>
        <v/>
      </c>
      <c r="G261">
        <f>IF(ISBLANK(MAIN!G261), 0, IF(ISNUMBER(VALUE(TRIM(MAIN!G261))), VALUE(TRIM(MAIN!G261)), 0))</f>
        <v>0</v>
      </c>
      <c r="H261">
        <f>IF(ISBLANK(MAIN!H261), 0, IF(ISNUMBER(VALUE(TRIM(MAIN!H261))), VALUE(TRIM(MAIN!H261)), 0))</f>
        <v>0</v>
      </c>
      <c r="I261">
        <f>IF(ISBLANK(MAIN!I261), 0, IF(ISNUMBER(VALUE(TRIM(MAIN!I261))), VALUE(TRIM(MAIN!I261)), 0))</f>
        <v>0</v>
      </c>
      <c r="J261">
        <f>IF(ISBLANK(MAIN!J261), 0, IF(ISNUMBER(VALUE(TRIM(MAIN!J261))), VALUE(TRIM(MAIN!J261)), 0))</f>
        <v>0</v>
      </c>
      <c r="K261" cm="1">
        <f t="array" ref="K261">IFERROR(
    VALUE(
        IFERROR(
            UPPER(
                IF(MAX(IFERROR(SEARCH("WD",MAIN!G261:J261), 0))&gt;0, "WD",
                IF(MAX(IFERROR(SEARCH("NS",MAIN!G261:J261), 0))&gt;0, "NS",
                IF(MAX(IFERROR(SEARCH("NC",MAIN!G261:J261), 0))&gt;0, "NC",
                IF(MAX(IFERROR(SEARCH("DQ",MAIN!G261:J261), 0))&gt;0, "DQ",
                IF(ISNUMBER(SEARCH("WD",MAIN!K261)), "WD",
                IF(ISNUMBER(SEARCH("NS",MAIN!K261)), "NS",
                IF(ISNUMBER(SEARCH("NC",MAIN!K261)), "NC",
                IF(ISNUMBER(SEARCH("DQ",MAIN!K261)), "DQ",
                IF(ISNUMBER(SEARCH("A",MAIN!K261)), 0,
                IF(OR(MAIN!K261=0,MAIN!K261=""), 0, --TRIM(MAIN!K261)))))))))))),
            0
        )
    ),
    IFERROR(
        UPPER(
            IF(MAX(IFERROR(SEARCH("WD",MAIN!G261:J261), 0))&gt;0, "WD",
            IF(MAX(IFERROR(SEARCH("NS",MAIN!G261:J261), 0))&gt;0, "NS",
            IF(MAX(IFERROR(SEARCH("NC",MAIN!G261:J261), 0))&gt;0, "NC",
            IF(MAX(IFERROR(SEARCH("DQ",MAIN!G261:J261), 0))&gt;0, "DQ",
            IF(ISNUMBER(SEARCH("WD",MAIN!K261)), "WD",
            IF(ISNUMBER(SEARCH("NS",MAIN!K261)), "NS",
            IF(ISNUMBER(SEARCH("NC",MAIN!K261)), "NC",
            IF(ISNUMBER(SEARCH("DQ",MAIN!K261)), "DQ",
            IF(ISNUMBER(SEARCH("A",MAIN!K261)), 0,
            IF(OR(MAIN!K261=0,MAIN!K261=""), 0, --TRIM(MAIN!K261)))))))))))),
        0
    )
)</f>
        <v>0</v>
      </c>
    </row>
    <row r="262" spans="1:11" x14ac:dyDescent="0.25">
      <c r="A262" t="str">
        <f>IF(ISBLANK(MAIN!A262), "--", IFERROR(PROPER(SUBSTITUTE(SUBSTITUTE(SUBSTITUTE(SUBSTITUTE(SUBSTITUTE(SUBSTITUTE(SUBSTITUTE(SUBSTITUTE(SUBSTITUTE(SUBSTITUTE(LEFT(MAIN!A262, FIND(",",MAIN!A262) -1), "0", ""), "1", ""), "2", ""), "3", ""), "4", ""), "5", ""), "6", ""), "7", ""), "8", ""), "9", "")), PROPER(SUBSTITUTE(SUBSTITUTE(SUBSTITUTE(SUBSTITUTE(SUBSTITUTE(SUBSTITUTE(SUBSTITUTE(SUBSTITUTE(SUBSTITUTE(SUBSTITUTE(MAIN!A262, "0", ""), "1", ""), "2", ""), "3", ""), "4", ""), "5", ""), "6", ""), "7", ""), "8", ""), "9", ""))))</f>
        <v>--</v>
      </c>
      <c r="B262" t="str">
        <f>IF(ISBLANK(MAIN!B262), "--", IFERROR(PROPER(SUBSTITUTE(SUBSTITUTE(SUBSTITUTE(SUBSTITUTE(SUBSTITUTE(SUBSTITUTE(SUBSTITUTE(SUBSTITUTE(SUBSTITUTE(SUBSTITUTE(LEFT(MAIN!B262, FIND(",",MAIN!B262) -1), "0", ""), "1", ""), "2", ""), "3", ""), "4", ""), "5", ""), "6", ""), "7", ""), "8", ""), "9", "")), PROPER(SUBSTITUTE(SUBSTITUTE(SUBSTITUTE(SUBSTITUTE(SUBSTITUTE(SUBSTITUTE(SUBSTITUTE(SUBSTITUTE(SUBSTITUTE(SUBSTITUTE(MAIN!B262, "0", ""), "1", ""), "2", ""), "3", ""), "4", ""), "5", ""), "6", ""), "7", ""), "8", ""), "9", ""))))</f>
        <v>--</v>
      </c>
      <c r="C262" t="str">
        <f>IF(ISBLANK(MAIN!C262), "--", IFERROR(PROPER(SUBSTITUTE(SUBSTITUTE(SUBSTITUTE(SUBSTITUTE(SUBSTITUTE(SUBSTITUTE(SUBSTITUTE(SUBSTITUTE(SUBSTITUTE(SUBSTITUTE(LEFT(MAIN!C262, FIND(",",MAIN!C262) -1), "0", ""), "1", ""), "2", ""), "3", ""), "4", ""), "5", ""), "6", ""), "7", ""), "8", ""), "9", "")), PROPER(SUBSTITUTE(SUBSTITUTE(SUBSTITUTE(SUBSTITUTE(SUBSTITUTE(SUBSTITUTE(SUBSTITUTE(SUBSTITUTE(SUBSTITUTE(SUBSTITUTE(MAIN!C262, "0", ""), "1", ""), "2", ""), "3", ""), "4", ""), "5", ""), "6", ""), "7", ""), "8", ""), "9", ""))))</f>
        <v>--</v>
      </c>
      <c r="D262" t="str">
        <f>IF(ISBLANK(MAIN!D262), "--", IF(ISNUMBER(MATCH(SUBSTITUTE(LEFT(MAIN!D262, IFERROR(FIND(",", MAIN!D262)-1, LEN(MAIN!D262))), " ", ""), lookup_values!$B$2:$B$51, 0)), UPPER(SUBSTITUTE(LEFT(MAIN!D262, IFERROR(FIND(",", MAIN!D262)-1, LEN(MAIN!D262))), " ", "")), IF(ISNA(VLOOKUP(SUBSTITUTE(LEFT(MAIN!D262, IFERROR(FIND(",", MAIN!D262)-1, LEN(MAIN!D262))), " ", ""), lookup_values!$A$2:$B$51, 2, FALSE)), "--", VLOOKUP(SUBSTITUTE(LEFT(MAIN!D262, IFERROR(FIND(",", MAIN!D262)-1, LEN(MAIN!D262))), " ", ""), lookup_values!$A$2:$B$51, 2, FALSE))))</f>
        <v>--</v>
      </c>
      <c r="E262" t="str">
        <f>IF(CLEAN_DATA!D262&lt;&gt;"--","US",IF(ISBLANK(MAIN!E262), "--", IF(ISNUMBER(MATCH(SUBSTITUTE(LEFT(MAIN!E262, IFERROR(FIND(",", MAIN!E262)-1, LEN(MAIN!E262))), " ", ""), lookup_values!$E$2:$E$197, 0)), UPPER(SUBSTITUTE(LEFT(MAIN!E262, IFERROR(FIND(",", MAIN!E262)-1, LEN(MAIN!E262))), " ", "")), IF(ISNA(VLOOKUP(SUBSTITUTE(LEFT(MAIN!E262, IFERROR(FIND(",", MAIN!E262)-1, LEN(MAIN!E262))), " ", ""), lookup_values!$D$2:$E$197, 2, FALSE)), "--", VLOOKUP(SUBSTITUTE(LEFT(MAIN!E262, IFERROR(FIND(",", MAIN!E262)-1, LEN(MAIN!E262))), " ", ""), lookup_values!$D$2:$E$197, 2, FALSE)))))</f>
        <v>--</v>
      </c>
      <c r="F262" t="str">
        <f>IF(ISBLANK(MAIN!F262), "", IF(AND(ISNUMBER(VALUE(TRIM(MAIN!F262))), LEN(TRIM(MAIN!F262))=4), VALUE(TRIM(MAIN!F262)), ""))</f>
        <v/>
      </c>
      <c r="G262">
        <f>IF(ISBLANK(MAIN!G262), 0, IF(ISNUMBER(VALUE(TRIM(MAIN!G262))), VALUE(TRIM(MAIN!G262)), 0))</f>
        <v>0</v>
      </c>
      <c r="H262">
        <f>IF(ISBLANK(MAIN!H262), 0, IF(ISNUMBER(VALUE(TRIM(MAIN!H262))), VALUE(TRIM(MAIN!H262)), 0))</f>
        <v>0</v>
      </c>
      <c r="I262">
        <f>IF(ISBLANK(MAIN!I262), 0, IF(ISNUMBER(VALUE(TRIM(MAIN!I262))), VALUE(TRIM(MAIN!I262)), 0))</f>
        <v>0</v>
      </c>
      <c r="J262">
        <f>IF(ISBLANK(MAIN!J262), 0, IF(ISNUMBER(VALUE(TRIM(MAIN!J262))), VALUE(TRIM(MAIN!J262)), 0))</f>
        <v>0</v>
      </c>
      <c r="K262" cm="1">
        <f t="array" ref="K262">IFERROR(
    VALUE(
        IFERROR(
            UPPER(
                IF(MAX(IFERROR(SEARCH("WD",MAIN!G262:J262), 0))&gt;0, "WD",
                IF(MAX(IFERROR(SEARCH("NS",MAIN!G262:J262), 0))&gt;0, "NS",
                IF(MAX(IFERROR(SEARCH("NC",MAIN!G262:J262), 0))&gt;0, "NC",
                IF(MAX(IFERROR(SEARCH("DQ",MAIN!G262:J262), 0))&gt;0, "DQ",
                IF(ISNUMBER(SEARCH("WD",MAIN!K262)), "WD",
                IF(ISNUMBER(SEARCH("NS",MAIN!K262)), "NS",
                IF(ISNUMBER(SEARCH("NC",MAIN!K262)), "NC",
                IF(ISNUMBER(SEARCH("DQ",MAIN!K262)), "DQ",
                IF(ISNUMBER(SEARCH("A",MAIN!K262)), 0,
                IF(OR(MAIN!K262=0,MAIN!K262=""), 0, --TRIM(MAIN!K262)))))))))))),
            0
        )
    ),
    IFERROR(
        UPPER(
            IF(MAX(IFERROR(SEARCH("WD",MAIN!G262:J262), 0))&gt;0, "WD",
            IF(MAX(IFERROR(SEARCH("NS",MAIN!G262:J262), 0))&gt;0, "NS",
            IF(MAX(IFERROR(SEARCH("NC",MAIN!G262:J262), 0))&gt;0, "NC",
            IF(MAX(IFERROR(SEARCH("DQ",MAIN!G262:J262), 0))&gt;0, "DQ",
            IF(ISNUMBER(SEARCH("WD",MAIN!K262)), "WD",
            IF(ISNUMBER(SEARCH("NS",MAIN!K262)), "NS",
            IF(ISNUMBER(SEARCH("NC",MAIN!K262)), "NC",
            IF(ISNUMBER(SEARCH("DQ",MAIN!K262)), "DQ",
            IF(ISNUMBER(SEARCH("A",MAIN!K262)), 0,
            IF(OR(MAIN!K262=0,MAIN!K262=""), 0, --TRIM(MAIN!K262)))))))))))),
        0
    )
)</f>
        <v>0</v>
      </c>
    </row>
    <row r="263" spans="1:11" x14ac:dyDescent="0.25">
      <c r="A263" t="str">
        <f>IF(ISBLANK(MAIN!A263), "--", IFERROR(PROPER(SUBSTITUTE(SUBSTITUTE(SUBSTITUTE(SUBSTITUTE(SUBSTITUTE(SUBSTITUTE(SUBSTITUTE(SUBSTITUTE(SUBSTITUTE(SUBSTITUTE(LEFT(MAIN!A263, FIND(",",MAIN!A263) -1), "0", ""), "1", ""), "2", ""), "3", ""), "4", ""), "5", ""), "6", ""), "7", ""), "8", ""), "9", "")), PROPER(SUBSTITUTE(SUBSTITUTE(SUBSTITUTE(SUBSTITUTE(SUBSTITUTE(SUBSTITUTE(SUBSTITUTE(SUBSTITUTE(SUBSTITUTE(SUBSTITUTE(MAIN!A263, "0", ""), "1", ""), "2", ""), "3", ""), "4", ""), "5", ""), "6", ""), "7", ""), "8", ""), "9", ""))))</f>
        <v>--</v>
      </c>
      <c r="B263" t="str">
        <f>IF(ISBLANK(MAIN!B263), "--", IFERROR(PROPER(SUBSTITUTE(SUBSTITUTE(SUBSTITUTE(SUBSTITUTE(SUBSTITUTE(SUBSTITUTE(SUBSTITUTE(SUBSTITUTE(SUBSTITUTE(SUBSTITUTE(LEFT(MAIN!B263, FIND(",",MAIN!B263) -1), "0", ""), "1", ""), "2", ""), "3", ""), "4", ""), "5", ""), "6", ""), "7", ""), "8", ""), "9", "")), PROPER(SUBSTITUTE(SUBSTITUTE(SUBSTITUTE(SUBSTITUTE(SUBSTITUTE(SUBSTITUTE(SUBSTITUTE(SUBSTITUTE(SUBSTITUTE(SUBSTITUTE(MAIN!B263, "0", ""), "1", ""), "2", ""), "3", ""), "4", ""), "5", ""), "6", ""), "7", ""), "8", ""), "9", ""))))</f>
        <v>--</v>
      </c>
      <c r="C263" t="str">
        <f>IF(ISBLANK(MAIN!C263), "--", IFERROR(PROPER(SUBSTITUTE(SUBSTITUTE(SUBSTITUTE(SUBSTITUTE(SUBSTITUTE(SUBSTITUTE(SUBSTITUTE(SUBSTITUTE(SUBSTITUTE(SUBSTITUTE(LEFT(MAIN!C263, FIND(",",MAIN!C263) -1), "0", ""), "1", ""), "2", ""), "3", ""), "4", ""), "5", ""), "6", ""), "7", ""), "8", ""), "9", "")), PROPER(SUBSTITUTE(SUBSTITUTE(SUBSTITUTE(SUBSTITUTE(SUBSTITUTE(SUBSTITUTE(SUBSTITUTE(SUBSTITUTE(SUBSTITUTE(SUBSTITUTE(MAIN!C263, "0", ""), "1", ""), "2", ""), "3", ""), "4", ""), "5", ""), "6", ""), "7", ""), "8", ""), "9", ""))))</f>
        <v>--</v>
      </c>
      <c r="D263" t="str">
        <f>IF(ISBLANK(MAIN!D263), "--", IF(ISNUMBER(MATCH(SUBSTITUTE(LEFT(MAIN!D263, IFERROR(FIND(",", MAIN!D263)-1, LEN(MAIN!D263))), " ", ""), lookup_values!$B$2:$B$51, 0)), UPPER(SUBSTITUTE(LEFT(MAIN!D263, IFERROR(FIND(",", MAIN!D263)-1, LEN(MAIN!D263))), " ", "")), IF(ISNA(VLOOKUP(SUBSTITUTE(LEFT(MAIN!D263, IFERROR(FIND(",", MAIN!D263)-1, LEN(MAIN!D263))), " ", ""), lookup_values!$A$2:$B$51, 2, FALSE)), "--", VLOOKUP(SUBSTITUTE(LEFT(MAIN!D263, IFERROR(FIND(",", MAIN!D263)-1, LEN(MAIN!D263))), " ", ""), lookup_values!$A$2:$B$51, 2, FALSE))))</f>
        <v>--</v>
      </c>
      <c r="E263" t="str">
        <f>IF(CLEAN_DATA!D263&lt;&gt;"--","US",IF(ISBLANK(MAIN!E263), "--", IF(ISNUMBER(MATCH(SUBSTITUTE(LEFT(MAIN!E263, IFERROR(FIND(",", MAIN!E263)-1, LEN(MAIN!E263))), " ", ""), lookup_values!$E$2:$E$197, 0)), UPPER(SUBSTITUTE(LEFT(MAIN!E263, IFERROR(FIND(",", MAIN!E263)-1, LEN(MAIN!E263))), " ", "")), IF(ISNA(VLOOKUP(SUBSTITUTE(LEFT(MAIN!E263, IFERROR(FIND(",", MAIN!E263)-1, LEN(MAIN!E263))), " ", ""), lookup_values!$D$2:$E$197, 2, FALSE)), "--", VLOOKUP(SUBSTITUTE(LEFT(MAIN!E263, IFERROR(FIND(",", MAIN!E263)-1, LEN(MAIN!E263))), " ", ""), lookup_values!$D$2:$E$197, 2, FALSE)))))</f>
        <v>--</v>
      </c>
      <c r="F263" t="str">
        <f>IF(ISBLANK(MAIN!F263), "", IF(AND(ISNUMBER(VALUE(TRIM(MAIN!F263))), LEN(TRIM(MAIN!F263))=4), VALUE(TRIM(MAIN!F263)), ""))</f>
        <v/>
      </c>
      <c r="G263">
        <f>IF(ISBLANK(MAIN!G263), 0, IF(ISNUMBER(VALUE(TRIM(MAIN!G263))), VALUE(TRIM(MAIN!G263)), 0))</f>
        <v>0</v>
      </c>
      <c r="H263">
        <f>IF(ISBLANK(MAIN!H263), 0, IF(ISNUMBER(VALUE(TRIM(MAIN!H263))), VALUE(TRIM(MAIN!H263)), 0))</f>
        <v>0</v>
      </c>
      <c r="I263">
        <f>IF(ISBLANK(MAIN!I263), 0, IF(ISNUMBER(VALUE(TRIM(MAIN!I263))), VALUE(TRIM(MAIN!I263)), 0))</f>
        <v>0</v>
      </c>
      <c r="J263">
        <f>IF(ISBLANK(MAIN!J263), 0, IF(ISNUMBER(VALUE(TRIM(MAIN!J263))), VALUE(TRIM(MAIN!J263)), 0))</f>
        <v>0</v>
      </c>
      <c r="K263" cm="1">
        <f t="array" ref="K263">IFERROR(
    VALUE(
        IFERROR(
            UPPER(
                IF(MAX(IFERROR(SEARCH("WD",MAIN!G263:J263), 0))&gt;0, "WD",
                IF(MAX(IFERROR(SEARCH("NS",MAIN!G263:J263), 0))&gt;0, "NS",
                IF(MAX(IFERROR(SEARCH("NC",MAIN!G263:J263), 0))&gt;0, "NC",
                IF(MAX(IFERROR(SEARCH("DQ",MAIN!G263:J263), 0))&gt;0, "DQ",
                IF(ISNUMBER(SEARCH("WD",MAIN!K263)), "WD",
                IF(ISNUMBER(SEARCH("NS",MAIN!K263)), "NS",
                IF(ISNUMBER(SEARCH("NC",MAIN!K263)), "NC",
                IF(ISNUMBER(SEARCH("DQ",MAIN!K263)), "DQ",
                IF(ISNUMBER(SEARCH("A",MAIN!K263)), 0,
                IF(OR(MAIN!K263=0,MAIN!K263=""), 0, --TRIM(MAIN!K263)))))))))))),
            0
        )
    ),
    IFERROR(
        UPPER(
            IF(MAX(IFERROR(SEARCH("WD",MAIN!G263:J263), 0))&gt;0, "WD",
            IF(MAX(IFERROR(SEARCH("NS",MAIN!G263:J263), 0))&gt;0, "NS",
            IF(MAX(IFERROR(SEARCH("NC",MAIN!G263:J263), 0))&gt;0, "NC",
            IF(MAX(IFERROR(SEARCH("DQ",MAIN!G263:J263), 0))&gt;0, "DQ",
            IF(ISNUMBER(SEARCH("WD",MAIN!K263)), "WD",
            IF(ISNUMBER(SEARCH("NS",MAIN!K263)), "NS",
            IF(ISNUMBER(SEARCH("NC",MAIN!K263)), "NC",
            IF(ISNUMBER(SEARCH("DQ",MAIN!K263)), "DQ",
            IF(ISNUMBER(SEARCH("A",MAIN!K263)), 0,
            IF(OR(MAIN!K263=0,MAIN!K263=""), 0, --TRIM(MAIN!K263)))))))))))),
        0
    )
)</f>
        <v>0</v>
      </c>
    </row>
    <row r="264" spans="1:11" x14ac:dyDescent="0.25">
      <c r="A264" t="str">
        <f>IF(ISBLANK(MAIN!A264), "--", IFERROR(PROPER(SUBSTITUTE(SUBSTITUTE(SUBSTITUTE(SUBSTITUTE(SUBSTITUTE(SUBSTITUTE(SUBSTITUTE(SUBSTITUTE(SUBSTITUTE(SUBSTITUTE(LEFT(MAIN!A264, FIND(",",MAIN!A264) -1), "0", ""), "1", ""), "2", ""), "3", ""), "4", ""), "5", ""), "6", ""), "7", ""), "8", ""), "9", "")), PROPER(SUBSTITUTE(SUBSTITUTE(SUBSTITUTE(SUBSTITUTE(SUBSTITUTE(SUBSTITUTE(SUBSTITUTE(SUBSTITUTE(SUBSTITUTE(SUBSTITUTE(MAIN!A264, "0", ""), "1", ""), "2", ""), "3", ""), "4", ""), "5", ""), "6", ""), "7", ""), "8", ""), "9", ""))))</f>
        <v>--</v>
      </c>
      <c r="B264" t="str">
        <f>IF(ISBLANK(MAIN!B264), "--", IFERROR(PROPER(SUBSTITUTE(SUBSTITUTE(SUBSTITUTE(SUBSTITUTE(SUBSTITUTE(SUBSTITUTE(SUBSTITUTE(SUBSTITUTE(SUBSTITUTE(SUBSTITUTE(LEFT(MAIN!B264, FIND(",",MAIN!B264) -1), "0", ""), "1", ""), "2", ""), "3", ""), "4", ""), "5", ""), "6", ""), "7", ""), "8", ""), "9", "")), PROPER(SUBSTITUTE(SUBSTITUTE(SUBSTITUTE(SUBSTITUTE(SUBSTITUTE(SUBSTITUTE(SUBSTITUTE(SUBSTITUTE(SUBSTITUTE(SUBSTITUTE(MAIN!B264, "0", ""), "1", ""), "2", ""), "3", ""), "4", ""), "5", ""), "6", ""), "7", ""), "8", ""), "9", ""))))</f>
        <v>--</v>
      </c>
      <c r="C264" t="str">
        <f>IF(ISBLANK(MAIN!C264), "--", IFERROR(PROPER(SUBSTITUTE(SUBSTITUTE(SUBSTITUTE(SUBSTITUTE(SUBSTITUTE(SUBSTITUTE(SUBSTITUTE(SUBSTITUTE(SUBSTITUTE(SUBSTITUTE(LEFT(MAIN!C264, FIND(",",MAIN!C264) -1), "0", ""), "1", ""), "2", ""), "3", ""), "4", ""), "5", ""), "6", ""), "7", ""), "8", ""), "9", "")), PROPER(SUBSTITUTE(SUBSTITUTE(SUBSTITUTE(SUBSTITUTE(SUBSTITUTE(SUBSTITUTE(SUBSTITUTE(SUBSTITUTE(SUBSTITUTE(SUBSTITUTE(MAIN!C264, "0", ""), "1", ""), "2", ""), "3", ""), "4", ""), "5", ""), "6", ""), "7", ""), "8", ""), "9", ""))))</f>
        <v>--</v>
      </c>
      <c r="D264" t="str">
        <f>IF(ISBLANK(MAIN!D264), "--", IF(ISNUMBER(MATCH(SUBSTITUTE(LEFT(MAIN!D264, IFERROR(FIND(",", MAIN!D264)-1, LEN(MAIN!D264))), " ", ""), lookup_values!$B$2:$B$51, 0)), UPPER(SUBSTITUTE(LEFT(MAIN!D264, IFERROR(FIND(",", MAIN!D264)-1, LEN(MAIN!D264))), " ", "")), IF(ISNA(VLOOKUP(SUBSTITUTE(LEFT(MAIN!D264, IFERROR(FIND(",", MAIN!D264)-1, LEN(MAIN!D264))), " ", ""), lookup_values!$A$2:$B$51, 2, FALSE)), "--", VLOOKUP(SUBSTITUTE(LEFT(MAIN!D264, IFERROR(FIND(",", MAIN!D264)-1, LEN(MAIN!D264))), " ", ""), lookup_values!$A$2:$B$51, 2, FALSE))))</f>
        <v>--</v>
      </c>
      <c r="E264" t="str">
        <f>IF(CLEAN_DATA!D264&lt;&gt;"--","US",IF(ISBLANK(MAIN!E264), "--", IF(ISNUMBER(MATCH(SUBSTITUTE(LEFT(MAIN!E264, IFERROR(FIND(",", MAIN!E264)-1, LEN(MAIN!E264))), " ", ""), lookup_values!$E$2:$E$197, 0)), UPPER(SUBSTITUTE(LEFT(MAIN!E264, IFERROR(FIND(",", MAIN!E264)-1, LEN(MAIN!E264))), " ", "")), IF(ISNA(VLOOKUP(SUBSTITUTE(LEFT(MAIN!E264, IFERROR(FIND(",", MAIN!E264)-1, LEN(MAIN!E264))), " ", ""), lookup_values!$D$2:$E$197, 2, FALSE)), "--", VLOOKUP(SUBSTITUTE(LEFT(MAIN!E264, IFERROR(FIND(",", MAIN!E264)-1, LEN(MAIN!E264))), " ", ""), lookup_values!$D$2:$E$197, 2, FALSE)))))</f>
        <v>--</v>
      </c>
      <c r="F264" t="str">
        <f>IF(ISBLANK(MAIN!F264), "", IF(AND(ISNUMBER(VALUE(TRIM(MAIN!F264))), LEN(TRIM(MAIN!F264))=4), VALUE(TRIM(MAIN!F264)), ""))</f>
        <v/>
      </c>
      <c r="G264">
        <f>IF(ISBLANK(MAIN!G264), 0, IF(ISNUMBER(VALUE(TRIM(MAIN!G264))), VALUE(TRIM(MAIN!G264)), 0))</f>
        <v>0</v>
      </c>
      <c r="H264">
        <f>IF(ISBLANK(MAIN!H264), 0, IF(ISNUMBER(VALUE(TRIM(MAIN!H264))), VALUE(TRIM(MAIN!H264)), 0))</f>
        <v>0</v>
      </c>
      <c r="I264">
        <f>IF(ISBLANK(MAIN!I264), 0, IF(ISNUMBER(VALUE(TRIM(MAIN!I264))), VALUE(TRIM(MAIN!I264)), 0))</f>
        <v>0</v>
      </c>
      <c r="J264">
        <f>IF(ISBLANK(MAIN!J264), 0, IF(ISNUMBER(VALUE(TRIM(MAIN!J264))), VALUE(TRIM(MAIN!J264)), 0))</f>
        <v>0</v>
      </c>
      <c r="K264" cm="1">
        <f t="array" ref="K264">IFERROR(
    VALUE(
        IFERROR(
            UPPER(
                IF(MAX(IFERROR(SEARCH("WD",MAIN!G264:J264), 0))&gt;0, "WD",
                IF(MAX(IFERROR(SEARCH("NS",MAIN!G264:J264), 0))&gt;0, "NS",
                IF(MAX(IFERROR(SEARCH("NC",MAIN!G264:J264), 0))&gt;0, "NC",
                IF(MAX(IFERROR(SEARCH("DQ",MAIN!G264:J264), 0))&gt;0, "DQ",
                IF(ISNUMBER(SEARCH("WD",MAIN!K264)), "WD",
                IF(ISNUMBER(SEARCH("NS",MAIN!K264)), "NS",
                IF(ISNUMBER(SEARCH("NC",MAIN!K264)), "NC",
                IF(ISNUMBER(SEARCH("DQ",MAIN!K264)), "DQ",
                IF(ISNUMBER(SEARCH("A",MAIN!K264)), 0,
                IF(OR(MAIN!K264=0,MAIN!K264=""), 0, --TRIM(MAIN!K264)))))))))))),
            0
        )
    ),
    IFERROR(
        UPPER(
            IF(MAX(IFERROR(SEARCH("WD",MAIN!G264:J264), 0))&gt;0, "WD",
            IF(MAX(IFERROR(SEARCH("NS",MAIN!G264:J264), 0))&gt;0, "NS",
            IF(MAX(IFERROR(SEARCH("NC",MAIN!G264:J264), 0))&gt;0, "NC",
            IF(MAX(IFERROR(SEARCH("DQ",MAIN!G264:J264), 0))&gt;0, "DQ",
            IF(ISNUMBER(SEARCH("WD",MAIN!K264)), "WD",
            IF(ISNUMBER(SEARCH("NS",MAIN!K264)), "NS",
            IF(ISNUMBER(SEARCH("NC",MAIN!K264)), "NC",
            IF(ISNUMBER(SEARCH("DQ",MAIN!K264)), "DQ",
            IF(ISNUMBER(SEARCH("A",MAIN!K264)), 0,
            IF(OR(MAIN!K264=0,MAIN!K264=""), 0, --TRIM(MAIN!K264)))))))))))),
        0
    )
)</f>
        <v>0</v>
      </c>
    </row>
    <row r="265" spans="1:11" x14ac:dyDescent="0.25">
      <c r="A265" t="str">
        <f>IF(ISBLANK(MAIN!A265), "--", IFERROR(PROPER(SUBSTITUTE(SUBSTITUTE(SUBSTITUTE(SUBSTITUTE(SUBSTITUTE(SUBSTITUTE(SUBSTITUTE(SUBSTITUTE(SUBSTITUTE(SUBSTITUTE(LEFT(MAIN!A265, FIND(",",MAIN!A265) -1), "0", ""), "1", ""), "2", ""), "3", ""), "4", ""), "5", ""), "6", ""), "7", ""), "8", ""), "9", "")), PROPER(SUBSTITUTE(SUBSTITUTE(SUBSTITUTE(SUBSTITUTE(SUBSTITUTE(SUBSTITUTE(SUBSTITUTE(SUBSTITUTE(SUBSTITUTE(SUBSTITUTE(MAIN!A265, "0", ""), "1", ""), "2", ""), "3", ""), "4", ""), "5", ""), "6", ""), "7", ""), "8", ""), "9", ""))))</f>
        <v>--</v>
      </c>
      <c r="B265" t="str">
        <f>IF(ISBLANK(MAIN!B265), "--", IFERROR(PROPER(SUBSTITUTE(SUBSTITUTE(SUBSTITUTE(SUBSTITUTE(SUBSTITUTE(SUBSTITUTE(SUBSTITUTE(SUBSTITUTE(SUBSTITUTE(SUBSTITUTE(LEFT(MAIN!B265, FIND(",",MAIN!B265) -1), "0", ""), "1", ""), "2", ""), "3", ""), "4", ""), "5", ""), "6", ""), "7", ""), "8", ""), "9", "")), PROPER(SUBSTITUTE(SUBSTITUTE(SUBSTITUTE(SUBSTITUTE(SUBSTITUTE(SUBSTITUTE(SUBSTITUTE(SUBSTITUTE(SUBSTITUTE(SUBSTITUTE(MAIN!B265, "0", ""), "1", ""), "2", ""), "3", ""), "4", ""), "5", ""), "6", ""), "7", ""), "8", ""), "9", ""))))</f>
        <v>--</v>
      </c>
      <c r="C265" t="str">
        <f>IF(ISBLANK(MAIN!C265), "--", IFERROR(PROPER(SUBSTITUTE(SUBSTITUTE(SUBSTITUTE(SUBSTITUTE(SUBSTITUTE(SUBSTITUTE(SUBSTITUTE(SUBSTITUTE(SUBSTITUTE(SUBSTITUTE(LEFT(MAIN!C265, FIND(",",MAIN!C265) -1), "0", ""), "1", ""), "2", ""), "3", ""), "4", ""), "5", ""), "6", ""), "7", ""), "8", ""), "9", "")), PROPER(SUBSTITUTE(SUBSTITUTE(SUBSTITUTE(SUBSTITUTE(SUBSTITUTE(SUBSTITUTE(SUBSTITUTE(SUBSTITUTE(SUBSTITUTE(SUBSTITUTE(MAIN!C265, "0", ""), "1", ""), "2", ""), "3", ""), "4", ""), "5", ""), "6", ""), "7", ""), "8", ""), "9", ""))))</f>
        <v>--</v>
      </c>
      <c r="D265" t="str">
        <f>IF(ISBLANK(MAIN!D265), "--", IF(ISNUMBER(MATCH(SUBSTITUTE(LEFT(MAIN!D265, IFERROR(FIND(",", MAIN!D265)-1, LEN(MAIN!D265))), " ", ""), lookup_values!$B$2:$B$51, 0)), UPPER(SUBSTITUTE(LEFT(MAIN!D265, IFERROR(FIND(",", MAIN!D265)-1, LEN(MAIN!D265))), " ", "")), IF(ISNA(VLOOKUP(SUBSTITUTE(LEFT(MAIN!D265, IFERROR(FIND(",", MAIN!D265)-1, LEN(MAIN!D265))), " ", ""), lookup_values!$A$2:$B$51, 2, FALSE)), "--", VLOOKUP(SUBSTITUTE(LEFT(MAIN!D265, IFERROR(FIND(",", MAIN!D265)-1, LEN(MAIN!D265))), " ", ""), lookup_values!$A$2:$B$51, 2, FALSE))))</f>
        <v>--</v>
      </c>
      <c r="E265" t="str">
        <f>IF(CLEAN_DATA!D265&lt;&gt;"--","US",IF(ISBLANK(MAIN!E265), "--", IF(ISNUMBER(MATCH(SUBSTITUTE(LEFT(MAIN!E265, IFERROR(FIND(",", MAIN!E265)-1, LEN(MAIN!E265))), " ", ""), lookup_values!$E$2:$E$197, 0)), UPPER(SUBSTITUTE(LEFT(MAIN!E265, IFERROR(FIND(",", MAIN!E265)-1, LEN(MAIN!E265))), " ", "")), IF(ISNA(VLOOKUP(SUBSTITUTE(LEFT(MAIN!E265, IFERROR(FIND(",", MAIN!E265)-1, LEN(MAIN!E265))), " ", ""), lookup_values!$D$2:$E$197, 2, FALSE)), "--", VLOOKUP(SUBSTITUTE(LEFT(MAIN!E265, IFERROR(FIND(",", MAIN!E265)-1, LEN(MAIN!E265))), " ", ""), lookup_values!$D$2:$E$197, 2, FALSE)))))</f>
        <v>--</v>
      </c>
      <c r="F265" t="str">
        <f>IF(ISBLANK(MAIN!F265), "", IF(AND(ISNUMBER(VALUE(TRIM(MAIN!F265))), LEN(TRIM(MAIN!F265))=4), VALUE(TRIM(MAIN!F265)), ""))</f>
        <v/>
      </c>
      <c r="G265">
        <f>IF(ISBLANK(MAIN!G265), 0, IF(ISNUMBER(VALUE(TRIM(MAIN!G265))), VALUE(TRIM(MAIN!G265)), 0))</f>
        <v>0</v>
      </c>
      <c r="H265">
        <f>IF(ISBLANK(MAIN!H265), 0, IF(ISNUMBER(VALUE(TRIM(MAIN!H265))), VALUE(TRIM(MAIN!H265)), 0))</f>
        <v>0</v>
      </c>
      <c r="I265">
        <f>IF(ISBLANK(MAIN!I265), 0, IF(ISNUMBER(VALUE(TRIM(MAIN!I265))), VALUE(TRIM(MAIN!I265)), 0))</f>
        <v>0</v>
      </c>
      <c r="J265">
        <f>IF(ISBLANK(MAIN!J265), 0, IF(ISNUMBER(VALUE(TRIM(MAIN!J265))), VALUE(TRIM(MAIN!J265)), 0))</f>
        <v>0</v>
      </c>
      <c r="K265" cm="1">
        <f t="array" ref="K265">IFERROR(
    VALUE(
        IFERROR(
            UPPER(
                IF(MAX(IFERROR(SEARCH("WD",MAIN!G265:J265), 0))&gt;0, "WD",
                IF(MAX(IFERROR(SEARCH("NS",MAIN!G265:J265), 0))&gt;0, "NS",
                IF(MAX(IFERROR(SEARCH("NC",MAIN!G265:J265), 0))&gt;0, "NC",
                IF(MAX(IFERROR(SEARCH("DQ",MAIN!G265:J265), 0))&gt;0, "DQ",
                IF(ISNUMBER(SEARCH("WD",MAIN!K265)), "WD",
                IF(ISNUMBER(SEARCH("NS",MAIN!K265)), "NS",
                IF(ISNUMBER(SEARCH("NC",MAIN!K265)), "NC",
                IF(ISNUMBER(SEARCH("DQ",MAIN!K265)), "DQ",
                IF(ISNUMBER(SEARCH("A",MAIN!K265)), 0,
                IF(OR(MAIN!K265=0,MAIN!K265=""), 0, --TRIM(MAIN!K265)))))))))))),
            0
        )
    ),
    IFERROR(
        UPPER(
            IF(MAX(IFERROR(SEARCH("WD",MAIN!G265:J265), 0))&gt;0, "WD",
            IF(MAX(IFERROR(SEARCH("NS",MAIN!G265:J265), 0))&gt;0, "NS",
            IF(MAX(IFERROR(SEARCH("NC",MAIN!G265:J265), 0))&gt;0, "NC",
            IF(MAX(IFERROR(SEARCH("DQ",MAIN!G265:J265), 0))&gt;0, "DQ",
            IF(ISNUMBER(SEARCH("WD",MAIN!K265)), "WD",
            IF(ISNUMBER(SEARCH("NS",MAIN!K265)), "NS",
            IF(ISNUMBER(SEARCH("NC",MAIN!K265)), "NC",
            IF(ISNUMBER(SEARCH("DQ",MAIN!K265)), "DQ",
            IF(ISNUMBER(SEARCH("A",MAIN!K265)), 0,
            IF(OR(MAIN!K265=0,MAIN!K265=""), 0, --TRIM(MAIN!K265)))))))))))),
        0
    )
)</f>
        <v>0</v>
      </c>
    </row>
    <row r="266" spans="1:11" x14ac:dyDescent="0.25">
      <c r="A266" t="str">
        <f>IF(ISBLANK(MAIN!A266), "--", IFERROR(PROPER(SUBSTITUTE(SUBSTITUTE(SUBSTITUTE(SUBSTITUTE(SUBSTITUTE(SUBSTITUTE(SUBSTITUTE(SUBSTITUTE(SUBSTITUTE(SUBSTITUTE(LEFT(MAIN!A266, FIND(",",MAIN!A266) -1), "0", ""), "1", ""), "2", ""), "3", ""), "4", ""), "5", ""), "6", ""), "7", ""), "8", ""), "9", "")), PROPER(SUBSTITUTE(SUBSTITUTE(SUBSTITUTE(SUBSTITUTE(SUBSTITUTE(SUBSTITUTE(SUBSTITUTE(SUBSTITUTE(SUBSTITUTE(SUBSTITUTE(MAIN!A266, "0", ""), "1", ""), "2", ""), "3", ""), "4", ""), "5", ""), "6", ""), "7", ""), "8", ""), "9", ""))))</f>
        <v>--</v>
      </c>
      <c r="B266" t="str">
        <f>IF(ISBLANK(MAIN!B266), "--", IFERROR(PROPER(SUBSTITUTE(SUBSTITUTE(SUBSTITUTE(SUBSTITUTE(SUBSTITUTE(SUBSTITUTE(SUBSTITUTE(SUBSTITUTE(SUBSTITUTE(SUBSTITUTE(LEFT(MAIN!B266, FIND(",",MAIN!B266) -1), "0", ""), "1", ""), "2", ""), "3", ""), "4", ""), "5", ""), "6", ""), "7", ""), "8", ""), "9", "")), PROPER(SUBSTITUTE(SUBSTITUTE(SUBSTITUTE(SUBSTITUTE(SUBSTITUTE(SUBSTITUTE(SUBSTITUTE(SUBSTITUTE(SUBSTITUTE(SUBSTITUTE(MAIN!B266, "0", ""), "1", ""), "2", ""), "3", ""), "4", ""), "5", ""), "6", ""), "7", ""), "8", ""), "9", ""))))</f>
        <v>--</v>
      </c>
      <c r="C266" t="str">
        <f>IF(ISBLANK(MAIN!C266), "--", IFERROR(PROPER(SUBSTITUTE(SUBSTITUTE(SUBSTITUTE(SUBSTITUTE(SUBSTITUTE(SUBSTITUTE(SUBSTITUTE(SUBSTITUTE(SUBSTITUTE(SUBSTITUTE(LEFT(MAIN!C266, FIND(",",MAIN!C266) -1), "0", ""), "1", ""), "2", ""), "3", ""), "4", ""), "5", ""), "6", ""), "7", ""), "8", ""), "9", "")), PROPER(SUBSTITUTE(SUBSTITUTE(SUBSTITUTE(SUBSTITUTE(SUBSTITUTE(SUBSTITUTE(SUBSTITUTE(SUBSTITUTE(SUBSTITUTE(SUBSTITUTE(MAIN!C266, "0", ""), "1", ""), "2", ""), "3", ""), "4", ""), "5", ""), "6", ""), "7", ""), "8", ""), "9", ""))))</f>
        <v>--</v>
      </c>
      <c r="D266" t="str">
        <f>IF(ISBLANK(MAIN!D266), "--", IF(ISNUMBER(MATCH(SUBSTITUTE(LEFT(MAIN!D266, IFERROR(FIND(",", MAIN!D266)-1, LEN(MAIN!D266))), " ", ""), lookup_values!$B$2:$B$51, 0)), UPPER(SUBSTITUTE(LEFT(MAIN!D266, IFERROR(FIND(",", MAIN!D266)-1, LEN(MAIN!D266))), " ", "")), IF(ISNA(VLOOKUP(SUBSTITUTE(LEFT(MAIN!D266, IFERROR(FIND(",", MAIN!D266)-1, LEN(MAIN!D266))), " ", ""), lookup_values!$A$2:$B$51, 2, FALSE)), "--", VLOOKUP(SUBSTITUTE(LEFT(MAIN!D266, IFERROR(FIND(",", MAIN!D266)-1, LEN(MAIN!D266))), " ", ""), lookup_values!$A$2:$B$51, 2, FALSE))))</f>
        <v>--</v>
      </c>
      <c r="E266" t="str">
        <f>IF(CLEAN_DATA!D266&lt;&gt;"--","US",IF(ISBLANK(MAIN!E266), "--", IF(ISNUMBER(MATCH(SUBSTITUTE(LEFT(MAIN!E266, IFERROR(FIND(",", MAIN!E266)-1, LEN(MAIN!E266))), " ", ""), lookup_values!$E$2:$E$197, 0)), UPPER(SUBSTITUTE(LEFT(MAIN!E266, IFERROR(FIND(",", MAIN!E266)-1, LEN(MAIN!E266))), " ", "")), IF(ISNA(VLOOKUP(SUBSTITUTE(LEFT(MAIN!E266, IFERROR(FIND(",", MAIN!E266)-1, LEN(MAIN!E266))), " ", ""), lookup_values!$D$2:$E$197, 2, FALSE)), "--", VLOOKUP(SUBSTITUTE(LEFT(MAIN!E266, IFERROR(FIND(",", MAIN!E266)-1, LEN(MAIN!E266))), " ", ""), lookup_values!$D$2:$E$197, 2, FALSE)))))</f>
        <v>--</v>
      </c>
      <c r="F266" t="str">
        <f>IF(ISBLANK(MAIN!F266), "", IF(AND(ISNUMBER(VALUE(TRIM(MAIN!F266))), LEN(TRIM(MAIN!F266))=4), VALUE(TRIM(MAIN!F266)), ""))</f>
        <v/>
      </c>
      <c r="G266">
        <f>IF(ISBLANK(MAIN!G266), 0, IF(ISNUMBER(VALUE(TRIM(MAIN!G266))), VALUE(TRIM(MAIN!G266)), 0))</f>
        <v>0</v>
      </c>
      <c r="H266">
        <f>IF(ISBLANK(MAIN!H266), 0, IF(ISNUMBER(VALUE(TRIM(MAIN!H266))), VALUE(TRIM(MAIN!H266)), 0))</f>
        <v>0</v>
      </c>
      <c r="I266">
        <f>IF(ISBLANK(MAIN!I266), 0, IF(ISNUMBER(VALUE(TRIM(MAIN!I266))), VALUE(TRIM(MAIN!I266)), 0))</f>
        <v>0</v>
      </c>
      <c r="J266">
        <f>IF(ISBLANK(MAIN!J266), 0, IF(ISNUMBER(VALUE(TRIM(MAIN!J266))), VALUE(TRIM(MAIN!J266)), 0))</f>
        <v>0</v>
      </c>
      <c r="K266" cm="1">
        <f t="array" ref="K266">IFERROR(
    VALUE(
        IFERROR(
            UPPER(
                IF(MAX(IFERROR(SEARCH("WD",MAIN!G266:J266), 0))&gt;0, "WD",
                IF(MAX(IFERROR(SEARCH("NS",MAIN!G266:J266), 0))&gt;0, "NS",
                IF(MAX(IFERROR(SEARCH("NC",MAIN!G266:J266), 0))&gt;0, "NC",
                IF(MAX(IFERROR(SEARCH("DQ",MAIN!G266:J266), 0))&gt;0, "DQ",
                IF(ISNUMBER(SEARCH("WD",MAIN!K266)), "WD",
                IF(ISNUMBER(SEARCH("NS",MAIN!K266)), "NS",
                IF(ISNUMBER(SEARCH("NC",MAIN!K266)), "NC",
                IF(ISNUMBER(SEARCH("DQ",MAIN!K266)), "DQ",
                IF(ISNUMBER(SEARCH("A",MAIN!K266)), 0,
                IF(OR(MAIN!K266=0,MAIN!K266=""), 0, --TRIM(MAIN!K266)))))))))))),
            0
        )
    ),
    IFERROR(
        UPPER(
            IF(MAX(IFERROR(SEARCH("WD",MAIN!G266:J266), 0))&gt;0, "WD",
            IF(MAX(IFERROR(SEARCH("NS",MAIN!G266:J266), 0))&gt;0, "NS",
            IF(MAX(IFERROR(SEARCH("NC",MAIN!G266:J266), 0))&gt;0, "NC",
            IF(MAX(IFERROR(SEARCH("DQ",MAIN!G266:J266), 0))&gt;0, "DQ",
            IF(ISNUMBER(SEARCH("WD",MAIN!K266)), "WD",
            IF(ISNUMBER(SEARCH("NS",MAIN!K266)), "NS",
            IF(ISNUMBER(SEARCH("NC",MAIN!K266)), "NC",
            IF(ISNUMBER(SEARCH("DQ",MAIN!K266)), "DQ",
            IF(ISNUMBER(SEARCH("A",MAIN!K266)), 0,
            IF(OR(MAIN!K266=0,MAIN!K266=""), 0, --TRIM(MAIN!K266)))))))))))),
        0
    )
)</f>
        <v>0</v>
      </c>
    </row>
    <row r="267" spans="1:11" x14ac:dyDescent="0.25">
      <c r="A267" t="str">
        <f>IF(ISBLANK(MAIN!A267), "--", IFERROR(PROPER(SUBSTITUTE(SUBSTITUTE(SUBSTITUTE(SUBSTITUTE(SUBSTITUTE(SUBSTITUTE(SUBSTITUTE(SUBSTITUTE(SUBSTITUTE(SUBSTITUTE(LEFT(MAIN!A267, FIND(",",MAIN!A267) -1), "0", ""), "1", ""), "2", ""), "3", ""), "4", ""), "5", ""), "6", ""), "7", ""), "8", ""), "9", "")), PROPER(SUBSTITUTE(SUBSTITUTE(SUBSTITUTE(SUBSTITUTE(SUBSTITUTE(SUBSTITUTE(SUBSTITUTE(SUBSTITUTE(SUBSTITUTE(SUBSTITUTE(MAIN!A267, "0", ""), "1", ""), "2", ""), "3", ""), "4", ""), "5", ""), "6", ""), "7", ""), "8", ""), "9", ""))))</f>
        <v>--</v>
      </c>
      <c r="B267" t="str">
        <f>IF(ISBLANK(MAIN!B267), "--", IFERROR(PROPER(SUBSTITUTE(SUBSTITUTE(SUBSTITUTE(SUBSTITUTE(SUBSTITUTE(SUBSTITUTE(SUBSTITUTE(SUBSTITUTE(SUBSTITUTE(SUBSTITUTE(LEFT(MAIN!B267, FIND(",",MAIN!B267) -1), "0", ""), "1", ""), "2", ""), "3", ""), "4", ""), "5", ""), "6", ""), "7", ""), "8", ""), "9", "")), PROPER(SUBSTITUTE(SUBSTITUTE(SUBSTITUTE(SUBSTITUTE(SUBSTITUTE(SUBSTITUTE(SUBSTITUTE(SUBSTITUTE(SUBSTITUTE(SUBSTITUTE(MAIN!B267, "0", ""), "1", ""), "2", ""), "3", ""), "4", ""), "5", ""), "6", ""), "7", ""), "8", ""), "9", ""))))</f>
        <v>--</v>
      </c>
      <c r="C267" t="str">
        <f>IF(ISBLANK(MAIN!C267), "--", IFERROR(PROPER(SUBSTITUTE(SUBSTITUTE(SUBSTITUTE(SUBSTITUTE(SUBSTITUTE(SUBSTITUTE(SUBSTITUTE(SUBSTITUTE(SUBSTITUTE(SUBSTITUTE(LEFT(MAIN!C267, FIND(",",MAIN!C267) -1), "0", ""), "1", ""), "2", ""), "3", ""), "4", ""), "5", ""), "6", ""), "7", ""), "8", ""), "9", "")), PROPER(SUBSTITUTE(SUBSTITUTE(SUBSTITUTE(SUBSTITUTE(SUBSTITUTE(SUBSTITUTE(SUBSTITUTE(SUBSTITUTE(SUBSTITUTE(SUBSTITUTE(MAIN!C267, "0", ""), "1", ""), "2", ""), "3", ""), "4", ""), "5", ""), "6", ""), "7", ""), "8", ""), "9", ""))))</f>
        <v>--</v>
      </c>
      <c r="D267" t="str">
        <f>IF(ISBLANK(MAIN!D267), "--", IF(ISNUMBER(MATCH(SUBSTITUTE(LEFT(MAIN!D267, IFERROR(FIND(",", MAIN!D267)-1, LEN(MAIN!D267))), " ", ""), lookup_values!$B$2:$B$51, 0)), UPPER(SUBSTITUTE(LEFT(MAIN!D267, IFERROR(FIND(",", MAIN!D267)-1, LEN(MAIN!D267))), " ", "")), IF(ISNA(VLOOKUP(SUBSTITUTE(LEFT(MAIN!D267, IFERROR(FIND(",", MAIN!D267)-1, LEN(MAIN!D267))), " ", ""), lookup_values!$A$2:$B$51, 2, FALSE)), "--", VLOOKUP(SUBSTITUTE(LEFT(MAIN!D267, IFERROR(FIND(",", MAIN!D267)-1, LEN(MAIN!D267))), " ", ""), lookup_values!$A$2:$B$51, 2, FALSE))))</f>
        <v>--</v>
      </c>
      <c r="E267" t="str">
        <f>IF(CLEAN_DATA!D267&lt;&gt;"--","US",IF(ISBLANK(MAIN!E267), "--", IF(ISNUMBER(MATCH(SUBSTITUTE(LEFT(MAIN!E267, IFERROR(FIND(",", MAIN!E267)-1, LEN(MAIN!E267))), " ", ""), lookup_values!$E$2:$E$197, 0)), UPPER(SUBSTITUTE(LEFT(MAIN!E267, IFERROR(FIND(",", MAIN!E267)-1, LEN(MAIN!E267))), " ", "")), IF(ISNA(VLOOKUP(SUBSTITUTE(LEFT(MAIN!E267, IFERROR(FIND(",", MAIN!E267)-1, LEN(MAIN!E267))), " ", ""), lookup_values!$D$2:$E$197, 2, FALSE)), "--", VLOOKUP(SUBSTITUTE(LEFT(MAIN!E267, IFERROR(FIND(",", MAIN!E267)-1, LEN(MAIN!E267))), " ", ""), lookup_values!$D$2:$E$197, 2, FALSE)))))</f>
        <v>--</v>
      </c>
      <c r="F267" t="str">
        <f>IF(ISBLANK(MAIN!F267), "", IF(AND(ISNUMBER(VALUE(TRIM(MAIN!F267))), LEN(TRIM(MAIN!F267))=4), VALUE(TRIM(MAIN!F267)), ""))</f>
        <v/>
      </c>
      <c r="G267">
        <f>IF(ISBLANK(MAIN!G267), 0, IF(ISNUMBER(VALUE(TRIM(MAIN!G267))), VALUE(TRIM(MAIN!G267)), 0))</f>
        <v>0</v>
      </c>
      <c r="H267">
        <f>IF(ISBLANK(MAIN!H267), 0, IF(ISNUMBER(VALUE(TRIM(MAIN!H267))), VALUE(TRIM(MAIN!H267)), 0))</f>
        <v>0</v>
      </c>
      <c r="I267">
        <f>IF(ISBLANK(MAIN!I267), 0, IF(ISNUMBER(VALUE(TRIM(MAIN!I267))), VALUE(TRIM(MAIN!I267)), 0))</f>
        <v>0</v>
      </c>
      <c r="J267">
        <f>IF(ISBLANK(MAIN!J267), 0, IF(ISNUMBER(VALUE(TRIM(MAIN!J267))), VALUE(TRIM(MAIN!J267)), 0))</f>
        <v>0</v>
      </c>
      <c r="K267" cm="1">
        <f t="array" ref="K267">IFERROR(
    VALUE(
        IFERROR(
            UPPER(
                IF(MAX(IFERROR(SEARCH("WD",MAIN!G267:J267), 0))&gt;0, "WD",
                IF(MAX(IFERROR(SEARCH("NS",MAIN!G267:J267), 0))&gt;0, "NS",
                IF(MAX(IFERROR(SEARCH("NC",MAIN!G267:J267), 0))&gt;0, "NC",
                IF(MAX(IFERROR(SEARCH("DQ",MAIN!G267:J267), 0))&gt;0, "DQ",
                IF(ISNUMBER(SEARCH("WD",MAIN!K267)), "WD",
                IF(ISNUMBER(SEARCH("NS",MAIN!K267)), "NS",
                IF(ISNUMBER(SEARCH("NC",MAIN!K267)), "NC",
                IF(ISNUMBER(SEARCH("DQ",MAIN!K267)), "DQ",
                IF(ISNUMBER(SEARCH("A",MAIN!K267)), 0,
                IF(OR(MAIN!K267=0,MAIN!K267=""), 0, --TRIM(MAIN!K267)))))))))))),
            0
        )
    ),
    IFERROR(
        UPPER(
            IF(MAX(IFERROR(SEARCH("WD",MAIN!G267:J267), 0))&gt;0, "WD",
            IF(MAX(IFERROR(SEARCH("NS",MAIN!G267:J267), 0))&gt;0, "NS",
            IF(MAX(IFERROR(SEARCH("NC",MAIN!G267:J267), 0))&gt;0, "NC",
            IF(MAX(IFERROR(SEARCH("DQ",MAIN!G267:J267), 0))&gt;0, "DQ",
            IF(ISNUMBER(SEARCH("WD",MAIN!K267)), "WD",
            IF(ISNUMBER(SEARCH("NS",MAIN!K267)), "NS",
            IF(ISNUMBER(SEARCH("NC",MAIN!K267)), "NC",
            IF(ISNUMBER(SEARCH("DQ",MAIN!K267)), "DQ",
            IF(ISNUMBER(SEARCH("A",MAIN!K267)), 0,
            IF(OR(MAIN!K267=0,MAIN!K267=""), 0, --TRIM(MAIN!K267)))))))))))),
        0
    )
)</f>
        <v>0</v>
      </c>
    </row>
    <row r="268" spans="1:11" x14ac:dyDescent="0.25">
      <c r="A268" t="str">
        <f>IF(ISBLANK(MAIN!A268), "--", IFERROR(PROPER(SUBSTITUTE(SUBSTITUTE(SUBSTITUTE(SUBSTITUTE(SUBSTITUTE(SUBSTITUTE(SUBSTITUTE(SUBSTITUTE(SUBSTITUTE(SUBSTITUTE(LEFT(MAIN!A268, FIND(",",MAIN!A268) -1), "0", ""), "1", ""), "2", ""), "3", ""), "4", ""), "5", ""), "6", ""), "7", ""), "8", ""), "9", "")), PROPER(SUBSTITUTE(SUBSTITUTE(SUBSTITUTE(SUBSTITUTE(SUBSTITUTE(SUBSTITUTE(SUBSTITUTE(SUBSTITUTE(SUBSTITUTE(SUBSTITUTE(MAIN!A268, "0", ""), "1", ""), "2", ""), "3", ""), "4", ""), "5", ""), "6", ""), "7", ""), "8", ""), "9", ""))))</f>
        <v>--</v>
      </c>
      <c r="B268" t="str">
        <f>IF(ISBLANK(MAIN!B268), "--", IFERROR(PROPER(SUBSTITUTE(SUBSTITUTE(SUBSTITUTE(SUBSTITUTE(SUBSTITUTE(SUBSTITUTE(SUBSTITUTE(SUBSTITUTE(SUBSTITUTE(SUBSTITUTE(LEFT(MAIN!B268, FIND(",",MAIN!B268) -1), "0", ""), "1", ""), "2", ""), "3", ""), "4", ""), "5", ""), "6", ""), "7", ""), "8", ""), "9", "")), PROPER(SUBSTITUTE(SUBSTITUTE(SUBSTITUTE(SUBSTITUTE(SUBSTITUTE(SUBSTITUTE(SUBSTITUTE(SUBSTITUTE(SUBSTITUTE(SUBSTITUTE(MAIN!B268, "0", ""), "1", ""), "2", ""), "3", ""), "4", ""), "5", ""), "6", ""), "7", ""), "8", ""), "9", ""))))</f>
        <v>--</v>
      </c>
      <c r="C268" t="str">
        <f>IF(ISBLANK(MAIN!C268), "--", IFERROR(PROPER(SUBSTITUTE(SUBSTITUTE(SUBSTITUTE(SUBSTITUTE(SUBSTITUTE(SUBSTITUTE(SUBSTITUTE(SUBSTITUTE(SUBSTITUTE(SUBSTITUTE(LEFT(MAIN!C268, FIND(",",MAIN!C268) -1), "0", ""), "1", ""), "2", ""), "3", ""), "4", ""), "5", ""), "6", ""), "7", ""), "8", ""), "9", "")), PROPER(SUBSTITUTE(SUBSTITUTE(SUBSTITUTE(SUBSTITUTE(SUBSTITUTE(SUBSTITUTE(SUBSTITUTE(SUBSTITUTE(SUBSTITUTE(SUBSTITUTE(MAIN!C268, "0", ""), "1", ""), "2", ""), "3", ""), "4", ""), "5", ""), "6", ""), "7", ""), "8", ""), "9", ""))))</f>
        <v>--</v>
      </c>
      <c r="D268" t="str">
        <f>IF(ISBLANK(MAIN!D268), "--", IF(ISNUMBER(MATCH(SUBSTITUTE(LEFT(MAIN!D268, IFERROR(FIND(",", MAIN!D268)-1, LEN(MAIN!D268))), " ", ""), lookup_values!$B$2:$B$51, 0)), UPPER(SUBSTITUTE(LEFT(MAIN!D268, IFERROR(FIND(",", MAIN!D268)-1, LEN(MAIN!D268))), " ", "")), IF(ISNA(VLOOKUP(SUBSTITUTE(LEFT(MAIN!D268, IFERROR(FIND(",", MAIN!D268)-1, LEN(MAIN!D268))), " ", ""), lookup_values!$A$2:$B$51, 2, FALSE)), "--", VLOOKUP(SUBSTITUTE(LEFT(MAIN!D268, IFERROR(FIND(",", MAIN!D268)-1, LEN(MAIN!D268))), " ", ""), lookup_values!$A$2:$B$51, 2, FALSE))))</f>
        <v>--</v>
      </c>
      <c r="E268" t="str">
        <f>IF(CLEAN_DATA!D268&lt;&gt;"--","US",IF(ISBLANK(MAIN!E268), "--", IF(ISNUMBER(MATCH(SUBSTITUTE(LEFT(MAIN!E268, IFERROR(FIND(",", MAIN!E268)-1, LEN(MAIN!E268))), " ", ""), lookup_values!$E$2:$E$197, 0)), UPPER(SUBSTITUTE(LEFT(MAIN!E268, IFERROR(FIND(",", MAIN!E268)-1, LEN(MAIN!E268))), " ", "")), IF(ISNA(VLOOKUP(SUBSTITUTE(LEFT(MAIN!E268, IFERROR(FIND(",", MAIN!E268)-1, LEN(MAIN!E268))), " ", ""), lookup_values!$D$2:$E$197, 2, FALSE)), "--", VLOOKUP(SUBSTITUTE(LEFT(MAIN!E268, IFERROR(FIND(",", MAIN!E268)-1, LEN(MAIN!E268))), " ", ""), lookup_values!$D$2:$E$197, 2, FALSE)))))</f>
        <v>--</v>
      </c>
      <c r="F268" t="str">
        <f>IF(ISBLANK(MAIN!F268), "", IF(AND(ISNUMBER(VALUE(TRIM(MAIN!F268))), LEN(TRIM(MAIN!F268))=4), VALUE(TRIM(MAIN!F268)), ""))</f>
        <v/>
      </c>
      <c r="G268">
        <f>IF(ISBLANK(MAIN!G268), 0, IF(ISNUMBER(VALUE(TRIM(MAIN!G268))), VALUE(TRIM(MAIN!G268)), 0))</f>
        <v>0</v>
      </c>
      <c r="H268">
        <f>IF(ISBLANK(MAIN!H268), 0, IF(ISNUMBER(VALUE(TRIM(MAIN!H268))), VALUE(TRIM(MAIN!H268)), 0))</f>
        <v>0</v>
      </c>
      <c r="I268">
        <f>IF(ISBLANK(MAIN!I268), 0, IF(ISNUMBER(VALUE(TRIM(MAIN!I268))), VALUE(TRIM(MAIN!I268)), 0))</f>
        <v>0</v>
      </c>
      <c r="J268">
        <f>IF(ISBLANK(MAIN!J268), 0, IF(ISNUMBER(VALUE(TRIM(MAIN!J268))), VALUE(TRIM(MAIN!J268)), 0))</f>
        <v>0</v>
      </c>
      <c r="K268" cm="1">
        <f t="array" ref="K268">IFERROR(
    VALUE(
        IFERROR(
            UPPER(
                IF(MAX(IFERROR(SEARCH("WD",MAIN!G268:J268), 0))&gt;0, "WD",
                IF(MAX(IFERROR(SEARCH("NS",MAIN!G268:J268), 0))&gt;0, "NS",
                IF(MAX(IFERROR(SEARCH("NC",MAIN!G268:J268), 0))&gt;0, "NC",
                IF(MAX(IFERROR(SEARCH("DQ",MAIN!G268:J268), 0))&gt;0, "DQ",
                IF(ISNUMBER(SEARCH("WD",MAIN!K268)), "WD",
                IF(ISNUMBER(SEARCH("NS",MAIN!K268)), "NS",
                IF(ISNUMBER(SEARCH("NC",MAIN!K268)), "NC",
                IF(ISNUMBER(SEARCH("DQ",MAIN!K268)), "DQ",
                IF(ISNUMBER(SEARCH("A",MAIN!K268)), 0,
                IF(OR(MAIN!K268=0,MAIN!K268=""), 0, --TRIM(MAIN!K268)))))))))))),
            0
        )
    ),
    IFERROR(
        UPPER(
            IF(MAX(IFERROR(SEARCH("WD",MAIN!G268:J268), 0))&gt;0, "WD",
            IF(MAX(IFERROR(SEARCH("NS",MAIN!G268:J268), 0))&gt;0, "NS",
            IF(MAX(IFERROR(SEARCH("NC",MAIN!G268:J268), 0))&gt;0, "NC",
            IF(MAX(IFERROR(SEARCH("DQ",MAIN!G268:J268), 0))&gt;0, "DQ",
            IF(ISNUMBER(SEARCH("WD",MAIN!K268)), "WD",
            IF(ISNUMBER(SEARCH("NS",MAIN!K268)), "NS",
            IF(ISNUMBER(SEARCH("NC",MAIN!K268)), "NC",
            IF(ISNUMBER(SEARCH("DQ",MAIN!K268)), "DQ",
            IF(ISNUMBER(SEARCH("A",MAIN!K268)), 0,
            IF(OR(MAIN!K268=0,MAIN!K268=""), 0, --TRIM(MAIN!K268)))))))))))),
        0
    )
)</f>
        <v>0</v>
      </c>
    </row>
    <row r="269" spans="1:11" x14ac:dyDescent="0.25">
      <c r="A269" t="str">
        <f>IF(ISBLANK(MAIN!A269), "--", IFERROR(PROPER(SUBSTITUTE(SUBSTITUTE(SUBSTITUTE(SUBSTITUTE(SUBSTITUTE(SUBSTITUTE(SUBSTITUTE(SUBSTITUTE(SUBSTITUTE(SUBSTITUTE(LEFT(MAIN!A269, FIND(",",MAIN!A269) -1), "0", ""), "1", ""), "2", ""), "3", ""), "4", ""), "5", ""), "6", ""), "7", ""), "8", ""), "9", "")), PROPER(SUBSTITUTE(SUBSTITUTE(SUBSTITUTE(SUBSTITUTE(SUBSTITUTE(SUBSTITUTE(SUBSTITUTE(SUBSTITUTE(SUBSTITUTE(SUBSTITUTE(MAIN!A269, "0", ""), "1", ""), "2", ""), "3", ""), "4", ""), "5", ""), "6", ""), "7", ""), "8", ""), "9", ""))))</f>
        <v>--</v>
      </c>
      <c r="B269" t="str">
        <f>IF(ISBLANK(MAIN!B269), "--", IFERROR(PROPER(SUBSTITUTE(SUBSTITUTE(SUBSTITUTE(SUBSTITUTE(SUBSTITUTE(SUBSTITUTE(SUBSTITUTE(SUBSTITUTE(SUBSTITUTE(SUBSTITUTE(LEFT(MAIN!B269, FIND(",",MAIN!B269) -1), "0", ""), "1", ""), "2", ""), "3", ""), "4", ""), "5", ""), "6", ""), "7", ""), "8", ""), "9", "")), PROPER(SUBSTITUTE(SUBSTITUTE(SUBSTITUTE(SUBSTITUTE(SUBSTITUTE(SUBSTITUTE(SUBSTITUTE(SUBSTITUTE(SUBSTITUTE(SUBSTITUTE(MAIN!B269, "0", ""), "1", ""), "2", ""), "3", ""), "4", ""), "5", ""), "6", ""), "7", ""), "8", ""), "9", ""))))</f>
        <v>--</v>
      </c>
      <c r="C269" t="str">
        <f>IF(ISBLANK(MAIN!C269), "--", IFERROR(PROPER(SUBSTITUTE(SUBSTITUTE(SUBSTITUTE(SUBSTITUTE(SUBSTITUTE(SUBSTITUTE(SUBSTITUTE(SUBSTITUTE(SUBSTITUTE(SUBSTITUTE(LEFT(MAIN!C269, FIND(",",MAIN!C269) -1), "0", ""), "1", ""), "2", ""), "3", ""), "4", ""), "5", ""), "6", ""), "7", ""), "8", ""), "9", "")), PROPER(SUBSTITUTE(SUBSTITUTE(SUBSTITUTE(SUBSTITUTE(SUBSTITUTE(SUBSTITUTE(SUBSTITUTE(SUBSTITUTE(SUBSTITUTE(SUBSTITUTE(MAIN!C269, "0", ""), "1", ""), "2", ""), "3", ""), "4", ""), "5", ""), "6", ""), "7", ""), "8", ""), "9", ""))))</f>
        <v>--</v>
      </c>
      <c r="D269" t="str">
        <f>IF(ISBLANK(MAIN!D269), "--", IF(ISNUMBER(MATCH(SUBSTITUTE(LEFT(MAIN!D269, IFERROR(FIND(",", MAIN!D269)-1, LEN(MAIN!D269))), " ", ""), lookup_values!$B$2:$B$51, 0)), UPPER(SUBSTITUTE(LEFT(MAIN!D269, IFERROR(FIND(",", MAIN!D269)-1, LEN(MAIN!D269))), " ", "")), IF(ISNA(VLOOKUP(SUBSTITUTE(LEFT(MAIN!D269, IFERROR(FIND(",", MAIN!D269)-1, LEN(MAIN!D269))), " ", ""), lookup_values!$A$2:$B$51, 2, FALSE)), "--", VLOOKUP(SUBSTITUTE(LEFT(MAIN!D269, IFERROR(FIND(",", MAIN!D269)-1, LEN(MAIN!D269))), " ", ""), lookup_values!$A$2:$B$51, 2, FALSE))))</f>
        <v>--</v>
      </c>
      <c r="E269" t="str">
        <f>IF(CLEAN_DATA!D269&lt;&gt;"--","US",IF(ISBLANK(MAIN!E269), "--", IF(ISNUMBER(MATCH(SUBSTITUTE(LEFT(MAIN!E269, IFERROR(FIND(",", MAIN!E269)-1, LEN(MAIN!E269))), " ", ""), lookup_values!$E$2:$E$197, 0)), UPPER(SUBSTITUTE(LEFT(MAIN!E269, IFERROR(FIND(",", MAIN!E269)-1, LEN(MAIN!E269))), " ", "")), IF(ISNA(VLOOKUP(SUBSTITUTE(LEFT(MAIN!E269, IFERROR(FIND(",", MAIN!E269)-1, LEN(MAIN!E269))), " ", ""), lookup_values!$D$2:$E$197, 2, FALSE)), "--", VLOOKUP(SUBSTITUTE(LEFT(MAIN!E269, IFERROR(FIND(",", MAIN!E269)-1, LEN(MAIN!E269))), " ", ""), lookup_values!$D$2:$E$197, 2, FALSE)))))</f>
        <v>--</v>
      </c>
      <c r="F269" t="str">
        <f>IF(ISBLANK(MAIN!F269), "", IF(AND(ISNUMBER(VALUE(TRIM(MAIN!F269))), LEN(TRIM(MAIN!F269))=4), VALUE(TRIM(MAIN!F269)), ""))</f>
        <v/>
      </c>
      <c r="G269">
        <f>IF(ISBLANK(MAIN!G269), 0, IF(ISNUMBER(VALUE(TRIM(MAIN!G269))), VALUE(TRIM(MAIN!G269)), 0))</f>
        <v>0</v>
      </c>
      <c r="H269">
        <f>IF(ISBLANK(MAIN!H269), 0, IF(ISNUMBER(VALUE(TRIM(MAIN!H269))), VALUE(TRIM(MAIN!H269)), 0))</f>
        <v>0</v>
      </c>
      <c r="I269">
        <f>IF(ISBLANK(MAIN!I269), 0, IF(ISNUMBER(VALUE(TRIM(MAIN!I269))), VALUE(TRIM(MAIN!I269)), 0))</f>
        <v>0</v>
      </c>
      <c r="J269">
        <f>IF(ISBLANK(MAIN!J269), 0, IF(ISNUMBER(VALUE(TRIM(MAIN!J269))), VALUE(TRIM(MAIN!J269)), 0))</f>
        <v>0</v>
      </c>
      <c r="K269" cm="1">
        <f t="array" ref="K269">IFERROR(
    VALUE(
        IFERROR(
            UPPER(
                IF(MAX(IFERROR(SEARCH("WD",MAIN!G269:J269), 0))&gt;0, "WD",
                IF(MAX(IFERROR(SEARCH("NS",MAIN!G269:J269), 0))&gt;0, "NS",
                IF(MAX(IFERROR(SEARCH("NC",MAIN!G269:J269), 0))&gt;0, "NC",
                IF(MAX(IFERROR(SEARCH("DQ",MAIN!G269:J269), 0))&gt;0, "DQ",
                IF(ISNUMBER(SEARCH("WD",MAIN!K269)), "WD",
                IF(ISNUMBER(SEARCH("NS",MAIN!K269)), "NS",
                IF(ISNUMBER(SEARCH("NC",MAIN!K269)), "NC",
                IF(ISNUMBER(SEARCH("DQ",MAIN!K269)), "DQ",
                IF(ISNUMBER(SEARCH("A",MAIN!K269)), 0,
                IF(OR(MAIN!K269=0,MAIN!K269=""), 0, --TRIM(MAIN!K269)))))))))))),
            0
        )
    ),
    IFERROR(
        UPPER(
            IF(MAX(IFERROR(SEARCH("WD",MAIN!G269:J269), 0))&gt;0, "WD",
            IF(MAX(IFERROR(SEARCH("NS",MAIN!G269:J269), 0))&gt;0, "NS",
            IF(MAX(IFERROR(SEARCH("NC",MAIN!G269:J269), 0))&gt;0, "NC",
            IF(MAX(IFERROR(SEARCH("DQ",MAIN!G269:J269), 0))&gt;0, "DQ",
            IF(ISNUMBER(SEARCH("WD",MAIN!K269)), "WD",
            IF(ISNUMBER(SEARCH("NS",MAIN!K269)), "NS",
            IF(ISNUMBER(SEARCH("NC",MAIN!K269)), "NC",
            IF(ISNUMBER(SEARCH("DQ",MAIN!K269)), "DQ",
            IF(ISNUMBER(SEARCH("A",MAIN!K269)), 0,
            IF(OR(MAIN!K269=0,MAIN!K269=""), 0, --TRIM(MAIN!K269)))))))))))),
        0
    )
)</f>
        <v>0</v>
      </c>
    </row>
    <row r="270" spans="1:11" x14ac:dyDescent="0.25">
      <c r="A270" t="str">
        <f>IF(ISBLANK(MAIN!A270), "--", IFERROR(PROPER(SUBSTITUTE(SUBSTITUTE(SUBSTITUTE(SUBSTITUTE(SUBSTITUTE(SUBSTITUTE(SUBSTITUTE(SUBSTITUTE(SUBSTITUTE(SUBSTITUTE(LEFT(MAIN!A270, FIND(",",MAIN!A270) -1), "0", ""), "1", ""), "2", ""), "3", ""), "4", ""), "5", ""), "6", ""), "7", ""), "8", ""), "9", "")), PROPER(SUBSTITUTE(SUBSTITUTE(SUBSTITUTE(SUBSTITUTE(SUBSTITUTE(SUBSTITUTE(SUBSTITUTE(SUBSTITUTE(SUBSTITUTE(SUBSTITUTE(MAIN!A270, "0", ""), "1", ""), "2", ""), "3", ""), "4", ""), "5", ""), "6", ""), "7", ""), "8", ""), "9", ""))))</f>
        <v>--</v>
      </c>
      <c r="B270" t="str">
        <f>IF(ISBLANK(MAIN!B270), "--", IFERROR(PROPER(SUBSTITUTE(SUBSTITUTE(SUBSTITUTE(SUBSTITUTE(SUBSTITUTE(SUBSTITUTE(SUBSTITUTE(SUBSTITUTE(SUBSTITUTE(SUBSTITUTE(LEFT(MAIN!B270, FIND(",",MAIN!B270) -1), "0", ""), "1", ""), "2", ""), "3", ""), "4", ""), "5", ""), "6", ""), "7", ""), "8", ""), "9", "")), PROPER(SUBSTITUTE(SUBSTITUTE(SUBSTITUTE(SUBSTITUTE(SUBSTITUTE(SUBSTITUTE(SUBSTITUTE(SUBSTITUTE(SUBSTITUTE(SUBSTITUTE(MAIN!B270, "0", ""), "1", ""), "2", ""), "3", ""), "4", ""), "5", ""), "6", ""), "7", ""), "8", ""), "9", ""))))</f>
        <v>--</v>
      </c>
      <c r="C270" t="str">
        <f>IF(ISBLANK(MAIN!C270), "--", IFERROR(PROPER(SUBSTITUTE(SUBSTITUTE(SUBSTITUTE(SUBSTITUTE(SUBSTITUTE(SUBSTITUTE(SUBSTITUTE(SUBSTITUTE(SUBSTITUTE(SUBSTITUTE(LEFT(MAIN!C270, FIND(",",MAIN!C270) -1), "0", ""), "1", ""), "2", ""), "3", ""), "4", ""), "5", ""), "6", ""), "7", ""), "8", ""), "9", "")), PROPER(SUBSTITUTE(SUBSTITUTE(SUBSTITUTE(SUBSTITUTE(SUBSTITUTE(SUBSTITUTE(SUBSTITUTE(SUBSTITUTE(SUBSTITUTE(SUBSTITUTE(MAIN!C270, "0", ""), "1", ""), "2", ""), "3", ""), "4", ""), "5", ""), "6", ""), "7", ""), "8", ""), "9", ""))))</f>
        <v>--</v>
      </c>
      <c r="D270" t="str">
        <f>IF(ISBLANK(MAIN!D270), "--", IF(ISNUMBER(MATCH(SUBSTITUTE(LEFT(MAIN!D270, IFERROR(FIND(",", MAIN!D270)-1, LEN(MAIN!D270))), " ", ""), lookup_values!$B$2:$B$51, 0)), UPPER(SUBSTITUTE(LEFT(MAIN!D270, IFERROR(FIND(",", MAIN!D270)-1, LEN(MAIN!D270))), " ", "")), IF(ISNA(VLOOKUP(SUBSTITUTE(LEFT(MAIN!D270, IFERROR(FIND(",", MAIN!D270)-1, LEN(MAIN!D270))), " ", ""), lookup_values!$A$2:$B$51, 2, FALSE)), "--", VLOOKUP(SUBSTITUTE(LEFT(MAIN!D270, IFERROR(FIND(",", MAIN!D270)-1, LEN(MAIN!D270))), " ", ""), lookup_values!$A$2:$B$51, 2, FALSE))))</f>
        <v>--</v>
      </c>
      <c r="E270" t="str">
        <f>IF(CLEAN_DATA!D270&lt;&gt;"--","US",IF(ISBLANK(MAIN!E270), "--", IF(ISNUMBER(MATCH(SUBSTITUTE(LEFT(MAIN!E270, IFERROR(FIND(",", MAIN!E270)-1, LEN(MAIN!E270))), " ", ""), lookup_values!$E$2:$E$197, 0)), UPPER(SUBSTITUTE(LEFT(MAIN!E270, IFERROR(FIND(",", MAIN!E270)-1, LEN(MAIN!E270))), " ", "")), IF(ISNA(VLOOKUP(SUBSTITUTE(LEFT(MAIN!E270, IFERROR(FIND(",", MAIN!E270)-1, LEN(MAIN!E270))), " ", ""), lookup_values!$D$2:$E$197, 2, FALSE)), "--", VLOOKUP(SUBSTITUTE(LEFT(MAIN!E270, IFERROR(FIND(",", MAIN!E270)-1, LEN(MAIN!E270))), " ", ""), lookup_values!$D$2:$E$197, 2, FALSE)))))</f>
        <v>--</v>
      </c>
      <c r="F270" t="str">
        <f>IF(ISBLANK(MAIN!F270), "", IF(AND(ISNUMBER(VALUE(TRIM(MAIN!F270))), LEN(TRIM(MAIN!F270))=4), VALUE(TRIM(MAIN!F270)), ""))</f>
        <v/>
      </c>
      <c r="G270">
        <f>IF(ISBLANK(MAIN!G270), 0, IF(ISNUMBER(VALUE(TRIM(MAIN!G270))), VALUE(TRIM(MAIN!G270)), 0))</f>
        <v>0</v>
      </c>
      <c r="H270">
        <f>IF(ISBLANK(MAIN!H270), 0, IF(ISNUMBER(VALUE(TRIM(MAIN!H270))), VALUE(TRIM(MAIN!H270)), 0))</f>
        <v>0</v>
      </c>
      <c r="I270">
        <f>IF(ISBLANK(MAIN!I270), 0, IF(ISNUMBER(VALUE(TRIM(MAIN!I270))), VALUE(TRIM(MAIN!I270)), 0))</f>
        <v>0</v>
      </c>
      <c r="J270">
        <f>IF(ISBLANK(MAIN!J270), 0, IF(ISNUMBER(VALUE(TRIM(MAIN!J270))), VALUE(TRIM(MAIN!J270)), 0))</f>
        <v>0</v>
      </c>
      <c r="K270" cm="1">
        <f t="array" ref="K270">IFERROR(
    VALUE(
        IFERROR(
            UPPER(
                IF(MAX(IFERROR(SEARCH("WD",MAIN!G270:J270), 0))&gt;0, "WD",
                IF(MAX(IFERROR(SEARCH("NS",MAIN!G270:J270), 0))&gt;0, "NS",
                IF(MAX(IFERROR(SEARCH("NC",MAIN!G270:J270), 0))&gt;0, "NC",
                IF(MAX(IFERROR(SEARCH("DQ",MAIN!G270:J270), 0))&gt;0, "DQ",
                IF(ISNUMBER(SEARCH("WD",MAIN!K270)), "WD",
                IF(ISNUMBER(SEARCH("NS",MAIN!K270)), "NS",
                IF(ISNUMBER(SEARCH("NC",MAIN!K270)), "NC",
                IF(ISNUMBER(SEARCH("DQ",MAIN!K270)), "DQ",
                IF(ISNUMBER(SEARCH("A",MAIN!K270)), 0,
                IF(OR(MAIN!K270=0,MAIN!K270=""), 0, --TRIM(MAIN!K270)))))))))))),
            0
        )
    ),
    IFERROR(
        UPPER(
            IF(MAX(IFERROR(SEARCH("WD",MAIN!G270:J270), 0))&gt;0, "WD",
            IF(MAX(IFERROR(SEARCH("NS",MAIN!G270:J270), 0))&gt;0, "NS",
            IF(MAX(IFERROR(SEARCH("NC",MAIN!G270:J270), 0))&gt;0, "NC",
            IF(MAX(IFERROR(SEARCH("DQ",MAIN!G270:J270), 0))&gt;0, "DQ",
            IF(ISNUMBER(SEARCH("WD",MAIN!K270)), "WD",
            IF(ISNUMBER(SEARCH("NS",MAIN!K270)), "NS",
            IF(ISNUMBER(SEARCH("NC",MAIN!K270)), "NC",
            IF(ISNUMBER(SEARCH("DQ",MAIN!K270)), "DQ",
            IF(ISNUMBER(SEARCH("A",MAIN!K270)), 0,
            IF(OR(MAIN!K270=0,MAIN!K270=""), 0, --TRIM(MAIN!K270)))))))))))),
        0
    )
)</f>
        <v>0</v>
      </c>
    </row>
    <row r="271" spans="1:11" x14ac:dyDescent="0.25">
      <c r="A271" t="str">
        <f>IF(ISBLANK(MAIN!A271), "--", IFERROR(PROPER(SUBSTITUTE(SUBSTITUTE(SUBSTITUTE(SUBSTITUTE(SUBSTITUTE(SUBSTITUTE(SUBSTITUTE(SUBSTITUTE(SUBSTITUTE(SUBSTITUTE(LEFT(MAIN!A271, FIND(",",MAIN!A271) -1), "0", ""), "1", ""), "2", ""), "3", ""), "4", ""), "5", ""), "6", ""), "7", ""), "8", ""), "9", "")), PROPER(SUBSTITUTE(SUBSTITUTE(SUBSTITUTE(SUBSTITUTE(SUBSTITUTE(SUBSTITUTE(SUBSTITUTE(SUBSTITUTE(SUBSTITUTE(SUBSTITUTE(MAIN!A271, "0", ""), "1", ""), "2", ""), "3", ""), "4", ""), "5", ""), "6", ""), "7", ""), "8", ""), "9", ""))))</f>
        <v>--</v>
      </c>
      <c r="B271" t="str">
        <f>IF(ISBLANK(MAIN!B271), "--", IFERROR(PROPER(SUBSTITUTE(SUBSTITUTE(SUBSTITUTE(SUBSTITUTE(SUBSTITUTE(SUBSTITUTE(SUBSTITUTE(SUBSTITUTE(SUBSTITUTE(SUBSTITUTE(LEFT(MAIN!B271, FIND(",",MAIN!B271) -1), "0", ""), "1", ""), "2", ""), "3", ""), "4", ""), "5", ""), "6", ""), "7", ""), "8", ""), "9", "")), PROPER(SUBSTITUTE(SUBSTITUTE(SUBSTITUTE(SUBSTITUTE(SUBSTITUTE(SUBSTITUTE(SUBSTITUTE(SUBSTITUTE(SUBSTITUTE(SUBSTITUTE(MAIN!B271, "0", ""), "1", ""), "2", ""), "3", ""), "4", ""), "5", ""), "6", ""), "7", ""), "8", ""), "9", ""))))</f>
        <v>--</v>
      </c>
      <c r="C271" t="str">
        <f>IF(ISBLANK(MAIN!C271), "--", IFERROR(PROPER(SUBSTITUTE(SUBSTITUTE(SUBSTITUTE(SUBSTITUTE(SUBSTITUTE(SUBSTITUTE(SUBSTITUTE(SUBSTITUTE(SUBSTITUTE(SUBSTITUTE(LEFT(MAIN!C271, FIND(",",MAIN!C271) -1), "0", ""), "1", ""), "2", ""), "3", ""), "4", ""), "5", ""), "6", ""), "7", ""), "8", ""), "9", "")), PROPER(SUBSTITUTE(SUBSTITUTE(SUBSTITUTE(SUBSTITUTE(SUBSTITUTE(SUBSTITUTE(SUBSTITUTE(SUBSTITUTE(SUBSTITUTE(SUBSTITUTE(MAIN!C271, "0", ""), "1", ""), "2", ""), "3", ""), "4", ""), "5", ""), "6", ""), "7", ""), "8", ""), "9", ""))))</f>
        <v>--</v>
      </c>
      <c r="D271" t="str">
        <f>IF(ISBLANK(MAIN!D271), "--", IF(ISNUMBER(MATCH(SUBSTITUTE(LEFT(MAIN!D271, IFERROR(FIND(",", MAIN!D271)-1, LEN(MAIN!D271))), " ", ""), lookup_values!$B$2:$B$51, 0)), UPPER(SUBSTITUTE(LEFT(MAIN!D271, IFERROR(FIND(",", MAIN!D271)-1, LEN(MAIN!D271))), " ", "")), IF(ISNA(VLOOKUP(SUBSTITUTE(LEFT(MAIN!D271, IFERROR(FIND(",", MAIN!D271)-1, LEN(MAIN!D271))), " ", ""), lookup_values!$A$2:$B$51, 2, FALSE)), "--", VLOOKUP(SUBSTITUTE(LEFT(MAIN!D271, IFERROR(FIND(",", MAIN!D271)-1, LEN(MAIN!D271))), " ", ""), lookup_values!$A$2:$B$51, 2, FALSE))))</f>
        <v>--</v>
      </c>
      <c r="E271" t="str">
        <f>IF(CLEAN_DATA!D271&lt;&gt;"--","US",IF(ISBLANK(MAIN!E271), "--", IF(ISNUMBER(MATCH(SUBSTITUTE(LEFT(MAIN!E271, IFERROR(FIND(",", MAIN!E271)-1, LEN(MAIN!E271))), " ", ""), lookup_values!$E$2:$E$197, 0)), UPPER(SUBSTITUTE(LEFT(MAIN!E271, IFERROR(FIND(",", MAIN!E271)-1, LEN(MAIN!E271))), " ", "")), IF(ISNA(VLOOKUP(SUBSTITUTE(LEFT(MAIN!E271, IFERROR(FIND(",", MAIN!E271)-1, LEN(MAIN!E271))), " ", ""), lookup_values!$D$2:$E$197, 2, FALSE)), "--", VLOOKUP(SUBSTITUTE(LEFT(MAIN!E271, IFERROR(FIND(",", MAIN!E271)-1, LEN(MAIN!E271))), " ", ""), lookup_values!$D$2:$E$197, 2, FALSE)))))</f>
        <v>--</v>
      </c>
      <c r="F271" t="str">
        <f>IF(ISBLANK(MAIN!F271), "", IF(AND(ISNUMBER(VALUE(TRIM(MAIN!F271))), LEN(TRIM(MAIN!F271))=4), VALUE(TRIM(MAIN!F271)), ""))</f>
        <v/>
      </c>
      <c r="G271">
        <f>IF(ISBLANK(MAIN!G271), 0, IF(ISNUMBER(VALUE(TRIM(MAIN!G271))), VALUE(TRIM(MAIN!G271)), 0))</f>
        <v>0</v>
      </c>
      <c r="H271">
        <f>IF(ISBLANK(MAIN!H271), 0, IF(ISNUMBER(VALUE(TRIM(MAIN!H271))), VALUE(TRIM(MAIN!H271)), 0))</f>
        <v>0</v>
      </c>
      <c r="I271">
        <f>IF(ISBLANK(MAIN!I271), 0, IF(ISNUMBER(VALUE(TRIM(MAIN!I271))), VALUE(TRIM(MAIN!I271)), 0))</f>
        <v>0</v>
      </c>
      <c r="J271">
        <f>IF(ISBLANK(MAIN!J271), 0, IF(ISNUMBER(VALUE(TRIM(MAIN!J271))), VALUE(TRIM(MAIN!J271)), 0))</f>
        <v>0</v>
      </c>
      <c r="K271" cm="1">
        <f t="array" ref="K271">IFERROR(
    VALUE(
        IFERROR(
            UPPER(
                IF(MAX(IFERROR(SEARCH("WD",MAIN!G271:J271), 0))&gt;0, "WD",
                IF(MAX(IFERROR(SEARCH("NS",MAIN!G271:J271), 0))&gt;0, "NS",
                IF(MAX(IFERROR(SEARCH("NC",MAIN!G271:J271), 0))&gt;0, "NC",
                IF(MAX(IFERROR(SEARCH("DQ",MAIN!G271:J271), 0))&gt;0, "DQ",
                IF(ISNUMBER(SEARCH("WD",MAIN!K271)), "WD",
                IF(ISNUMBER(SEARCH("NS",MAIN!K271)), "NS",
                IF(ISNUMBER(SEARCH("NC",MAIN!K271)), "NC",
                IF(ISNUMBER(SEARCH("DQ",MAIN!K271)), "DQ",
                IF(ISNUMBER(SEARCH("A",MAIN!K271)), 0,
                IF(OR(MAIN!K271=0,MAIN!K271=""), 0, --TRIM(MAIN!K271)))))))))))),
            0
        )
    ),
    IFERROR(
        UPPER(
            IF(MAX(IFERROR(SEARCH("WD",MAIN!G271:J271), 0))&gt;0, "WD",
            IF(MAX(IFERROR(SEARCH("NS",MAIN!G271:J271), 0))&gt;0, "NS",
            IF(MAX(IFERROR(SEARCH("NC",MAIN!G271:J271), 0))&gt;0, "NC",
            IF(MAX(IFERROR(SEARCH("DQ",MAIN!G271:J271), 0))&gt;0, "DQ",
            IF(ISNUMBER(SEARCH("WD",MAIN!K271)), "WD",
            IF(ISNUMBER(SEARCH("NS",MAIN!K271)), "NS",
            IF(ISNUMBER(SEARCH("NC",MAIN!K271)), "NC",
            IF(ISNUMBER(SEARCH("DQ",MAIN!K271)), "DQ",
            IF(ISNUMBER(SEARCH("A",MAIN!K271)), 0,
            IF(OR(MAIN!K271=0,MAIN!K271=""), 0, --TRIM(MAIN!K271)))))))))))),
        0
    )
)</f>
        <v>0</v>
      </c>
    </row>
    <row r="272" spans="1:11" x14ac:dyDescent="0.25">
      <c r="A272" t="str">
        <f>IF(ISBLANK(MAIN!A272), "--", IFERROR(PROPER(SUBSTITUTE(SUBSTITUTE(SUBSTITUTE(SUBSTITUTE(SUBSTITUTE(SUBSTITUTE(SUBSTITUTE(SUBSTITUTE(SUBSTITUTE(SUBSTITUTE(LEFT(MAIN!A272, FIND(",",MAIN!A272) -1), "0", ""), "1", ""), "2", ""), "3", ""), "4", ""), "5", ""), "6", ""), "7", ""), "8", ""), "9", "")), PROPER(SUBSTITUTE(SUBSTITUTE(SUBSTITUTE(SUBSTITUTE(SUBSTITUTE(SUBSTITUTE(SUBSTITUTE(SUBSTITUTE(SUBSTITUTE(SUBSTITUTE(MAIN!A272, "0", ""), "1", ""), "2", ""), "3", ""), "4", ""), "5", ""), "6", ""), "7", ""), "8", ""), "9", ""))))</f>
        <v>--</v>
      </c>
      <c r="B272" t="str">
        <f>IF(ISBLANK(MAIN!B272), "--", IFERROR(PROPER(SUBSTITUTE(SUBSTITUTE(SUBSTITUTE(SUBSTITUTE(SUBSTITUTE(SUBSTITUTE(SUBSTITUTE(SUBSTITUTE(SUBSTITUTE(SUBSTITUTE(LEFT(MAIN!B272, FIND(",",MAIN!B272) -1), "0", ""), "1", ""), "2", ""), "3", ""), "4", ""), "5", ""), "6", ""), "7", ""), "8", ""), "9", "")), PROPER(SUBSTITUTE(SUBSTITUTE(SUBSTITUTE(SUBSTITUTE(SUBSTITUTE(SUBSTITUTE(SUBSTITUTE(SUBSTITUTE(SUBSTITUTE(SUBSTITUTE(MAIN!B272, "0", ""), "1", ""), "2", ""), "3", ""), "4", ""), "5", ""), "6", ""), "7", ""), "8", ""), "9", ""))))</f>
        <v>--</v>
      </c>
      <c r="C272" t="str">
        <f>IF(ISBLANK(MAIN!C272), "--", IFERROR(PROPER(SUBSTITUTE(SUBSTITUTE(SUBSTITUTE(SUBSTITUTE(SUBSTITUTE(SUBSTITUTE(SUBSTITUTE(SUBSTITUTE(SUBSTITUTE(SUBSTITUTE(LEFT(MAIN!C272, FIND(",",MAIN!C272) -1), "0", ""), "1", ""), "2", ""), "3", ""), "4", ""), "5", ""), "6", ""), "7", ""), "8", ""), "9", "")), PROPER(SUBSTITUTE(SUBSTITUTE(SUBSTITUTE(SUBSTITUTE(SUBSTITUTE(SUBSTITUTE(SUBSTITUTE(SUBSTITUTE(SUBSTITUTE(SUBSTITUTE(MAIN!C272, "0", ""), "1", ""), "2", ""), "3", ""), "4", ""), "5", ""), "6", ""), "7", ""), "8", ""), "9", ""))))</f>
        <v>--</v>
      </c>
      <c r="D272" t="str">
        <f>IF(ISBLANK(MAIN!D272), "--", IF(ISNUMBER(MATCH(SUBSTITUTE(LEFT(MAIN!D272, IFERROR(FIND(",", MAIN!D272)-1, LEN(MAIN!D272))), " ", ""), lookup_values!$B$2:$B$51, 0)), UPPER(SUBSTITUTE(LEFT(MAIN!D272, IFERROR(FIND(",", MAIN!D272)-1, LEN(MAIN!D272))), " ", "")), IF(ISNA(VLOOKUP(SUBSTITUTE(LEFT(MAIN!D272, IFERROR(FIND(",", MAIN!D272)-1, LEN(MAIN!D272))), " ", ""), lookup_values!$A$2:$B$51, 2, FALSE)), "--", VLOOKUP(SUBSTITUTE(LEFT(MAIN!D272, IFERROR(FIND(",", MAIN!D272)-1, LEN(MAIN!D272))), " ", ""), lookup_values!$A$2:$B$51, 2, FALSE))))</f>
        <v>--</v>
      </c>
      <c r="E272" t="str">
        <f>IF(CLEAN_DATA!D272&lt;&gt;"--","US",IF(ISBLANK(MAIN!E272), "--", IF(ISNUMBER(MATCH(SUBSTITUTE(LEFT(MAIN!E272, IFERROR(FIND(",", MAIN!E272)-1, LEN(MAIN!E272))), " ", ""), lookup_values!$E$2:$E$197, 0)), UPPER(SUBSTITUTE(LEFT(MAIN!E272, IFERROR(FIND(",", MAIN!E272)-1, LEN(MAIN!E272))), " ", "")), IF(ISNA(VLOOKUP(SUBSTITUTE(LEFT(MAIN!E272, IFERROR(FIND(",", MAIN!E272)-1, LEN(MAIN!E272))), " ", ""), lookup_values!$D$2:$E$197, 2, FALSE)), "--", VLOOKUP(SUBSTITUTE(LEFT(MAIN!E272, IFERROR(FIND(",", MAIN!E272)-1, LEN(MAIN!E272))), " ", ""), lookup_values!$D$2:$E$197, 2, FALSE)))))</f>
        <v>--</v>
      </c>
      <c r="F272" t="str">
        <f>IF(ISBLANK(MAIN!F272), "", IF(AND(ISNUMBER(VALUE(TRIM(MAIN!F272))), LEN(TRIM(MAIN!F272))=4), VALUE(TRIM(MAIN!F272)), ""))</f>
        <v/>
      </c>
      <c r="G272">
        <f>IF(ISBLANK(MAIN!G272), 0, IF(ISNUMBER(VALUE(TRIM(MAIN!G272))), VALUE(TRIM(MAIN!G272)), 0))</f>
        <v>0</v>
      </c>
      <c r="H272">
        <f>IF(ISBLANK(MAIN!H272), 0, IF(ISNUMBER(VALUE(TRIM(MAIN!H272))), VALUE(TRIM(MAIN!H272)), 0))</f>
        <v>0</v>
      </c>
      <c r="I272">
        <f>IF(ISBLANK(MAIN!I272), 0, IF(ISNUMBER(VALUE(TRIM(MAIN!I272))), VALUE(TRIM(MAIN!I272)), 0))</f>
        <v>0</v>
      </c>
      <c r="J272">
        <f>IF(ISBLANK(MAIN!J272), 0, IF(ISNUMBER(VALUE(TRIM(MAIN!J272))), VALUE(TRIM(MAIN!J272)), 0))</f>
        <v>0</v>
      </c>
      <c r="K272" cm="1">
        <f t="array" ref="K272">IFERROR(
    VALUE(
        IFERROR(
            UPPER(
                IF(MAX(IFERROR(SEARCH("WD",MAIN!G272:J272), 0))&gt;0, "WD",
                IF(MAX(IFERROR(SEARCH("NS",MAIN!G272:J272), 0))&gt;0, "NS",
                IF(MAX(IFERROR(SEARCH("NC",MAIN!G272:J272), 0))&gt;0, "NC",
                IF(MAX(IFERROR(SEARCH("DQ",MAIN!G272:J272), 0))&gt;0, "DQ",
                IF(ISNUMBER(SEARCH("WD",MAIN!K272)), "WD",
                IF(ISNUMBER(SEARCH("NS",MAIN!K272)), "NS",
                IF(ISNUMBER(SEARCH("NC",MAIN!K272)), "NC",
                IF(ISNUMBER(SEARCH("DQ",MAIN!K272)), "DQ",
                IF(ISNUMBER(SEARCH("A",MAIN!K272)), 0,
                IF(OR(MAIN!K272=0,MAIN!K272=""), 0, --TRIM(MAIN!K272)))))))))))),
            0
        )
    ),
    IFERROR(
        UPPER(
            IF(MAX(IFERROR(SEARCH("WD",MAIN!G272:J272), 0))&gt;0, "WD",
            IF(MAX(IFERROR(SEARCH("NS",MAIN!G272:J272), 0))&gt;0, "NS",
            IF(MAX(IFERROR(SEARCH("NC",MAIN!G272:J272), 0))&gt;0, "NC",
            IF(MAX(IFERROR(SEARCH("DQ",MAIN!G272:J272), 0))&gt;0, "DQ",
            IF(ISNUMBER(SEARCH("WD",MAIN!K272)), "WD",
            IF(ISNUMBER(SEARCH("NS",MAIN!K272)), "NS",
            IF(ISNUMBER(SEARCH("NC",MAIN!K272)), "NC",
            IF(ISNUMBER(SEARCH("DQ",MAIN!K272)), "DQ",
            IF(ISNUMBER(SEARCH("A",MAIN!K272)), 0,
            IF(OR(MAIN!K272=0,MAIN!K272=""), 0, --TRIM(MAIN!K272)))))))))))),
        0
    )
)</f>
        <v>0</v>
      </c>
    </row>
    <row r="273" spans="1:11" x14ac:dyDescent="0.25">
      <c r="A273" t="str">
        <f>IF(ISBLANK(MAIN!A273), "--", IFERROR(PROPER(SUBSTITUTE(SUBSTITUTE(SUBSTITUTE(SUBSTITUTE(SUBSTITUTE(SUBSTITUTE(SUBSTITUTE(SUBSTITUTE(SUBSTITUTE(SUBSTITUTE(LEFT(MAIN!A273, FIND(",",MAIN!A273) -1), "0", ""), "1", ""), "2", ""), "3", ""), "4", ""), "5", ""), "6", ""), "7", ""), "8", ""), "9", "")), PROPER(SUBSTITUTE(SUBSTITUTE(SUBSTITUTE(SUBSTITUTE(SUBSTITUTE(SUBSTITUTE(SUBSTITUTE(SUBSTITUTE(SUBSTITUTE(SUBSTITUTE(MAIN!A273, "0", ""), "1", ""), "2", ""), "3", ""), "4", ""), "5", ""), "6", ""), "7", ""), "8", ""), "9", ""))))</f>
        <v>--</v>
      </c>
      <c r="B273" t="str">
        <f>IF(ISBLANK(MAIN!B273), "--", IFERROR(PROPER(SUBSTITUTE(SUBSTITUTE(SUBSTITUTE(SUBSTITUTE(SUBSTITUTE(SUBSTITUTE(SUBSTITUTE(SUBSTITUTE(SUBSTITUTE(SUBSTITUTE(LEFT(MAIN!B273, FIND(",",MAIN!B273) -1), "0", ""), "1", ""), "2", ""), "3", ""), "4", ""), "5", ""), "6", ""), "7", ""), "8", ""), "9", "")), PROPER(SUBSTITUTE(SUBSTITUTE(SUBSTITUTE(SUBSTITUTE(SUBSTITUTE(SUBSTITUTE(SUBSTITUTE(SUBSTITUTE(SUBSTITUTE(SUBSTITUTE(MAIN!B273, "0", ""), "1", ""), "2", ""), "3", ""), "4", ""), "5", ""), "6", ""), "7", ""), "8", ""), "9", ""))))</f>
        <v>--</v>
      </c>
      <c r="C273" t="str">
        <f>IF(ISBLANK(MAIN!C273), "--", IFERROR(PROPER(SUBSTITUTE(SUBSTITUTE(SUBSTITUTE(SUBSTITUTE(SUBSTITUTE(SUBSTITUTE(SUBSTITUTE(SUBSTITUTE(SUBSTITUTE(SUBSTITUTE(LEFT(MAIN!C273, FIND(",",MAIN!C273) -1), "0", ""), "1", ""), "2", ""), "3", ""), "4", ""), "5", ""), "6", ""), "7", ""), "8", ""), "9", "")), PROPER(SUBSTITUTE(SUBSTITUTE(SUBSTITUTE(SUBSTITUTE(SUBSTITUTE(SUBSTITUTE(SUBSTITUTE(SUBSTITUTE(SUBSTITUTE(SUBSTITUTE(MAIN!C273, "0", ""), "1", ""), "2", ""), "3", ""), "4", ""), "5", ""), "6", ""), "7", ""), "8", ""), "9", ""))))</f>
        <v>--</v>
      </c>
      <c r="D273" t="str">
        <f>IF(ISBLANK(MAIN!D273), "--", IF(ISNUMBER(MATCH(SUBSTITUTE(LEFT(MAIN!D273, IFERROR(FIND(",", MAIN!D273)-1, LEN(MAIN!D273))), " ", ""), lookup_values!$B$2:$B$51, 0)), UPPER(SUBSTITUTE(LEFT(MAIN!D273, IFERROR(FIND(",", MAIN!D273)-1, LEN(MAIN!D273))), " ", "")), IF(ISNA(VLOOKUP(SUBSTITUTE(LEFT(MAIN!D273, IFERROR(FIND(",", MAIN!D273)-1, LEN(MAIN!D273))), " ", ""), lookup_values!$A$2:$B$51, 2, FALSE)), "--", VLOOKUP(SUBSTITUTE(LEFT(MAIN!D273, IFERROR(FIND(",", MAIN!D273)-1, LEN(MAIN!D273))), " ", ""), lookup_values!$A$2:$B$51, 2, FALSE))))</f>
        <v>--</v>
      </c>
      <c r="E273" t="str">
        <f>IF(CLEAN_DATA!D273&lt;&gt;"--","US",IF(ISBLANK(MAIN!E273), "--", IF(ISNUMBER(MATCH(SUBSTITUTE(LEFT(MAIN!E273, IFERROR(FIND(",", MAIN!E273)-1, LEN(MAIN!E273))), " ", ""), lookup_values!$E$2:$E$197, 0)), UPPER(SUBSTITUTE(LEFT(MAIN!E273, IFERROR(FIND(",", MAIN!E273)-1, LEN(MAIN!E273))), " ", "")), IF(ISNA(VLOOKUP(SUBSTITUTE(LEFT(MAIN!E273, IFERROR(FIND(",", MAIN!E273)-1, LEN(MAIN!E273))), " ", ""), lookup_values!$D$2:$E$197, 2, FALSE)), "--", VLOOKUP(SUBSTITUTE(LEFT(MAIN!E273, IFERROR(FIND(",", MAIN!E273)-1, LEN(MAIN!E273))), " ", ""), lookup_values!$D$2:$E$197, 2, FALSE)))))</f>
        <v>--</v>
      </c>
      <c r="F273" t="str">
        <f>IF(ISBLANK(MAIN!F273), "", IF(AND(ISNUMBER(VALUE(TRIM(MAIN!F273))), LEN(TRIM(MAIN!F273))=4), VALUE(TRIM(MAIN!F273)), ""))</f>
        <v/>
      </c>
      <c r="G273">
        <f>IF(ISBLANK(MAIN!G273), 0, IF(ISNUMBER(VALUE(TRIM(MAIN!G273))), VALUE(TRIM(MAIN!G273)), 0))</f>
        <v>0</v>
      </c>
      <c r="H273">
        <f>IF(ISBLANK(MAIN!H273), 0, IF(ISNUMBER(VALUE(TRIM(MAIN!H273))), VALUE(TRIM(MAIN!H273)), 0))</f>
        <v>0</v>
      </c>
      <c r="I273">
        <f>IF(ISBLANK(MAIN!I273), 0, IF(ISNUMBER(VALUE(TRIM(MAIN!I273))), VALUE(TRIM(MAIN!I273)), 0))</f>
        <v>0</v>
      </c>
      <c r="J273">
        <f>IF(ISBLANK(MAIN!J273), 0, IF(ISNUMBER(VALUE(TRIM(MAIN!J273))), VALUE(TRIM(MAIN!J273)), 0))</f>
        <v>0</v>
      </c>
      <c r="K273" cm="1">
        <f t="array" ref="K273">IFERROR(
    VALUE(
        IFERROR(
            UPPER(
                IF(MAX(IFERROR(SEARCH("WD",MAIN!G273:J273), 0))&gt;0, "WD",
                IF(MAX(IFERROR(SEARCH("NS",MAIN!G273:J273), 0))&gt;0, "NS",
                IF(MAX(IFERROR(SEARCH("NC",MAIN!G273:J273), 0))&gt;0, "NC",
                IF(MAX(IFERROR(SEARCH("DQ",MAIN!G273:J273), 0))&gt;0, "DQ",
                IF(ISNUMBER(SEARCH("WD",MAIN!K273)), "WD",
                IF(ISNUMBER(SEARCH("NS",MAIN!K273)), "NS",
                IF(ISNUMBER(SEARCH("NC",MAIN!K273)), "NC",
                IF(ISNUMBER(SEARCH("DQ",MAIN!K273)), "DQ",
                IF(ISNUMBER(SEARCH("A",MAIN!K273)), 0,
                IF(OR(MAIN!K273=0,MAIN!K273=""), 0, --TRIM(MAIN!K273)))))))))))),
            0
        )
    ),
    IFERROR(
        UPPER(
            IF(MAX(IFERROR(SEARCH("WD",MAIN!G273:J273), 0))&gt;0, "WD",
            IF(MAX(IFERROR(SEARCH("NS",MAIN!G273:J273), 0))&gt;0, "NS",
            IF(MAX(IFERROR(SEARCH("NC",MAIN!G273:J273), 0))&gt;0, "NC",
            IF(MAX(IFERROR(SEARCH("DQ",MAIN!G273:J273), 0))&gt;0, "DQ",
            IF(ISNUMBER(SEARCH("WD",MAIN!K273)), "WD",
            IF(ISNUMBER(SEARCH("NS",MAIN!K273)), "NS",
            IF(ISNUMBER(SEARCH("NC",MAIN!K273)), "NC",
            IF(ISNUMBER(SEARCH("DQ",MAIN!K273)), "DQ",
            IF(ISNUMBER(SEARCH("A",MAIN!K273)), 0,
            IF(OR(MAIN!K273=0,MAIN!K273=""), 0, --TRIM(MAIN!K273)))))))))))),
        0
    )
)</f>
        <v>0</v>
      </c>
    </row>
    <row r="274" spans="1:11" x14ac:dyDescent="0.25">
      <c r="A274" t="str">
        <f>IF(ISBLANK(MAIN!A274), "--", IFERROR(PROPER(SUBSTITUTE(SUBSTITUTE(SUBSTITUTE(SUBSTITUTE(SUBSTITUTE(SUBSTITUTE(SUBSTITUTE(SUBSTITUTE(SUBSTITUTE(SUBSTITUTE(LEFT(MAIN!A274, FIND(",",MAIN!A274) -1), "0", ""), "1", ""), "2", ""), "3", ""), "4", ""), "5", ""), "6", ""), "7", ""), "8", ""), "9", "")), PROPER(SUBSTITUTE(SUBSTITUTE(SUBSTITUTE(SUBSTITUTE(SUBSTITUTE(SUBSTITUTE(SUBSTITUTE(SUBSTITUTE(SUBSTITUTE(SUBSTITUTE(MAIN!A274, "0", ""), "1", ""), "2", ""), "3", ""), "4", ""), "5", ""), "6", ""), "7", ""), "8", ""), "9", ""))))</f>
        <v>--</v>
      </c>
      <c r="B274" t="str">
        <f>IF(ISBLANK(MAIN!B274), "--", IFERROR(PROPER(SUBSTITUTE(SUBSTITUTE(SUBSTITUTE(SUBSTITUTE(SUBSTITUTE(SUBSTITUTE(SUBSTITUTE(SUBSTITUTE(SUBSTITUTE(SUBSTITUTE(LEFT(MAIN!B274, FIND(",",MAIN!B274) -1), "0", ""), "1", ""), "2", ""), "3", ""), "4", ""), "5", ""), "6", ""), "7", ""), "8", ""), "9", "")), PROPER(SUBSTITUTE(SUBSTITUTE(SUBSTITUTE(SUBSTITUTE(SUBSTITUTE(SUBSTITUTE(SUBSTITUTE(SUBSTITUTE(SUBSTITUTE(SUBSTITUTE(MAIN!B274, "0", ""), "1", ""), "2", ""), "3", ""), "4", ""), "5", ""), "6", ""), "7", ""), "8", ""), "9", ""))))</f>
        <v>--</v>
      </c>
      <c r="C274" t="str">
        <f>IF(ISBLANK(MAIN!C274), "--", IFERROR(PROPER(SUBSTITUTE(SUBSTITUTE(SUBSTITUTE(SUBSTITUTE(SUBSTITUTE(SUBSTITUTE(SUBSTITUTE(SUBSTITUTE(SUBSTITUTE(SUBSTITUTE(LEFT(MAIN!C274, FIND(",",MAIN!C274) -1), "0", ""), "1", ""), "2", ""), "3", ""), "4", ""), "5", ""), "6", ""), "7", ""), "8", ""), "9", "")), PROPER(SUBSTITUTE(SUBSTITUTE(SUBSTITUTE(SUBSTITUTE(SUBSTITUTE(SUBSTITUTE(SUBSTITUTE(SUBSTITUTE(SUBSTITUTE(SUBSTITUTE(MAIN!C274, "0", ""), "1", ""), "2", ""), "3", ""), "4", ""), "5", ""), "6", ""), "7", ""), "8", ""), "9", ""))))</f>
        <v>--</v>
      </c>
      <c r="D274" t="str">
        <f>IF(ISBLANK(MAIN!D274), "--", IF(ISNUMBER(MATCH(SUBSTITUTE(LEFT(MAIN!D274, IFERROR(FIND(",", MAIN!D274)-1, LEN(MAIN!D274))), " ", ""), lookup_values!$B$2:$B$51, 0)), UPPER(SUBSTITUTE(LEFT(MAIN!D274, IFERROR(FIND(",", MAIN!D274)-1, LEN(MAIN!D274))), " ", "")), IF(ISNA(VLOOKUP(SUBSTITUTE(LEFT(MAIN!D274, IFERROR(FIND(",", MAIN!D274)-1, LEN(MAIN!D274))), " ", ""), lookup_values!$A$2:$B$51, 2, FALSE)), "--", VLOOKUP(SUBSTITUTE(LEFT(MAIN!D274, IFERROR(FIND(",", MAIN!D274)-1, LEN(MAIN!D274))), " ", ""), lookup_values!$A$2:$B$51, 2, FALSE))))</f>
        <v>--</v>
      </c>
      <c r="E274" t="str">
        <f>IF(CLEAN_DATA!D274&lt;&gt;"--","US",IF(ISBLANK(MAIN!E274), "--", IF(ISNUMBER(MATCH(SUBSTITUTE(LEFT(MAIN!E274, IFERROR(FIND(",", MAIN!E274)-1, LEN(MAIN!E274))), " ", ""), lookup_values!$E$2:$E$197, 0)), UPPER(SUBSTITUTE(LEFT(MAIN!E274, IFERROR(FIND(",", MAIN!E274)-1, LEN(MAIN!E274))), " ", "")), IF(ISNA(VLOOKUP(SUBSTITUTE(LEFT(MAIN!E274, IFERROR(FIND(",", MAIN!E274)-1, LEN(MAIN!E274))), " ", ""), lookup_values!$D$2:$E$197, 2, FALSE)), "--", VLOOKUP(SUBSTITUTE(LEFT(MAIN!E274, IFERROR(FIND(",", MAIN!E274)-1, LEN(MAIN!E274))), " ", ""), lookup_values!$D$2:$E$197, 2, FALSE)))))</f>
        <v>--</v>
      </c>
      <c r="F274" t="str">
        <f>IF(ISBLANK(MAIN!F274), "", IF(AND(ISNUMBER(VALUE(TRIM(MAIN!F274))), LEN(TRIM(MAIN!F274))=4), VALUE(TRIM(MAIN!F274)), ""))</f>
        <v/>
      </c>
      <c r="G274">
        <f>IF(ISBLANK(MAIN!G274), 0, IF(ISNUMBER(VALUE(TRIM(MAIN!G274))), VALUE(TRIM(MAIN!G274)), 0))</f>
        <v>0</v>
      </c>
      <c r="H274">
        <f>IF(ISBLANK(MAIN!H274), 0, IF(ISNUMBER(VALUE(TRIM(MAIN!H274))), VALUE(TRIM(MAIN!H274)), 0))</f>
        <v>0</v>
      </c>
      <c r="I274">
        <f>IF(ISBLANK(MAIN!I274), 0, IF(ISNUMBER(VALUE(TRIM(MAIN!I274))), VALUE(TRIM(MAIN!I274)), 0))</f>
        <v>0</v>
      </c>
      <c r="J274">
        <f>IF(ISBLANK(MAIN!J274), 0, IF(ISNUMBER(VALUE(TRIM(MAIN!J274))), VALUE(TRIM(MAIN!J274)), 0))</f>
        <v>0</v>
      </c>
      <c r="K274" cm="1">
        <f t="array" ref="K274">IFERROR(
    VALUE(
        IFERROR(
            UPPER(
                IF(MAX(IFERROR(SEARCH("WD",MAIN!G274:J274), 0))&gt;0, "WD",
                IF(MAX(IFERROR(SEARCH("NS",MAIN!G274:J274), 0))&gt;0, "NS",
                IF(MAX(IFERROR(SEARCH("NC",MAIN!G274:J274), 0))&gt;0, "NC",
                IF(MAX(IFERROR(SEARCH("DQ",MAIN!G274:J274), 0))&gt;0, "DQ",
                IF(ISNUMBER(SEARCH("WD",MAIN!K274)), "WD",
                IF(ISNUMBER(SEARCH("NS",MAIN!K274)), "NS",
                IF(ISNUMBER(SEARCH("NC",MAIN!K274)), "NC",
                IF(ISNUMBER(SEARCH("DQ",MAIN!K274)), "DQ",
                IF(ISNUMBER(SEARCH("A",MAIN!K274)), 0,
                IF(OR(MAIN!K274=0,MAIN!K274=""), 0, --TRIM(MAIN!K274)))))))))))),
            0
        )
    ),
    IFERROR(
        UPPER(
            IF(MAX(IFERROR(SEARCH("WD",MAIN!G274:J274), 0))&gt;0, "WD",
            IF(MAX(IFERROR(SEARCH("NS",MAIN!G274:J274), 0))&gt;0, "NS",
            IF(MAX(IFERROR(SEARCH("NC",MAIN!G274:J274), 0))&gt;0, "NC",
            IF(MAX(IFERROR(SEARCH("DQ",MAIN!G274:J274), 0))&gt;0, "DQ",
            IF(ISNUMBER(SEARCH("WD",MAIN!K274)), "WD",
            IF(ISNUMBER(SEARCH("NS",MAIN!K274)), "NS",
            IF(ISNUMBER(SEARCH("NC",MAIN!K274)), "NC",
            IF(ISNUMBER(SEARCH("DQ",MAIN!K274)), "DQ",
            IF(ISNUMBER(SEARCH("A",MAIN!K274)), 0,
            IF(OR(MAIN!K274=0,MAIN!K274=""), 0, --TRIM(MAIN!K274)))))))))))),
        0
    )
)</f>
        <v>0</v>
      </c>
    </row>
    <row r="275" spans="1:11" x14ac:dyDescent="0.25">
      <c r="A275" t="str">
        <f>IF(ISBLANK(MAIN!A275), "--", IFERROR(PROPER(SUBSTITUTE(SUBSTITUTE(SUBSTITUTE(SUBSTITUTE(SUBSTITUTE(SUBSTITUTE(SUBSTITUTE(SUBSTITUTE(SUBSTITUTE(SUBSTITUTE(LEFT(MAIN!A275, FIND(",",MAIN!A275) -1), "0", ""), "1", ""), "2", ""), "3", ""), "4", ""), "5", ""), "6", ""), "7", ""), "8", ""), "9", "")), PROPER(SUBSTITUTE(SUBSTITUTE(SUBSTITUTE(SUBSTITUTE(SUBSTITUTE(SUBSTITUTE(SUBSTITUTE(SUBSTITUTE(SUBSTITUTE(SUBSTITUTE(MAIN!A275, "0", ""), "1", ""), "2", ""), "3", ""), "4", ""), "5", ""), "6", ""), "7", ""), "8", ""), "9", ""))))</f>
        <v>--</v>
      </c>
      <c r="B275" t="str">
        <f>IF(ISBLANK(MAIN!B275), "--", IFERROR(PROPER(SUBSTITUTE(SUBSTITUTE(SUBSTITUTE(SUBSTITUTE(SUBSTITUTE(SUBSTITUTE(SUBSTITUTE(SUBSTITUTE(SUBSTITUTE(SUBSTITUTE(LEFT(MAIN!B275, FIND(",",MAIN!B275) -1), "0", ""), "1", ""), "2", ""), "3", ""), "4", ""), "5", ""), "6", ""), "7", ""), "8", ""), "9", "")), PROPER(SUBSTITUTE(SUBSTITUTE(SUBSTITUTE(SUBSTITUTE(SUBSTITUTE(SUBSTITUTE(SUBSTITUTE(SUBSTITUTE(SUBSTITUTE(SUBSTITUTE(MAIN!B275, "0", ""), "1", ""), "2", ""), "3", ""), "4", ""), "5", ""), "6", ""), "7", ""), "8", ""), "9", ""))))</f>
        <v>--</v>
      </c>
      <c r="C275" t="str">
        <f>IF(ISBLANK(MAIN!C275), "--", IFERROR(PROPER(SUBSTITUTE(SUBSTITUTE(SUBSTITUTE(SUBSTITUTE(SUBSTITUTE(SUBSTITUTE(SUBSTITUTE(SUBSTITUTE(SUBSTITUTE(SUBSTITUTE(LEFT(MAIN!C275, FIND(",",MAIN!C275) -1), "0", ""), "1", ""), "2", ""), "3", ""), "4", ""), "5", ""), "6", ""), "7", ""), "8", ""), "9", "")), PROPER(SUBSTITUTE(SUBSTITUTE(SUBSTITUTE(SUBSTITUTE(SUBSTITUTE(SUBSTITUTE(SUBSTITUTE(SUBSTITUTE(SUBSTITUTE(SUBSTITUTE(MAIN!C275, "0", ""), "1", ""), "2", ""), "3", ""), "4", ""), "5", ""), "6", ""), "7", ""), "8", ""), "9", ""))))</f>
        <v>--</v>
      </c>
      <c r="D275" t="str">
        <f>IF(ISBLANK(MAIN!D275), "--", IF(ISNUMBER(MATCH(SUBSTITUTE(LEFT(MAIN!D275, IFERROR(FIND(",", MAIN!D275)-1, LEN(MAIN!D275))), " ", ""), lookup_values!$B$2:$B$51, 0)), UPPER(SUBSTITUTE(LEFT(MAIN!D275, IFERROR(FIND(",", MAIN!D275)-1, LEN(MAIN!D275))), " ", "")), IF(ISNA(VLOOKUP(SUBSTITUTE(LEFT(MAIN!D275, IFERROR(FIND(",", MAIN!D275)-1, LEN(MAIN!D275))), " ", ""), lookup_values!$A$2:$B$51, 2, FALSE)), "--", VLOOKUP(SUBSTITUTE(LEFT(MAIN!D275, IFERROR(FIND(",", MAIN!D275)-1, LEN(MAIN!D275))), " ", ""), lookup_values!$A$2:$B$51, 2, FALSE))))</f>
        <v>--</v>
      </c>
      <c r="E275" t="str">
        <f>IF(CLEAN_DATA!D275&lt;&gt;"--","US",IF(ISBLANK(MAIN!E275), "--", IF(ISNUMBER(MATCH(SUBSTITUTE(LEFT(MAIN!E275, IFERROR(FIND(",", MAIN!E275)-1, LEN(MAIN!E275))), " ", ""), lookup_values!$E$2:$E$197, 0)), UPPER(SUBSTITUTE(LEFT(MAIN!E275, IFERROR(FIND(",", MAIN!E275)-1, LEN(MAIN!E275))), " ", "")), IF(ISNA(VLOOKUP(SUBSTITUTE(LEFT(MAIN!E275, IFERROR(FIND(",", MAIN!E275)-1, LEN(MAIN!E275))), " ", ""), lookup_values!$D$2:$E$197, 2, FALSE)), "--", VLOOKUP(SUBSTITUTE(LEFT(MAIN!E275, IFERROR(FIND(",", MAIN!E275)-1, LEN(MAIN!E275))), " ", ""), lookup_values!$D$2:$E$197, 2, FALSE)))))</f>
        <v>--</v>
      </c>
      <c r="F275" t="str">
        <f>IF(ISBLANK(MAIN!F275), "", IF(AND(ISNUMBER(VALUE(TRIM(MAIN!F275))), LEN(TRIM(MAIN!F275))=4), VALUE(TRIM(MAIN!F275)), ""))</f>
        <v/>
      </c>
      <c r="G275">
        <f>IF(ISBLANK(MAIN!G275), 0, IF(ISNUMBER(VALUE(TRIM(MAIN!G275))), VALUE(TRIM(MAIN!G275)), 0))</f>
        <v>0</v>
      </c>
      <c r="H275">
        <f>IF(ISBLANK(MAIN!H275), 0, IF(ISNUMBER(VALUE(TRIM(MAIN!H275))), VALUE(TRIM(MAIN!H275)), 0))</f>
        <v>0</v>
      </c>
      <c r="I275">
        <f>IF(ISBLANK(MAIN!I275), 0, IF(ISNUMBER(VALUE(TRIM(MAIN!I275))), VALUE(TRIM(MAIN!I275)), 0))</f>
        <v>0</v>
      </c>
      <c r="J275">
        <f>IF(ISBLANK(MAIN!J275), 0, IF(ISNUMBER(VALUE(TRIM(MAIN!J275))), VALUE(TRIM(MAIN!J275)), 0))</f>
        <v>0</v>
      </c>
      <c r="K275" cm="1">
        <f t="array" ref="K275">IFERROR(
    VALUE(
        IFERROR(
            UPPER(
                IF(MAX(IFERROR(SEARCH("WD",MAIN!G275:J275), 0))&gt;0, "WD",
                IF(MAX(IFERROR(SEARCH("NS",MAIN!G275:J275), 0))&gt;0, "NS",
                IF(MAX(IFERROR(SEARCH("NC",MAIN!G275:J275), 0))&gt;0, "NC",
                IF(MAX(IFERROR(SEARCH("DQ",MAIN!G275:J275), 0))&gt;0, "DQ",
                IF(ISNUMBER(SEARCH("WD",MAIN!K275)), "WD",
                IF(ISNUMBER(SEARCH("NS",MAIN!K275)), "NS",
                IF(ISNUMBER(SEARCH("NC",MAIN!K275)), "NC",
                IF(ISNUMBER(SEARCH("DQ",MAIN!K275)), "DQ",
                IF(ISNUMBER(SEARCH("A",MAIN!K275)), 0,
                IF(OR(MAIN!K275=0,MAIN!K275=""), 0, --TRIM(MAIN!K275)))))))))))),
            0
        )
    ),
    IFERROR(
        UPPER(
            IF(MAX(IFERROR(SEARCH("WD",MAIN!G275:J275), 0))&gt;0, "WD",
            IF(MAX(IFERROR(SEARCH("NS",MAIN!G275:J275), 0))&gt;0, "NS",
            IF(MAX(IFERROR(SEARCH("NC",MAIN!G275:J275), 0))&gt;0, "NC",
            IF(MAX(IFERROR(SEARCH("DQ",MAIN!G275:J275), 0))&gt;0, "DQ",
            IF(ISNUMBER(SEARCH("WD",MAIN!K275)), "WD",
            IF(ISNUMBER(SEARCH("NS",MAIN!K275)), "NS",
            IF(ISNUMBER(SEARCH("NC",MAIN!K275)), "NC",
            IF(ISNUMBER(SEARCH("DQ",MAIN!K275)), "DQ",
            IF(ISNUMBER(SEARCH("A",MAIN!K275)), 0,
            IF(OR(MAIN!K275=0,MAIN!K275=""), 0, --TRIM(MAIN!K275)))))))))))),
        0
    )
)</f>
        <v>0</v>
      </c>
    </row>
    <row r="276" spans="1:11" x14ac:dyDescent="0.25">
      <c r="A276" t="str">
        <f>IF(ISBLANK(MAIN!A276), "--", IFERROR(PROPER(SUBSTITUTE(SUBSTITUTE(SUBSTITUTE(SUBSTITUTE(SUBSTITUTE(SUBSTITUTE(SUBSTITUTE(SUBSTITUTE(SUBSTITUTE(SUBSTITUTE(LEFT(MAIN!A276, FIND(",",MAIN!A276) -1), "0", ""), "1", ""), "2", ""), "3", ""), "4", ""), "5", ""), "6", ""), "7", ""), "8", ""), "9", "")), PROPER(SUBSTITUTE(SUBSTITUTE(SUBSTITUTE(SUBSTITUTE(SUBSTITUTE(SUBSTITUTE(SUBSTITUTE(SUBSTITUTE(SUBSTITUTE(SUBSTITUTE(MAIN!A276, "0", ""), "1", ""), "2", ""), "3", ""), "4", ""), "5", ""), "6", ""), "7", ""), "8", ""), "9", ""))))</f>
        <v>--</v>
      </c>
      <c r="B276" t="str">
        <f>IF(ISBLANK(MAIN!B276), "--", IFERROR(PROPER(SUBSTITUTE(SUBSTITUTE(SUBSTITUTE(SUBSTITUTE(SUBSTITUTE(SUBSTITUTE(SUBSTITUTE(SUBSTITUTE(SUBSTITUTE(SUBSTITUTE(LEFT(MAIN!B276, FIND(",",MAIN!B276) -1), "0", ""), "1", ""), "2", ""), "3", ""), "4", ""), "5", ""), "6", ""), "7", ""), "8", ""), "9", "")), PROPER(SUBSTITUTE(SUBSTITUTE(SUBSTITUTE(SUBSTITUTE(SUBSTITUTE(SUBSTITUTE(SUBSTITUTE(SUBSTITUTE(SUBSTITUTE(SUBSTITUTE(MAIN!B276, "0", ""), "1", ""), "2", ""), "3", ""), "4", ""), "5", ""), "6", ""), "7", ""), "8", ""), "9", ""))))</f>
        <v>--</v>
      </c>
      <c r="C276" t="str">
        <f>IF(ISBLANK(MAIN!C276), "--", IFERROR(PROPER(SUBSTITUTE(SUBSTITUTE(SUBSTITUTE(SUBSTITUTE(SUBSTITUTE(SUBSTITUTE(SUBSTITUTE(SUBSTITUTE(SUBSTITUTE(SUBSTITUTE(LEFT(MAIN!C276, FIND(",",MAIN!C276) -1), "0", ""), "1", ""), "2", ""), "3", ""), "4", ""), "5", ""), "6", ""), "7", ""), "8", ""), "9", "")), PROPER(SUBSTITUTE(SUBSTITUTE(SUBSTITUTE(SUBSTITUTE(SUBSTITUTE(SUBSTITUTE(SUBSTITUTE(SUBSTITUTE(SUBSTITUTE(SUBSTITUTE(MAIN!C276, "0", ""), "1", ""), "2", ""), "3", ""), "4", ""), "5", ""), "6", ""), "7", ""), "8", ""), "9", ""))))</f>
        <v>--</v>
      </c>
      <c r="D276" t="str">
        <f>IF(ISBLANK(MAIN!D276), "--", IF(ISNUMBER(MATCH(SUBSTITUTE(LEFT(MAIN!D276, IFERROR(FIND(",", MAIN!D276)-1, LEN(MAIN!D276))), " ", ""), lookup_values!$B$2:$B$51, 0)), UPPER(SUBSTITUTE(LEFT(MAIN!D276, IFERROR(FIND(",", MAIN!D276)-1, LEN(MAIN!D276))), " ", "")), IF(ISNA(VLOOKUP(SUBSTITUTE(LEFT(MAIN!D276, IFERROR(FIND(",", MAIN!D276)-1, LEN(MAIN!D276))), " ", ""), lookup_values!$A$2:$B$51, 2, FALSE)), "--", VLOOKUP(SUBSTITUTE(LEFT(MAIN!D276, IFERROR(FIND(",", MAIN!D276)-1, LEN(MAIN!D276))), " ", ""), lookup_values!$A$2:$B$51, 2, FALSE))))</f>
        <v>--</v>
      </c>
      <c r="E276" t="str">
        <f>IF(CLEAN_DATA!D276&lt;&gt;"--","US",IF(ISBLANK(MAIN!E276), "--", IF(ISNUMBER(MATCH(SUBSTITUTE(LEFT(MAIN!E276, IFERROR(FIND(",", MAIN!E276)-1, LEN(MAIN!E276))), " ", ""), lookup_values!$E$2:$E$197, 0)), UPPER(SUBSTITUTE(LEFT(MAIN!E276, IFERROR(FIND(",", MAIN!E276)-1, LEN(MAIN!E276))), " ", "")), IF(ISNA(VLOOKUP(SUBSTITUTE(LEFT(MAIN!E276, IFERROR(FIND(",", MAIN!E276)-1, LEN(MAIN!E276))), " ", ""), lookup_values!$D$2:$E$197, 2, FALSE)), "--", VLOOKUP(SUBSTITUTE(LEFT(MAIN!E276, IFERROR(FIND(",", MAIN!E276)-1, LEN(MAIN!E276))), " ", ""), lookup_values!$D$2:$E$197, 2, FALSE)))))</f>
        <v>--</v>
      </c>
      <c r="F276" t="str">
        <f>IF(ISBLANK(MAIN!F276), "", IF(AND(ISNUMBER(VALUE(TRIM(MAIN!F276))), LEN(TRIM(MAIN!F276))=4), VALUE(TRIM(MAIN!F276)), ""))</f>
        <v/>
      </c>
      <c r="G276">
        <f>IF(ISBLANK(MAIN!G276), 0, IF(ISNUMBER(VALUE(TRIM(MAIN!G276))), VALUE(TRIM(MAIN!G276)), 0))</f>
        <v>0</v>
      </c>
      <c r="H276">
        <f>IF(ISBLANK(MAIN!H276), 0, IF(ISNUMBER(VALUE(TRIM(MAIN!H276))), VALUE(TRIM(MAIN!H276)), 0))</f>
        <v>0</v>
      </c>
      <c r="I276">
        <f>IF(ISBLANK(MAIN!I276), 0, IF(ISNUMBER(VALUE(TRIM(MAIN!I276))), VALUE(TRIM(MAIN!I276)), 0))</f>
        <v>0</v>
      </c>
      <c r="J276">
        <f>IF(ISBLANK(MAIN!J276), 0, IF(ISNUMBER(VALUE(TRIM(MAIN!J276))), VALUE(TRIM(MAIN!J276)), 0))</f>
        <v>0</v>
      </c>
      <c r="K276" cm="1">
        <f t="array" ref="K276">IFERROR(
    VALUE(
        IFERROR(
            UPPER(
                IF(MAX(IFERROR(SEARCH("WD",MAIN!G276:J276), 0))&gt;0, "WD",
                IF(MAX(IFERROR(SEARCH("NS",MAIN!G276:J276), 0))&gt;0, "NS",
                IF(MAX(IFERROR(SEARCH("NC",MAIN!G276:J276), 0))&gt;0, "NC",
                IF(MAX(IFERROR(SEARCH("DQ",MAIN!G276:J276), 0))&gt;0, "DQ",
                IF(ISNUMBER(SEARCH("WD",MAIN!K276)), "WD",
                IF(ISNUMBER(SEARCH("NS",MAIN!K276)), "NS",
                IF(ISNUMBER(SEARCH("NC",MAIN!K276)), "NC",
                IF(ISNUMBER(SEARCH("DQ",MAIN!K276)), "DQ",
                IF(ISNUMBER(SEARCH("A",MAIN!K276)), 0,
                IF(OR(MAIN!K276=0,MAIN!K276=""), 0, --TRIM(MAIN!K276)))))))))))),
            0
        )
    ),
    IFERROR(
        UPPER(
            IF(MAX(IFERROR(SEARCH("WD",MAIN!G276:J276), 0))&gt;0, "WD",
            IF(MAX(IFERROR(SEARCH("NS",MAIN!G276:J276), 0))&gt;0, "NS",
            IF(MAX(IFERROR(SEARCH("NC",MAIN!G276:J276), 0))&gt;0, "NC",
            IF(MAX(IFERROR(SEARCH("DQ",MAIN!G276:J276), 0))&gt;0, "DQ",
            IF(ISNUMBER(SEARCH("WD",MAIN!K276)), "WD",
            IF(ISNUMBER(SEARCH("NS",MAIN!K276)), "NS",
            IF(ISNUMBER(SEARCH("NC",MAIN!K276)), "NC",
            IF(ISNUMBER(SEARCH("DQ",MAIN!K276)), "DQ",
            IF(ISNUMBER(SEARCH("A",MAIN!K276)), 0,
            IF(OR(MAIN!K276=0,MAIN!K276=""), 0, --TRIM(MAIN!K276)))))))))))),
        0
    )
)</f>
        <v>0</v>
      </c>
    </row>
    <row r="277" spans="1:11" x14ac:dyDescent="0.25">
      <c r="A277" t="str">
        <f>IF(ISBLANK(MAIN!A277), "--", IFERROR(PROPER(SUBSTITUTE(SUBSTITUTE(SUBSTITUTE(SUBSTITUTE(SUBSTITUTE(SUBSTITUTE(SUBSTITUTE(SUBSTITUTE(SUBSTITUTE(SUBSTITUTE(LEFT(MAIN!A277, FIND(",",MAIN!A277) -1), "0", ""), "1", ""), "2", ""), "3", ""), "4", ""), "5", ""), "6", ""), "7", ""), "8", ""), "9", "")), PROPER(SUBSTITUTE(SUBSTITUTE(SUBSTITUTE(SUBSTITUTE(SUBSTITUTE(SUBSTITUTE(SUBSTITUTE(SUBSTITUTE(SUBSTITUTE(SUBSTITUTE(MAIN!A277, "0", ""), "1", ""), "2", ""), "3", ""), "4", ""), "5", ""), "6", ""), "7", ""), "8", ""), "9", ""))))</f>
        <v>--</v>
      </c>
      <c r="B277" t="str">
        <f>IF(ISBLANK(MAIN!B277), "--", IFERROR(PROPER(SUBSTITUTE(SUBSTITUTE(SUBSTITUTE(SUBSTITUTE(SUBSTITUTE(SUBSTITUTE(SUBSTITUTE(SUBSTITUTE(SUBSTITUTE(SUBSTITUTE(LEFT(MAIN!B277, FIND(",",MAIN!B277) -1), "0", ""), "1", ""), "2", ""), "3", ""), "4", ""), "5", ""), "6", ""), "7", ""), "8", ""), "9", "")), PROPER(SUBSTITUTE(SUBSTITUTE(SUBSTITUTE(SUBSTITUTE(SUBSTITUTE(SUBSTITUTE(SUBSTITUTE(SUBSTITUTE(SUBSTITUTE(SUBSTITUTE(MAIN!B277, "0", ""), "1", ""), "2", ""), "3", ""), "4", ""), "5", ""), "6", ""), "7", ""), "8", ""), "9", ""))))</f>
        <v>--</v>
      </c>
      <c r="C277" t="str">
        <f>IF(ISBLANK(MAIN!C277), "--", IFERROR(PROPER(SUBSTITUTE(SUBSTITUTE(SUBSTITUTE(SUBSTITUTE(SUBSTITUTE(SUBSTITUTE(SUBSTITUTE(SUBSTITUTE(SUBSTITUTE(SUBSTITUTE(LEFT(MAIN!C277, FIND(",",MAIN!C277) -1), "0", ""), "1", ""), "2", ""), "3", ""), "4", ""), "5", ""), "6", ""), "7", ""), "8", ""), "9", "")), PROPER(SUBSTITUTE(SUBSTITUTE(SUBSTITUTE(SUBSTITUTE(SUBSTITUTE(SUBSTITUTE(SUBSTITUTE(SUBSTITUTE(SUBSTITUTE(SUBSTITUTE(MAIN!C277, "0", ""), "1", ""), "2", ""), "3", ""), "4", ""), "5", ""), "6", ""), "7", ""), "8", ""), "9", ""))))</f>
        <v>--</v>
      </c>
      <c r="D277" t="str">
        <f>IF(ISBLANK(MAIN!D277), "--", IF(ISNUMBER(MATCH(SUBSTITUTE(LEFT(MAIN!D277, IFERROR(FIND(",", MAIN!D277)-1, LEN(MAIN!D277))), " ", ""), lookup_values!$B$2:$B$51, 0)), UPPER(SUBSTITUTE(LEFT(MAIN!D277, IFERROR(FIND(",", MAIN!D277)-1, LEN(MAIN!D277))), " ", "")), IF(ISNA(VLOOKUP(SUBSTITUTE(LEFT(MAIN!D277, IFERROR(FIND(",", MAIN!D277)-1, LEN(MAIN!D277))), " ", ""), lookup_values!$A$2:$B$51, 2, FALSE)), "--", VLOOKUP(SUBSTITUTE(LEFT(MAIN!D277, IFERROR(FIND(",", MAIN!D277)-1, LEN(MAIN!D277))), " ", ""), lookup_values!$A$2:$B$51, 2, FALSE))))</f>
        <v>--</v>
      </c>
      <c r="E277" t="str">
        <f>IF(CLEAN_DATA!D277&lt;&gt;"--","US",IF(ISBLANK(MAIN!E277), "--", IF(ISNUMBER(MATCH(SUBSTITUTE(LEFT(MAIN!E277, IFERROR(FIND(",", MAIN!E277)-1, LEN(MAIN!E277))), " ", ""), lookup_values!$E$2:$E$197, 0)), UPPER(SUBSTITUTE(LEFT(MAIN!E277, IFERROR(FIND(",", MAIN!E277)-1, LEN(MAIN!E277))), " ", "")), IF(ISNA(VLOOKUP(SUBSTITUTE(LEFT(MAIN!E277, IFERROR(FIND(",", MAIN!E277)-1, LEN(MAIN!E277))), " ", ""), lookup_values!$D$2:$E$197, 2, FALSE)), "--", VLOOKUP(SUBSTITUTE(LEFT(MAIN!E277, IFERROR(FIND(",", MAIN!E277)-1, LEN(MAIN!E277))), " ", ""), lookup_values!$D$2:$E$197, 2, FALSE)))))</f>
        <v>--</v>
      </c>
      <c r="F277" t="str">
        <f>IF(ISBLANK(MAIN!F277), "", IF(AND(ISNUMBER(VALUE(TRIM(MAIN!F277))), LEN(TRIM(MAIN!F277))=4), VALUE(TRIM(MAIN!F277)), ""))</f>
        <v/>
      </c>
      <c r="G277">
        <f>IF(ISBLANK(MAIN!G277), 0, IF(ISNUMBER(VALUE(TRIM(MAIN!G277))), VALUE(TRIM(MAIN!G277)), 0))</f>
        <v>0</v>
      </c>
      <c r="H277">
        <f>IF(ISBLANK(MAIN!H277), 0, IF(ISNUMBER(VALUE(TRIM(MAIN!H277))), VALUE(TRIM(MAIN!H277)), 0))</f>
        <v>0</v>
      </c>
      <c r="I277">
        <f>IF(ISBLANK(MAIN!I277), 0, IF(ISNUMBER(VALUE(TRIM(MAIN!I277))), VALUE(TRIM(MAIN!I277)), 0))</f>
        <v>0</v>
      </c>
      <c r="J277">
        <f>IF(ISBLANK(MAIN!J277), 0, IF(ISNUMBER(VALUE(TRIM(MAIN!J277))), VALUE(TRIM(MAIN!J277)), 0))</f>
        <v>0</v>
      </c>
      <c r="K277" cm="1">
        <f t="array" ref="K277">IFERROR(
    VALUE(
        IFERROR(
            UPPER(
                IF(MAX(IFERROR(SEARCH("WD",MAIN!G277:J277), 0))&gt;0, "WD",
                IF(MAX(IFERROR(SEARCH("NS",MAIN!G277:J277), 0))&gt;0, "NS",
                IF(MAX(IFERROR(SEARCH("NC",MAIN!G277:J277), 0))&gt;0, "NC",
                IF(MAX(IFERROR(SEARCH("DQ",MAIN!G277:J277), 0))&gt;0, "DQ",
                IF(ISNUMBER(SEARCH("WD",MAIN!K277)), "WD",
                IF(ISNUMBER(SEARCH("NS",MAIN!K277)), "NS",
                IF(ISNUMBER(SEARCH("NC",MAIN!K277)), "NC",
                IF(ISNUMBER(SEARCH("DQ",MAIN!K277)), "DQ",
                IF(ISNUMBER(SEARCH("A",MAIN!K277)), 0,
                IF(OR(MAIN!K277=0,MAIN!K277=""), 0, --TRIM(MAIN!K277)))))))))))),
            0
        )
    ),
    IFERROR(
        UPPER(
            IF(MAX(IFERROR(SEARCH("WD",MAIN!G277:J277), 0))&gt;0, "WD",
            IF(MAX(IFERROR(SEARCH("NS",MAIN!G277:J277), 0))&gt;0, "NS",
            IF(MAX(IFERROR(SEARCH("NC",MAIN!G277:J277), 0))&gt;0, "NC",
            IF(MAX(IFERROR(SEARCH("DQ",MAIN!G277:J277), 0))&gt;0, "DQ",
            IF(ISNUMBER(SEARCH("WD",MAIN!K277)), "WD",
            IF(ISNUMBER(SEARCH("NS",MAIN!K277)), "NS",
            IF(ISNUMBER(SEARCH("NC",MAIN!K277)), "NC",
            IF(ISNUMBER(SEARCH("DQ",MAIN!K277)), "DQ",
            IF(ISNUMBER(SEARCH("A",MAIN!K277)), 0,
            IF(OR(MAIN!K277=0,MAIN!K277=""), 0, --TRIM(MAIN!K277)))))))))))),
        0
    )
)</f>
        <v>0</v>
      </c>
    </row>
    <row r="278" spans="1:11" x14ac:dyDescent="0.25">
      <c r="A278" t="str">
        <f>IF(ISBLANK(MAIN!A278), "--", IFERROR(PROPER(SUBSTITUTE(SUBSTITUTE(SUBSTITUTE(SUBSTITUTE(SUBSTITUTE(SUBSTITUTE(SUBSTITUTE(SUBSTITUTE(SUBSTITUTE(SUBSTITUTE(LEFT(MAIN!A278, FIND(",",MAIN!A278) -1), "0", ""), "1", ""), "2", ""), "3", ""), "4", ""), "5", ""), "6", ""), "7", ""), "8", ""), "9", "")), PROPER(SUBSTITUTE(SUBSTITUTE(SUBSTITUTE(SUBSTITUTE(SUBSTITUTE(SUBSTITUTE(SUBSTITUTE(SUBSTITUTE(SUBSTITUTE(SUBSTITUTE(MAIN!A278, "0", ""), "1", ""), "2", ""), "3", ""), "4", ""), "5", ""), "6", ""), "7", ""), "8", ""), "9", ""))))</f>
        <v>--</v>
      </c>
      <c r="B278" t="str">
        <f>IF(ISBLANK(MAIN!B278), "--", IFERROR(PROPER(SUBSTITUTE(SUBSTITUTE(SUBSTITUTE(SUBSTITUTE(SUBSTITUTE(SUBSTITUTE(SUBSTITUTE(SUBSTITUTE(SUBSTITUTE(SUBSTITUTE(LEFT(MAIN!B278, FIND(",",MAIN!B278) -1), "0", ""), "1", ""), "2", ""), "3", ""), "4", ""), "5", ""), "6", ""), "7", ""), "8", ""), "9", "")), PROPER(SUBSTITUTE(SUBSTITUTE(SUBSTITUTE(SUBSTITUTE(SUBSTITUTE(SUBSTITUTE(SUBSTITUTE(SUBSTITUTE(SUBSTITUTE(SUBSTITUTE(MAIN!B278, "0", ""), "1", ""), "2", ""), "3", ""), "4", ""), "5", ""), "6", ""), "7", ""), "8", ""), "9", ""))))</f>
        <v>--</v>
      </c>
      <c r="C278" t="str">
        <f>IF(ISBLANK(MAIN!C278), "--", IFERROR(PROPER(SUBSTITUTE(SUBSTITUTE(SUBSTITUTE(SUBSTITUTE(SUBSTITUTE(SUBSTITUTE(SUBSTITUTE(SUBSTITUTE(SUBSTITUTE(SUBSTITUTE(LEFT(MAIN!C278, FIND(",",MAIN!C278) -1), "0", ""), "1", ""), "2", ""), "3", ""), "4", ""), "5", ""), "6", ""), "7", ""), "8", ""), "9", "")), PROPER(SUBSTITUTE(SUBSTITUTE(SUBSTITUTE(SUBSTITUTE(SUBSTITUTE(SUBSTITUTE(SUBSTITUTE(SUBSTITUTE(SUBSTITUTE(SUBSTITUTE(MAIN!C278, "0", ""), "1", ""), "2", ""), "3", ""), "4", ""), "5", ""), "6", ""), "7", ""), "8", ""), "9", ""))))</f>
        <v>--</v>
      </c>
      <c r="D278" t="str">
        <f>IF(ISBLANK(MAIN!D278), "--", IF(ISNUMBER(MATCH(SUBSTITUTE(LEFT(MAIN!D278, IFERROR(FIND(",", MAIN!D278)-1, LEN(MAIN!D278))), " ", ""), lookup_values!$B$2:$B$51, 0)), UPPER(SUBSTITUTE(LEFT(MAIN!D278, IFERROR(FIND(",", MAIN!D278)-1, LEN(MAIN!D278))), " ", "")), IF(ISNA(VLOOKUP(SUBSTITUTE(LEFT(MAIN!D278, IFERROR(FIND(",", MAIN!D278)-1, LEN(MAIN!D278))), " ", ""), lookup_values!$A$2:$B$51, 2, FALSE)), "--", VLOOKUP(SUBSTITUTE(LEFT(MAIN!D278, IFERROR(FIND(",", MAIN!D278)-1, LEN(MAIN!D278))), " ", ""), lookup_values!$A$2:$B$51, 2, FALSE))))</f>
        <v>--</v>
      </c>
      <c r="E278" t="str">
        <f>IF(CLEAN_DATA!D278&lt;&gt;"--","US",IF(ISBLANK(MAIN!E278), "--", IF(ISNUMBER(MATCH(SUBSTITUTE(LEFT(MAIN!E278, IFERROR(FIND(",", MAIN!E278)-1, LEN(MAIN!E278))), " ", ""), lookup_values!$E$2:$E$197, 0)), UPPER(SUBSTITUTE(LEFT(MAIN!E278, IFERROR(FIND(",", MAIN!E278)-1, LEN(MAIN!E278))), " ", "")), IF(ISNA(VLOOKUP(SUBSTITUTE(LEFT(MAIN!E278, IFERROR(FIND(",", MAIN!E278)-1, LEN(MAIN!E278))), " ", ""), lookup_values!$D$2:$E$197, 2, FALSE)), "--", VLOOKUP(SUBSTITUTE(LEFT(MAIN!E278, IFERROR(FIND(",", MAIN!E278)-1, LEN(MAIN!E278))), " ", ""), lookup_values!$D$2:$E$197, 2, FALSE)))))</f>
        <v>--</v>
      </c>
      <c r="F278" t="str">
        <f>IF(ISBLANK(MAIN!F278), "", IF(AND(ISNUMBER(VALUE(TRIM(MAIN!F278))), LEN(TRIM(MAIN!F278))=4), VALUE(TRIM(MAIN!F278)), ""))</f>
        <v/>
      </c>
      <c r="G278">
        <f>IF(ISBLANK(MAIN!G278), 0, IF(ISNUMBER(VALUE(TRIM(MAIN!G278))), VALUE(TRIM(MAIN!G278)), 0))</f>
        <v>0</v>
      </c>
      <c r="H278">
        <f>IF(ISBLANK(MAIN!H278), 0, IF(ISNUMBER(VALUE(TRIM(MAIN!H278))), VALUE(TRIM(MAIN!H278)), 0))</f>
        <v>0</v>
      </c>
      <c r="I278">
        <f>IF(ISBLANK(MAIN!I278), 0, IF(ISNUMBER(VALUE(TRIM(MAIN!I278))), VALUE(TRIM(MAIN!I278)), 0))</f>
        <v>0</v>
      </c>
      <c r="J278">
        <f>IF(ISBLANK(MAIN!J278), 0, IF(ISNUMBER(VALUE(TRIM(MAIN!J278))), VALUE(TRIM(MAIN!J278)), 0))</f>
        <v>0</v>
      </c>
      <c r="K278" cm="1">
        <f t="array" ref="K278">IFERROR(
    VALUE(
        IFERROR(
            UPPER(
                IF(MAX(IFERROR(SEARCH("WD",MAIN!G278:J278), 0))&gt;0, "WD",
                IF(MAX(IFERROR(SEARCH("NS",MAIN!G278:J278), 0))&gt;0, "NS",
                IF(MAX(IFERROR(SEARCH("NC",MAIN!G278:J278), 0))&gt;0, "NC",
                IF(MAX(IFERROR(SEARCH("DQ",MAIN!G278:J278), 0))&gt;0, "DQ",
                IF(ISNUMBER(SEARCH("WD",MAIN!K278)), "WD",
                IF(ISNUMBER(SEARCH("NS",MAIN!K278)), "NS",
                IF(ISNUMBER(SEARCH("NC",MAIN!K278)), "NC",
                IF(ISNUMBER(SEARCH("DQ",MAIN!K278)), "DQ",
                IF(ISNUMBER(SEARCH("A",MAIN!K278)), 0,
                IF(OR(MAIN!K278=0,MAIN!K278=""), 0, --TRIM(MAIN!K278)))))))))))),
            0
        )
    ),
    IFERROR(
        UPPER(
            IF(MAX(IFERROR(SEARCH("WD",MAIN!G278:J278), 0))&gt;0, "WD",
            IF(MAX(IFERROR(SEARCH("NS",MAIN!G278:J278), 0))&gt;0, "NS",
            IF(MAX(IFERROR(SEARCH("NC",MAIN!G278:J278), 0))&gt;0, "NC",
            IF(MAX(IFERROR(SEARCH("DQ",MAIN!G278:J278), 0))&gt;0, "DQ",
            IF(ISNUMBER(SEARCH("WD",MAIN!K278)), "WD",
            IF(ISNUMBER(SEARCH("NS",MAIN!K278)), "NS",
            IF(ISNUMBER(SEARCH("NC",MAIN!K278)), "NC",
            IF(ISNUMBER(SEARCH("DQ",MAIN!K278)), "DQ",
            IF(ISNUMBER(SEARCH("A",MAIN!K278)), 0,
            IF(OR(MAIN!K278=0,MAIN!K278=""), 0, --TRIM(MAIN!K278)))))))))))),
        0
    )
)</f>
        <v>0</v>
      </c>
    </row>
    <row r="279" spans="1:11" x14ac:dyDescent="0.25">
      <c r="A279" t="str">
        <f>IF(ISBLANK(MAIN!A279), "--", IFERROR(PROPER(SUBSTITUTE(SUBSTITUTE(SUBSTITUTE(SUBSTITUTE(SUBSTITUTE(SUBSTITUTE(SUBSTITUTE(SUBSTITUTE(SUBSTITUTE(SUBSTITUTE(LEFT(MAIN!A279, FIND(",",MAIN!A279) -1), "0", ""), "1", ""), "2", ""), "3", ""), "4", ""), "5", ""), "6", ""), "7", ""), "8", ""), "9", "")), PROPER(SUBSTITUTE(SUBSTITUTE(SUBSTITUTE(SUBSTITUTE(SUBSTITUTE(SUBSTITUTE(SUBSTITUTE(SUBSTITUTE(SUBSTITUTE(SUBSTITUTE(MAIN!A279, "0", ""), "1", ""), "2", ""), "3", ""), "4", ""), "5", ""), "6", ""), "7", ""), "8", ""), "9", ""))))</f>
        <v>--</v>
      </c>
      <c r="B279" t="str">
        <f>IF(ISBLANK(MAIN!B279), "--", IFERROR(PROPER(SUBSTITUTE(SUBSTITUTE(SUBSTITUTE(SUBSTITUTE(SUBSTITUTE(SUBSTITUTE(SUBSTITUTE(SUBSTITUTE(SUBSTITUTE(SUBSTITUTE(LEFT(MAIN!B279, FIND(",",MAIN!B279) -1), "0", ""), "1", ""), "2", ""), "3", ""), "4", ""), "5", ""), "6", ""), "7", ""), "8", ""), "9", "")), PROPER(SUBSTITUTE(SUBSTITUTE(SUBSTITUTE(SUBSTITUTE(SUBSTITUTE(SUBSTITUTE(SUBSTITUTE(SUBSTITUTE(SUBSTITUTE(SUBSTITUTE(MAIN!B279, "0", ""), "1", ""), "2", ""), "3", ""), "4", ""), "5", ""), "6", ""), "7", ""), "8", ""), "9", ""))))</f>
        <v>--</v>
      </c>
      <c r="C279" t="str">
        <f>IF(ISBLANK(MAIN!C279), "--", IFERROR(PROPER(SUBSTITUTE(SUBSTITUTE(SUBSTITUTE(SUBSTITUTE(SUBSTITUTE(SUBSTITUTE(SUBSTITUTE(SUBSTITUTE(SUBSTITUTE(SUBSTITUTE(LEFT(MAIN!C279, FIND(",",MAIN!C279) -1), "0", ""), "1", ""), "2", ""), "3", ""), "4", ""), "5", ""), "6", ""), "7", ""), "8", ""), "9", "")), PROPER(SUBSTITUTE(SUBSTITUTE(SUBSTITUTE(SUBSTITUTE(SUBSTITUTE(SUBSTITUTE(SUBSTITUTE(SUBSTITUTE(SUBSTITUTE(SUBSTITUTE(MAIN!C279, "0", ""), "1", ""), "2", ""), "3", ""), "4", ""), "5", ""), "6", ""), "7", ""), "8", ""), "9", ""))))</f>
        <v>--</v>
      </c>
      <c r="D279" t="str">
        <f>IF(ISBLANK(MAIN!D279), "--", IF(ISNUMBER(MATCH(SUBSTITUTE(LEFT(MAIN!D279, IFERROR(FIND(",", MAIN!D279)-1, LEN(MAIN!D279))), " ", ""), lookup_values!$B$2:$B$51, 0)), UPPER(SUBSTITUTE(LEFT(MAIN!D279, IFERROR(FIND(",", MAIN!D279)-1, LEN(MAIN!D279))), " ", "")), IF(ISNA(VLOOKUP(SUBSTITUTE(LEFT(MAIN!D279, IFERROR(FIND(",", MAIN!D279)-1, LEN(MAIN!D279))), " ", ""), lookup_values!$A$2:$B$51, 2, FALSE)), "--", VLOOKUP(SUBSTITUTE(LEFT(MAIN!D279, IFERROR(FIND(",", MAIN!D279)-1, LEN(MAIN!D279))), " ", ""), lookup_values!$A$2:$B$51, 2, FALSE))))</f>
        <v>--</v>
      </c>
      <c r="E279" t="str">
        <f>IF(CLEAN_DATA!D279&lt;&gt;"--","US",IF(ISBLANK(MAIN!E279), "--", IF(ISNUMBER(MATCH(SUBSTITUTE(LEFT(MAIN!E279, IFERROR(FIND(",", MAIN!E279)-1, LEN(MAIN!E279))), " ", ""), lookup_values!$E$2:$E$197, 0)), UPPER(SUBSTITUTE(LEFT(MAIN!E279, IFERROR(FIND(",", MAIN!E279)-1, LEN(MAIN!E279))), " ", "")), IF(ISNA(VLOOKUP(SUBSTITUTE(LEFT(MAIN!E279, IFERROR(FIND(",", MAIN!E279)-1, LEN(MAIN!E279))), " ", ""), lookup_values!$D$2:$E$197, 2, FALSE)), "--", VLOOKUP(SUBSTITUTE(LEFT(MAIN!E279, IFERROR(FIND(",", MAIN!E279)-1, LEN(MAIN!E279))), " ", ""), lookup_values!$D$2:$E$197, 2, FALSE)))))</f>
        <v>--</v>
      </c>
      <c r="F279" t="str">
        <f>IF(ISBLANK(MAIN!F279), "", IF(AND(ISNUMBER(VALUE(TRIM(MAIN!F279))), LEN(TRIM(MAIN!F279))=4), VALUE(TRIM(MAIN!F279)), ""))</f>
        <v/>
      </c>
      <c r="G279">
        <f>IF(ISBLANK(MAIN!G279), 0, IF(ISNUMBER(VALUE(TRIM(MAIN!G279))), VALUE(TRIM(MAIN!G279)), 0))</f>
        <v>0</v>
      </c>
      <c r="H279">
        <f>IF(ISBLANK(MAIN!H279), 0, IF(ISNUMBER(VALUE(TRIM(MAIN!H279))), VALUE(TRIM(MAIN!H279)), 0))</f>
        <v>0</v>
      </c>
      <c r="I279">
        <f>IF(ISBLANK(MAIN!I279), 0, IF(ISNUMBER(VALUE(TRIM(MAIN!I279))), VALUE(TRIM(MAIN!I279)), 0))</f>
        <v>0</v>
      </c>
      <c r="J279">
        <f>IF(ISBLANK(MAIN!J279), 0, IF(ISNUMBER(VALUE(TRIM(MAIN!J279))), VALUE(TRIM(MAIN!J279)), 0))</f>
        <v>0</v>
      </c>
      <c r="K279" cm="1">
        <f t="array" ref="K279">IFERROR(
    VALUE(
        IFERROR(
            UPPER(
                IF(MAX(IFERROR(SEARCH("WD",MAIN!G279:J279), 0))&gt;0, "WD",
                IF(MAX(IFERROR(SEARCH("NS",MAIN!G279:J279), 0))&gt;0, "NS",
                IF(MAX(IFERROR(SEARCH("NC",MAIN!G279:J279), 0))&gt;0, "NC",
                IF(MAX(IFERROR(SEARCH("DQ",MAIN!G279:J279), 0))&gt;0, "DQ",
                IF(ISNUMBER(SEARCH("WD",MAIN!K279)), "WD",
                IF(ISNUMBER(SEARCH("NS",MAIN!K279)), "NS",
                IF(ISNUMBER(SEARCH("NC",MAIN!K279)), "NC",
                IF(ISNUMBER(SEARCH("DQ",MAIN!K279)), "DQ",
                IF(ISNUMBER(SEARCH("A",MAIN!K279)), 0,
                IF(OR(MAIN!K279=0,MAIN!K279=""), 0, --TRIM(MAIN!K279)))))))))))),
            0
        )
    ),
    IFERROR(
        UPPER(
            IF(MAX(IFERROR(SEARCH("WD",MAIN!G279:J279), 0))&gt;0, "WD",
            IF(MAX(IFERROR(SEARCH("NS",MAIN!G279:J279), 0))&gt;0, "NS",
            IF(MAX(IFERROR(SEARCH("NC",MAIN!G279:J279), 0))&gt;0, "NC",
            IF(MAX(IFERROR(SEARCH("DQ",MAIN!G279:J279), 0))&gt;0, "DQ",
            IF(ISNUMBER(SEARCH("WD",MAIN!K279)), "WD",
            IF(ISNUMBER(SEARCH("NS",MAIN!K279)), "NS",
            IF(ISNUMBER(SEARCH("NC",MAIN!K279)), "NC",
            IF(ISNUMBER(SEARCH("DQ",MAIN!K279)), "DQ",
            IF(ISNUMBER(SEARCH("A",MAIN!K279)), 0,
            IF(OR(MAIN!K279=0,MAIN!K279=""), 0, --TRIM(MAIN!K279)))))))))))),
        0
    )
)</f>
        <v>0</v>
      </c>
    </row>
    <row r="280" spans="1:11" x14ac:dyDescent="0.25">
      <c r="A280" t="str">
        <f>IF(ISBLANK(MAIN!A280), "--", IFERROR(PROPER(SUBSTITUTE(SUBSTITUTE(SUBSTITUTE(SUBSTITUTE(SUBSTITUTE(SUBSTITUTE(SUBSTITUTE(SUBSTITUTE(SUBSTITUTE(SUBSTITUTE(LEFT(MAIN!A280, FIND(",",MAIN!A280) -1), "0", ""), "1", ""), "2", ""), "3", ""), "4", ""), "5", ""), "6", ""), "7", ""), "8", ""), "9", "")), PROPER(SUBSTITUTE(SUBSTITUTE(SUBSTITUTE(SUBSTITUTE(SUBSTITUTE(SUBSTITUTE(SUBSTITUTE(SUBSTITUTE(SUBSTITUTE(SUBSTITUTE(MAIN!A280, "0", ""), "1", ""), "2", ""), "3", ""), "4", ""), "5", ""), "6", ""), "7", ""), "8", ""), "9", ""))))</f>
        <v>--</v>
      </c>
      <c r="B280" t="str">
        <f>IF(ISBLANK(MAIN!B280), "--", IFERROR(PROPER(SUBSTITUTE(SUBSTITUTE(SUBSTITUTE(SUBSTITUTE(SUBSTITUTE(SUBSTITUTE(SUBSTITUTE(SUBSTITUTE(SUBSTITUTE(SUBSTITUTE(LEFT(MAIN!B280, FIND(",",MAIN!B280) -1), "0", ""), "1", ""), "2", ""), "3", ""), "4", ""), "5", ""), "6", ""), "7", ""), "8", ""), "9", "")), PROPER(SUBSTITUTE(SUBSTITUTE(SUBSTITUTE(SUBSTITUTE(SUBSTITUTE(SUBSTITUTE(SUBSTITUTE(SUBSTITUTE(SUBSTITUTE(SUBSTITUTE(MAIN!B280, "0", ""), "1", ""), "2", ""), "3", ""), "4", ""), "5", ""), "6", ""), "7", ""), "8", ""), "9", ""))))</f>
        <v>--</v>
      </c>
      <c r="C280" t="str">
        <f>IF(ISBLANK(MAIN!C280), "--", IFERROR(PROPER(SUBSTITUTE(SUBSTITUTE(SUBSTITUTE(SUBSTITUTE(SUBSTITUTE(SUBSTITUTE(SUBSTITUTE(SUBSTITUTE(SUBSTITUTE(SUBSTITUTE(LEFT(MAIN!C280, FIND(",",MAIN!C280) -1), "0", ""), "1", ""), "2", ""), "3", ""), "4", ""), "5", ""), "6", ""), "7", ""), "8", ""), "9", "")), PROPER(SUBSTITUTE(SUBSTITUTE(SUBSTITUTE(SUBSTITUTE(SUBSTITUTE(SUBSTITUTE(SUBSTITUTE(SUBSTITUTE(SUBSTITUTE(SUBSTITUTE(MAIN!C280, "0", ""), "1", ""), "2", ""), "3", ""), "4", ""), "5", ""), "6", ""), "7", ""), "8", ""), "9", ""))))</f>
        <v>--</v>
      </c>
      <c r="D280" t="str">
        <f>IF(ISBLANK(MAIN!D280), "--", IF(ISNUMBER(MATCH(SUBSTITUTE(LEFT(MAIN!D280, IFERROR(FIND(",", MAIN!D280)-1, LEN(MAIN!D280))), " ", ""), lookup_values!$B$2:$B$51, 0)), UPPER(SUBSTITUTE(LEFT(MAIN!D280, IFERROR(FIND(",", MAIN!D280)-1, LEN(MAIN!D280))), " ", "")), IF(ISNA(VLOOKUP(SUBSTITUTE(LEFT(MAIN!D280, IFERROR(FIND(",", MAIN!D280)-1, LEN(MAIN!D280))), " ", ""), lookup_values!$A$2:$B$51, 2, FALSE)), "--", VLOOKUP(SUBSTITUTE(LEFT(MAIN!D280, IFERROR(FIND(",", MAIN!D280)-1, LEN(MAIN!D280))), " ", ""), lookup_values!$A$2:$B$51, 2, FALSE))))</f>
        <v>--</v>
      </c>
      <c r="E280" t="str">
        <f>IF(CLEAN_DATA!D280&lt;&gt;"--","US",IF(ISBLANK(MAIN!E280), "--", IF(ISNUMBER(MATCH(SUBSTITUTE(LEFT(MAIN!E280, IFERROR(FIND(",", MAIN!E280)-1, LEN(MAIN!E280))), " ", ""), lookup_values!$E$2:$E$197, 0)), UPPER(SUBSTITUTE(LEFT(MAIN!E280, IFERROR(FIND(",", MAIN!E280)-1, LEN(MAIN!E280))), " ", "")), IF(ISNA(VLOOKUP(SUBSTITUTE(LEFT(MAIN!E280, IFERROR(FIND(",", MAIN!E280)-1, LEN(MAIN!E280))), " ", ""), lookup_values!$D$2:$E$197, 2, FALSE)), "--", VLOOKUP(SUBSTITUTE(LEFT(MAIN!E280, IFERROR(FIND(",", MAIN!E280)-1, LEN(MAIN!E280))), " ", ""), lookup_values!$D$2:$E$197, 2, FALSE)))))</f>
        <v>--</v>
      </c>
      <c r="F280" t="str">
        <f>IF(ISBLANK(MAIN!F280), "", IF(AND(ISNUMBER(VALUE(TRIM(MAIN!F280))), LEN(TRIM(MAIN!F280))=4), VALUE(TRIM(MAIN!F280)), ""))</f>
        <v/>
      </c>
      <c r="G280">
        <f>IF(ISBLANK(MAIN!G280), 0, IF(ISNUMBER(VALUE(TRIM(MAIN!G280))), VALUE(TRIM(MAIN!G280)), 0))</f>
        <v>0</v>
      </c>
      <c r="H280">
        <f>IF(ISBLANK(MAIN!H280), 0, IF(ISNUMBER(VALUE(TRIM(MAIN!H280))), VALUE(TRIM(MAIN!H280)), 0))</f>
        <v>0</v>
      </c>
      <c r="I280">
        <f>IF(ISBLANK(MAIN!I280), 0, IF(ISNUMBER(VALUE(TRIM(MAIN!I280))), VALUE(TRIM(MAIN!I280)), 0))</f>
        <v>0</v>
      </c>
      <c r="J280">
        <f>IF(ISBLANK(MAIN!J280), 0, IF(ISNUMBER(VALUE(TRIM(MAIN!J280))), VALUE(TRIM(MAIN!J280)), 0))</f>
        <v>0</v>
      </c>
      <c r="K280" cm="1">
        <f t="array" ref="K280">IFERROR(
    VALUE(
        IFERROR(
            UPPER(
                IF(MAX(IFERROR(SEARCH("WD",MAIN!G280:J280), 0))&gt;0, "WD",
                IF(MAX(IFERROR(SEARCH("NS",MAIN!G280:J280), 0))&gt;0, "NS",
                IF(MAX(IFERROR(SEARCH("NC",MAIN!G280:J280), 0))&gt;0, "NC",
                IF(MAX(IFERROR(SEARCH("DQ",MAIN!G280:J280), 0))&gt;0, "DQ",
                IF(ISNUMBER(SEARCH("WD",MAIN!K280)), "WD",
                IF(ISNUMBER(SEARCH("NS",MAIN!K280)), "NS",
                IF(ISNUMBER(SEARCH("NC",MAIN!K280)), "NC",
                IF(ISNUMBER(SEARCH("DQ",MAIN!K280)), "DQ",
                IF(ISNUMBER(SEARCH("A",MAIN!K280)), 0,
                IF(OR(MAIN!K280=0,MAIN!K280=""), 0, --TRIM(MAIN!K280)))))))))))),
            0
        )
    ),
    IFERROR(
        UPPER(
            IF(MAX(IFERROR(SEARCH("WD",MAIN!G280:J280), 0))&gt;0, "WD",
            IF(MAX(IFERROR(SEARCH("NS",MAIN!G280:J280), 0))&gt;0, "NS",
            IF(MAX(IFERROR(SEARCH("NC",MAIN!G280:J280), 0))&gt;0, "NC",
            IF(MAX(IFERROR(SEARCH("DQ",MAIN!G280:J280), 0))&gt;0, "DQ",
            IF(ISNUMBER(SEARCH("WD",MAIN!K280)), "WD",
            IF(ISNUMBER(SEARCH("NS",MAIN!K280)), "NS",
            IF(ISNUMBER(SEARCH("NC",MAIN!K280)), "NC",
            IF(ISNUMBER(SEARCH("DQ",MAIN!K280)), "DQ",
            IF(ISNUMBER(SEARCH("A",MAIN!K280)), 0,
            IF(OR(MAIN!K280=0,MAIN!K280=""), 0, --TRIM(MAIN!K280)))))))))))),
        0
    )
)</f>
        <v>0</v>
      </c>
    </row>
    <row r="281" spans="1:11" x14ac:dyDescent="0.25">
      <c r="A281" t="str">
        <f>IF(ISBLANK(MAIN!A281), "--", IFERROR(PROPER(SUBSTITUTE(SUBSTITUTE(SUBSTITUTE(SUBSTITUTE(SUBSTITUTE(SUBSTITUTE(SUBSTITUTE(SUBSTITUTE(SUBSTITUTE(SUBSTITUTE(LEFT(MAIN!A281, FIND(",",MAIN!A281) -1), "0", ""), "1", ""), "2", ""), "3", ""), "4", ""), "5", ""), "6", ""), "7", ""), "8", ""), "9", "")), PROPER(SUBSTITUTE(SUBSTITUTE(SUBSTITUTE(SUBSTITUTE(SUBSTITUTE(SUBSTITUTE(SUBSTITUTE(SUBSTITUTE(SUBSTITUTE(SUBSTITUTE(MAIN!A281, "0", ""), "1", ""), "2", ""), "3", ""), "4", ""), "5", ""), "6", ""), "7", ""), "8", ""), "9", ""))))</f>
        <v>--</v>
      </c>
      <c r="B281" t="str">
        <f>IF(ISBLANK(MAIN!B281), "--", IFERROR(PROPER(SUBSTITUTE(SUBSTITUTE(SUBSTITUTE(SUBSTITUTE(SUBSTITUTE(SUBSTITUTE(SUBSTITUTE(SUBSTITUTE(SUBSTITUTE(SUBSTITUTE(LEFT(MAIN!B281, FIND(",",MAIN!B281) -1), "0", ""), "1", ""), "2", ""), "3", ""), "4", ""), "5", ""), "6", ""), "7", ""), "8", ""), "9", "")), PROPER(SUBSTITUTE(SUBSTITUTE(SUBSTITUTE(SUBSTITUTE(SUBSTITUTE(SUBSTITUTE(SUBSTITUTE(SUBSTITUTE(SUBSTITUTE(SUBSTITUTE(MAIN!B281, "0", ""), "1", ""), "2", ""), "3", ""), "4", ""), "5", ""), "6", ""), "7", ""), "8", ""), "9", ""))))</f>
        <v>--</v>
      </c>
      <c r="C281" t="str">
        <f>IF(ISBLANK(MAIN!C281), "--", IFERROR(PROPER(SUBSTITUTE(SUBSTITUTE(SUBSTITUTE(SUBSTITUTE(SUBSTITUTE(SUBSTITUTE(SUBSTITUTE(SUBSTITUTE(SUBSTITUTE(SUBSTITUTE(LEFT(MAIN!C281, FIND(",",MAIN!C281) -1), "0", ""), "1", ""), "2", ""), "3", ""), "4", ""), "5", ""), "6", ""), "7", ""), "8", ""), "9", "")), PROPER(SUBSTITUTE(SUBSTITUTE(SUBSTITUTE(SUBSTITUTE(SUBSTITUTE(SUBSTITUTE(SUBSTITUTE(SUBSTITUTE(SUBSTITUTE(SUBSTITUTE(MAIN!C281, "0", ""), "1", ""), "2", ""), "3", ""), "4", ""), "5", ""), "6", ""), "7", ""), "8", ""), "9", ""))))</f>
        <v>--</v>
      </c>
      <c r="D281" t="str">
        <f>IF(ISBLANK(MAIN!D281), "--", IF(ISNUMBER(MATCH(SUBSTITUTE(LEFT(MAIN!D281, IFERROR(FIND(",", MAIN!D281)-1, LEN(MAIN!D281))), " ", ""), lookup_values!$B$2:$B$51, 0)), UPPER(SUBSTITUTE(LEFT(MAIN!D281, IFERROR(FIND(",", MAIN!D281)-1, LEN(MAIN!D281))), " ", "")), IF(ISNA(VLOOKUP(SUBSTITUTE(LEFT(MAIN!D281, IFERROR(FIND(",", MAIN!D281)-1, LEN(MAIN!D281))), " ", ""), lookup_values!$A$2:$B$51, 2, FALSE)), "--", VLOOKUP(SUBSTITUTE(LEFT(MAIN!D281, IFERROR(FIND(",", MAIN!D281)-1, LEN(MAIN!D281))), " ", ""), lookup_values!$A$2:$B$51, 2, FALSE))))</f>
        <v>--</v>
      </c>
      <c r="E281" t="str">
        <f>IF(CLEAN_DATA!D281&lt;&gt;"--","US",IF(ISBLANK(MAIN!E281), "--", IF(ISNUMBER(MATCH(SUBSTITUTE(LEFT(MAIN!E281, IFERROR(FIND(",", MAIN!E281)-1, LEN(MAIN!E281))), " ", ""), lookup_values!$E$2:$E$197, 0)), UPPER(SUBSTITUTE(LEFT(MAIN!E281, IFERROR(FIND(",", MAIN!E281)-1, LEN(MAIN!E281))), " ", "")), IF(ISNA(VLOOKUP(SUBSTITUTE(LEFT(MAIN!E281, IFERROR(FIND(",", MAIN!E281)-1, LEN(MAIN!E281))), " ", ""), lookup_values!$D$2:$E$197, 2, FALSE)), "--", VLOOKUP(SUBSTITUTE(LEFT(MAIN!E281, IFERROR(FIND(",", MAIN!E281)-1, LEN(MAIN!E281))), " ", ""), lookup_values!$D$2:$E$197, 2, FALSE)))))</f>
        <v>--</v>
      </c>
      <c r="F281" t="str">
        <f>IF(ISBLANK(MAIN!F281), "", IF(AND(ISNUMBER(VALUE(TRIM(MAIN!F281))), LEN(TRIM(MAIN!F281))=4), VALUE(TRIM(MAIN!F281)), ""))</f>
        <v/>
      </c>
      <c r="G281">
        <f>IF(ISBLANK(MAIN!G281), 0, IF(ISNUMBER(VALUE(TRIM(MAIN!G281))), VALUE(TRIM(MAIN!G281)), 0))</f>
        <v>0</v>
      </c>
      <c r="H281">
        <f>IF(ISBLANK(MAIN!H281), 0, IF(ISNUMBER(VALUE(TRIM(MAIN!H281))), VALUE(TRIM(MAIN!H281)), 0))</f>
        <v>0</v>
      </c>
      <c r="I281">
        <f>IF(ISBLANK(MAIN!I281), 0, IF(ISNUMBER(VALUE(TRIM(MAIN!I281))), VALUE(TRIM(MAIN!I281)), 0))</f>
        <v>0</v>
      </c>
      <c r="J281">
        <f>IF(ISBLANK(MAIN!J281), 0, IF(ISNUMBER(VALUE(TRIM(MAIN!J281))), VALUE(TRIM(MAIN!J281)), 0))</f>
        <v>0</v>
      </c>
      <c r="K281" cm="1">
        <f t="array" ref="K281">IFERROR(
    VALUE(
        IFERROR(
            UPPER(
                IF(MAX(IFERROR(SEARCH("WD",MAIN!G281:J281), 0))&gt;0, "WD",
                IF(MAX(IFERROR(SEARCH("NS",MAIN!G281:J281), 0))&gt;0, "NS",
                IF(MAX(IFERROR(SEARCH("NC",MAIN!G281:J281), 0))&gt;0, "NC",
                IF(MAX(IFERROR(SEARCH("DQ",MAIN!G281:J281), 0))&gt;0, "DQ",
                IF(ISNUMBER(SEARCH("WD",MAIN!K281)), "WD",
                IF(ISNUMBER(SEARCH("NS",MAIN!K281)), "NS",
                IF(ISNUMBER(SEARCH("NC",MAIN!K281)), "NC",
                IF(ISNUMBER(SEARCH("DQ",MAIN!K281)), "DQ",
                IF(ISNUMBER(SEARCH("A",MAIN!K281)), 0,
                IF(OR(MAIN!K281=0,MAIN!K281=""), 0, --TRIM(MAIN!K281)))))))))))),
            0
        )
    ),
    IFERROR(
        UPPER(
            IF(MAX(IFERROR(SEARCH("WD",MAIN!G281:J281), 0))&gt;0, "WD",
            IF(MAX(IFERROR(SEARCH("NS",MAIN!G281:J281), 0))&gt;0, "NS",
            IF(MAX(IFERROR(SEARCH("NC",MAIN!G281:J281), 0))&gt;0, "NC",
            IF(MAX(IFERROR(SEARCH("DQ",MAIN!G281:J281), 0))&gt;0, "DQ",
            IF(ISNUMBER(SEARCH("WD",MAIN!K281)), "WD",
            IF(ISNUMBER(SEARCH("NS",MAIN!K281)), "NS",
            IF(ISNUMBER(SEARCH("NC",MAIN!K281)), "NC",
            IF(ISNUMBER(SEARCH("DQ",MAIN!K281)), "DQ",
            IF(ISNUMBER(SEARCH("A",MAIN!K281)), 0,
            IF(OR(MAIN!K281=0,MAIN!K281=""), 0, --TRIM(MAIN!K281)))))))))))),
        0
    )
)</f>
        <v>0</v>
      </c>
    </row>
    <row r="282" spans="1:11" x14ac:dyDescent="0.25">
      <c r="A282" t="str">
        <f>IF(ISBLANK(MAIN!A282), "--", IFERROR(PROPER(SUBSTITUTE(SUBSTITUTE(SUBSTITUTE(SUBSTITUTE(SUBSTITUTE(SUBSTITUTE(SUBSTITUTE(SUBSTITUTE(SUBSTITUTE(SUBSTITUTE(LEFT(MAIN!A282, FIND(",",MAIN!A282) -1), "0", ""), "1", ""), "2", ""), "3", ""), "4", ""), "5", ""), "6", ""), "7", ""), "8", ""), "9", "")), PROPER(SUBSTITUTE(SUBSTITUTE(SUBSTITUTE(SUBSTITUTE(SUBSTITUTE(SUBSTITUTE(SUBSTITUTE(SUBSTITUTE(SUBSTITUTE(SUBSTITUTE(MAIN!A282, "0", ""), "1", ""), "2", ""), "3", ""), "4", ""), "5", ""), "6", ""), "7", ""), "8", ""), "9", ""))))</f>
        <v>--</v>
      </c>
      <c r="B282" t="str">
        <f>IF(ISBLANK(MAIN!B282), "--", IFERROR(PROPER(SUBSTITUTE(SUBSTITUTE(SUBSTITUTE(SUBSTITUTE(SUBSTITUTE(SUBSTITUTE(SUBSTITUTE(SUBSTITUTE(SUBSTITUTE(SUBSTITUTE(LEFT(MAIN!B282, FIND(",",MAIN!B282) -1), "0", ""), "1", ""), "2", ""), "3", ""), "4", ""), "5", ""), "6", ""), "7", ""), "8", ""), "9", "")), PROPER(SUBSTITUTE(SUBSTITUTE(SUBSTITUTE(SUBSTITUTE(SUBSTITUTE(SUBSTITUTE(SUBSTITUTE(SUBSTITUTE(SUBSTITUTE(SUBSTITUTE(MAIN!B282, "0", ""), "1", ""), "2", ""), "3", ""), "4", ""), "5", ""), "6", ""), "7", ""), "8", ""), "9", ""))))</f>
        <v>--</v>
      </c>
      <c r="C282" t="str">
        <f>IF(ISBLANK(MAIN!C282), "--", IFERROR(PROPER(SUBSTITUTE(SUBSTITUTE(SUBSTITUTE(SUBSTITUTE(SUBSTITUTE(SUBSTITUTE(SUBSTITUTE(SUBSTITUTE(SUBSTITUTE(SUBSTITUTE(LEFT(MAIN!C282, FIND(",",MAIN!C282) -1), "0", ""), "1", ""), "2", ""), "3", ""), "4", ""), "5", ""), "6", ""), "7", ""), "8", ""), "9", "")), PROPER(SUBSTITUTE(SUBSTITUTE(SUBSTITUTE(SUBSTITUTE(SUBSTITUTE(SUBSTITUTE(SUBSTITUTE(SUBSTITUTE(SUBSTITUTE(SUBSTITUTE(MAIN!C282, "0", ""), "1", ""), "2", ""), "3", ""), "4", ""), "5", ""), "6", ""), "7", ""), "8", ""), "9", ""))))</f>
        <v>--</v>
      </c>
      <c r="D282" t="str">
        <f>IF(ISBLANK(MAIN!D282), "--", IF(ISNUMBER(MATCH(SUBSTITUTE(LEFT(MAIN!D282, IFERROR(FIND(",", MAIN!D282)-1, LEN(MAIN!D282))), " ", ""), lookup_values!$B$2:$B$51, 0)), UPPER(SUBSTITUTE(LEFT(MAIN!D282, IFERROR(FIND(",", MAIN!D282)-1, LEN(MAIN!D282))), " ", "")), IF(ISNA(VLOOKUP(SUBSTITUTE(LEFT(MAIN!D282, IFERROR(FIND(",", MAIN!D282)-1, LEN(MAIN!D282))), " ", ""), lookup_values!$A$2:$B$51, 2, FALSE)), "--", VLOOKUP(SUBSTITUTE(LEFT(MAIN!D282, IFERROR(FIND(",", MAIN!D282)-1, LEN(MAIN!D282))), " ", ""), lookup_values!$A$2:$B$51, 2, FALSE))))</f>
        <v>--</v>
      </c>
      <c r="E282" t="str">
        <f>IF(CLEAN_DATA!D282&lt;&gt;"--","US",IF(ISBLANK(MAIN!E282), "--", IF(ISNUMBER(MATCH(SUBSTITUTE(LEFT(MAIN!E282, IFERROR(FIND(",", MAIN!E282)-1, LEN(MAIN!E282))), " ", ""), lookup_values!$E$2:$E$197, 0)), UPPER(SUBSTITUTE(LEFT(MAIN!E282, IFERROR(FIND(",", MAIN!E282)-1, LEN(MAIN!E282))), " ", "")), IF(ISNA(VLOOKUP(SUBSTITUTE(LEFT(MAIN!E282, IFERROR(FIND(",", MAIN!E282)-1, LEN(MAIN!E282))), " ", ""), lookup_values!$D$2:$E$197, 2, FALSE)), "--", VLOOKUP(SUBSTITUTE(LEFT(MAIN!E282, IFERROR(FIND(",", MAIN!E282)-1, LEN(MAIN!E282))), " ", ""), lookup_values!$D$2:$E$197, 2, FALSE)))))</f>
        <v>--</v>
      </c>
      <c r="F282" t="str">
        <f>IF(ISBLANK(MAIN!F282), "", IF(AND(ISNUMBER(VALUE(TRIM(MAIN!F282))), LEN(TRIM(MAIN!F282))=4), VALUE(TRIM(MAIN!F282)), ""))</f>
        <v/>
      </c>
      <c r="G282">
        <f>IF(ISBLANK(MAIN!G282), 0, IF(ISNUMBER(VALUE(TRIM(MAIN!G282))), VALUE(TRIM(MAIN!G282)), 0))</f>
        <v>0</v>
      </c>
      <c r="H282">
        <f>IF(ISBLANK(MAIN!H282), 0, IF(ISNUMBER(VALUE(TRIM(MAIN!H282))), VALUE(TRIM(MAIN!H282)), 0))</f>
        <v>0</v>
      </c>
      <c r="I282">
        <f>IF(ISBLANK(MAIN!I282), 0, IF(ISNUMBER(VALUE(TRIM(MAIN!I282))), VALUE(TRIM(MAIN!I282)), 0))</f>
        <v>0</v>
      </c>
      <c r="J282">
        <f>IF(ISBLANK(MAIN!J282), 0, IF(ISNUMBER(VALUE(TRIM(MAIN!J282))), VALUE(TRIM(MAIN!J282)), 0))</f>
        <v>0</v>
      </c>
      <c r="K282" cm="1">
        <f t="array" ref="K282">IFERROR(
    VALUE(
        IFERROR(
            UPPER(
                IF(MAX(IFERROR(SEARCH("WD",MAIN!G282:J282), 0))&gt;0, "WD",
                IF(MAX(IFERROR(SEARCH("NS",MAIN!G282:J282), 0))&gt;0, "NS",
                IF(MAX(IFERROR(SEARCH("NC",MAIN!G282:J282), 0))&gt;0, "NC",
                IF(MAX(IFERROR(SEARCH("DQ",MAIN!G282:J282), 0))&gt;0, "DQ",
                IF(ISNUMBER(SEARCH("WD",MAIN!K282)), "WD",
                IF(ISNUMBER(SEARCH("NS",MAIN!K282)), "NS",
                IF(ISNUMBER(SEARCH("NC",MAIN!K282)), "NC",
                IF(ISNUMBER(SEARCH("DQ",MAIN!K282)), "DQ",
                IF(ISNUMBER(SEARCH("A",MAIN!K282)), 0,
                IF(OR(MAIN!K282=0,MAIN!K282=""), 0, --TRIM(MAIN!K282)))))))))))),
            0
        )
    ),
    IFERROR(
        UPPER(
            IF(MAX(IFERROR(SEARCH("WD",MAIN!G282:J282), 0))&gt;0, "WD",
            IF(MAX(IFERROR(SEARCH("NS",MAIN!G282:J282), 0))&gt;0, "NS",
            IF(MAX(IFERROR(SEARCH("NC",MAIN!G282:J282), 0))&gt;0, "NC",
            IF(MAX(IFERROR(SEARCH("DQ",MAIN!G282:J282), 0))&gt;0, "DQ",
            IF(ISNUMBER(SEARCH("WD",MAIN!K282)), "WD",
            IF(ISNUMBER(SEARCH("NS",MAIN!K282)), "NS",
            IF(ISNUMBER(SEARCH("NC",MAIN!K282)), "NC",
            IF(ISNUMBER(SEARCH("DQ",MAIN!K282)), "DQ",
            IF(ISNUMBER(SEARCH("A",MAIN!K282)), 0,
            IF(OR(MAIN!K282=0,MAIN!K282=""), 0, --TRIM(MAIN!K282)))))))))))),
        0
    )
)</f>
        <v>0</v>
      </c>
    </row>
    <row r="283" spans="1:11" x14ac:dyDescent="0.25">
      <c r="A283" t="str">
        <f>IF(ISBLANK(MAIN!A283), "--", IFERROR(PROPER(SUBSTITUTE(SUBSTITUTE(SUBSTITUTE(SUBSTITUTE(SUBSTITUTE(SUBSTITUTE(SUBSTITUTE(SUBSTITUTE(SUBSTITUTE(SUBSTITUTE(LEFT(MAIN!A283, FIND(",",MAIN!A283) -1), "0", ""), "1", ""), "2", ""), "3", ""), "4", ""), "5", ""), "6", ""), "7", ""), "8", ""), "9", "")), PROPER(SUBSTITUTE(SUBSTITUTE(SUBSTITUTE(SUBSTITUTE(SUBSTITUTE(SUBSTITUTE(SUBSTITUTE(SUBSTITUTE(SUBSTITUTE(SUBSTITUTE(MAIN!A283, "0", ""), "1", ""), "2", ""), "3", ""), "4", ""), "5", ""), "6", ""), "7", ""), "8", ""), "9", ""))))</f>
        <v>--</v>
      </c>
      <c r="B283" t="str">
        <f>IF(ISBLANK(MAIN!B283), "--", IFERROR(PROPER(SUBSTITUTE(SUBSTITUTE(SUBSTITUTE(SUBSTITUTE(SUBSTITUTE(SUBSTITUTE(SUBSTITUTE(SUBSTITUTE(SUBSTITUTE(SUBSTITUTE(LEFT(MAIN!B283, FIND(",",MAIN!B283) -1), "0", ""), "1", ""), "2", ""), "3", ""), "4", ""), "5", ""), "6", ""), "7", ""), "8", ""), "9", "")), PROPER(SUBSTITUTE(SUBSTITUTE(SUBSTITUTE(SUBSTITUTE(SUBSTITUTE(SUBSTITUTE(SUBSTITUTE(SUBSTITUTE(SUBSTITUTE(SUBSTITUTE(MAIN!B283, "0", ""), "1", ""), "2", ""), "3", ""), "4", ""), "5", ""), "6", ""), "7", ""), "8", ""), "9", ""))))</f>
        <v>--</v>
      </c>
      <c r="C283" t="str">
        <f>IF(ISBLANK(MAIN!C283), "--", IFERROR(PROPER(SUBSTITUTE(SUBSTITUTE(SUBSTITUTE(SUBSTITUTE(SUBSTITUTE(SUBSTITUTE(SUBSTITUTE(SUBSTITUTE(SUBSTITUTE(SUBSTITUTE(LEFT(MAIN!C283, FIND(",",MAIN!C283) -1), "0", ""), "1", ""), "2", ""), "3", ""), "4", ""), "5", ""), "6", ""), "7", ""), "8", ""), "9", "")), PROPER(SUBSTITUTE(SUBSTITUTE(SUBSTITUTE(SUBSTITUTE(SUBSTITUTE(SUBSTITUTE(SUBSTITUTE(SUBSTITUTE(SUBSTITUTE(SUBSTITUTE(MAIN!C283, "0", ""), "1", ""), "2", ""), "3", ""), "4", ""), "5", ""), "6", ""), "7", ""), "8", ""), "9", ""))))</f>
        <v>--</v>
      </c>
      <c r="D283" t="str">
        <f>IF(ISBLANK(MAIN!D283), "--", IF(ISNUMBER(MATCH(SUBSTITUTE(LEFT(MAIN!D283, IFERROR(FIND(",", MAIN!D283)-1, LEN(MAIN!D283))), " ", ""), lookup_values!$B$2:$B$51, 0)), UPPER(SUBSTITUTE(LEFT(MAIN!D283, IFERROR(FIND(",", MAIN!D283)-1, LEN(MAIN!D283))), " ", "")), IF(ISNA(VLOOKUP(SUBSTITUTE(LEFT(MAIN!D283, IFERROR(FIND(",", MAIN!D283)-1, LEN(MAIN!D283))), " ", ""), lookup_values!$A$2:$B$51, 2, FALSE)), "--", VLOOKUP(SUBSTITUTE(LEFT(MAIN!D283, IFERROR(FIND(",", MAIN!D283)-1, LEN(MAIN!D283))), " ", ""), lookup_values!$A$2:$B$51, 2, FALSE))))</f>
        <v>--</v>
      </c>
      <c r="E283" t="str">
        <f>IF(CLEAN_DATA!D283&lt;&gt;"--","US",IF(ISBLANK(MAIN!E283), "--", IF(ISNUMBER(MATCH(SUBSTITUTE(LEFT(MAIN!E283, IFERROR(FIND(",", MAIN!E283)-1, LEN(MAIN!E283))), " ", ""), lookup_values!$E$2:$E$197, 0)), UPPER(SUBSTITUTE(LEFT(MAIN!E283, IFERROR(FIND(",", MAIN!E283)-1, LEN(MAIN!E283))), " ", "")), IF(ISNA(VLOOKUP(SUBSTITUTE(LEFT(MAIN!E283, IFERROR(FIND(",", MAIN!E283)-1, LEN(MAIN!E283))), " ", ""), lookup_values!$D$2:$E$197, 2, FALSE)), "--", VLOOKUP(SUBSTITUTE(LEFT(MAIN!E283, IFERROR(FIND(",", MAIN!E283)-1, LEN(MAIN!E283))), " ", ""), lookup_values!$D$2:$E$197, 2, FALSE)))))</f>
        <v>--</v>
      </c>
      <c r="F283" t="str">
        <f>IF(ISBLANK(MAIN!F283), "", IF(AND(ISNUMBER(VALUE(TRIM(MAIN!F283))), LEN(TRIM(MAIN!F283))=4), VALUE(TRIM(MAIN!F283)), ""))</f>
        <v/>
      </c>
      <c r="G283">
        <f>IF(ISBLANK(MAIN!G283), 0, IF(ISNUMBER(VALUE(TRIM(MAIN!G283))), VALUE(TRIM(MAIN!G283)), 0))</f>
        <v>0</v>
      </c>
      <c r="H283">
        <f>IF(ISBLANK(MAIN!H283), 0, IF(ISNUMBER(VALUE(TRIM(MAIN!H283))), VALUE(TRIM(MAIN!H283)), 0))</f>
        <v>0</v>
      </c>
      <c r="I283">
        <f>IF(ISBLANK(MAIN!I283), 0, IF(ISNUMBER(VALUE(TRIM(MAIN!I283))), VALUE(TRIM(MAIN!I283)), 0))</f>
        <v>0</v>
      </c>
      <c r="J283">
        <f>IF(ISBLANK(MAIN!J283), 0, IF(ISNUMBER(VALUE(TRIM(MAIN!J283))), VALUE(TRIM(MAIN!J283)), 0))</f>
        <v>0</v>
      </c>
      <c r="K283" cm="1">
        <f t="array" ref="K283">IFERROR(
    VALUE(
        IFERROR(
            UPPER(
                IF(MAX(IFERROR(SEARCH("WD",MAIN!G283:J283), 0))&gt;0, "WD",
                IF(MAX(IFERROR(SEARCH("NS",MAIN!G283:J283), 0))&gt;0, "NS",
                IF(MAX(IFERROR(SEARCH("NC",MAIN!G283:J283), 0))&gt;0, "NC",
                IF(MAX(IFERROR(SEARCH("DQ",MAIN!G283:J283), 0))&gt;0, "DQ",
                IF(ISNUMBER(SEARCH("WD",MAIN!K283)), "WD",
                IF(ISNUMBER(SEARCH("NS",MAIN!K283)), "NS",
                IF(ISNUMBER(SEARCH("NC",MAIN!K283)), "NC",
                IF(ISNUMBER(SEARCH("DQ",MAIN!K283)), "DQ",
                IF(ISNUMBER(SEARCH("A",MAIN!K283)), 0,
                IF(OR(MAIN!K283=0,MAIN!K283=""), 0, --TRIM(MAIN!K283)))))))))))),
            0
        )
    ),
    IFERROR(
        UPPER(
            IF(MAX(IFERROR(SEARCH("WD",MAIN!G283:J283), 0))&gt;0, "WD",
            IF(MAX(IFERROR(SEARCH("NS",MAIN!G283:J283), 0))&gt;0, "NS",
            IF(MAX(IFERROR(SEARCH("NC",MAIN!G283:J283), 0))&gt;0, "NC",
            IF(MAX(IFERROR(SEARCH("DQ",MAIN!G283:J283), 0))&gt;0, "DQ",
            IF(ISNUMBER(SEARCH("WD",MAIN!K283)), "WD",
            IF(ISNUMBER(SEARCH("NS",MAIN!K283)), "NS",
            IF(ISNUMBER(SEARCH("NC",MAIN!K283)), "NC",
            IF(ISNUMBER(SEARCH("DQ",MAIN!K283)), "DQ",
            IF(ISNUMBER(SEARCH("A",MAIN!K283)), 0,
            IF(OR(MAIN!K283=0,MAIN!K283=""), 0, --TRIM(MAIN!K283)))))))))))),
        0
    )
)</f>
        <v>0</v>
      </c>
    </row>
    <row r="284" spans="1:11" x14ac:dyDescent="0.25">
      <c r="A284" t="str">
        <f>IF(ISBLANK(MAIN!A284), "--", IFERROR(PROPER(SUBSTITUTE(SUBSTITUTE(SUBSTITUTE(SUBSTITUTE(SUBSTITUTE(SUBSTITUTE(SUBSTITUTE(SUBSTITUTE(SUBSTITUTE(SUBSTITUTE(LEFT(MAIN!A284, FIND(",",MAIN!A284) -1), "0", ""), "1", ""), "2", ""), "3", ""), "4", ""), "5", ""), "6", ""), "7", ""), "8", ""), "9", "")), PROPER(SUBSTITUTE(SUBSTITUTE(SUBSTITUTE(SUBSTITUTE(SUBSTITUTE(SUBSTITUTE(SUBSTITUTE(SUBSTITUTE(SUBSTITUTE(SUBSTITUTE(MAIN!A284, "0", ""), "1", ""), "2", ""), "3", ""), "4", ""), "5", ""), "6", ""), "7", ""), "8", ""), "9", ""))))</f>
        <v>--</v>
      </c>
      <c r="B284" t="str">
        <f>IF(ISBLANK(MAIN!B284), "--", IFERROR(PROPER(SUBSTITUTE(SUBSTITUTE(SUBSTITUTE(SUBSTITUTE(SUBSTITUTE(SUBSTITUTE(SUBSTITUTE(SUBSTITUTE(SUBSTITUTE(SUBSTITUTE(LEFT(MAIN!B284, FIND(",",MAIN!B284) -1), "0", ""), "1", ""), "2", ""), "3", ""), "4", ""), "5", ""), "6", ""), "7", ""), "8", ""), "9", "")), PROPER(SUBSTITUTE(SUBSTITUTE(SUBSTITUTE(SUBSTITUTE(SUBSTITUTE(SUBSTITUTE(SUBSTITUTE(SUBSTITUTE(SUBSTITUTE(SUBSTITUTE(MAIN!B284, "0", ""), "1", ""), "2", ""), "3", ""), "4", ""), "5", ""), "6", ""), "7", ""), "8", ""), "9", ""))))</f>
        <v>--</v>
      </c>
      <c r="C284" t="str">
        <f>IF(ISBLANK(MAIN!C284), "--", IFERROR(PROPER(SUBSTITUTE(SUBSTITUTE(SUBSTITUTE(SUBSTITUTE(SUBSTITUTE(SUBSTITUTE(SUBSTITUTE(SUBSTITUTE(SUBSTITUTE(SUBSTITUTE(LEFT(MAIN!C284, FIND(",",MAIN!C284) -1), "0", ""), "1", ""), "2", ""), "3", ""), "4", ""), "5", ""), "6", ""), "7", ""), "8", ""), "9", "")), PROPER(SUBSTITUTE(SUBSTITUTE(SUBSTITUTE(SUBSTITUTE(SUBSTITUTE(SUBSTITUTE(SUBSTITUTE(SUBSTITUTE(SUBSTITUTE(SUBSTITUTE(MAIN!C284, "0", ""), "1", ""), "2", ""), "3", ""), "4", ""), "5", ""), "6", ""), "7", ""), "8", ""), "9", ""))))</f>
        <v>--</v>
      </c>
      <c r="D284" t="str">
        <f>IF(ISBLANK(MAIN!D284), "--", IF(ISNUMBER(MATCH(SUBSTITUTE(LEFT(MAIN!D284, IFERROR(FIND(",", MAIN!D284)-1, LEN(MAIN!D284))), " ", ""), lookup_values!$B$2:$B$51, 0)), UPPER(SUBSTITUTE(LEFT(MAIN!D284, IFERROR(FIND(",", MAIN!D284)-1, LEN(MAIN!D284))), " ", "")), IF(ISNA(VLOOKUP(SUBSTITUTE(LEFT(MAIN!D284, IFERROR(FIND(",", MAIN!D284)-1, LEN(MAIN!D284))), " ", ""), lookup_values!$A$2:$B$51, 2, FALSE)), "--", VLOOKUP(SUBSTITUTE(LEFT(MAIN!D284, IFERROR(FIND(",", MAIN!D284)-1, LEN(MAIN!D284))), " ", ""), lookup_values!$A$2:$B$51, 2, FALSE))))</f>
        <v>--</v>
      </c>
      <c r="E284" t="str">
        <f>IF(CLEAN_DATA!D284&lt;&gt;"--","US",IF(ISBLANK(MAIN!E284), "--", IF(ISNUMBER(MATCH(SUBSTITUTE(LEFT(MAIN!E284, IFERROR(FIND(",", MAIN!E284)-1, LEN(MAIN!E284))), " ", ""), lookup_values!$E$2:$E$197, 0)), UPPER(SUBSTITUTE(LEFT(MAIN!E284, IFERROR(FIND(",", MAIN!E284)-1, LEN(MAIN!E284))), " ", "")), IF(ISNA(VLOOKUP(SUBSTITUTE(LEFT(MAIN!E284, IFERROR(FIND(",", MAIN!E284)-1, LEN(MAIN!E284))), " ", ""), lookup_values!$D$2:$E$197, 2, FALSE)), "--", VLOOKUP(SUBSTITUTE(LEFT(MAIN!E284, IFERROR(FIND(",", MAIN!E284)-1, LEN(MAIN!E284))), " ", ""), lookup_values!$D$2:$E$197, 2, FALSE)))))</f>
        <v>--</v>
      </c>
      <c r="F284" t="str">
        <f>IF(ISBLANK(MAIN!F284), "", IF(AND(ISNUMBER(VALUE(TRIM(MAIN!F284))), LEN(TRIM(MAIN!F284))=4), VALUE(TRIM(MAIN!F284)), ""))</f>
        <v/>
      </c>
      <c r="G284">
        <f>IF(ISBLANK(MAIN!G284), 0, IF(ISNUMBER(VALUE(TRIM(MAIN!G284))), VALUE(TRIM(MAIN!G284)), 0))</f>
        <v>0</v>
      </c>
      <c r="H284">
        <f>IF(ISBLANK(MAIN!H284), 0, IF(ISNUMBER(VALUE(TRIM(MAIN!H284))), VALUE(TRIM(MAIN!H284)), 0))</f>
        <v>0</v>
      </c>
      <c r="I284">
        <f>IF(ISBLANK(MAIN!I284), 0, IF(ISNUMBER(VALUE(TRIM(MAIN!I284))), VALUE(TRIM(MAIN!I284)), 0))</f>
        <v>0</v>
      </c>
      <c r="J284">
        <f>IF(ISBLANK(MAIN!J284), 0, IF(ISNUMBER(VALUE(TRIM(MAIN!J284))), VALUE(TRIM(MAIN!J284)), 0))</f>
        <v>0</v>
      </c>
      <c r="K284" cm="1">
        <f t="array" ref="K284">IFERROR(
    VALUE(
        IFERROR(
            UPPER(
                IF(MAX(IFERROR(SEARCH("WD",MAIN!G284:J284), 0))&gt;0, "WD",
                IF(MAX(IFERROR(SEARCH("NS",MAIN!G284:J284), 0))&gt;0, "NS",
                IF(MAX(IFERROR(SEARCH("NC",MAIN!G284:J284), 0))&gt;0, "NC",
                IF(MAX(IFERROR(SEARCH("DQ",MAIN!G284:J284), 0))&gt;0, "DQ",
                IF(ISNUMBER(SEARCH("WD",MAIN!K284)), "WD",
                IF(ISNUMBER(SEARCH("NS",MAIN!K284)), "NS",
                IF(ISNUMBER(SEARCH("NC",MAIN!K284)), "NC",
                IF(ISNUMBER(SEARCH("DQ",MAIN!K284)), "DQ",
                IF(ISNUMBER(SEARCH("A",MAIN!K284)), 0,
                IF(OR(MAIN!K284=0,MAIN!K284=""), 0, --TRIM(MAIN!K284)))))))))))),
            0
        )
    ),
    IFERROR(
        UPPER(
            IF(MAX(IFERROR(SEARCH("WD",MAIN!G284:J284), 0))&gt;0, "WD",
            IF(MAX(IFERROR(SEARCH("NS",MAIN!G284:J284), 0))&gt;0, "NS",
            IF(MAX(IFERROR(SEARCH("NC",MAIN!G284:J284), 0))&gt;0, "NC",
            IF(MAX(IFERROR(SEARCH("DQ",MAIN!G284:J284), 0))&gt;0, "DQ",
            IF(ISNUMBER(SEARCH("WD",MAIN!K284)), "WD",
            IF(ISNUMBER(SEARCH("NS",MAIN!K284)), "NS",
            IF(ISNUMBER(SEARCH("NC",MAIN!K284)), "NC",
            IF(ISNUMBER(SEARCH("DQ",MAIN!K284)), "DQ",
            IF(ISNUMBER(SEARCH("A",MAIN!K284)), 0,
            IF(OR(MAIN!K284=0,MAIN!K284=""), 0, --TRIM(MAIN!K284)))))))))))),
        0
    )
)</f>
        <v>0</v>
      </c>
    </row>
    <row r="285" spans="1:11" x14ac:dyDescent="0.25">
      <c r="A285" t="str">
        <f>IF(ISBLANK(MAIN!A285), "--", IFERROR(PROPER(SUBSTITUTE(SUBSTITUTE(SUBSTITUTE(SUBSTITUTE(SUBSTITUTE(SUBSTITUTE(SUBSTITUTE(SUBSTITUTE(SUBSTITUTE(SUBSTITUTE(LEFT(MAIN!A285, FIND(",",MAIN!A285) -1), "0", ""), "1", ""), "2", ""), "3", ""), "4", ""), "5", ""), "6", ""), "7", ""), "8", ""), "9", "")), PROPER(SUBSTITUTE(SUBSTITUTE(SUBSTITUTE(SUBSTITUTE(SUBSTITUTE(SUBSTITUTE(SUBSTITUTE(SUBSTITUTE(SUBSTITUTE(SUBSTITUTE(MAIN!A285, "0", ""), "1", ""), "2", ""), "3", ""), "4", ""), "5", ""), "6", ""), "7", ""), "8", ""), "9", ""))))</f>
        <v>--</v>
      </c>
      <c r="B285" t="str">
        <f>IF(ISBLANK(MAIN!B285), "--", IFERROR(PROPER(SUBSTITUTE(SUBSTITUTE(SUBSTITUTE(SUBSTITUTE(SUBSTITUTE(SUBSTITUTE(SUBSTITUTE(SUBSTITUTE(SUBSTITUTE(SUBSTITUTE(LEFT(MAIN!B285, FIND(",",MAIN!B285) -1), "0", ""), "1", ""), "2", ""), "3", ""), "4", ""), "5", ""), "6", ""), "7", ""), "8", ""), "9", "")), PROPER(SUBSTITUTE(SUBSTITUTE(SUBSTITUTE(SUBSTITUTE(SUBSTITUTE(SUBSTITUTE(SUBSTITUTE(SUBSTITUTE(SUBSTITUTE(SUBSTITUTE(MAIN!B285, "0", ""), "1", ""), "2", ""), "3", ""), "4", ""), "5", ""), "6", ""), "7", ""), "8", ""), "9", ""))))</f>
        <v>--</v>
      </c>
      <c r="C285" t="str">
        <f>IF(ISBLANK(MAIN!C285), "--", IFERROR(PROPER(SUBSTITUTE(SUBSTITUTE(SUBSTITUTE(SUBSTITUTE(SUBSTITUTE(SUBSTITUTE(SUBSTITUTE(SUBSTITUTE(SUBSTITUTE(SUBSTITUTE(LEFT(MAIN!C285, FIND(",",MAIN!C285) -1), "0", ""), "1", ""), "2", ""), "3", ""), "4", ""), "5", ""), "6", ""), "7", ""), "8", ""), "9", "")), PROPER(SUBSTITUTE(SUBSTITUTE(SUBSTITUTE(SUBSTITUTE(SUBSTITUTE(SUBSTITUTE(SUBSTITUTE(SUBSTITUTE(SUBSTITUTE(SUBSTITUTE(MAIN!C285, "0", ""), "1", ""), "2", ""), "3", ""), "4", ""), "5", ""), "6", ""), "7", ""), "8", ""), "9", ""))))</f>
        <v>--</v>
      </c>
      <c r="D285" t="str">
        <f>IF(ISBLANK(MAIN!D285), "--", IF(ISNUMBER(MATCH(SUBSTITUTE(LEFT(MAIN!D285, IFERROR(FIND(",", MAIN!D285)-1, LEN(MAIN!D285))), " ", ""), lookup_values!$B$2:$B$51, 0)), UPPER(SUBSTITUTE(LEFT(MAIN!D285, IFERROR(FIND(",", MAIN!D285)-1, LEN(MAIN!D285))), " ", "")), IF(ISNA(VLOOKUP(SUBSTITUTE(LEFT(MAIN!D285, IFERROR(FIND(",", MAIN!D285)-1, LEN(MAIN!D285))), " ", ""), lookup_values!$A$2:$B$51, 2, FALSE)), "--", VLOOKUP(SUBSTITUTE(LEFT(MAIN!D285, IFERROR(FIND(",", MAIN!D285)-1, LEN(MAIN!D285))), " ", ""), lookup_values!$A$2:$B$51, 2, FALSE))))</f>
        <v>--</v>
      </c>
      <c r="E285" t="str">
        <f>IF(CLEAN_DATA!D285&lt;&gt;"--","US",IF(ISBLANK(MAIN!E285), "--", IF(ISNUMBER(MATCH(SUBSTITUTE(LEFT(MAIN!E285, IFERROR(FIND(",", MAIN!E285)-1, LEN(MAIN!E285))), " ", ""), lookup_values!$E$2:$E$197, 0)), UPPER(SUBSTITUTE(LEFT(MAIN!E285, IFERROR(FIND(",", MAIN!E285)-1, LEN(MAIN!E285))), " ", "")), IF(ISNA(VLOOKUP(SUBSTITUTE(LEFT(MAIN!E285, IFERROR(FIND(",", MAIN!E285)-1, LEN(MAIN!E285))), " ", ""), lookup_values!$D$2:$E$197, 2, FALSE)), "--", VLOOKUP(SUBSTITUTE(LEFT(MAIN!E285, IFERROR(FIND(",", MAIN!E285)-1, LEN(MAIN!E285))), " ", ""), lookup_values!$D$2:$E$197, 2, FALSE)))))</f>
        <v>--</v>
      </c>
      <c r="F285" t="str">
        <f>IF(ISBLANK(MAIN!F285), "", IF(AND(ISNUMBER(VALUE(TRIM(MAIN!F285))), LEN(TRIM(MAIN!F285))=4), VALUE(TRIM(MAIN!F285)), ""))</f>
        <v/>
      </c>
      <c r="G285">
        <f>IF(ISBLANK(MAIN!G285), 0, IF(ISNUMBER(VALUE(TRIM(MAIN!G285))), VALUE(TRIM(MAIN!G285)), 0))</f>
        <v>0</v>
      </c>
      <c r="H285">
        <f>IF(ISBLANK(MAIN!H285), 0, IF(ISNUMBER(VALUE(TRIM(MAIN!H285))), VALUE(TRIM(MAIN!H285)), 0))</f>
        <v>0</v>
      </c>
      <c r="I285">
        <f>IF(ISBLANK(MAIN!I285), 0, IF(ISNUMBER(VALUE(TRIM(MAIN!I285))), VALUE(TRIM(MAIN!I285)), 0))</f>
        <v>0</v>
      </c>
      <c r="J285">
        <f>IF(ISBLANK(MAIN!J285), 0, IF(ISNUMBER(VALUE(TRIM(MAIN!J285))), VALUE(TRIM(MAIN!J285)), 0))</f>
        <v>0</v>
      </c>
      <c r="K285" cm="1">
        <f t="array" ref="K285">IFERROR(
    VALUE(
        IFERROR(
            UPPER(
                IF(MAX(IFERROR(SEARCH("WD",MAIN!G285:J285), 0))&gt;0, "WD",
                IF(MAX(IFERROR(SEARCH("NS",MAIN!G285:J285), 0))&gt;0, "NS",
                IF(MAX(IFERROR(SEARCH("NC",MAIN!G285:J285), 0))&gt;0, "NC",
                IF(MAX(IFERROR(SEARCH("DQ",MAIN!G285:J285), 0))&gt;0, "DQ",
                IF(ISNUMBER(SEARCH("WD",MAIN!K285)), "WD",
                IF(ISNUMBER(SEARCH("NS",MAIN!K285)), "NS",
                IF(ISNUMBER(SEARCH("NC",MAIN!K285)), "NC",
                IF(ISNUMBER(SEARCH("DQ",MAIN!K285)), "DQ",
                IF(ISNUMBER(SEARCH("A",MAIN!K285)), 0,
                IF(OR(MAIN!K285=0,MAIN!K285=""), 0, --TRIM(MAIN!K285)))))))))))),
            0
        )
    ),
    IFERROR(
        UPPER(
            IF(MAX(IFERROR(SEARCH("WD",MAIN!G285:J285), 0))&gt;0, "WD",
            IF(MAX(IFERROR(SEARCH("NS",MAIN!G285:J285), 0))&gt;0, "NS",
            IF(MAX(IFERROR(SEARCH("NC",MAIN!G285:J285), 0))&gt;0, "NC",
            IF(MAX(IFERROR(SEARCH("DQ",MAIN!G285:J285), 0))&gt;0, "DQ",
            IF(ISNUMBER(SEARCH("WD",MAIN!K285)), "WD",
            IF(ISNUMBER(SEARCH("NS",MAIN!K285)), "NS",
            IF(ISNUMBER(SEARCH("NC",MAIN!K285)), "NC",
            IF(ISNUMBER(SEARCH("DQ",MAIN!K285)), "DQ",
            IF(ISNUMBER(SEARCH("A",MAIN!K285)), 0,
            IF(OR(MAIN!K285=0,MAIN!K285=""), 0, --TRIM(MAIN!K285)))))))))))),
        0
    )
)</f>
        <v>0</v>
      </c>
    </row>
    <row r="286" spans="1:11" x14ac:dyDescent="0.25">
      <c r="A286" t="str">
        <f>IF(ISBLANK(MAIN!A286), "--", IFERROR(PROPER(SUBSTITUTE(SUBSTITUTE(SUBSTITUTE(SUBSTITUTE(SUBSTITUTE(SUBSTITUTE(SUBSTITUTE(SUBSTITUTE(SUBSTITUTE(SUBSTITUTE(LEFT(MAIN!A286, FIND(",",MAIN!A286) -1), "0", ""), "1", ""), "2", ""), "3", ""), "4", ""), "5", ""), "6", ""), "7", ""), "8", ""), "9", "")), PROPER(SUBSTITUTE(SUBSTITUTE(SUBSTITUTE(SUBSTITUTE(SUBSTITUTE(SUBSTITUTE(SUBSTITUTE(SUBSTITUTE(SUBSTITUTE(SUBSTITUTE(MAIN!A286, "0", ""), "1", ""), "2", ""), "3", ""), "4", ""), "5", ""), "6", ""), "7", ""), "8", ""), "9", ""))))</f>
        <v>--</v>
      </c>
      <c r="B286" t="str">
        <f>IF(ISBLANK(MAIN!B286), "--", IFERROR(PROPER(SUBSTITUTE(SUBSTITUTE(SUBSTITUTE(SUBSTITUTE(SUBSTITUTE(SUBSTITUTE(SUBSTITUTE(SUBSTITUTE(SUBSTITUTE(SUBSTITUTE(LEFT(MAIN!B286, FIND(",",MAIN!B286) -1), "0", ""), "1", ""), "2", ""), "3", ""), "4", ""), "5", ""), "6", ""), "7", ""), "8", ""), "9", "")), PROPER(SUBSTITUTE(SUBSTITUTE(SUBSTITUTE(SUBSTITUTE(SUBSTITUTE(SUBSTITUTE(SUBSTITUTE(SUBSTITUTE(SUBSTITUTE(SUBSTITUTE(MAIN!B286, "0", ""), "1", ""), "2", ""), "3", ""), "4", ""), "5", ""), "6", ""), "7", ""), "8", ""), "9", ""))))</f>
        <v>--</v>
      </c>
      <c r="C286" t="str">
        <f>IF(ISBLANK(MAIN!C286), "--", IFERROR(PROPER(SUBSTITUTE(SUBSTITUTE(SUBSTITUTE(SUBSTITUTE(SUBSTITUTE(SUBSTITUTE(SUBSTITUTE(SUBSTITUTE(SUBSTITUTE(SUBSTITUTE(LEFT(MAIN!C286, FIND(",",MAIN!C286) -1), "0", ""), "1", ""), "2", ""), "3", ""), "4", ""), "5", ""), "6", ""), "7", ""), "8", ""), "9", "")), PROPER(SUBSTITUTE(SUBSTITUTE(SUBSTITUTE(SUBSTITUTE(SUBSTITUTE(SUBSTITUTE(SUBSTITUTE(SUBSTITUTE(SUBSTITUTE(SUBSTITUTE(MAIN!C286, "0", ""), "1", ""), "2", ""), "3", ""), "4", ""), "5", ""), "6", ""), "7", ""), "8", ""), "9", ""))))</f>
        <v>--</v>
      </c>
      <c r="D286" t="str">
        <f>IF(ISBLANK(MAIN!D286), "--", IF(ISNUMBER(MATCH(SUBSTITUTE(LEFT(MAIN!D286, IFERROR(FIND(",", MAIN!D286)-1, LEN(MAIN!D286))), " ", ""), lookup_values!$B$2:$B$51, 0)), UPPER(SUBSTITUTE(LEFT(MAIN!D286, IFERROR(FIND(",", MAIN!D286)-1, LEN(MAIN!D286))), " ", "")), IF(ISNA(VLOOKUP(SUBSTITUTE(LEFT(MAIN!D286, IFERROR(FIND(",", MAIN!D286)-1, LEN(MAIN!D286))), " ", ""), lookup_values!$A$2:$B$51, 2, FALSE)), "--", VLOOKUP(SUBSTITUTE(LEFT(MAIN!D286, IFERROR(FIND(",", MAIN!D286)-1, LEN(MAIN!D286))), " ", ""), lookup_values!$A$2:$B$51, 2, FALSE))))</f>
        <v>--</v>
      </c>
      <c r="E286" t="str">
        <f>IF(CLEAN_DATA!D286&lt;&gt;"--","US",IF(ISBLANK(MAIN!E286), "--", IF(ISNUMBER(MATCH(SUBSTITUTE(LEFT(MAIN!E286, IFERROR(FIND(",", MAIN!E286)-1, LEN(MAIN!E286))), " ", ""), lookup_values!$E$2:$E$197, 0)), UPPER(SUBSTITUTE(LEFT(MAIN!E286, IFERROR(FIND(",", MAIN!E286)-1, LEN(MAIN!E286))), " ", "")), IF(ISNA(VLOOKUP(SUBSTITUTE(LEFT(MAIN!E286, IFERROR(FIND(",", MAIN!E286)-1, LEN(MAIN!E286))), " ", ""), lookup_values!$D$2:$E$197, 2, FALSE)), "--", VLOOKUP(SUBSTITUTE(LEFT(MAIN!E286, IFERROR(FIND(",", MAIN!E286)-1, LEN(MAIN!E286))), " ", ""), lookup_values!$D$2:$E$197, 2, FALSE)))))</f>
        <v>--</v>
      </c>
      <c r="F286" t="str">
        <f>IF(ISBLANK(MAIN!F286), "", IF(AND(ISNUMBER(VALUE(TRIM(MAIN!F286))), LEN(TRIM(MAIN!F286))=4), VALUE(TRIM(MAIN!F286)), ""))</f>
        <v/>
      </c>
      <c r="G286">
        <f>IF(ISBLANK(MAIN!G286), 0, IF(ISNUMBER(VALUE(TRIM(MAIN!G286))), VALUE(TRIM(MAIN!G286)), 0))</f>
        <v>0</v>
      </c>
      <c r="H286">
        <f>IF(ISBLANK(MAIN!H286), 0, IF(ISNUMBER(VALUE(TRIM(MAIN!H286))), VALUE(TRIM(MAIN!H286)), 0))</f>
        <v>0</v>
      </c>
      <c r="I286">
        <f>IF(ISBLANK(MAIN!I286), 0, IF(ISNUMBER(VALUE(TRIM(MAIN!I286))), VALUE(TRIM(MAIN!I286)), 0))</f>
        <v>0</v>
      </c>
      <c r="J286">
        <f>IF(ISBLANK(MAIN!J286), 0, IF(ISNUMBER(VALUE(TRIM(MAIN!J286))), VALUE(TRIM(MAIN!J286)), 0))</f>
        <v>0</v>
      </c>
      <c r="K286" cm="1">
        <f t="array" ref="K286">IFERROR(
    VALUE(
        IFERROR(
            UPPER(
                IF(MAX(IFERROR(SEARCH("WD",MAIN!G286:J286), 0))&gt;0, "WD",
                IF(MAX(IFERROR(SEARCH("NS",MAIN!G286:J286), 0))&gt;0, "NS",
                IF(MAX(IFERROR(SEARCH("NC",MAIN!G286:J286), 0))&gt;0, "NC",
                IF(MAX(IFERROR(SEARCH("DQ",MAIN!G286:J286), 0))&gt;0, "DQ",
                IF(ISNUMBER(SEARCH("WD",MAIN!K286)), "WD",
                IF(ISNUMBER(SEARCH("NS",MAIN!K286)), "NS",
                IF(ISNUMBER(SEARCH("NC",MAIN!K286)), "NC",
                IF(ISNUMBER(SEARCH("DQ",MAIN!K286)), "DQ",
                IF(ISNUMBER(SEARCH("A",MAIN!K286)), 0,
                IF(OR(MAIN!K286=0,MAIN!K286=""), 0, --TRIM(MAIN!K286)))))))))))),
            0
        )
    ),
    IFERROR(
        UPPER(
            IF(MAX(IFERROR(SEARCH("WD",MAIN!G286:J286), 0))&gt;0, "WD",
            IF(MAX(IFERROR(SEARCH("NS",MAIN!G286:J286), 0))&gt;0, "NS",
            IF(MAX(IFERROR(SEARCH("NC",MAIN!G286:J286), 0))&gt;0, "NC",
            IF(MAX(IFERROR(SEARCH("DQ",MAIN!G286:J286), 0))&gt;0, "DQ",
            IF(ISNUMBER(SEARCH("WD",MAIN!K286)), "WD",
            IF(ISNUMBER(SEARCH("NS",MAIN!K286)), "NS",
            IF(ISNUMBER(SEARCH("NC",MAIN!K286)), "NC",
            IF(ISNUMBER(SEARCH("DQ",MAIN!K286)), "DQ",
            IF(ISNUMBER(SEARCH("A",MAIN!K286)), 0,
            IF(OR(MAIN!K286=0,MAIN!K286=""), 0, --TRIM(MAIN!K286)))))))))))),
        0
    )
)</f>
        <v>0</v>
      </c>
    </row>
    <row r="287" spans="1:11" x14ac:dyDescent="0.25">
      <c r="A287" t="str">
        <f>IF(ISBLANK(MAIN!A287), "--", IFERROR(PROPER(SUBSTITUTE(SUBSTITUTE(SUBSTITUTE(SUBSTITUTE(SUBSTITUTE(SUBSTITUTE(SUBSTITUTE(SUBSTITUTE(SUBSTITUTE(SUBSTITUTE(LEFT(MAIN!A287, FIND(",",MAIN!A287) -1), "0", ""), "1", ""), "2", ""), "3", ""), "4", ""), "5", ""), "6", ""), "7", ""), "8", ""), "9", "")), PROPER(SUBSTITUTE(SUBSTITUTE(SUBSTITUTE(SUBSTITUTE(SUBSTITUTE(SUBSTITUTE(SUBSTITUTE(SUBSTITUTE(SUBSTITUTE(SUBSTITUTE(MAIN!A287, "0", ""), "1", ""), "2", ""), "3", ""), "4", ""), "5", ""), "6", ""), "7", ""), "8", ""), "9", ""))))</f>
        <v>--</v>
      </c>
      <c r="B287" t="str">
        <f>IF(ISBLANK(MAIN!B287), "--", IFERROR(PROPER(SUBSTITUTE(SUBSTITUTE(SUBSTITUTE(SUBSTITUTE(SUBSTITUTE(SUBSTITUTE(SUBSTITUTE(SUBSTITUTE(SUBSTITUTE(SUBSTITUTE(LEFT(MAIN!B287, FIND(",",MAIN!B287) -1), "0", ""), "1", ""), "2", ""), "3", ""), "4", ""), "5", ""), "6", ""), "7", ""), "8", ""), "9", "")), PROPER(SUBSTITUTE(SUBSTITUTE(SUBSTITUTE(SUBSTITUTE(SUBSTITUTE(SUBSTITUTE(SUBSTITUTE(SUBSTITUTE(SUBSTITUTE(SUBSTITUTE(MAIN!B287, "0", ""), "1", ""), "2", ""), "3", ""), "4", ""), "5", ""), "6", ""), "7", ""), "8", ""), "9", ""))))</f>
        <v>--</v>
      </c>
      <c r="C287" t="str">
        <f>IF(ISBLANK(MAIN!C287), "--", IFERROR(PROPER(SUBSTITUTE(SUBSTITUTE(SUBSTITUTE(SUBSTITUTE(SUBSTITUTE(SUBSTITUTE(SUBSTITUTE(SUBSTITUTE(SUBSTITUTE(SUBSTITUTE(LEFT(MAIN!C287, FIND(",",MAIN!C287) -1), "0", ""), "1", ""), "2", ""), "3", ""), "4", ""), "5", ""), "6", ""), "7", ""), "8", ""), "9", "")), PROPER(SUBSTITUTE(SUBSTITUTE(SUBSTITUTE(SUBSTITUTE(SUBSTITUTE(SUBSTITUTE(SUBSTITUTE(SUBSTITUTE(SUBSTITUTE(SUBSTITUTE(MAIN!C287, "0", ""), "1", ""), "2", ""), "3", ""), "4", ""), "5", ""), "6", ""), "7", ""), "8", ""), "9", ""))))</f>
        <v>--</v>
      </c>
      <c r="D287" t="str">
        <f>IF(ISBLANK(MAIN!D287), "--", IF(ISNUMBER(MATCH(SUBSTITUTE(LEFT(MAIN!D287, IFERROR(FIND(",", MAIN!D287)-1, LEN(MAIN!D287))), " ", ""), lookup_values!$B$2:$B$51, 0)), UPPER(SUBSTITUTE(LEFT(MAIN!D287, IFERROR(FIND(",", MAIN!D287)-1, LEN(MAIN!D287))), " ", "")), IF(ISNA(VLOOKUP(SUBSTITUTE(LEFT(MAIN!D287, IFERROR(FIND(",", MAIN!D287)-1, LEN(MAIN!D287))), " ", ""), lookup_values!$A$2:$B$51, 2, FALSE)), "--", VLOOKUP(SUBSTITUTE(LEFT(MAIN!D287, IFERROR(FIND(",", MAIN!D287)-1, LEN(MAIN!D287))), " ", ""), lookup_values!$A$2:$B$51, 2, FALSE))))</f>
        <v>--</v>
      </c>
      <c r="E287" t="str">
        <f>IF(CLEAN_DATA!D287&lt;&gt;"--","US",IF(ISBLANK(MAIN!E287), "--", IF(ISNUMBER(MATCH(SUBSTITUTE(LEFT(MAIN!E287, IFERROR(FIND(",", MAIN!E287)-1, LEN(MAIN!E287))), " ", ""), lookup_values!$E$2:$E$197, 0)), UPPER(SUBSTITUTE(LEFT(MAIN!E287, IFERROR(FIND(",", MAIN!E287)-1, LEN(MAIN!E287))), " ", "")), IF(ISNA(VLOOKUP(SUBSTITUTE(LEFT(MAIN!E287, IFERROR(FIND(",", MAIN!E287)-1, LEN(MAIN!E287))), " ", ""), lookup_values!$D$2:$E$197, 2, FALSE)), "--", VLOOKUP(SUBSTITUTE(LEFT(MAIN!E287, IFERROR(FIND(",", MAIN!E287)-1, LEN(MAIN!E287))), " ", ""), lookup_values!$D$2:$E$197, 2, FALSE)))))</f>
        <v>--</v>
      </c>
      <c r="F287" t="str">
        <f>IF(ISBLANK(MAIN!F287), "", IF(AND(ISNUMBER(VALUE(TRIM(MAIN!F287))), LEN(TRIM(MAIN!F287))=4), VALUE(TRIM(MAIN!F287)), ""))</f>
        <v/>
      </c>
      <c r="G287">
        <f>IF(ISBLANK(MAIN!G287), 0, IF(ISNUMBER(VALUE(TRIM(MAIN!G287))), VALUE(TRIM(MAIN!G287)), 0))</f>
        <v>0</v>
      </c>
      <c r="H287">
        <f>IF(ISBLANK(MAIN!H287), 0, IF(ISNUMBER(VALUE(TRIM(MAIN!H287))), VALUE(TRIM(MAIN!H287)), 0))</f>
        <v>0</v>
      </c>
      <c r="I287">
        <f>IF(ISBLANK(MAIN!I287), 0, IF(ISNUMBER(VALUE(TRIM(MAIN!I287))), VALUE(TRIM(MAIN!I287)), 0))</f>
        <v>0</v>
      </c>
      <c r="J287">
        <f>IF(ISBLANK(MAIN!J287), 0, IF(ISNUMBER(VALUE(TRIM(MAIN!J287))), VALUE(TRIM(MAIN!J287)), 0))</f>
        <v>0</v>
      </c>
      <c r="K287" cm="1">
        <f t="array" ref="K287">IFERROR(
    VALUE(
        IFERROR(
            UPPER(
                IF(MAX(IFERROR(SEARCH("WD",MAIN!G287:J287), 0))&gt;0, "WD",
                IF(MAX(IFERROR(SEARCH("NS",MAIN!G287:J287), 0))&gt;0, "NS",
                IF(MAX(IFERROR(SEARCH("NC",MAIN!G287:J287), 0))&gt;0, "NC",
                IF(MAX(IFERROR(SEARCH("DQ",MAIN!G287:J287), 0))&gt;0, "DQ",
                IF(ISNUMBER(SEARCH("WD",MAIN!K287)), "WD",
                IF(ISNUMBER(SEARCH("NS",MAIN!K287)), "NS",
                IF(ISNUMBER(SEARCH("NC",MAIN!K287)), "NC",
                IF(ISNUMBER(SEARCH("DQ",MAIN!K287)), "DQ",
                IF(ISNUMBER(SEARCH("A",MAIN!K287)), 0,
                IF(OR(MAIN!K287=0,MAIN!K287=""), 0, --TRIM(MAIN!K287)))))))))))),
            0
        )
    ),
    IFERROR(
        UPPER(
            IF(MAX(IFERROR(SEARCH("WD",MAIN!G287:J287), 0))&gt;0, "WD",
            IF(MAX(IFERROR(SEARCH("NS",MAIN!G287:J287), 0))&gt;0, "NS",
            IF(MAX(IFERROR(SEARCH("NC",MAIN!G287:J287), 0))&gt;0, "NC",
            IF(MAX(IFERROR(SEARCH("DQ",MAIN!G287:J287), 0))&gt;0, "DQ",
            IF(ISNUMBER(SEARCH("WD",MAIN!K287)), "WD",
            IF(ISNUMBER(SEARCH("NS",MAIN!K287)), "NS",
            IF(ISNUMBER(SEARCH("NC",MAIN!K287)), "NC",
            IF(ISNUMBER(SEARCH("DQ",MAIN!K287)), "DQ",
            IF(ISNUMBER(SEARCH("A",MAIN!K287)), 0,
            IF(OR(MAIN!K287=0,MAIN!K287=""), 0, --TRIM(MAIN!K287)))))))))))),
        0
    )
)</f>
        <v>0</v>
      </c>
    </row>
    <row r="288" spans="1:11" x14ac:dyDescent="0.25">
      <c r="A288" t="str">
        <f>IF(ISBLANK(MAIN!A288), "--", IFERROR(PROPER(SUBSTITUTE(SUBSTITUTE(SUBSTITUTE(SUBSTITUTE(SUBSTITUTE(SUBSTITUTE(SUBSTITUTE(SUBSTITUTE(SUBSTITUTE(SUBSTITUTE(LEFT(MAIN!A288, FIND(",",MAIN!A288) -1), "0", ""), "1", ""), "2", ""), "3", ""), "4", ""), "5", ""), "6", ""), "7", ""), "8", ""), "9", "")), PROPER(SUBSTITUTE(SUBSTITUTE(SUBSTITUTE(SUBSTITUTE(SUBSTITUTE(SUBSTITUTE(SUBSTITUTE(SUBSTITUTE(SUBSTITUTE(SUBSTITUTE(MAIN!A288, "0", ""), "1", ""), "2", ""), "3", ""), "4", ""), "5", ""), "6", ""), "7", ""), "8", ""), "9", ""))))</f>
        <v>--</v>
      </c>
      <c r="B288" t="str">
        <f>IF(ISBLANK(MAIN!B288), "--", IFERROR(PROPER(SUBSTITUTE(SUBSTITUTE(SUBSTITUTE(SUBSTITUTE(SUBSTITUTE(SUBSTITUTE(SUBSTITUTE(SUBSTITUTE(SUBSTITUTE(SUBSTITUTE(LEFT(MAIN!B288, FIND(",",MAIN!B288) -1), "0", ""), "1", ""), "2", ""), "3", ""), "4", ""), "5", ""), "6", ""), "7", ""), "8", ""), "9", "")), PROPER(SUBSTITUTE(SUBSTITUTE(SUBSTITUTE(SUBSTITUTE(SUBSTITUTE(SUBSTITUTE(SUBSTITUTE(SUBSTITUTE(SUBSTITUTE(SUBSTITUTE(MAIN!B288, "0", ""), "1", ""), "2", ""), "3", ""), "4", ""), "5", ""), "6", ""), "7", ""), "8", ""), "9", ""))))</f>
        <v>--</v>
      </c>
      <c r="C288" t="str">
        <f>IF(ISBLANK(MAIN!C288), "--", IFERROR(PROPER(SUBSTITUTE(SUBSTITUTE(SUBSTITUTE(SUBSTITUTE(SUBSTITUTE(SUBSTITUTE(SUBSTITUTE(SUBSTITUTE(SUBSTITUTE(SUBSTITUTE(LEFT(MAIN!C288, FIND(",",MAIN!C288) -1), "0", ""), "1", ""), "2", ""), "3", ""), "4", ""), "5", ""), "6", ""), "7", ""), "8", ""), "9", "")), PROPER(SUBSTITUTE(SUBSTITUTE(SUBSTITUTE(SUBSTITUTE(SUBSTITUTE(SUBSTITUTE(SUBSTITUTE(SUBSTITUTE(SUBSTITUTE(SUBSTITUTE(MAIN!C288, "0", ""), "1", ""), "2", ""), "3", ""), "4", ""), "5", ""), "6", ""), "7", ""), "8", ""), "9", ""))))</f>
        <v>--</v>
      </c>
      <c r="D288" t="str">
        <f>IF(ISBLANK(MAIN!D288), "--", IF(ISNUMBER(MATCH(SUBSTITUTE(LEFT(MAIN!D288, IFERROR(FIND(",", MAIN!D288)-1, LEN(MAIN!D288))), " ", ""), lookup_values!$B$2:$B$51, 0)), UPPER(SUBSTITUTE(LEFT(MAIN!D288, IFERROR(FIND(",", MAIN!D288)-1, LEN(MAIN!D288))), " ", "")), IF(ISNA(VLOOKUP(SUBSTITUTE(LEFT(MAIN!D288, IFERROR(FIND(",", MAIN!D288)-1, LEN(MAIN!D288))), " ", ""), lookup_values!$A$2:$B$51, 2, FALSE)), "--", VLOOKUP(SUBSTITUTE(LEFT(MAIN!D288, IFERROR(FIND(",", MAIN!D288)-1, LEN(MAIN!D288))), " ", ""), lookup_values!$A$2:$B$51, 2, FALSE))))</f>
        <v>--</v>
      </c>
      <c r="E288" t="str">
        <f>IF(CLEAN_DATA!D288&lt;&gt;"--","US",IF(ISBLANK(MAIN!E288), "--", IF(ISNUMBER(MATCH(SUBSTITUTE(LEFT(MAIN!E288, IFERROR(FIND(",", MAIN!E288)-1, LEN(MAIN!E288))), " ", ""), lookup_values!$E$2:$E$197, 0)), UPPER(SUBSTITUTE(LEFT(MAIN!E288, IFERROR(FIND(",", MAIN!E288)-1, LEN(MAIN!E288))), " ", "")), IF(ISNA(VLOOKUP(SUBSTITUTE(LEFT(MAIN!E288, IFERROR(FIND(",", MAIN!E288)-1, LEN(MAIN!E288))), " ", ""), lookup_values!$D$2:$E$197, 2, FALSE)), "--", VLOOKUP(SUBSTITUTE(LEFT(MAIN!E288, IFERROR(FIND(",", MAIN!E288)-1, LEN(MAIN!E288))), " ", ""), lookup_values!$D$2:$E$197, 2, FALSE)))))</f>
        <v>--</v>
      </c>
      <c r="F288" t="str">
        <f>IF(ISBLANK(MAIN!F288), "", IF(AND(ISNUMBER(VALUE(TRIM(MAIN!F288))), LEN(TRIM(MAIN!F288))=4), VALUE(TRIM(MAIN!F288)), ""))</f>
        <v/>
      </c>
      <c r="G288">
        <f>IF(ISBLANK(MAIN!G288), 0, IF(ISNUMBER(VALUE(TRIM(MAIN!G288))), VALUE(TRIM(MAIN!G288)), 0))</f>
        <v>0</v>
      </c>
      <c r="H288">
        <f>IF(ISBLANK(MAIN!H288), 0, IF(ISNUMBER(VALUE(TRIM(MAIN!H288))), VALUE(TRIM(MAIN!H288)), 0))</f>
        <v>0</v>
      </c>
      <c r="I288">
        <f>IF(ISBLANK(MAIN!I288), 0, IF(ISNUMBER(VALUE(TRIM(MAIN!I288))), VALUE(TRIM(MAIN!I288)), 0))</f>
        <v>0</v>
      </c>
      <c r="J288">
        <f>IF(ISBLANK(MAIN!J288), 0, IF(ISNUMBER(VALUE(TRIM(MAIN!J288))), VALUE(TRIM(MAIN!J288)), 0))</f>
        <v>0</v>
      </c>
      <c r="K288" cm="1">
        <f t="array" ref="K288">IFERROR(
    VALUE(
        IFERROR(
            UPPER(
                IF(MAX(IFERROR(SEARCH("WD",MAIN!G288:J288), 0))&gt;0, "WD",
                IF(MAX(IFERROR(SEARCH("NS",MAIN!G288:J288), 0))&gt;0, "NS",
                IF(MAX(IFERROR(SEARCH("NC",MAIN!G288:J288), 0))&gt;0, "NC",
                IF(MAX(IFERROR(SEARCH("DQ",MAIN!G288:J288), 0))&gt;0, "DQ",
                IF(ISNUMBER(SEARCH("WD",MAIN!K288)), "WD",
                IF(ISNUMBER(SEARCH("NS",MAIN!K288)), "NS",
                IF(ISNUMBER(SEARCH("NC",MAIN!K288)), "NC",
                IF(ISNUMBER(SEARCH("DQ",MAIN!K288)), "DQ",
                IF(ISNUMBER(SEARCH("A",MAIN!K288)), 0,
                IF(OR(MAIN!K288=0,MAIN!K288=""), 0, --TRIM(MAIN!K288)))))))))))),
            0
        )
    ),
    IFERROR(
        UPPER(
            IF(MAX(IFERROR(SEARCH("WD",MAIN!G288:J288), 0))&gt;0, "WD",
            IF(MAX(IFERROR(SEARCH("NS",MAIN!G288:J288), 0))&gt;0, "NS",
            IF(MAX(IFERROR(SEARCH("NC",MAIN!G288:J288), 0))&gt;0, "NC",
            IF(MAX(IFERROR(SEARCH("DQ",MAIN!G288:J288), 0))&gt;0, "DQ",
            IF(ISNUMBER(SEARCH("WD",MAIN!K288)), "WD",
            IF(ISNUMBER(SEARCH("NS",MAIN!K288)), "NS",
            IF(ISNUMBER(SEARCH("NC",MAIN!K288)), "NC",
            IF(ISNUMBER(SEARCH("DQ",MAIN!K288)), "DQ",
            IF(ISNUMBER(SEARCH("A",MAIN!K288)), 0,
            IF(OR(MAIN!K288=0,MAIN!K288=""), 0, --TRIM(MAIN!K288)))))))))))),
        0
    )
)</f>
        <v>0</v>
      </c>
    </row>
    <row r="289" spans="1:11" x14ac:dyDescent="0.25">
      <c r="A289" t="str">
        <f>IF(ISBLANK(MAIN!A289), "--", IFERROR(PROPER(SUBSTITUTE(SUBSTITUTE(SUBSTITUTE(SUBSTITUTE(SUBSTITUTE(SUBSTITUTE(SUBSTITUTE(SUBSTITUTE(SUBSTITUTE(SUBSTITUTE(LEFT(MAIN!A289, FIND(",",MAIN!A289) -1), "0", ""), "1", ""), "2", ""), "3", ""), "4", ""), "5", ""), "6", ""), "7", ""), "8", ""), "9", "")), PROPER(SUBSTITUTE(SUBSTITUTE(SUBSTITUTE(SUBSTITUTE(SUBSTITUTE(SUBSTITUTE(SUBSTITUTE(SUBSTITUTE(SUBSTITUTE(SUBSTITUTE(MAIN!A289, "0", ""), "1", ""), "2", ""), "3", ""), "4", ""), "5", ""), "6", ""), "7", ""), "8", ""), "9", ""))))</f>
        <v>--</v>
      </c>
      <c r="B289" t="str">
        <f>IF(ISBLANK(MAIN!B289), "--", IFERROR(PROPER(SUBSTITUTE(SUBSTITUTE(SUBSTITUTE(SUBSTITUTE(SUBSTITUTE(SUBSTITUTE(SUBSTITUTE(SUBSTITUTE(SUBSTITUTE(SUBSTITUTE(LEFT(MAIN!B289, FIND(",",MAIN!B289) -1), "0", ""), "1", ""), "2", ""), "3", ""), "4", ""), "5", ""), "6", ""), "7", ""), "8", ""), "9", "")), PROPER(SUBSTITUTE(SUBSTITUTE(SUBSTITUTE(SUBSTITUTE(SUBSTITUTE(SUBSTITUTE(SUBSTITUTE(SUBSTITUTE(SUBSTITUTE(SUBSTITUTE(MAIN!B289, "0", ""), "1", ""), "2", ""), "3", ""), "4", ""), "5", ""), "6", ""), "7", ""), "8", ""), "9", ""))))</f>
        <v>--</v>
      </c>
      <c r="C289" t="str">
        <f>IF(ISBLANK(MAIN!C289), "--", IFERROR(PROPER(SUBSTITUTE(SUBSTITUTE(SUBSTITUTE(SUBSTITUTE(SUBSTITUTE(SUBSTITUTE(SUBSTITUTE(SUBSTITUTE(SUBSTITUTE(SUBSTITUTE(LEFT(MAIN!C289, FIND(",",MAIN!C289) -1), "0", ""), "1", ""), "2", ""), "3", ""), "4", ""), "5", ""), "6", ""), "7", ""), "8", ""), "9", "")), PROPER(SUBSTITUTE(SUBSTITUTE(SUBSTITUTE(SUBSTITUTE(SUBSTITUTE(SUBSTITUTE(SUBSTITUTE(SUBSTITUTE(SUBSTITUTE(SUBSTITUTE(MAIN!C289, "0", ""), "1", ""), "2", ""), "3", ""), "4", ""), "5", ""), "6", ""), "7", ""), "8", ""), "9", ""))))</f>
        <v>--</v>
      </c>
      <c r="D289" t="str">
        <f>IF(ISBLANK(MAIN!D289), "--", IF(ISNUMBER(MATCH(SUBSTITUTE(LEFT(MAIN!D289, IFERROR(FIND(",", MAIN!D289)-1, LEN(MAIN!D289))), " ", ""), lookup_values!$B$2:$B$51, 0)), UPPER(SUBSTITUTE(LEFT(MAIN!D289, IFERROR(FIND(",", MAIN!D289)-1, LEN(MAIN!D289))), " ", "")), IF(ISNA(VLOOKUP(SUBSTITUTE(LEFT(MAIN!D289, IFERROR(FIND(",", MAIN!D289)-1, LEN(MAIN!D289))), " ", ""), lookup_values!$A$2:$B$51, 2, FALSE)), "--", VLOOKUP(SUBSTITUTE(LEFT(MAIN!D289, IFERROR(FIND(",", MAIN!D289)-1, LEN(MAIN!D289))), " ", ""), lookup_values!$A$2:$B$51, 2, FALSE))))</f>
        <v>--</v>
      </c>
      <c r="E289" t="str">
        <f>IF(CLEAN_DATA!D289&lt;&gt;"--","US",IF(ISBLANK(MAIN!E289), "--", IF(ISNUMBER(MATCH(SUBSTITUTE(LEFT(MAIN!E289, IFERROR(FIND(",", MAIN!E289)-1, LEN(MAIN!E289))), " ", ""), lookup_values!$E$2:$E$197, 0)), UPPER(SUBSTITUTE(LEFT(MAIN!E289, IFERROR(FIND(",", MAIN!E289)-1, LEN(MAIN!E289))), " ", "")), IF(ISNA(VLOOKUP(SUBSTITUTE(LEFT(MAIN!E289, IFERROR(FIND(",", MAIN!E289)-1, LEN(MAIN!E289))), " ", ""), lookup_values!$D$2:$E$197, 2, FALSE)), "--", VLOOKUP(SUBSTITUTE(LEFT(MAIN!E289, IFERROR(FIND(",", MAIN!E289)-1, LEN(MAIN!E289))), " ", ""), lookup_values!$D$2:$E$197, 2, FALSE)))))</f>
        <v>--</v>
      </c>
      <c r="F289" t="str">
        <f>IF(ISBLANK(MAIN!F289), "", IF(AND(ISNUMBER(VALUE(TRIM(MAIN!F289))), LEN(TRIM(MAIN!F289))=4), VALUE(TRIM(MAIN!F289)), ""))</f>
        <v/>
      </c>
      <c r="G289">
        <f>IF(ISBLANK(MAIN!G289), 0, IF(ISNUMBER(VALUE(TRIM(MAIN!G289))), VALUE(TRIM(MAIN!G289)), 0))</f>
        <v>0</v>
      </c>
      <c r="H289">
        <f>IF(ISBLANK(MAIN!H289), 0, IF(ISNUMBER(VALUE(TRIM(MAIN!H289))), VALUE(TRIM(MAIN!H289)), 0))</f>
        <v>0</v>
      </c>
      <c r="I289">
        <f>IF(ISBLANK(MAIN!I289), 0, IF(ISNUMBER(VALUE(TRIM(MAIN!I289))), VALUE(TRIM(MAIN!I289)), 0))</f>
        <v>0</v>
      </c>
      <c r="J289">
        <f>IF(ISBLANK(MAIN!J289), 0, IF(ISNUMBER(VALUE(TRIM(MAIN!J289))), VALUE(TRIM(MAIN!J289)), 0))</f>
        <v>0</v>
      </c>
      <c r="K289" cm="1">
        <f t="array" ref="K289">IFERROR(
    VALUE(
        IFERROR(
            UPPER(
                IF(MAX(IFERROR(SEARCH("WD",MAIN!G289:J289), 0))&gt;0, "WD",
                IF(MAX(IFERROR(SEARCH("NS",MAIN!G289:J289), 0))&gt;0, "NS",
                IF(MAX(IFERROR(SEARCH("NC",MAIN!G289:J289), 0))&gt;0, "NC",
                IF(MAX(IFERROR(SEARCH("DQ",MAIN!G289:J289), 0))&gt;0, "DQ",
                IF(ISNUMBER(SEARCH("WD",MAIN!K289)), "WD",
                IF(ISNUMBER(SEARCH("NS",MAIN!K289)), "NS",
                IF(ISNUMBER(SEARCH("NC",MAIN!K289)), "NC",
                IF(ISNUMBER(SEARCH("DQ",MAIN!K289)), "DQ",
                IF(ISNUMBER(SEARCH("A",MAIN!K289)), 0,
                IF(OR(MAIN!K289=0,MAIN!K289=""), 0, --TRIM(MAIN!K289)))))))))))),
            0
        )
    ),
    IFERROR(
        UPPER(
            IF(MAX(IFERROR(SEARCH("WD",MAIN!G289:J289), 0))&gt;0, "WD",
            IF(MAX(IFERROR(SEARCH("NS",MAIN!G289:J289), 0))&gt;0, "NS",
            IF(MAX(IFERROR(SEARCH("NC",MAIN!G289:J289), 0))&gt;0, "NC",
            IF(MAX(IFERROR(SEARCH("DQ",MAIN!G289:J289), 0))&gt;0, "DQ",
            IF(ISNUMBER(SEARCH("WD",MAIN!K289)), "WD",
            IF(ISNUMBER(SEARCH("NS",MAIN!K289)), "NS",
            IF(ISNUMBER(SEARCH("NC",MAIN!K289)), "NC",
            IF(ISNUMBER(SEARCH("DQ",MAIN!K289)), "DQ",
            IF(ISNUMBER(SEARCH("A",MAIN!K289)), 0,
            IF(OR(MAIN!K289=0,MAIN!K289=""), 0, --TRIM(MAIN!K289)))))))))))),
        0
    )
)</f>
        <v>0</v>
      </c>
    </row>
    <row r="290" spans="1:11" x14ac:dyDescent="0.25">
      <c r="A290" t="str">
        <f>IF(ISBLANK(MAIN!A290), "--", IFERROR(PROPER(SUBSTITUTE(SUBSTITUTE(SUBSTITUTE(SUBSTITUTE(SUBSTITUTE(SUBSTITUTE(SUBSTITUTE(SUBSTITUTE(SUBSTITUTE(SUBSTITUTE(LEFT(MAIN!A290, FIND(",",MAIN!A290) -1), "0", ""), "1", ""), "2", ""), "3", ""), "4", ""), "5", ""), "6", ""), "7", ""), "8", ""), "9", "")), PROPER(SUBSTITUTE(SUBSTITUTE(SUBSTITUTE(SUBSTITUTE(SUBSTITUTE(SUBSTITUTE(SUBSTITUTE(SUBSTITUTE(SUBSTITUTE(SUBSTITUTE(MAIN!A290, "0", ""), "1", ""), "2", ""), "3", ""), "4", ""), "5", ""), "6", ""), "7", ""), "8", ""), "9", ""))))</f>
        <v>--</v>
      </c>
      <c r="B290" t="str">
        <f>IF(ISBLANK(MAIN!B290), "--", IFERROR(PROPER(SUBSTITUTE(SUBSTITUTE(SUBSTITUTE(SUBSTITUTE(SUBSTITUTE(SUBSTITUTE(SUBSTITUTE(SUBSTITUTE(SUBSTITUTE(SUBSTITUTE(LEFT(MAIN!B290, FIND(",",MAIN!B290) -1), "0", ""), "1", ""), "2", ""), "3", ""), "4", ""), "5", ""), "6", ""), "7", ""), "8", ""), "9", "")), PROPER(SUBSTITUTE(SUBSTITUTE(SUBSTITUTE(SUBSTITUTE(SUBSTITUTE(SUBSTITUTE(SUBSTITUTE(SUBSTITUTE(SUBSTITUTE(SUBSTITUTE(MAIN!B290, "0", ""), "1", ""), "2", ""), "3", ""), "4", ""), "5", ""), "6", ""), "7", ""), "8", ""), "9", ""))))</f>
        <v>--</v>
      </c>
      <c r="C290" t="str">
        <f>IF(ISBLANK(MAIN!C290), "--", IFERROR(PROPER(SUBSTITUTE(SUBSTITUTE(SUBSTITUTE(SUBSTITUTE(SUBSTITUTE(SUBSTITUTE(SUBSTITUTE(SUBSTITUTE(SUBSTITUTE(SUBSTITUTE(LEFT(MAIN!C290, FIND(",",MAIN!C290) -1), "0", ""), "1", ""), "2", ""), "3", ""), "4", ""), "5", ""), "6", ""), "7", ""), "8", ""), "9", "")), PROPER(SUBSTITUTE(SUBSTITUTE(SUBSTITUTE(SUBSTITUTE(SUBSTITUTE(SUBSTITUTE(SUBSTITUTE(SUBSTITUTE(SUBSTITUTE(SUBSTITUTE(MAIN!C290, "0", ""), "1", ""), "2", ""), "3", ""), "4", ""), "5", ""), "6", ""), "7", ""), "8", ""), "9", ""))))</f>
        <v>--</v>
      </c>
      <c r="D290" t="str">
        <f>IF(ISBLANK(MAIN!D290), "--", IF(ISNUMBER(MATCH(SUBSTITUTE(LEFT(MAIN!D290, IFERROR(FIND(",", MAIN!D290)-1, LEN(MAIN!D290))), " ", ""), lookup_values!$B$2:$B$51, 0)), UPPER(SUBSTITUTE(LEFT(MAIN!D290, IFERROR(FIND(",", MAIN!D290)-1, LEN(MAIN!D290))), " ", "")), IF(ISNA(VLOOKUP(SUBSTITUTE(LEFT(MAIN!D290, IFERROR(FIND(",", MAIN!D290)-1, LEN(MAIN!D290))), " ", ""), lookup_values!$A$2:$B$51, 2, FALSE)), "--", VLOOKUP(SUBSTITUTE(LEFT(MAIN!D290, IFERROR(FIND(",", MAIN!D290)-1, LEN(MAIN!D290))), " ", ""), lookup_values!$A$2:$B$51, 2, FALSE))))</f>
        <v>--</v>
      </c>
      <c r="E290" t="str">
        <f>IF(CLEAN_DATA!D290&lt;&gt;"--","US",IF(ISBLANK(MAIN!E290), "--", IF(ISNUMBER(MATCH(SUBSTITUTE(LEFT(MAIN!E290, IFERROR(FIND(",", MAIN!E290)-1, LEN(MAIN!E290))), " ", ""), lookup_values!$E$2:$E$197, 0)), UPPER(SUBSTITUTE(LEFT(MAIN!E290, IFERROR(FIND(",", MAIN!E290)-1, LEN(MAIN!E290))), " ", "")), IF(ISNA(VLOOKUP(SUBSTITUTE(LEFT(MAIN!E290, IFERROR(FIND(",", MAIN!E290)-1, LEN(MAIN!E290))), " ", ""), lookup_values!$D$2:$E$197, 2, FALSE)), "--", VLOOKUP(SUBSTITUTE(LEFT(MAIN!E290, IFERROR(FIND(",", MAIN!E290)-1, LEN(MAIN!E290))), " ", ""), lookup_values!$D$2:$E$197, 2, FALSE)))))</f>
        <v>--</v>
      </c>
      <c r="F290" t="str">
        <f>IF(ISBLANK(MAIN!F290), "", IF(AND(ISNUMBER(VALUE(TRIM(MAIN!F290))), LEN(TRIM(MAIN!F290))=4), VALUE(TRIM(MAIN!F290)), ""))</f>
        <v/>
      </c>
      <c r="G290">
        <f>IF(ISBLANK(MAIN!G290), 0, IF(ISNUMBER(VALUE(TRIM(MAIN!G290))), VALUE(TRIM(MAIN!G290)), 0))</f>
        <v>0</v>
      </c>
      <c r="H290">
        <f>IF(ISBLANK(MAIN!H290), 0, IF(ISNUMBER(VALUE(TRIM(MAIN!H290))), VALUE(TRIM(MAIN!H290)), 0))</f>
        <v>0</v>
      </c>
      <c r="I290">
        <f>IF(ISBLANK(MAIN!I290), 0, IF(ISNUMBER(VALUE(TRIM(MAIN!I290))), VALUE(TRIM(MAIN!I290)), 0))</f>
        <v>0</v>
      </c>
      <c r="J290">
        <f>IF(ISBLANK(MAIN!J290), 0, IF(ISNUMBER(VALUE(TRIM(MAIN!J290))), VALUE(TRIM(MAIN!J290)), 0))</f>
        <v>0</v>
      </c>
      <c r="K290" cm="1">
        <f t="array" ref="K290">IFERROR(
    VALUE(
        IFERROR(
            UPPER(
                IF(MAX(IFERROR(SEARCH("WD",MAIN!G290:J290), 0))&gt;0, "WD",
                IF(MAX(IFERROR(SEARCH("NS",MAIN!G290:J290), 0))&gt;0, "NS",
                IF(MAX(IFERROR(SEARCH("NC",MAIN!G290:J290), 0))&gt;0, "NC",
                IF(MAX(IFERROR(SEARCH("DQ",MAIN!G290:J290), 0))&gt;0, "DQ",
                IF(ISNUMBER(SEARCH("WD",MAIN!K290)), "WD",
                IF(ISNUMBER(SEARCH("NS",MAIN!K290)), "NS",
                IF(ISNUMBER(SEARCH("NC",MAIN!K290)), "NC",
                IF(ISNUMBER(SEARCH("DQ",MAIN!K290)), "DQ",
                IF(ISNUMBER(SEARCH("A",MAIN!K290)), 0,
                IF(OR(MAIN!K290=0,MAIN!K290=""), 0, --TRIM(MAIN!K290)))))))))))),
            0
        )
    ),
    IFERROR(
        UPPER(
            IF(MAX(IFERROR(SEARCH("WD",MAIN!G290:J290), 0))&gt;0, "WD",
            IF(MAX(IFERROR(SEARCH("NS",MAIN!G290:J290), 0))&gt;0, "NS",
            IF(MAX(IFERROR(SEARCH("NC",MAIN!G290:J290), 0))&gt;0, "NC",
            IF(MAX(IFERROR(SEARCH("DQ",MAIN!G290:J290), 0))&gt;0, "DQ",
            IF(ISNUMBER(SEARCH("WD",MAIN!K290)), "WD",
            IF(ISNUMBER(SEARCH("NS",MAIN!K290)), "NS",
            IF(ISNUMBER(SEARCH("NC",MAIN!K290)), "NC",
            IF(ISNUMBER(SEARCH("DQ",MAIN!K290)), "DQ",
            IF(ISNUMBER(SEARCH("A",MAIN!K290)), 0,
            IF(OR(MAIN!K290=0,MAIN!K290=""), 0, --TRIM(MAIN!K290)))))))))))),
        0
    )
)</f>
        <v>0</v>
      </c>
    </row>
    <row r="291" spans="1:11" x14ac:dyDescent="0.25">
      <c r="A291" t="str">
        <f>IF(ISBLANK(MAIN!A291), "--", IFERROR(PROPER(SUBSTITUTE(SUBSTITUTE(SUBSTITUTE(SUBSTITUTE(SUBSTITUTE(SUBSTITUTE(SUBSTITUTE(SUBSTITUTE(SUBSTITUTE(SUBSTITUTE(LEFT(MAIN!A291, FIND(",",MAIN!A291) -1), "0", ""), "1", ""), "2", ""), "3", ""), "4", ""), "5", ""), "6", ""), "7", ""), "8", ""), "9", "")), PROPER(SUBSTITUTE(SUBSTITUTE(SUBSTITUTE(SUBSTITUTE(SUBSTITUTE(SUBSTITUTE(SUBSTITUTE(SUBSTITUTE(SUBSTITUTE(SUBSTITUTE(MAIN!A291, "0", ""), "1", ""), "2", ""), "3", ""), "4", ""), "5", ""), "6", ""), "7", ""), "8", ""), "9", ""))))</f>
        <v>--</v>
      </c>
      <c r="B291" t="str">
        <f>IF(ISBLANK(MAIN!B291), "--", IFERROR(PROPER(SUBSTITUTE(SUBSTITUTE(SUBSTITUTE(SUBSTITUTE(SUBSTITUTE(SUBSTITUTE(SUBSTITUTE(SUBSTITUTE(SUBSTITUTE(SUBSTITUTE(LEFT(MAIN!B291, FIND(",",MAIN!B291) -1), "0", ""), "1", ""), "2", ""), "3", ""), "4", ""), "5", ""), "6", ""), "7", ""), "8", ""), "9", "")), PROPER(SUBSTITUTE(SUBSTITUTE(SUBSTITUTE(SUBSTITUTE(SUBSTITUTE(SUBSTITUTE(SUBSTITUTE(SUBSTITUTE(SUBSTITUTE(SUBSTITUTE(MAIN!B291, "0", ""), "1", ""), "2", ""), "3", ""), "4", ""), "5", ""), "6", ""), "7", ""), "8", ""), "9", ""))))</f>
        <v>--</v>
      </c>
      <c r="C291" t="str">
        <f>IF(ISBLANK(MAIN!C291), "--", IFERROR(PROPER(SUBSTITUTE(SUBSTITUTE(SUBSTITUTE(SUBSTITUTE(SUBSTITUTE(SUBSTITUTE(SUBSTITUTE(SUBSTITUTE(SUBSTITUTE(SUBSTITUTE(LEFT(MAIN!C291, FIND(",",MAIN!C291) -1), "0", ""), "1", ""), "2", ""), "3", ""), "4", ""), "5", ""), "6", ""), "7", ""), "8", ""), "9", "")), PROPER(SUBSTITUTE(SUBSTITUTE(SUBSTITUTE(SUBSTITUTE(SUBSTITUTE(SUBSTITUTE(SUBSTITUTE(SUBSTITUTE(SUBSTITUTE(SUBSTITUTE(MAIN!C291, "0", ""), "1", ""), "2", ""), "3", ""), "4", ""), "5", ""), "6", ""), "7", ""), "8", ""), "9", ""))))</f>
        <v>--</v>
      </c>
      <c r="D291" t="str">
        <f>IF(ISBLANK(MAIN!D291), "--", IF(ISNUMBER(MATCH(SUBSTITUTE(LEFT(MAIN!D291, IFERROR(FIND(",", MAIN!D291)-1, LEN(MAIN!D291))), " ", ""), lookup_values!$B$2:$B$51, 0)), UPPER(SUBSTITUTE(LEFT(MAIN!D291, IFERROR(FIND(",", MAIN!D291)-1, LEN(MAIN!D291))), " ", "")), IF(ISNA(VLOOKUP(SUBSTITUTE(LEFT(MAIN!D291, IFERROR(FIND(",", MAIN!D291)-1, LEN(MAIN!D291))), " ", ""), lookup_values!$A$2:$B$51, 2, FALSE)), "--", VLOOKUP(SUBSTITUTE(LEFT(MAIN!D291, IFERROR(FIND(",", MAIN!D291)-1, LEN(MAIN!D291))), " ", ""), lookup_values!$A$2:$B$51, 2, FALSE))))</f>
        <v>--</v>
      </c>
      <c r="E291" t="str">
        <f>IF(CLEAN_DATA!D291&lt;&gt;"--","US",IF(ISBLANK(MAIN!E291), "--", IF(ISNUMBER(MATCH(SUBSTITUTE(LEFT(MAIN!E291, IFERROR(FIND(",", MAIN!E291)-1, LEN(MAIN!E291))), " ", ""), lookup_values!$E$2:$E$197, 0)), UPPER(SUBSTITUTE(LEFT(MAIN!E291, IFERROR(FIND(",", MAIN!E291)-1, LEN(MAIN!E291))), " ", "")), IF(ISNA(VLOOKUP(SUBSTITUTE(LEFT(MAIN!E291, IFERROR(FIND(",", MAIN!E291)-1, LEN(MAIN!E291))), " ", ""), lookup_values!$D$2:$E$197, 2, FALSE)), "--", VLOOKUP(SUBSTITUTE(LEFT(MAIN!E291, IFERROR(FIND(",", MAIN!E291)-1, LEN(MAIN!E291))), " ", ""), lookup_values!$D$2:$E$197, 2, FALSE)))))</f>
        <v>--</v>
      </c>
      <c r="F291" t="str">
        <f>IF(ISBLANK(MAIN!F291), "", IF(AND(ISNUMBER(VALUE(TRIM(MAIN!F291))), LEN(TRIM(MAIN!F291))=4), VALUE(TRIM(MAIN!F291)), ""))</f>
        <v/>
      </c>
      <c r="G291">
        <f>IF(ISBLANK(MAIN!G291), 0, IF(ISNUMBER(VALUE(TRIM(MAIN!G291))), VALUE(TRIM(MAIN!G291)), 0))</f>
        <v>0</v>
      </c>
      <c r="H291">
        <f>IF(ISBLANK(MAIN!H291), 0, IF(ISNUMBER(VALUE(TRIM(MAIN!H291))), VALUE(TRIM(MAIN!H291)), 0))</f>
        <v>0</v>
      </c>
      <c r="I291">
        <f>IF(ISBLANK(MAIN!I291), 0, IF(ISNUMBER(VALUE(TRIM(MAIN!I291))), VALUE(TRIM(MAIN!I291)), 0))</f>
        <v>0</v>
      </c>
      <c r="J291">
        <f>IF(ISBLANK(MAIN!J291), 0, IF(ISNUMBER(VALUE(TRIM(MAIN!J291))), VALUE(TRIM(MAIN!J291)), 0))</f>
        <v>0</v>
      </c>
      <c r="K291" cm="1">
        <f t="array" ref="K291">IFERROR(
    VALUE(
        IFERROR(
            UPPER(
                IF(MAX(IFERROR(SEARCH("WD",MAIN!G291:J291), 0))&gt;0, "WD",
                IF(MAX(IFERROR(SEARCH("NS",MAIN!G291:J291), 0))&gt;0, "NS",
                IF(MAX(IFERROR(SEARCH("NC",MAIN!G291:J291), 0))&gt;0, "NC",
                IF(MAX(IFERROR(SEARCH("DQ",MAIN!G291:J291), 0))&gt;0, "DQ",
                IF(ISNUMBER(SEARCH("WD",MAIN!K291)), "WD",
                IF(ISNUMBER(SEARCH("NS",MAIN!K291)), "NS",
                IF(ISNUMBER(SEARCH("NC",MAIN!K291)), "NC",
                IF(ISNUMBER(SEARCH("DQ",MAIN!K291)), "DQ",
                IF(ISNUMBER(SEARCH("A",MAIN!K291)), 0,
                IF(OR(MAIN!K291=0,MAIN!K291=""), 0, --TRIM(MAIN!K291)))))))))))),
            0
        )
    ),
    IFERROR(
        UPPER(
            IF(MAX(IFERROR(SEARCH("WD",MAIN!G291:J291), 0))&gt;0, "WD",
            IF(MAX(IFERROR(SEARCH("NS",MAIN!G291:J291), 0))&gt;0, "NS",
            IF(MAX(IFERROR(SEARCH("NC",MAIN!G291:J291), 0))&gt;0, "NC",
            IF(MAX(IFERROR(SEARCH("DQ",MAIN!G291:J291), 0))&gt;0, "DQ",
            IF(ISNUMBER(SEARCH("WD",MAIN!K291)), "WD",
            IF(ISNUMBER(SEARCH("NS",MAIN!K291)), "NS",
            IF(ISNUMBER(SEARCH("NC",MAIN!K291)), "NC",
            IF(ISNUMBER(SEARCH("DQ",MAIN!K291)), "DQ",
            IF(ISNUMBER(SEARCH("A",MAIN!K291)), 0,
            IF(OR(MAIN!K291=0,MAIN!K291=""), 0, --TRIM(MAIN!K291)))))))))))),
        0
    )
)</f>
        <v>0</v>
      </c>
    </row>
    <row r="292" spans="1:11" x14ac:dyDescent="0.25">
      <c r="A292" t="str">
        <f>IF(ISBLANK(MAIN!A292), "--", IFERROR(PROPER(SUBSTITUTE(SUBSTITUTE(SUBSTITUTE(SUBSTITUTE(SUBSTITUTE(SUBSTITUTE(SUBSTITUTE(SUBSTITUTE(SUBSTITUTE(SUBSTITUTE(LEFT(MAIN!A292, FIND(",",MAIN!A292) -1), "0", ""), "1", ""), "2", ""), "3", ""), "4", ""), "5", ""), "6", ""), "7", ""), "8", ""), "9", "")), PROPER(SUBSTITUTE(SUBSTITUTE(SUBSTITUTE(SUBSTITUTE(SUBSTITUTE(SUBSTITUTE(SUBSTITUTE(SUBSTITUTE(SUBSTITUTE(SUBSTITUTE(MAIN!A292, "0", ""), "1", ""), "2", ""), "3", ""), "4", ""), "5", ""), "6", ""), "7", ""), "8", ""), "9", ""))))</f>
        <v>--</v>
      </c>
      <c r="B292" t="str">
        <f>IF(ISBLANK(MAIN!B292), "--", IFERROR(PROPER(SUBSTITUTE(SUBSTITUTE(SUBSTITUTE(SUBSTITUTE(SUBSTITUTE(SUBSTITUTE(SUBSTITUTE(SUBSTITUTE(SUBSTITUTE(SUBSTITUTE(LEFT(MAIN!B292, FIND(",",MAIN!B292) -1), "0", ""), "1", ""), "2", ""), "3", ""), "4", ""), "5", ""), "6", ""), "7", ""), "8", ""), "9", "")), PROPER(SUBSTITUTE(SUBSTITUTE(SUBSTITUTE(SUBSTITUTE(SUBSTITUTE(SUBSTITUTE(SUBSTITUTE(SUBSTITUTE(SUBSTITUTE(SUBSTITUTE(MAIN!B292, "0", ""), "1", ""), "2", ""), "3", ""), "4", ""), "5", ""), "6", ""), "7", ""), "8", ""), "9", ""))))</f>
        <v>--</v>
      </c>
      <c r="C292" t="str">
        <f>IF(ISBLANK(MAIN!C292), "--", IFERROR(PROPER(SUBSTITUTE(SUBSTITUTE(SUBSTITUTE(SUBSTITUTE(SUBSTITUTE(SUBSTITUTE(SUBSTITUTE(SUBSTITUTE(SUBSTITUTE(SUBSTITUTE(LEFT(MAIN!C292, FIND(",",MAIN!C292) -1), "0", ""), "1", ""), "2", ""), "3", ""), "4", ""), "5", ""), "6", ""), "7", ""), "8", ""), "9", "")), PROPER(SUBSTITUTE(SUBSTITUTE(SUBSTITUTE(SUBSTITUTE(SUBSTITUTE(SUBSTITUTE(SUBSTITUTE(SUBSTITUTE(SUBSTITUTE(SUBSTITUTE(MAIN!C292, "0", ""), "1", ""), "2", ""), "3", ""), "4", ""), "5", ""), "6", ""), "7", ""), "8", ""), "9", ""))))</f>
        <v>--</v>
      </c>
      <c r="D292" t="str">
        <f>IF(ISBLANK(MAIN!D292), "--", IF(ISNUMBER(MATCH(SUBSTITUTE(LEFT(MAIN!D292, IFERROR(FIND(",", MAIN!D292)-1, LEN(MAIN!D292))), " ", ""), lookup_values!$B$2:$B$51, 0)), UPPER(SUBSTITUTE(LEFT(MAIN!D292, IFERROR(FIND(",", MAIN!D292)-1, LEN(MAIN!D292))), " ", "")), IF(ISNA(VLOOKUP(SUBSTITUTE(LEFT(MAIN!D292, IFERROR(FIND(",", MAIN!D292)-1, LEN(MAIN!D292))), " ", ""), lookup_values!$A$2:$B$51, 2, FALSE)), "--", VLOOKUP(SUBSTITUTE(LEFT(MAIN!D292, IFERROR(FIND(",", MAIN!D292)-1, LEN(MAIN!D292))), " ", ""), lookup_values!$A$2:$B$51, 2, FALSE))))</f>
        <v>--</v>
      </c>
      <c r="E292" t="str">
        <f>IF(CLEAN_DATA!D292&lt;&gt;"--","US",IF(ISBLANK(MAIN!E292), "--", IF(ISNUMBER(MATCH(SUBSTITUTE(LEFT(MAIN!E292, IFERROR(FIND(",", MAIN!E292)-1, LEN(MAIN!E292))), " ", ""), lookup_values!$E$2:$E$197, 0)), UPPER(SUBSTITUTE(LEFT(MAIN!E292, IFERROR(FIND(",", MAIN!E292)-1, LEN(MAIN!E292))), " ", "")), IF(ISNA(VLOOKUP(SUBSTITUTE(LEFT(MAIN!E292, IFERROR(FIND(",", MAIN!E292)-1, LEN(MAIN!E292))), " ", ""), lookup_values!$D$2:$E$197, 2, FALSE)), "--", VLOOKUP(SUBSTITUTE(LEFT(MAIN!E292, IFERROR(FIND(",", MAIN!E292)-1, LEN(MAIN!E292))), " ", ""), lookup_values!$D$2:$E$197, 2, FALSE)))))</f>
        <v>--</v>
      </c>
      <c r="F292" t="str">
        <f>IF(ISBLANK(MAIN!F292), "", IF(AND(ISNUMBER(VALUE(TRIM(MAIN!F292))), LEN(TRIM(MAIN!F292))=4), VALUE(TRIM(MAIN!F292)), ""))</f>
        <v/>
      </c>
      <c r="G292">
        <f>IF(ISBLANK(MAIN!G292), 0, IF(ISNUMBER(VALUE(TRIM(MAIN!G292))), VALUE(TRIM(MAIN!G292)), 0))</f>
        <v>0</v>
      </c>
      <c r="H292">
        <f>IF(ISBLANK(MAIN!H292), 0, IF(ISNUMBER(VALUE(TRIM(MAIN!H292))), VALUE(TRIM(MAIN!H292)), 0))</f>
        <v>0</v>
      </c>
      <c r="I292">
        <f>IF(ISBLANK(MAIN!I292), 0, IF(ISNUMBER(VALUE(TRIM(MAIN!I292))), VALUE(TRIM(MAIN!I292)), 0))</f>
        <v>0</v>
      </c>
      <c r="J292">
        <f>IF(ISBLANK(MAIN!J292), 0, IF(ISNUMBER(VALUE(TRIM(MAIN!J292))), VALUE(TRIM(MAIN!J292)), 0))</f>
        <v>0</v>
      </c>
      <c r="K292" cm="1">
        <f t="array" ref="K292">IFERROR(
    VALUE(
        IFERROR(
            UPPER(
                IF(MAX(IFERROR(SEARCH("WD",MAIN!G292:J292), 0))&gt;0, "WD",
                IF(MAX(IFERROR(SEARCH("NS",MAIN!G292:J292), 0))&gt;0, "NS",
                IF(MAX(IFERROR(SEARCH("NC",MAIN!G292:J292), 0))&gt;0, "NC",
                IF(MAX(IFERROR(SEARCH("DQ",MAIN!G292:J292), 0))&gt;0, "DQ",
                IF(ISNUMBER(SEARCH("WD",MAIN!K292)), "WD",
                IF(ISNUMBER(SEARCH("NS",MAIN!K292)), "NS",
                IF(ISNUMBER(SEARCH("NC",MAIN!K292)), "NC",
                IF(ISNUMBER(SEARCH("DQ",MAIN!K292)), "DQ",
                IF(ISNUMBER(SEARCH("A",MAIN!K292)), 0,
                IF(OR(MAIN!K292=0,MAIN!K292=""), 0, --TRIM(MAIN!K292)))))))))))),
            0
        )
    ),
    IFERROR(
        UPPER(
            IF(MAX(IFERROR(SEARCH("WD",MAIN!G292:J292), 0))&gt;0, "WD",
            IF(MAX(IFERROR(SEARCH("NS",MAIN!G292:J292), 0))&gt;0, "NS",
            IF(MAX(IFERROR(SEARCH("NC",MAIN!G292:J292), 0))&gt;0, "NC",
            IF(MAX(IFERROR(SEARCH("DQ",MAIN!G292:J292), 0))&gt;0, "DQ",
            IF(ISNUMBER(SEARCH("WD",MAIN!K292)), "WD",
            IF(ISNUMBER(SEARCH("NS",MAIN!K292)), "NS",
            IF(ISNUMBER(SEARCH("NC",MAIN!K292)), "NC",
            IF(ISNUMBER(SEARCH("DQ",MAIN!K292)), "DQ",
            IF(ISNUMBER(SEARCH("A",MAIN!K292)), 0,
            IF(OR(MAIN!K292=0,MAIN!K292=""), 0, --TRIM(MAIN!K292)))))))))))),
        0
    )
)</f>
        <v>0</v>
      </c>
    </row>
    <row r="293" spans="1:11" x14ac:dyDescent="0.25">
      <c r="A293" t="str">
        <f>IF(ISBLANK(MAIN!A293), "--", IFERROR(PROPER(SUBSTITUTE(SUBSTITUTE(SUBSTITUTE(SUBSTITUTE(SUBSTITUTE(SUBSTITUTE(SUBSTITUTE(SUBSTITUTE(SUBSTITUTE(SUBSTITUTE(LEFT(MAIN!A293, FIND(",",MAIN!A293) -1), "0", ""), "1", ""), "2", ""), "3", ""), "4", ""), "5", ""), "6", ""), "7", ""), "8", ""), "9", "")), PROPER(SUBSTITUTE(SUBSTITUTE(SUBSTITUTE(SUBSTITUTE(SUBSTITUTE(SUBSTITUTE(SUBSTITUTE(SUBSTITUTE(SUBSTITUTE(SUBSTITUTE(MAIN!A293, "0", ""), "1", ""), "2", ""), "3", ""), "4", ""), "5", ""), "6", ""), "7", ""), "8", ""), "9", ""))))</f>
        <v>--</v>
      </c>
      <c r="B293" t="str">
        <f>IF(ISBLANK(MAIN!B293), "--", IFERROR(PROPER(SUBSTITUTE(SUBSTITUTE(SUBSTITUTE(SUBSTITUTE(SUBSTITUTE(SUBSTITUTE(SUBSTITUTE(SUBSTITUTE(SUBSTITUTE(SUBSTITUTE(LEFT(MAIN!B293, FIND(",",MAIN!B293) -1), "0", ""), "1", ""), "2", ""), "3", ""), "4", ""), "5", ""), "6", ""), "7", ""), "8", ""), "9", "")), PROPER(SUBSTITUTE(SUBSTITUTE(SUBSTITUTE(SUBSTITUTE(SUBSTITUTE(SUBSTITUTE(SUBSTITUTE(SUBSTITUTE(SUBSTITUTE(SUBSTITUTE(MAIN!B293, "0", ""), "1", ""), "2", ""), "3", ""), "4", ""), "5", ""), "6", ""), "7", ""), "8", ""), "9", ""))))</f>
        <v>--</v>
      </c>
      <c r="C293" t="str">
        <f>IF(ISBLANK(MAIN!C293), "--", IFERROR(PROPER(SUBSTITUTE(SUBSTITUTE(SUBSTITUTE(SUBSTITUTE(SUBSTITUTE(SUBSTITUTE(SUBSTITUTE(SUBSTITUTE(SUBSTITUTE(SUBSTITUTE(LEFT(MAIN!C293, FIND(",",MAIN!C293) -1), "0", ""), "1", ""), "2", ""), "3", ""), "4", ""), "5", ""), "6", ""), "7", ""), "8", ""), "9", "")), PROPER(SUBSTITUTE(SUBSTITUTE(SUBSTITUTE(SUBSTITUTE(SUBSTITUTE(SUBSTITUTE(SUBSTITUTE(SUBSTITUTE(SUBSTITUTE(SUBSTITUTE(MAIN!C293, "0", ""), "1", ""), "2", ""), "3", ""), "4", ""), "5", ""), "6", ""), "7", ""), "8", ""), "9", ""))))</f>
        <v>--</v>
      </c>
      <c r="D293" t="str">
        <f>IF(ISBLANK(MAIN!D293), "--", IF(ISNUMBER(MATCH(SUBSTITUTE(LEFT(MAIN!D293, IFERROR(FIND(",", MAIN!D293)-1, LEN(MAIN!D293))), " ", ""), lookup_values!$B$2:$B$51, 0)), UPPER(SUBSTITUTE(LEFT(MAIN!D293, IFERROR(FIND(",", MAIN!D293)-1, LEN(MAIN!D293))), " ", "")), IF(ISNA(VLOOKUP(SUBSTITUTE(LEFT(MAIN!D293, IFERROR(FIND(",", MAIN!D293)-1, LEN(MAIN!D293))), " ", ""), lookup_values!$A$2:$B$51, 2, FALSE)), "--", VLOOKUP(SUBSTITUTE(LEFT(MAIN!D293, IFERROR(FIND(",", MAIN!D293)-1, LEN(MAIN!D293))), " ", ""), lookup_values!$A$2:$B$51, 2, FALSE))))</f>
        <v>--</v>
      </c>
      <c r="E293" t="str">
        <f>IF(CLEAN_DATA!D293&lt;&gt;"--","US",IF(ISBLANK(MAIN!E293), "--", IF(ISNUMBER(MATCH(SUBSTITUTE(LEFT(MAIN!E293, IFERROR(FIND(",", MAIN!E293)-1, LEN(MAIN!E293))), " ", ""), lookup_values!$E$2:$E$197, 0)), UPPER(SUBSTITUTE(LEFT(MAIN!E293, IFERROR(FIND(",", MAIN!E293)-1, LEN(MAIN!E293))), " ", "")), IF(ISNA(VLOOKUP(SUBSTITUTE(LEFT(MAIN!E293, IFERROR(FIND(",", MAIN!E293)-1, LEN(MAIN!E293))), " ", ""), lookup_values!$D$2:$E$197, 2, FALSE)), "--", VLOOKUP(SUBSTITUTE(LEFT(MAIN!E293, IFERROR(FIND(",", MAIN!E293)-1, LEN(MAIN!E293))), " ", ""), lookup_values!$D$2:$E$197, 2, FALSE)))))</f>
        <v>--</v>
      </c>
      <c r="F293" t="str">
        <f>IF(ISBLANK(MAIN!F293), "", IF(AND(ISNUMBER(VALUE(TRIM(MAIN!F293))), LEN(TRIM(MAIN!F293))=4), VALUE(TRIM(MAIN!F293)), ""))</f>
        <v/>
      </c>
      <c r="G293">
        <f>IF(ISBLANK(MAIN!G293), 0, IF(ISNUMBER(VALUE(TRIM(MAIN!G293))), VALUE(TRIM(MAIN!G293)), 0))</f>
        <v>0</v>
      </c>
      <c r="H293">
        <f>IF(ISBLANK(MAIN!H293), 0, IF(ISNUMBER(VALUE(TRIM(MAIN!H293))), VALUE(TRIM(MAIN!H293)), 0))</f>
        <v>0</v>
      </c>
      <c r="I293">
        <f>IF(ISBLANK(MAIN!I293), 0, IF(ISNUMBER(VALUE(TRIM(MAIN!I293))), VALUE(TRIM(MAIN!I293)), 0))</f>
        <v>0</v>
      </c>
      <c r="J293">
        <f>IF(ISBLANK(MAIN!J293), 0, IF(ISNUMBER(VALUE(TRIM(MAIN!J293))), VALUE(TRIM(MAIN!J293)), 0))</f>
        <v>0</v>
      </c>
      <c r="K293" cm="1">
        <f t="array" ref="K293">IFERROR(
    VALUE(
        IFERROR(
            UPPER(
                IF(MAX(IFERROR(SEARCH("WD",MAIN!G293:J293), 0))&gt;0, "WD",
                IF(MAX(IFERROR(SEARCH("NS",MAIN!G293:J293), 0))&gt;0, "NS",
                IF(MAX(IFERROR(SEARCH("NC",MAIN!G293:J293), 0))&gt;0, "NC",
                IF(MAX(IFERROR(SEARCH("DQ",MAIN!G293:J293), 0))&gt;0, "DQ",
                IF(ISNUMBER(SEARCH("WD",MAIN!K293)), "WD",
                IF(ISNUMBER(SEARCH("NS",MAIN!K293)), "NS",
                IF(ISNUMBER(SEARCH("NC",MAIN!K293)), "NC",
                IF(ISNUMBER(SEARCH("DQ",MAIN!K293)), "DQ",
                IF(ISNUMBER(SEARCH("A",MAIN!K293)), 0,
                IF(OR(MAIN!K293=0,MAIN!K293=""), 0, --TRIM(MAIN!K293)))))))))))),
            0
        )
    ),
    IFERROR(
        UPPER(
            IF(MAX(IFERROR(SEARCH("WD",MAIN!G293:J293), 0))&gt;0, "WD",
            IF(MAX(IFERROR(SEARCH("NS",MAIN!G293:J293), 0))&gt;0, "NS",
            IF(MAX(IFERROR(SEARCH("NC",MAIN!G293:J293), 0))&gt;0, "NC",
            IF(MAX(IFERROR(SEARCH("DQ",MAIN!G293:J293), 0))&gt;0, "DQ",
            IF(ISNUMBER(SEARCH("WD",MAIN!K293)), "WD",
            IF(ISNUMBER(SEARCH("NS",MAIN!K293)), "NS",
            IF(ISNUMBER(SEARCH("NC",MAIN!K293)), "NC",
            IF(ISNUMBER(SEARCH("DQ",MAIN!K293)), "DQ",
            IF(ISNUMBER(SEARCH("A",MAIN!K293)), 0,
            IF(OR(MAIN!K293=0,MAIN!K293=""), 0, --TRIM(MAIN!K293)))))))))))),
        0
    )
)</f>
        <v>0</v>
      </c>
    </row>
    <row r="294" spans="1:11" x14ac:dyDescent="0.25">
      <c r="A294" t="str">
        <f>IF(ISBLANK(MAIN!A294), "--", IFERROR(PROPER(SUBSTITUTE(SUBSTITUTE(SUBSTITUTE(SUBSTITUTE(SUBSTITUTE(SUBSTITUTE(SUBSTITUTE(SUBSTITUTE(SUBSTITUTE(SUBSTITUTE(LEFT(MAIN!A294, FIND(",",MAIN!A294) -1), "0", ""), "1", ""), "2", ""), "3", ""), "4", ""), "5", ""), "6", ""), "7", ""), "8", ""), "9", "")), PROPER(SUBSTITUTE(SUBSTITUTE(SUBSTITUTE(SUBSTITUTE(SUBSTITUTE(SUBSTITUTE(SUBSTITUTE(SUBSTITUTE(SUBSTITUTE(SUBSTITUTE(MAIN!A294, "0", ""), "1", ""), "2", ""), "3", ""), "4", ""), "5", ""), "6", ""), "7", ""), "8", ""), "9", ""))))</f>
        <v>--</v>
      </c>
      <c r="B294" t="str">
        <f>IF(ISBLANK(MAIN!B294), "--", IFERROR(PROPER(SUBSTITUTE(SUBSTITUTE(SUBSTITUTE(SUBSTITUTE(SUBSTITUTE(SUBSTITUTE(SUBSTITUTE(SUBSTITUTE(SUBSTITUTE(SUBSTITUTE(LEFT(MAIN!B294, FIND(",",MAIN!B294) -1), "0", ""), "1", ""), "2", ""), "3", ""), "4", ""), "5", ""), "6", ""), "7", ""), "8", ""), "9", "")), PROPER(SUBSTITUTE(SUBSTITUTE(SUBSTITUTE(SUBSTITUTE(SUBSTITUTE(SUBSTITUTE(SUBSTITUTE(SUBSTITUTE(SUBSTITUTE(SUBSTITUTE(MAIN!B294, "0", ""), "1", ""), "2", ""), "3", ""), "4", ""), "5", ""), "6", ""), "7", ""), "8", ""), "9", ""))))</f>
        <v>--</v>
      </c>
      <c r="C294" t="str">
        <f>IF(ISBLANK(MAIN!C294), "--", IFERROR(PROPER(SUBSTITUTE(SUBSTITUTE(SUBSTITUTE(SUBSTITUTE(SUBSTITUTE(SUBSTITUTE(SUBSTITUTE(SUBSTITUTE(SUBSTITUTE(SUBSTITUTE(LEFT(MAIN!C294, FIND(",",MAIN!C294) -1), "0", ""), "1", ""), "2", ""), "3", ""), "4", ""), "5", ""), "6", ""), "7", ""), "8", ""), "9", "")), PROPER(SUBSTITUTE(SUBSTITUTE(SUBSTITUTE(SUBSTITUTE(SUBSTITUTE(SUBSTITUTE(SUBSTITUTE(SUBSTITUTE(SUBSTITUTE(SUBSTITUTE(MAIN!C294, "0", ""), "1", ""), "2", ""), "3", ""), "4", ""), "5", ""), "6", ""), "7", ""), "8", ""), "9", ""))))</f>
        <v>--</v>
      </c>
      <c r="D294" t="str">
        <f>IF(ISBLANK(MAIN!D294), "--", IF(ISNUMBER(MATCH(SUBSTITUTE(LEFT(MAIN!D294, IFERROR(FIND(",", MAIN!D294)-1, LEN(MAIN!D294))), " ", ""), lookup_values!$B$2:$B$51, 0)), UPPER(SUBSTITUTE(LEFT(MAIN!D294, IFERROR(FIND(",", MAIN!D294)-1, LEN(MAIN!D294))), " ", "")), IF(ISNA(VLOOKUP(SUBSTITUTE(LEFT(MAIN!D294, IFERROR(FIND(",", MAIN!D294)-1, LEN(MAIN!D294))), " ", ""), lookup_values!$A$2:$B$51, 2, FALSE)), "--", VLOOKUP(SUBSTITUTE(LEFT(MAIN!D294, IFERROR(FIND(",", MAIN!D294)-1, LEN(MAIN!D294))), " ", ""), lookup_values!$A$2:$B$51, 2, FALSE))))</f>
        <v>--</v>
      </c>
      <c r="E294" t="str">
        <f>IF(CLEAN_DATA!D294&lt;&gt;"--","US",IF(ISBLANK(MAIN!E294), "--", IF(ISNUMBER(MATCH(SUBSTITUTE(LEFT(MAIN!E294, IFERROR(FIND(",", MAIN!E294)-1, LEN(MAIN!E294))), " ", ""), lookup_values!$E$2:$E$197, 0)), UPPER(SUBSTITUTE(LEFT(MAIN!E294, IFERROR(FIND(",", MAIN!E294)-1, LEN(MAIN!E294))), " ", "")), IF(ISNA(VLOOKUP(SUBSTITUTE(LEFT(MAIN!E294, IFERROR(FIND(",", MAIN!E294)-1, LEN(MAIN!E294))), " ", ""), lookup_values!$D$2:$E$197, 2, FALSE)), "--", VLOOKUP(SUBSTITUTE(LEFT(MAIN!E294, IFERROR(FIND(",", MAIN!E294)-1, LEN(MAIN!E294))), " ", ""), lookup_values!$D$2:$E$197, 2, FALSE)))))</f>
        <v>--</v>
      </c>
      <c r="F294" t="str">
        <f>IF(ISBLANK(MAIN!F294), "", IF(AND(ISNUMBER(VALUE(TRIM(MAIN!F294))), LEN(TRIM(MAIN!F294))=4), VALUE(TRIM(MAIN!F294)), ""))</f>
        <v/>
      </c>
      <c r="G294">
        <f>IF(ISBLANK(MAIN!G294), 0, IF(ISNUMBER(VALUE(TRIM(MAIN!G294))), VALUE(TRIM(MAIN!G294)), 0))</f>
        <v>0</v>
      </c>
      <c r="H294">
        <f>IF(ISBLANK(MAIN!H294), 0, IF(ISNUMBER(VALUE(TRIM(MAIN!H294))), VALUE(TRIM(MAIN!H294)), 0))</f>
        <v>0</v>
      </c>
      <c r="I294">
        <f>IF(ISBLANK(MAIN!I294), 0, IF(ISNUMBER(VALUE(TRIM(MAIN!I294))), VALUE(TRIM(MAIN!I294)), 0))</f>
        <v>0</v>
      </c>
      <c r="J294">
        <f>IF(ISBLANK(MAIN!J294), 0, IF(ISNUMBER(VALUE(TRIM(MAIN!J294))), VALUE(TRIM(MAIN!J294)), 0))</f>
        <v>0</v>
      </c>
      <c r="K294" cm="1">
        <f t="array" ref="K294">IFERROR(
    VALUE(
        IFERROR(
            UPPER(
                IF(MAX(IFERROR(SEARCH("WD",MAIN!G294:J294), 0))&gt;0, "WD",
                IF(MAX(IFERROR(SEARCH("NS",MAIN!G294:J294), 0))&gt;0, "NS",
                IF(MAX(IFERROR(SEARCH("NC",MAIN!G294:J294), 0))&gt;0, "NC",
                IF(MAX(IFERROR(SEARCH("DQ",MAIN!G294:J294), 0))&gt;0, "DQ",
                IF(ISNUMBER(SEARCH("WD",MAIN!K294)), "WD",
                IF(ISNUMBER(SEARCH("NS",MAIN!K294)), "NS",
                IF(ISNUMBER(SEARCH("NC",MAIN!K294)), "NC",
                IF(ISNUMBER(SEARCH("DQ",MAIN!K294)), "DQ",
                IF(ISNUMBER(SEARCH("A",MAIN!K294)), 0,
                IF(OR(MAIN!K294=0,MAIN!K294=""), 0, --TRIM(MAIN!K294)))))))))))),
            0
        )
    ),
    IFERROR(
        UPPER(
            IF(MAX(IFERROR(SEARCH("WD",MAIN!G294:J294), 0))&gt;0, "WD",
            IF(MAX(IFERROR(SEARCH("NS",MAIN!G294:J294), 0))&gt;0, "NS",
            IF(MAX(IFERROR(SEARCH("NC",MAIN!G294:J294), 0))&gt;0, "NC",
            IF(MAX(IFERROR(SEARCH("DQ",MAIN!G294:J294), 0))&gt;0, "DQ",
            IF(ISNUMBER(SEARCH("WD",MAIN!K294)), "WD",
            IF(ISNUMBER(SEARCH("NS",MAIN!K294)), "NS",
            IF(ISNUMBER(SEARCH("NC",MAIN!K294)), "NC",
            IF(ISNUMBER(SEARCH("DQ",MAIN!K294)), "DQ",
            IF(ISNUMBER(SEARCH("A",MAIN!K294)), 0,
            IF(OR(MAIN!K294=0,MAIN!K294=""), 0, --TRIM(MAIN!K294)))))))))))),
        0
    )
)</f>
        <v>0</v>
      </c>
    </row>
    <row r="295" spans="1:11" x14ac:dyDescent="0.25">
      <c r="A295" t="str">
        <f>IF(ISBLANK(MAIN!A295), "--", IFERROR(PROPER(SUBSTITUTE(SUBSTITUTE(SUBSTITUTE(SUBSTITUTE(SUBSTITUTE(SUBSTITUTE(SUBSTITUTE(SUBSTITUTE(SUBSTITUTE(SUBSTITUTE(LEFT(MAIN!A295, FIND(",",MAIN!A295) -1), "0", ""), "1", ""), "2", ""), "3", ""), "4", ""), "5", ""), "6", ""), "7", ""), "8", ""), "9", "")), PROPER(SUBSTITUTE(SUBSTITUTE(SUBSTITUTE(SUBSTITUTE(SUBSTITUTE(SUBSTITUTE(SUBSTITUTE(SUBSTITUTE(SUBSTITUTE(SUBSTITUTE(MAIN!A295, "0", ""), "1", ""), "2", ""), "3", ""), "4", ""), "5", ""), "6", ""), "7", ""), "8", ""), "9", ""))))</f>
        <v>--</v>
      </c>
      <c r="B295" t="str">
        <f>IF(ISBLANK(MAIN!B295), "--", IFERROR(PROPER(SUBSTITUTE(SUBSTITUTE(SUBSTITUTE(SUBSTITUTE(SUBSTITUTE(SUBSTITUTE(SUBSTITUTE(SUBSTITUTE(SUBSTITUTE(SUBSTITUTE(LEFT(MAIN!B295, FIND(",",MAIN!B295) -1), "0", ""), "1", ""), "2", ""), "3", ""), "4", ""), "5", ""), "6", ""), "7", ""), "8", ""), "9", "")), PROPER(SUBSTITUTE(SUBSTITUTE(SUBSTITUTE(SUBSTITUTE(SUBSTITUTE(SUBSTITUTE(SUBSTITUTE(SUBSTITUTE(SUBSTITUTE(SUBSTITUTE(MAIN!B295, "0", ""), "1", ""), "2", ""), "3", ""), "4", ""), "5", ""), "6", ""), "7", ""), "8", ""), "9", ""))))</f>
        <v>--</v>
      </c>
      <c r="C295" t="str">
        <f>IF(ISBLANK(MAIN!C295), "--", IFERROR(PROPER(SUBSTITUTE(SUBSTITUTE(SUBSTITUTE(SUBSTITUTE(SUBSTITUTE(SUBSTITUTE(SUBSTITUTE(SUBSTITUTE(SUBSTITUTE(SUBSTITUTE(LEFT(MAIN!C295, FIND(",",MAIN!C295) -1), "0", ""), "1", ""), "2", ""), "3", ""), "4", ""), "5", ""), "6", ""), "7", ""), "8", ""), "9", "")), PROPER(SUBSTITUTE(SUBSTITUTE(SUBSTITUTE(SUBSTITUTE(SUBSTITUTE(SUBSTITUTE(SUBSTITUTE(SUBSTITUTE(SUBSTITUTE(SUBSTITUTE(MAIN!C295, "0", ""), "1", ""), "2", ""), "3", ""), "4", ""), "5", ""), "6", ""), "7", ""), "8", ""), "9", ""))))</f>
        <v>--</v>
      </c>
      <c r="D295" t="str">
        <f>IF(ISBLANK(MAIN!D295), "--", IF(ISNUMBER(MATCH(SUBSTITUTE(LEFT(MAIN!D295, IFERROR(FIND(",", MAIN!D295)-1, LEN(MAIN!D295))), " ", ""), lookup_values!$B$2:$B$51, 0)), UPPER(SUBSTITUTE(LEFT(MAIN!D295, IFERROR(FIND(",", MAIN!D295)-1, LEN(MAIN!D295))), " ", "")), IF(ISNA(VLOOKUP(SUBSTITUTE(LEFT(MAIN!D295, IFERROR(FIND(",", MAIN!D295)-1, LEN(MAIN!D295))), " ", ""), lookup_values!$A$2:$B$51, 2, FALSE)), "--", VLOOKUP(SUBSTITUTE(LEFT(MAIN!D295, IFERROR(FIND(",", MAIN!D295)-1, LEN(MAIN!D295))), " ", ""), lookup_values!$A$2:$B$51, 2, FALSE))))</f>
        <v>--</v>
      </c>
      <c r="E295" t="str">
        <f>IF(CLEAN_DATA!D295&lt;&gt;"--","US",IF(ISBLANK(MAIN!E295), "--", IF(ISNUMBER(MATCH(SUBSTITUTE(LEFT(MAIN!E295, IFERROR(FIND(",", MAIN!E295)-1, LEN(MAIN!E295))), " ", ""), lookup_values!$E$2:$E$197, 0)), UPPER(SUBSTITUTE(LEFT(MAIN!E295, IFERROR(FIND(",", MAIN!E295)-1, LEN(MAIN!E295))), " ", "")), IF(ISNA(VLOOKUP(SUBSTITUTE(LEFT(MAIN!E295, IFERROR(FIND(",", MAIN!E295)-1, LEN(MAIN!E295))), " ", ""), lookup_values!$D$2:$E$197, 2, FALSE)), "--", VLOOKUP(SUBSTITUTE(LEFT(MAIN!E295, IFERROR(FIND(",", MAIN!E295)-1, LEN(MAIN!E295))), " ", ""), lookup_values!$D$2:$E$197, 2, FALSE)))))</f>
        <v>--</v>
      </c>
      <c r="F295" t="str">
        <f>IF(ISBLANK(MAIN!F295), "", IF(AND(ISNUMBER(VALUE(TRIM(MAIN!F295))), LEN(TRIM(MAIN!F295))=4), VALUE(TRIM(MAIN!F295)), ""))</f>
        <v/>
      </c>
      <c r="G295">
        <f>IF(ISBLANK(MAIN!G295), 0, IF(ISNUMBER(VALUE(TRIM(MAIN!G295))), VALUE(TRIM(MAIN!G295)), 0))</f>
        <v>0</v>
      </c>
      <c r="H295">
        <f>IF(ISBLANK(MAIN!H295), 0, IF(ISNUMBER(VALUE(TRIM(MAIN!H295))), VALUE(TRIM(MAIN!H295)), 0))</f>
        <v>0</v>
      </c>
      <c r="I295">
        <f>IF(ISBLANK(MAIN!I295), 0, IF(ISNUMBER(VALUE(TRIM(MAIN!I295))), VALUE(TRIM(MAIN!I295)), 0))</f>
        <v>0</v>
      </c>
      <c r="J295">
        <f>IF(ISBLANK(MAIN!J295), 0, IF(ISNUMBER(VALUE(TRIM(MAIN!J295))), VALUE(TRIM(MAIN!J295)), 0))</f>
        <v>0</v>
      </c>
      <c r="K295" cm="1">
        <f t="array" ref="K295">IFERROR(
    VALUE(
        IFERROR(
            UPPER(
                IF(MAX(IFERROR(SEARCH("WD",MAIN!G295:J295), 0))&gt;0, "WD",
                IF(MAX(IFERROR(SEARCH("NS",MAIN!G295:J295), 0))&gt;0, "NS",
                IF(MAX(IFERROR(SEARCH("NC",MAIN!G295:J295), 0))&gt;0, "NC",
                IF(MAX(IFERROR(SEARCH("DQ",MAIN!G295:J295), 0))&gt;0, "DQ",
                IF(ISNUMBER(SEARCH("WD",MAIN!K295)), "WD",
                IF(ISNUMBER(SEARCH("NS",MAIN!K295)), "NS",
                IF(ISNUMBER(SEARCH("NC",MAIN!K295)), "NC",
                IF(ISNUMBER(SEARCH("DQ",MAIN!K295)), "DQ",
                IF(ISNUMBER(SEARCH("A",MAIN!K295)), 0,
                IF(OR(MAIN!K295=0,MAIN!K295=""), 0, --TRIM(MAIN!K295)))))))))))),
            0
        )
    ),
    IFERROR(
        UPPER(
            IF(MAX(IFERROR(SEARCH("WD",MAIN!G295:J295), 0))&gt;0, "WD",
            IF(MAX(IFERROR(SEARCH("NS",MAIN!G295:J295), 0))&gt;0, "NS",
            IF(MAX(IFERROR(SEARCH("NC",MAIN!G295:J295), 0))&gt;0, "NC",
            IF(MAX(IFERROR(SEARCH("DQ",MAIN!G295:J295), 0))&gt;0, "DQ",
            IF(ISNUMBER(SEARCH("WD",MAIN!K295)), "WD",
            IF(ISNUMBER(SEARCH("NS",MAIN!K295)), "NS",
            IF(ISNUMBER(SEARCH("NC",MAIN!K295)), "NC",
            IF(ISNUMBER(SEARCH("DQ",MAIN!K295)), "DQ",
            IF(ISNUMBER(SEARCH("A",MAIN!K295)), 0,
            IF(OR(MAIN!K295=0,MAIN!K295=""), 0, --TRIM(MAIN!K295)))))))))))),
        0
    )
)</f>
        <v>0</v>
      </c>
    </row>
    <row r="296" spans="1:11" x14ac:dyDescent="0.25">
      <c r="A296" t="str">
        <f>IF(ISBLANK(MAIN!A296), "--", IFERROR(PROPER(SUBSTITUTE(SUBSTITUTE(SUBSTITUTE(SUBSTITUTE(SUBSTITUTE(SUBSTITUTE(SUBSTITUTE(SUBSTITUTE(SUBSTITUTE(SUBSTITUTE(LEFT(MAIN!A296, FIND(",",MAIN!A296) -1), "0", ""), "1", ""), "2", ""), "3", ""), "4", ""), "5", ""), "6", ""), "7", ""), "8", ""), "9", "")), PROPER(SUBSTITUTE(SUBSTITUTE(SUBSTITUTE(SUBSTITUTE(SUBSTITUTE(SUBSTITUTE(SUBSTITUTE(SUBSTITUTE(SUBSTITUTE(SUBSTITUTE(MAIN!A296, "0", ""), "1", ""), "2", ""), "3", ""), "4", ""), "5", ""), "6", ""), "7", ""), "8", ""), "9", ""))))</f>
        <v>--</v>
      </c>
      <c r="B296" t="str">
        <f>IF(ISBLANK(MAIN!B296), "--", IFERROR(PROPER(SUBSTITUTE(SUBSTITUTE(SUBSTITUTE(SUBSTITUTE(SUBSTITUTE(SUBSTITUTE(SUBSTITUTE(SUBSTITUTE(SUBSTITUTE(SUBSTITUTE(LEFT(MAIN!B296, FIND(",",MAIN!B296) -1), "0", ""), "1", ""), "2", ""), "3", ""), "4", ""), "5", ""), "6", ""), "7", ""), "8", ""), "9", "")), PROPER(SUBSTITUTE(SUBSTITUTE(SUBSTITUTE(SUBSTITUTE(SUBSTITUTE(SUBSTITUTE(SUBSTITUTE(SUBSTITUTE(SUBSTITUTE(SUBSTITUTE(MAIN!B296, "0", ""), "1", ""), "2", ""), "3", ""), "4", ""), "5", ""), "6", ""), "7", ""), "8", ""), "9", ""))))</f>
        <v>--</v>
      </c>
      <c r="C296" t="str">
        <f>IF(ISBLANK(MAIN!C296), "--", IFERROR(PROPER(SUBSTITUTE(SUBSTITUTE(SUBSTITUTE(SUBSTITUTE(SUBSTITUTE(SUBSTITUTE(SUBSTITUTE(SUBSTITUTE(SUBSTITUTE(SUBSTITUTE(LEFT(MAIN!C296, FIND(",",MAIN!C296) -1), "0", ""), "1", ""), "2", ""), "3", ""), "4", ""), "5", ""), "6", ""), "7", ""), "8", ""), "9", "")), PROPER(SUBSTITUTE(SUBSTITUTE(SUBSTITUTE(SUBSTITUTE(SUBSTITUTE(SUBSTITUTE(SUBSTITUTE(SUBSTITUTE(SUBSTITUTE(SUBSTITUTE(MAIN!C296, "0", ""), "1", ""), "2", ""), "3", ""), "4", ""), "5", ""), "6", ""), "7", ""), "8", ""), "9", ""))))</f>
        <v>--</v>
      </c>
      <c r="D296" t="str">
        <f>IF(ISBLANK(MAIN!D296), "--", IF(ISNUMBER(MATCH(SUBSTITUTE(LEFT(MAIN!D296, IFERROR(FIND(",", MAIN!D296)-1, LEN(MAIN!D296))), " ", ""), lookup_values!$B$2:$B$51, 0)), UPPER(SUBSTITUTE(LEFT(MAIN!D296, IFERROR(FIND(",", MAIN!D296)-1, LEN(MAIN!D296))), " ", "")), IF(ISNA(VLOOKUP(SUBSTITUTE(LEFT(MAIN!D296, IFERROR(FIND(",", MAIN!D296)-1, LEN(MAIN!D296))), " ", ""), lookup_values!$A$2:$B$51, 2, FALSE)), "--", VLOOKUP(SUBSTITUTE(LEFT(MAIN!D296, IFERROR(FIND(",", MAIN!D296)-1, LEN(MAIN!D296))), " ", ""), lookup_values!$A$2:$B$51, 2, FALSE))))</f>
        <v>--</v>
      </c>
      <c r="E296" t="str">
        <f>IF(CLEAN_DATA!D296&lt;&gt;"--","US",IF(ISBLANK(MAIN!E296), "--", IF(ISNUMBER(MATCH(SUBSTITUTE(LEFT(MAIN!E296, IFERROR(FIND(",", MAIN!E296)-1, LEN(MAIN!E296))), " ", ""), lookup_values!$E$2:$E$197, 0)), UPPER(SUBSTITUTE(LEFT(MAIN!E296, IFERROR(FIND(",", MAIN!E296)-1, LEN(MAIN!E296))), " ", "")), IF(ISNA(VLOOKUP(SUBSTITUTE(LEFT(MAIN!E296, IFERROR(FIND(",", MAIN!E296)-1, LEN(MAIN!E296))), " ", ""), lookup_values!$D$2:$E$197, 2, FALSE)), "--", VLOOKUP(SUBSTITUTE(LEFT(MAIN!E296, IFERROR(FIND(",", MAIN!E296)-1, LEN(MAIN!E296))), " ", ""), lookup_values!$D$2:$E$197, 2, FALSE)))))</f>
        <v>--</v>
      </c>
      <c r="F296" t="str">
        <f>IF(ISBLANK(MAIN!F296), "", IF(AND(ISNUMBER(VALUE(TRIM(MAIN!F296))), LEN(TRIM(MAIN!F296))=4), VALUE(TRIM(MAIN!F296)), ""))</f>
        <v/>
      </c>
      <c r="G296">
        <f>IF(ISBLANK(MAIN!G296), 0, IF(ISNUMBER(VALUE(TRIM(MAIN!G296))), VALUE(TRIM(MAIN!G296)), 0))</f>
        <v>0</v>
      </c>
      <c r="H296">
        <f>IF(ISBLANK(MAIN!H296), 0, IF(ISNUMBER(VALUE(TRIM(MAIN!H296))), VALUE(TRIM(MAIN!H296)), 0))</f>
        <v>0</v>
      </c>
      <c r="I296">
        <f>IF(ISBLANK(MAIN!I296), 0, IF(ISNUMBER(VALUE(TRIM(MAIN!I296))), VALUE(TRIM(MAIN!I296)), 0))</f>
        <v>0</v>
      </c>
      <c r="J296">
        <f>IF(ISBLANK(MAIN!J296), 0, IF(ISNUMBER(VALUE(TRIM(MAIN!J296))), VALUE(TRIM(MAIN!J296)), 0))</f>
        <v>0</v>
      </c>
      <c r="K296" cm="1">
        <f t="array" ref="K296">IFERROR(
    VALUE(
        IFERROR(
            UPPER(
                IF(MAX(IFERROR(SEARCH("WD",MAIN!G296:J296), 0))&gt;0, "WD",
                IF(MAX(IFERROR(SEARCH("NS",MAIN!G296:J296), 0))&gt;0, "NS",
                IF(MAX(IFERROR(SEARCH("NC",MAIN!G296:J296), 0))&gt;0, "NC",
                IF(MAX(IFERROR(SEARCH("DQ",MAIN!G296:J296), 0))&gt;0, "DQ",
                IF(ISNUMBER(SEARCH("WD",MAIN!K296)), "WD",
                IF(ISNUMBER(SEARCH("NS",MAIN!K296)), "NS",
                IF(ISNUMBER(SEARCH("NC",MAIN!K296)), "NC",
                IF(ISNUMBER(SEARCH("DQ",MAIN!K296)), "DQ",
                IF(ISNUMBER(SEARCH("A",MAIN!K296)), 0,
                IF(OR(MAIN!K296=0,MAIN!K296=""), 0, --TRIM(MAIN!K296)))))))))))),
            0
        )
    ),
    IFERROR(
        UPPER(
            IF(MAX(IFERROR(SEARCH("WD",MAIN!G296:J296), 0))&gt;0, "WD",
            IF(MAX(IFERROR(SEARCH("NS",MAIN!G296:J296), 0))&gt;0, "NS",
            IF(MAX(IFERROR(SEARCH("NC",MAIN!G296:J296), 0))&gt;0, "NC",
            IF(MAX(IFERROR(SEARCH("DQ",MAIN!G296:J296), 0))&gt;0, "DQ",
            IF(ISNUMBER(SEARCH("WD",MAIN!K296)), "WD",
            IF(ISNUMBER(SEARCH("NS",MAIN!K296)), "NS",
            IF(ISNUMBER(SEARCH("NC",MAIN!K296)), "NC",
            IF(ISNUMBER(SEARCH("DQ",MAIN!K296)), "DQ",
            IF(ISNUMBER(SEARCH("A",MAIN!K296)), 0,
            IF(OR(MAIN!K296=0,MAIN!K296=""), 0, --TRIM(MAIN!K296)))))))))))),
        0
    )
)</f>
        <v>0</v>
      </c>
    </row>
    <row r="297" spans="1:11" x14ac:dyDescent="0.25">
      <c r="A297" t="str">
        <f>IF(ISBLANK(MAIN!A297), "--", IFERROR(PROPER(SUBSTITUTE(SUBSTITUTE(SUBSTITUTE(SUBSTITUTE(SUBSTITUTE(SUBSTITUTE(SUBSTITUTE(SUBSTITUTE(SUBSTITUTE(SUBSTITUTE(LEFT(MAIN!A297, FIND(",",MAIN!A297) -1), "0", ""), "1", ""), "2", ""), "3", ""), "4", ""), "5", ""), "6", ""), "7", ""), "8", ""), "9", "")), PROPER(SUBSTITUTE(SUBSTITUTE(SUBSTITUTE(SUBSTITUTE(SUBSTITUTE(SUBSTITUTE(SUBSTITUTE(SUBSTITUTE(SUBSTITUTE(SUBSTITUTE(MAIN!A297, "0", ""), "1", ""), "2", ""), "3", ""), "4", ""), "5", ""), "6", ""), "7", ""), "8", ""), "9", ""))))</f>
        <v>--</v>
      </c>
      <c r="B297" t="str">
        <f>IF(ISBLANK(MAIN!B297), "--", IFERROR(PROPER(SUBSTITUTE(SUBSTITUTE(SUBSTITUTE(SUBSTITUTE(SUBSTITUTE(SUBSTITUTE(SUBSTITUTE(SUBSTITUTE(SUBSTITUTE(SUBSTITUTE(LEFT(MAIN!B297, FIND(",",MAIN!B297) -1), "0", ""), "1", ""), "2", ""), "3", ""), "4", ""), "5", ""), "6", ""), "7", ""), "8", ""), "9", "")), PROPER(SUBSTITUTE(SUBSTITUTE(SUBSTITUTE(SUBSTITUTE(SUBSTITUTE(SUBSTITUTE(SUBSTITUTE(SUBSTITUTE(SUBSTITUTE(SUBSTITUTE(MAIN!B297, "0", ""), "1", ""), "2", ""), "3", ""), "4", ""), "5", ""), "6", ""), "7", ""), "8", ""), "9", ""))))</f>
        <v>--</v>
      </c>
      <c r="C297" t="str">
        <f>IF(ISBLANK(MAIN!C297), "--", IFERROR(PROPER(SUBSTITUTE(SUBSTITUTE(SUBSTITUTE(SUBSTITUTE(SUBSTITUTE(SUBSTITUTE(SUBSTITUTE(SUBSTITUTE(SUBSTITUTE(SUBSTITUTE(LEFT(MAIN!C297, FIND(",",MAIN!C297) -1), "0", ""), "1", ""), "2", ""), "3", ""), "4", ""), "5", ""), "6", ""), "7", ""), "8", ""), "9", "")), PROPER(SUBSTITUTE(SUBSTITUTE(SUBSTITUTE(SUBSTITUTE(SUBSTITUTE(SUBSTITUTE(SUBSTITUTE(SUBSTITUTE(SUBSTITUTE(SUBSTITUTE(MAIN!C297, "0", ""), "1", ""), "2", ""), "3", ""), "4", ""), "5", ""), "6", ""), "7", ""), "8", ""), "9", ""))))</f>
        <v>--</v>
      </c>
      <c r="D297" t="str">
        <f>IF(ISBLANK(MAIN!D297), "--", IF(ISNUMBER(MATCH(SUBSTITUTE(LEFT(MAIN!D297, IFERROR(FIND(",", MAIN!D297)-1, LEN(MAIN!D297))), " ", ""), lookup_values!$B$2:$B$51, 0)), UPPER(SUBSTITUTE(LEFT(MAIN!D297, IFERROR(FIND(",", MAIN!D297)-1, LEN(MAIN!D297))), " ", "")), IF(ISNA(VLOOKUP(SUBSTITUTE(LEFT(MAIN!D297, IFERROR(FIND(",", MAIN!D297)-1, LEN(MAIN!D297))), " ", ""), lookup_values!$A$2:$B$51, 2, FALSE)), "--", VLOOKUP(SUBSTITUTE(LEFT(MAIN!D297, IFERROR(FIND(",", MAIN!D297)-1, LEN(MAIN!D297))), " ", ""), lookup_values!$A$2:$B$51, 2, FALSE))))</f>
        <v>--</v>
      </c>
      <c r="E297" t="str">
        <f>IF(CLEAN_DATA!D297&lt;&gt;"--","US",IF(ISBLANK(MAIN!E297), "--", IF(ISNUMBER(MATCH(SUBSTITUTE(LEFT(MAIN!E297, IFERROR(FIND(",", MAIN!E297)-1, LEN(MAIN!E297))), " ", ""), lookup_values!$E$2:$E$197, 0)), UPPER(SUBSTITUTE(LEFT(MAIN!E297, IFERROR(FIND(",", MAIN!E297)-1, LEN(MAIN!E297))), " ", "")), IF(ISNA(VLOOKUP(SUBSTITUTE(LEFT(MAIN!E297, IFERROR(FIND(",", MAIN!E297)-1, LEN(MAIN!E297))), " ", ""), lookup_values!$D$2:$E$197, 2, FALSE)), "--", VLOOKUP(SUBSTITUTE(LEFT(MAIN!E297, IFERROR(FIND(",", MAIN!E297)-1, LEN(MAIN!E297))), " ", ""), lookup_values!$D$2:$E$197, 2, FALSE)))))</f>
        <v>--</v>
      </c>
      <c r="F297" t="str">
        <f>IF(ISBLANK(MAIN!F297), "", IF(AND(ISNUMBER(VALUE(TRIM(MAIN!F297))), LEN(TRIM(MAIN!F297))=4), VALUE(TRIM(MAIN!F297)), ""))</f>
        <v/>
      </c>
      <c r="G297">
        <f>IF(ISBLANK(MAIN!G297), 0, IF(ISNUMBER(VALUE(TRIM(MAIN!G297))), VALUE(TRIM(MAIN!G297)), 0))</f>
        <v>0</v>
      </c>
      <c r="H297">
        <f>IF(ISBLANK(MAIN!H297), 0, IF(ISNUMBER(VALUE(TRIM(MAIN!H297))), VALUE(TRIM(MAIN!H297)), 0))</f>
        <v>0</v>
      </c>
      <c r="I297">
        <f>IF(ISBLANK(MAIN!I297), 0, IF(ISNUMBER(VALUE(TRIM(MAIN!I297))), VALUE(TRIM(MAIN!I297)), 0))</f>
        <v>0</v>
      </c>
      <c r="J297">
        <f>IF(ISBLANK(MAIN!J297), 0, IF(ISNUMBER(VALUE(TRIM(MAIN!J297))), VALUE(TRIM(MAIN!J297)), 0))</f>
        <v>0</v>
      </c>
      <c r="K297" cm="1">
        <f t="array" ref="K297">IFERROR(
    VALUE(
        IFERROR(
            UPPER(
                IF(MAX(IFERROR(SEARCH("WD",MAIN!G297:J297), 0))&gt;0, "WD",
                IF(MAX(IFERROR(SEARCH("NS",MAIN!G297:J297), 0))&gt;0, "NS",
                IF(MAX(IFERROR(SEARCH("NC",MAIN!G297:J297), 0))&gt;0, "NC",
                IF(MAX(IFERROR(SEARCH("DQ",MAIN!G297:J297), 0))&gt;0, "DQ",
                IF(ISNUMBER(SEARCH("WD",MAIN!K297)), "WD",
                IF(ISNUMBER(SEARCH("NS",MAIN!K297)), "NS",
                IF(ISNUMBER(SEARCH("NC",MAIN!K297)), "NC",
                IF(ISNUMBER(SEARCH("DQ",MAIN!K297)), "DQ",
                IF(ISNUMBER(SEARCH("A",MAIN!K297)), 0,
                IF(OR(MAIN!K297=0,MAIN!K297=""), 0, --TRIM(MAIN!K297)))))))))))),
            0
        )
    ),
    IFERROR(
        UPPER(
            IF(MAX(IFERROR(SEARCH("WD",MAIN!G297:J297), 0))&gt;0, "WD",
            IF(MAX(IFERROR(SEARCH("NS",MAIN!G297:J297), 0))&gt;0, "NS",
            IF(MAX(IFERROR(SEARCH("NC",MAIN!G297:J297), 0))&gt;0, "NC",
            IF(MAX(IFERROR(SEARCH("DQ",MAIN!G297:J297), 0))&gt;0, "DQ",
            IF(ISNUMBER(SEARCH("WD",MAIN!K297)), "WD",
            IF(ISNUMBER(SEARCH("NS",MAIN!K297)), "NS",
            IF(ISNUMBER(SEARCH("NC",MAIN!K297)), "NC",
            IF(ISNUMBER(SEARCH("DQ",MAIN!K297)), "DQ",
            IF(ISNUMBER(SEARCH("A",MAIN!K297)), 0,
            IF(OR(MAIN!K297=0,MAIN!K297=""), 0, --TRIM(MAIN!K297)))))))))))),
        0
    )
)</f>
        <v>0</v>
      </c>
    </row>
    <row r="298" spans="1:11" x14ac:dyDescent="0.25">
      <c r="A298" t="str">
        <f>IF(ISBLANK(MAIN!A298), "--", IFERROR(PROPER(SUBSTITUTE(SUBSTITUTE(SUBSTITUTE(SUBSTITUTE(SUBSTITUTE(SUBSTITUTE(SUBSTITUTE(SUBSTITUTE(SUBSTITUTE(SUBSTITUTE(LEFT(MAIN!A298, FIND(",",MAIN!A298) -1), "0", ""), "1", ""), "2", ""), "3", ""), "4", ""), "5", ""), "6", ""), "7", ""), "8", ""), "9", "")), PROPER(SUBSTITUTE(SUBSTITUTE(SUBSTITUTE(SUBSTITUTE(SUBSTITUTE(SUBSTITUTE(SUBSTITUTE(SUBSTITUTE(SUBSTITUTE(SUBSTITUTE(MAIN!A298, "0", ""), "1", ""), "2", ""), "3", ""), "4", ""), "5", ""), "6", ""), "7", ""), "8", ""), "9", ""))))</f>
        <v>--</v>
      </c>
      <c r="B298" t="str">
        <f>IF(ISBLANK(MAIN!B298), "--", IFERROR(PROPER(SUBSTITUTE(SUBSTITUTE(SUBSTITUTE(SUBSTITUTE(SUBSTITUTE(SUBSTITUTE(SUBSTITUTE(SUBSTITUTE(SUBSTITUTE(SUBSTITUTE(LEFT(MAIN!B298, FIND(",",MAIN!B298) -1), "0", ""), "1", ""), "2", ""), "3", ""), "4", ""), "5", ""), "6", ""), "7", ""), "8", ""), "9", "")), PROPER(SUBSTITUTE(SUBSTITUTE(SUBSTITUTE(SUBSTITUTE(SUBSTITUTE(SUBSTITUTE(SUBSTITUTE(SUBSTITUTE(SUBSTITUTE(SUBSTITUTE(MAIN!B298, "0", ""), "1", ""), "2", ""), "3", ""), "4", ""), "5", ""), "6", ""), "7", ""), "8", ""), "9", ""))))</f>
        <v>--</v>
      </c>
      <c r="C298" t="str">
        <f>IF(ISBLANK(MAIN!C298), "--", IFERROR(PROPER(SUBSTITUTE(SUBSTITUTE(SUBSTITUTE(SUBSTITUTE(SUBSTITUTE(SUBSTITUTE(SUBSTITUTE(SUBSTITUTE(SUBSTITUTE(SUBSTITUTE(LEFT(MAIN!C298, FIND(",",MAIN!C298) -1), "0", ""), "1", ""), "2", ""), "3", ""), "4", ""), "5", ""), "6", ""), "7", ""), "8", ""), "9", "")), PROPER(SUBSTITUTE(SUBSTITUTE(SUBSTITUTE(SUBSTITUTE(SUBSTITUTE(SUBSTITUTE(SUBSTITUTE(SUBSTITUTE(SUBSTITUTE(SUBSTITUTE(MAIN!C298, "0", ""), "1", ""), "2", ""), "3", ""), "4", ""), "5", ""), "6", ""), "7", ""), "8", ""), "9", ""))))</f>
        <v>--</v>
      </c>
      <c r="D298" t="str">
        <f>IF(ISBLANK(MAIN!D298), "--", IF(ISNUMBER(MATCH(SUBSTITUTE(LEFT(MAIN!D298, IFERROR(FIND(",", MAIN!D298)-1, LEN(MAIN!D298))), " ", ""), lookup_values!$B$2:$B$51, 0)), UPPER(SUBSTITUTE(LEFT(MAIN!D298, IFERROR(FIND(",", MAIN!D298)-1, LEN(MAIN!D298))), " ", "")), IF(ISNA(VLOOKUP(SUBSTITUTE(LEFT(MAIN!D298, IFERROR(FIND(",", MAIN!D298)-1, LEN(MAIN!D298))), " ", ""), lookup_values!$A$2:$B$51, 2, FALSE)), "--", VLOOKUP(SUBSTITUTE(LEFT(MAIN!D298, IFERROR(FIND(",", MAIN!D298)-1, LEN(MAIN!D298))), " ", ""), lookup_values!$A$2:$B$51, 2, FALSE))))</f>
        <v>--</v>
      </c>
      <c r="E298" t="str">
        <f>IF(CLEAN_DATA!D298&lt;&gt;"--","US",IF(ISBLANK(MAIN!E298), "--", IF(ISNUMBER(MATCH(SUBSTITUTE(LEFT(MAIN!E298, IFERROR(FIND(",", MAIN!E298)-1, LEN(MAIN!E298))), " ", ""), lookup_values!$E$2:$E$197, 0)), UPPER(SUBSTITUTE(LEFT(MAIN!E298, IFERROR(FIND(",", MAIN!E298)-1, LEN(MAIN!E298))), " ", "")), IF(ISNA(VLOOKUP(SUBSTITUTE(LEFT(MAIN!E298, IFERROR(FIND(",", MAIN!E298)-1, LEN(MAIN!E298))), " ", ""), lookup_values!$D$2:$E$197, 2, FALSE)), "--", VLOOKUP(SUBSTITUTE(LEFT(MAIN!E298, IFERROR(FIND(",", MAIN!E298)-1, LEN(MAIN!E298))), " ", ""), lookup_values!$D$2:$E$197, 2, FALSE)))))</f>
        <v>--</v>
      </c>
      <c r="F298" t="str">
        <f>IF(ISBLANK(MAIN!F298), "", IF(AND(ISNUMBER(VALUE(TRIM(MAIN!F298))), LEN(TRIM(MAIN!F298))=4), VALUE(TRIM(MAIN!F298)), ""))</f>
        <v/>
      </c>
      <c r="G298">
        <f>IF(ISBLANK(MAIN!G298), 0, IF(ISNUMBER(VALUE(TRIM(MAIN!G298))), VALUE(TRIM(MAIN!G298)), 0))</f>
        <v>0</v>
      </c>
      <c r="H298">
        <f>IF(ISBLANK(MAIN!H298), 0, IF(ISNUMBER(VALUE(TRIM(MAIN!H298))), VALUE(TRIM(MAIN!H298)), 0))</f>
        <v>0</v>
      </c>
      <c r="I298">
        <f>IF(ISBLANK(MAIN!I298), 0, IF(ISNUMBER(VALUE(TRIM(MAIN!I298))), VALUE(TRIM(MAIN!I298)), 0))</f>
        <v>0</v>
      </c>
      <c r="J298">
        <f>IF(ISBLANK(MAIN!J298), 0, IF(ISNUMBER(VALUE(TRIM(MAIN!J298))), VALUE(TRIM(MAIN!J298)), 0))</f>
        <v>0</v>
      </c>
      <c r="K298" cm="1">
        <f t="array" ref="K298">IFERROR(
    VALUE(
        IFERROR(
            UPPER(
                IF(MAX(IFERROR(SEARCH("WD",MAIN!G298:J298), 0))&gt;0, "WD",
                IF(MAX(IFERROR(SEARCH("NS",MAIN!G298:J298), 0))&gt;0, "NS",
                IF(MAX(IFERROR(SEARCH("NC",MAIN!G298:J298), 0))&gt;0, "NC",
                IF(MAX(IFERROR(SEARCH("DQ",MAIN!G298:J298), 0))&gt;0, "DQ",
                IF(ISNUMBER(SEARCH("WD",MAIN!K298)), "WD",
                IF(ISNUMBER(SEARCH("NS",MAIN!K298)), "NS",
                IF(ISNUMBER(SEARCH("NC",MAIN!K298)), "NC",
                IF(ISNUMBER(SEARCH("DQ",MAIN!K298)), "DQ",
                IF(ISNUMBER(SEARCH("A",MAIN!K298)), 0,
                IF(OR(MAIN!K298=0,MAIN!K298=""), 0, --TRIM(MAIN!K298)))))))))))),
            0
        )
    ),
    IFERROR(
        UPPER(
            IF(MAX(IFERROR(SEARCH("WD",MAIN!G298:J298), 0))&gt;0, "WD",
            IF(MAX(IFERROR(SEARCH("NS",MAIN!G298:J298), 0))&gt;0, "NS",
            IF(MAX(IFERROR(SEARCH("NC",MAIN!G298:J298), 0))&gt;0, "NC",
            IF(MAX(IFERROR(SEARCH("DQ",MAIN!G298:J298), 0))&gt;0, "DQ",
            IF(ISNUMBER(SEARCH("WD",MAIN!K298)), "WD",
            IF(ISNUMBER(SEARCH("NS",MAIN!K298)), "NS",
            IF(ISNUMBER(SEARCH("NC",MAIN!K298)), "NC",
            IF(ISNUMBER(SEARCH("DQ",MAIN!K298)), "DQ",
            IF(ISNUMBER(SEARCH("A",MAIN!K298)), 0,
            IF(OR(MAIN!K298=0,MAIN!K298=""), 0, --TRIM(MAIN!K298)))))))))))),
        0
    )
)</f>
        <v>0</v>
      </c>
    </row>
    <row r="299" spans="1:11" x14ac:dyDescent="0.25">
      <c r="A299" t="str">
        <f>IF(ISBLANK(MAIN!A299), "--", IFERROR(PROPER(SUBSTITUTE(SUBSTITUTE(SUBSTITUTE(SUBSTITUTE(SUBSTITUTE(SUBSTITUTE(SUBSTITUTE(SUBSTITUTE(SUBSTITUTE(SUBSTITUTE(LEFT(MAIN!A299, FIND(",",MAIN!A299) -1), "0", ""), "1", ""), "2", ""), "3", ""), "4", ""), "5", ""), "6", ""), "7", ""), "8", ""), "9", "")), PROPER(SUBSTITUTE(SUBSTITUTE(SUBSTITUTE(SUBSTITUTE(SUBSTITUTE(SUBSTITUTE(SUBSTITUTE(SUBSTITUTE(SUBSTITUTE(SUBSTITUTE(MAIN!A299, "0", ""), "1", ""), "2", ""), "3", ""), "4", ""), "5", ""), "6", ""), "7", ""), "8", ""), "9", ""))))</f>
        <v>--</v>
      </c>
      <c r="B299" t="str">
        <f>IF(ISBLANK(MAIN!B299), "--", IFERROR(PROPER(SUBSTITUTE(SUBSTITUTE(SUBSTITUTE(SUBSTITUTE(SUBSTITUTE(SUBSTITUTE(SUBSTITUTE(SUBSTITUTE(SUBSTITUTE(SUBSTITUTE(LEFT(MAIN!B299, FIND(",",MAIN!B299) -1), "0", ""), "1", ""), "2", ""), "3", ""), "4", ""), "5", ""), "6", ""), "7", ""), "8", ""), "9", "")), PROPER(SUBSTITUTE(SUBSTITUTE(SUBSTITUTE(SUBSTITUTE(SUBSTITUTE(SUBSTITUTE(SUBSTITUTE(SUBSTITUTE(SUBSTITUTE(SUBSTITUTE(MAIN!B299, "0", ""), "1", ""), "2", ""), "3", ""), "4", ""), "5", ""), "6", ""), "7", ""), "8", ""), "9", ""))))</f>
        <v>--</v>
      </c>
      <c r="C299" t="str">
        <f>IF(ISBLANK(MAIN!C299), "--", IFERROR(PROPER(SUBSTITUTE(SUBSTITUTE(SUBSTITUTE(SUBSTITUTE(SUBSTITUTE(SUBSTITUTE(SUBSTITUTE(SUBSTITUTE(SUBSTITUTE(SUBSTITUTE(LEFT(MAIN!C299, FIND(",",MAIN!C299) -1), "0", ""), "1", ""), "2", ""), "3", ""), "4", ""), "5", ""), "6", ""), "7", ""), "8", ""), "9", "")), PROPER(SUBSTITUTE(SUBSTITUTE(SUBSTITUTE(SUBSTITUTE(SUBSTITUTE(SUBSTITUTE(SUBSTITUTE(SUBSTITUTE(SUBSTITUTE(SUBSTITUTE(MAIN!C299, "0", ""), "1", ""), "2", ""), "3", ""), "4", ""), "5", ""), "6", ""), "7", ""), "8", ""), "9", ""))))</f>
        <v>--</v>
      </c>
      <c r="D299" t="str">
        <f>IF(ISBLANK(MAIN!D299), "--", IF(ISNUMBER(MATCH(SUBSTITUTE(LEFT(MAIN!D299, IFERROR(FIND(",", MAIN!D299)-1, LEN(MAIN!D299))), " ", ""), lookup_values!$B$2:$B$51, 0)), UPPER(SUBSTITUTE(LEFT(MAIN!D299, IFERROR(FIND(",", MAIN!D299)-1, LEN(MAIN!D299))), " ", "")), IF(ISNA(VLOOKUP(SUBSTITUTE(LEFT(MAIN!D299, IFERROR(FIND(",", MAIN!D299)-1, LEN(MAIN!D299))), " ", ""), lookup_values!$A$2:$B$51, 2, FALSE)), "--", VLOOKUP(SUBSTITUTE(LEFT(MAIN!D299, IFERROR(FIND(",", MAIN!D299)-1, LEN(MAIN!D299))), " ", ""), lookup_values!$A$2:$B$51, 2, FALSE))))</f>
        <v>--</v>
      </c>
      <c r="E299" t="str">
        <f>IF(CLEAN_DATA!D299&lt;&gt;"--","US",IF(ISBLANK(MAIN!E299), "--", IF(ISNUMBER(MATCH(SUBSTITUTE(LEFT(MAIN!E299, IFERROR(FIND(",", MAIN!E299)-1, LEN(MAIN!E299))), " ", ""), lookup_values!$E$2:$E$197, 0)), UPPER(SUBSTITUTE(LEFT(MAIN!E299, IFERROR(FIND(",", MAIN!E299)-1, LEN(MAIN!E299))), " ", "")), IF(ISNA(VLOOKUP(SUBSTITUTE(LEFT(MAIN!E299, IFERROR(FIND(",", MAIN!E299)-1, LEN(MAIN!E299))), " ", ""), lookup_values!$D$2:$E$197, 2, FALSE)), "--", VLOOKUP(SUBSTITUTE(LEFT(MAIN!E299, IFERROR(FIND(",", MAIN!E299)-1, LEN(MAIN!E299))), " ", ""), lookup_values!$D$2:$E$197, 2, FALSE)))))</f>
        <v>--</v>
      </c>
      <c r="F299" t="str">
        <f>IF(ISBLANK(MAIN!F299), "", IF(AND(ISNUMBER(VALUE(TRIM(MAIN!F299))), LEN(TRIM(MAIN!F299))=4), VALUE(TRIM(MAIN!F299)), ""))</f>
        <v/>
      </c>
      <c r="G299">
        <f>IF(ISBLANK(MAIN!G299), 0, IF(ISNUMBER(VALUE(TRIM(MAIN!G299))), VALUE(TRIM(MAIN!G299)), 0))</f>
        <v>0</v>
      </c>
      <c r="H299">
        <f>IF(ISBLANK(MAIN!H299), 0, IF(ISNUMBER(VALUE(TRIM(MAIN!H299))), VALUE(TRIM(MAIN!H299)), 0))</f>
        <v>0</v>
      </c>
      <c r="I299">
        <f>IF(ISBLANK(MAIN!I299), 0, IF(ISNUMBER(VALUE(TRIM(MAIN!I299))), VALUE(TRIM(MAIN!I299)), 0))</f>
        <v>0</v>
      </c>
      <c r="J299">
        <f>IF(ISBLANK(MAIN!J299), 0, IF(ISNUMBER(VALUE(TRIM(MAIN!J299))), VALUE(TRIM(MAIN!J299)), 0))</f>
        <v>0</v>
      </c>
      <c r="K299" cm="1">
        <f t="array" ref="K299">IFERROR(
    VALUE(
        IFERROR(
            UPPER(
                IF(MAX(IFERROR(SEARCH("WD",MAIN!G299:J299), 0))&gt;0, "WD",
                IF(MAX(IFERROR(SEARCH("NS",MAIN!G299:J299), 0))&gt;0, "NS",
                IF(MAX(IFERROR(SEARCH("NC",MAIN!G299:J299), 0))&gt;0, "NC",
                IF(MAX(IFERROR(SEARCH("DQ",MAIN!G299:J299), 0))&gt;0, "DQ",
                IF(ISNUMBER(SEARCH("WD",MAIN!K299)), "WD",
                IF(ISNUMBER(SEARCH("NS",MAIN!K299)), "NS",
                IF(ISNUMBER(SEARCH("NC",MAIN!K299)), "NC",
                IF(ISNUMBER(SEARCH("DQ",MAIN!K299)), "DQ",
                IF(ISNUMBER(SEARCH("A",MAIN!K299)), 0,
                IF(OR(MAIN!K299=0,MAIN!K299=""), 0, --TRIM(MAIN!K299)))))))))))),
            0
        )
    ),
    IFERROR(
        UPPER(
            IF(MAX(IFERROR(SEARCH("WD",MAIN!G299:J299), 0))&gt;0, "WD",
            IF(MAX(IFERROR(SEARCH("NS",MAIN!G299:J299), 0))&gt;0, "NS",
            IF(MAX(IFERROR(SEARCH("NC",MAIN!G299:J299), 0))&gt;0, "NC",
            IF(MAX(IFERROR(SEARCH("DQ",MAIN!G299:J299), 0))&gt;0, "DQ",
            IF(ISNUMBER(SEARCH("WD",MAIN!K299)), "WD",
            IF(ISNUMBER(SEARCH("NS",MAIN!K299)), "NS",
            IF(ISNUMBER(SEARCH("NC",MAIN!K299)), "NC",
            IF(ISNUMBER(SEARCH("DQ",MAIN!K299)), "DQ",
            IF(ISNUMBER(SEARCH("A",MAIN!K299)), 0,
            IF(OR(MAIN!K299=0,MAIN!K299=""), 0, --TRIM(MAIN!K299)))))))))))),
        0
    )
)</f>
        <v>0</v>
      </c>
    </row>
    <row r="300" spans="1:11" x14ac:dyDescent="0.25">
      <c r="A300" t="str">
        <f>IF(ISBLANK(MAIN!A300), "--", IFERROR(PROPER(SUBSTITUTE(SUBSTITUTE(SUBSTITUTE(SUBSTITUTE(SUBSTITUTE(SUBSTITUTE(SUBSTITUTE(SUBSTITUTE(SUBSTITUTE(SUBSTITUTE(LEFT(MAIN!A300, FIND(",",MAIN!A300) -1), "0", ""), "1", ""), "2", ""), "3", ""), "4", ""), "5", ""), "6", ""), "7", ""), "8", ""), "9", "")), PROPER(SUBSTITUTE(SUBSTITUTE(SUBSTITUTE(SUBSTITUTE(SUBSTITUTE(SUBSTITUTE(SUBSTITUTE(SUBSTITUTE(SUBSTITUTE(SUBSTITUTE(MAIN!A300, "0", ""), "1", ""), "2", ""), "3", ""), "4", ""), "5", ""), "6", ""), "7", ""), "8", ""), "9", ""))))</f>
        <v>--</v>
      </c>
      <c r="B300" t="str">
        <f>IF(ISBLANK(MAIN!B300), "--", IFERROR(PROPER(SUBSTITUTE(SUBSTITUTE(SUBSTITUTE(SUBSTITUTE(SUBSTITUTE(SUBSTITUTE(SUBSTITUTE(SUBSTITUTE(SUBSTITUTE(SUBSTITUTE(LEFT(MAIN!B300, FIND(",",MAIN!B300) -1), "0", ""), "1", ""), "2", ""), "3", ""), "4", ""), "5", ""), "6", ""), "7", ""), "8", ""), "9", "")), PROPER(SUBSTITUTE(SUBSTITUTE(SUBSTITUTE(SUBSTITUTE(SUBSTITUTE(SUBSTITUTE(SUBSTITUTE(SUBSTITUTE(SUBSTITUTE(SUBSTITUTE(MAIN!B300, "0", ""), "1", ""), "2", ""), "3", ""), "4", ""), "5", ""), "6", ""), "7", ""), "8", ""), "9", ""))))</f>
        <v>--</v>
      </c>
      <c r="C300" t="str">
        <f>IF(ISBLANK(MAIN!C300), "--", IFERROR(PROPER(SUBSTITUTE(SUBSTITUTE(SUBSTITUTE(SUBSTITUTE(SUBSTITUTE(SUBSTITUTE(SUBSTITUTE(SUBSTITUTE(SUBSTITUTE(SUBSTITUTE(LEFT(MAIN!C300, FIND(",",MAIN!C300) -1), "0", ""), "1", ""), "2", ""), "3", ""), "4", ""), "5", ""), "6", ""), "7", ""), "8", ""), "9", "")), PROPER(SUBSTITUTE(SUBSTITUTE(SUBSTITUTE(SUBSTITUTE(SUBSTITUTE(SUBSTITUTE(SUBSTITUTE(SUBSTITUTE(SUBSTITUTE(SUBSTITUTE(MAIN!C300, "0", ""), "1", ""), "2", ""), "3", ""), "4", ""), "5", ""), "6", ""), "7", ""), "8", ""), "9", ""))))</f>
        <v>--</v>
      </c>
      <c r="D300" t="str">
        <f>IF(ISBLANK(MAIN!D300), "--", IF(ISNUMBER(MATCH(SUBSTITUTE(LEFT(MAIN!D300, IFERROR(FIND(",", MAIN!D300)-1, LEN(MAIN!D300))), " ", ""), lookup_values!$B$2:$B$51, 0)), UPPER(SUBSTITUTE(LEFT(MAIN!D300, IFERROR(FIND(",", MAIN!D300)-1, LEN(MAIN!D300))), " ", "")), IF(ISNA(VLOOKUP(SUBSTITUTE(LEFT(MAIN!D300, IFERROR(FIND(",", MAIN!D300)-1, LEN(MAIN!D300))), " ", ""), lookup_values!$A$2:$B$51, 2, FALSE)), "--", VLOOKUP(SUBSTITUTE(LEFT(MAIN!D300, IFERROR(FIND(",", MAIN!D300)-1, LEN(MAIN!D300))), " ", ""), lookup_values!$A$2:$B$51, 2, FALSE))))</f>
        <v>--</v>
      </c>
      <c r="E300" t="str">
        <f>IF(CLEAN_DATA!D300&lt;&gt;"--","US",IF(ISBLANK(MAIN!E300), "--", IF(ISNUMBER(MATCH(SUBSTITUTE(LEFT(MAIN!E300, IFERROR(FIND(",", MAIN!E300)-1, LEN(MAIN!E300))), " ", ""), lookup_values!$E$2:$E$197, 0)), UPPER(SUBSTITUTE(LEFT(MAIN!E300, IFERROR(FIND(",", MAIN!E300)-1, LEN(MAIN!E300))), " ", "")), IF(ISNA(VLOOKUP(SUBSTITUTE(LEFT(MAIN!E300, IFERROR(FIND(",", MAIN!E300)-1, LEN(MAIN!E300))), " ", ""), lookup_values!$D$2:$E$197, 2, FALSE)), "--", VLOOKUP(SUBSTITUTE(LEFT(MAIN!E300, IFERROR(FIND(",", MAIN!E300)-1, LEN(MAIN!E300))), " ", ""), lookup_values!$D$2:$E$197, 2, FALSE)))))</f>
        <v>--</v>
      </c>
      <c r="F300" t="str">
        <f>IF(ISBLANK(MAIN!F300), "", IF(AND(ISNUMBER(VALUE(TRIM(MAIN!F300))), LEN(TRIM(MAIN!F300))=4), VALUE(TRIM(MAIN!F300)), ""))</f>
        <v/>
      </c>
      <c r="G300">
        <f>IF(ISBLANK(MAIN!G300), 0, IF(ISNUMBER(VALUE(TRIM(MAIN!G300))), VALUE(TRIM(MAIN!G300)), 0))</f>
        <v>0</v>
      </c>
      <c r="H300">
        <f>IF(ISBLANK(MAIN!H300), 0, IF(ISNUMBER(VALUE(TRIM(MAIN!H300))), VALUE(TRIM(MAIN!H300)), 0))</f>
        <v>0</v>
      </c>
      <c r="I300">
        <f>IF(ISBLANK(MAIN!I300), 0, IF(ISNUMBER(VALUE(TRIM(MAIN!I300))), VALUE(TRIM(MAIN!I300)), 0))</f>
        <v>0</v>
      </c>
      <c r="J300">
        <f>IF(ISBLANK(MAIN!J300), 0, IF(ISNUMBER(VALUE(TRIM(MAIN!J300))), VALUE(TRIM(MAIN!J300)), 0))</f>
        <v>0</v>
      </c>
      <c r="K300" cm="1">
        <f t="array" ref="K300">IFERROR(
    VALUE(
        IFERROR(
            UPPER(
                IF(MAX(IFERROR(SEARCH("WD",MAIN!G300:J300), 0))&gt;0, "WD",
                IF(MAX(IFERROR(SEARCH("NS",MAIN!G300:J300), 0))&gt;0, "NS",
                IF(MAX(IFERROR(SEARCH("NC",MAIN!G300:J300), 0))&gt;0, "NC",
                IF(MAX(IFERROR(SEARCH("DQ",MAIN!G300:J300), 0))&gt;0, "DQ",
                IF(ISNUMBER(SEARCH("WD",MAIN!K300)), "WD",
                IF(ISNUMBER(SEARCH("NS",MAIN!K300)), "NS",
                IF(ISNUMBER(SEARCH("NC",MAIN!K300)), "NC",
                IF(ISNUMBER(SEARCH("DQ",MAIN!K300)), "DQ",
                IF(ISNUMBER(SEARCH("A",MAIN!K300)), 0,
                IF(OR(MAIN!K300=0,MAIN!K300=""), 0, --TRIM(MAIN!K300)))))))))))),
            0
        )
    ),
    IFERROR(
        UPPER(
            IF(MAX(IFERROR(SEARCH("WD",MAIN!G300:J300), 0))&gt;0, "WD",
            IF(MAX(IFERROR(SEARCH("NS",MAIN!G300:J300), 0))&gt;0, "NS",
            IF(MAX(IFERROR(SEARCH("NC",MAIN!G300:J300), 0))&gt;0, "NC",
            IF(MAX(IFERROR(SEARCH("DQ",MAIN!G300:J300), 0))&gt;0, "DQ",
            IF(ISNUMBER(SEARCH("WD",MAIN!K300)), "WD",
            IF(ISNUMBER(SEARCH("NS",MAIN!K300)), "NS",
            IF(ISNUMBER(SEARCH("NC",MAIN!K300)), "NC",
            IF(ISNUMBER(SEARCH("DQ",MAIN!K300)), "DQ",
            IF(ISNUMBER(SEARCH("A",MAIN!K300)), 0,
            IF(OR(MAIN!K300=0,MAIN!K300=""), 0, --TRIM(MAIN!K300)))))))))))),
        0
    )
)</f>
        <v>0</v>
      </c>
    </row>
    <row r="301" spans="1:11" x14ac:dyDescent="0.25">
      <c r="A301" t="str">
        <f>IF(ISBLANK(MAIN!A301), "--", IFERROR(PROPER(SUBSTITUTE(SUBSTITUTE(SUBSTITUTE(SUBSTITUTE(SUBSTITUTE(SUBSTITUTE(SUBSTITUTE(SUBSTITUTE(SUBSTITUTE(SUBSTITUTE(LEFT(MAIN!A301, FIND(",",MAIN!A301) -1), "0", ""), "1", ""), "2", ""), "3", ""), "4", ""), "5", ""), "6", ""), "7", ""), "8", ""), "9", "")), PROPER(SUBSTITUTE(SUBSTITUTE(SUBSTITUTE(SUBSTITUTE(SUBSTITUTE(SUBSTITUTE(SUBSTITUTE(SUBSTITUTE(SUBSTITUTE(SUBSTITUTE(MAIN!A301, "0", ""), "1", ""), "2", ""), "3", ""), "4", ""), "5", ""), "6", ""), "7", ""), "8", ""), "9", ""))))</f>
        <v>--</v>
      </c>
      <c r="B301" t="str">
        <f>IF(ISBLANK(MAIN!B301), "--", IFERROR(PROPER(SUBSTITUTE(SUBSTITUTE(SUBSTITUTE(SUBSTITUTE(SUBSTITUTE(SUBSTITUTE(SUBSTITUTE(SUBSTITUTE(SUBSTITUTE(SUBSTITUTE(LEFT(MAIN!B301, FIND(",",MAIN!B301) -1), "0", ""), "1", ""), "2", ""), "3", ""), "4", ""), "5", ""), "6", ""), "7", ""), "8", ""), "9", "")), PROPER(SUBSTITUTE(SUBSTITUTE(SUBSTITUTE(SUBSTITUTE(SUBSTITUTE(SUBSTITUTE(SUBSTITUTE(SUBSTITUTE(SUBSTITUTE(SUBSTITUTE(MAIN!B301, "0", ""), "1", ""), "2", ""), "3", ""), "4", ""), "5", ""), "6", ""), "7", ""), "8", ""), "9", ""))))</f>
        <v>--</v>
      </c>
      <c r="C301" t="str">
        <f>IF(ISBLANK(MAIN!C301), "--", IFERROR(PROPER(SUBSTITUTE(SUBSTITUTE(SUBSTITUTE(SUBSTITUTE(SUBSTITUTE(SUBSTITUTE(SUBSTITUTE(SUBSTITUTE(SUBSTITUTE(SUBSTITUTE(LEFT(MAIN!C301, FIND(",",MAIN!C301) -1), "0", ""), "1", ""), "2", ""), "3", ""), "4", ""), "5", ""), "6", ""), "7", ""), "8", ""), "9", "")), PROPER(SUBSTITUTE(SUBSTITUTE(SUBSTITUTE(SUBSTITUTE(SUBSTITUTE(SUBSTITUTE(SUBSTITUTE(SUBSTITUTE(SUBSTITUTE(SUBSTITUTE(MAIN!C301, "0", ""), "1", ""), "2", ""), "3", ""), "4", ""), "5", ""), "6", ""), "7", ""), "8", ""), "9", ""))))</f>
        <v>--</v>
      </c>
      <c r="D301" t="str">
        <f>IF(ISBLANK(MAIN!D301), "--", IF(ISNUMBER(MATCH(SUBSTITUTE(LEFT(MAIN!D301, IFERROR(FIND(",", MAIN!D301)-1, LEN(MAIN!D301))), " ", ""), lookup_values!$B$2:$B$51, 0)), UPPER(SUBSTITUTE(LEFT(MAIN!D301, IFERROR(FIND(",", MAIN!D301)-1, LEN(MAIN!D301))), " ", "")), IF(ISNA(VLOOKUP(SUBSTITUTE(LEFT(MAIN!D301, IFERROR(FIND(",", MAIN!D301)-1, LEN(MAIN!D301))), " ", ""), lookup_values!$A$2:$B$51, 2, FALSE)), "--", VLOOKUP(SUBSTITUTE(LEFT(MAIN!D301, IFERROR(FIND(",", MAIN!D301)-1, LEN(MAIN!D301))), " ", ""), lookup_values!$A$2:$B$51, 2, FALSE))))</f>
        <v>--</v>
      </c>
      <c r="E301" t="str">
        <f>IF(CLEAN_DATA!D301&lt;&gt;"--","US",IF(ISBLANK(MAIN!E301), "--", IF(ISNUMBER(MATCH(SUBSTITUTE(LEFT(MAIN!E301, IFERROR(FIND(",", MAIN!E301)-1, LEN(MAIN!E301))), " ", ""), lookup_values!$E$2:$E$197, 0)), UPPER(SUBSTITUTE(LEFT(MAIN!E301, IFERROR(FIND(",", MAIN!E301)-1, LEN(MAIN!E301))), " ", "")), IF(ISNA(VLOOKUP(SUBSTITUTE(LEFT(MAIN!E301, IFERROR(FIND(",", MAIN!E301)-1, LEN(MAIN!E301))), " ", ""), lookup_values!$D$2:$E$197, 2, FALSE)), "--", VLOOKUP(SUBSTITUTE(LEFT(MAIN!E301, IFERROR(FIND(",", MAIN!E301)-1, LEN(MAIN!E301))), " ", ""), lookup_values!$D$2:$E$197, 2, FALSE)))))</f>
        <v>--</v>
      </c>
      <c r="F301" t="str">
        <f>IF(ISBLANK(MAIN!F301), "", IF(AND(ISNUMBER(VALUE(TRIM(MAIN!F301))), LEN(TRIM(MAIN!F301))=4), VALUE(TRIM(MAIN!F301)), ""))</f>
        <v/>
      </c>
      <c r="G301">
        <f>IF(ISBLANK(MAIN!G301), 0, IF(ISNUMBER(VALUE(TRIM(MAIN!G301))), VALUE(TRIM(MAIN!G301)), 0))</f>
        <v>0</v>
      </c>
      <c r="H301">
        <f>IF(ISBLANK(MAIN!H301), 0, IF(ISNUMBER(VALUE(TRIM(MAIN!H301))), VALUE(TRIM(MAIN!H301)), 0))</f>
        <v>0</v>
      </c>
      <c r="I301">
        <f>IF(ISBLANK(MAIN!I301), 0, IF(ISNUMBER(VALUE(TRIM(MAIN!I301))), VALUE(TRIM(MAIN!I301)), 0))</f>
        <v>0</v>
      </c>
      <c r="J301">
        <f>IF(ISBLANK(MAIN!J301), 0, IF(ISNUMBER(VALUE(TRIM(MAIN!J301))), VALUE(TRIM(MAIN!J301)), 0))</f>
        <v>0</v>
      </c>
      <c r="K301" cm="1">
        <f t="array" ref="K301">IFERROR(
    VALUE(
        IFERROR(
            UPPER(
                IF(MAX(IFERROR(SEARCH("WD",MAIN!G301:J301), 0))&gt;0, "WD",
                IF(MAX(IFERROR(SEARCH("NS",MAIN!G301:J301), 0))&gt;0, "NS",
                IF(MAX(IFERROR(SEARCH("NC",MAIN!G301:J301), 0))&gt;0, "NC",
                IF(MAX(IFERROR(SEARCH("DQ",MAIN!G301:J301), 0))&gt;0, "DQ",
                IF(ISNUMBER(SEARCH("WD",MAIN!K301)), "WD",
                IF(ISNUMBER(SEARCH("NS",MAIN!K301)), "NS",
                IF(ISNUMBER(SEARCH("NC",MAIN!K301)), "NC",
                IF(ISNUMBER(SEARCH("DQ",MAIN!K301)), "DQ",
                IF(ISNUMBER(SEARCH("A",MAIN!K301)), 0,
                IF(OR(MAIN!K301=0,MAIN!K301=""), 0, --TRIM(MAIN!K301)))))))))))),
            0
        )
    ),
    IFERROR(
        UPPER(
            IF(MAX(IFERROR(SEARCH("WD",MAIN!G301:J301), 0))&gt;0, "WD",
            IF(MAX(IFERROR(SEARCH("NS",MAIN!G301:J301), 0))&gt;0, "NS",
            IF(MAX(IFERROR(SEARCH("NC",MAIN!G301:J301), 0))&gt;0, "NC",
            IF(MAX(IFERROR(SEARCH("DQ",MAIN!G301:J301), 0))&gt;0, "DQ",
            IF(ISNUMBER(SEARCH("WD",MAIN!K301)), "WD",
            IF(ISNUMBER(SEARCH("NS",MAIN!K301)), "NS",
            IF(ISNUMBER(SEARCH("NC",MAIN!K301)), "NC",
            IF(ISNUMBER(SEARCH("DQ",MAIN!K301)), "DQ",
            IF(ISNUMBER(SEARCH("A",MAIN!K301)), 0,
            IF(OR(MAIN!K301=0,MAIN!K301=""), 0, --TRIM(MAIN!K301)))))))))))),
        0
    )
)</f>
        <v>0</v>
      </c>
    </row>
    <row r="302" spans="1:11" x14ac:dyDescent="0.25">
      <c r="A302" t="str">
        <f>IF(ISBLANK(MAIN!A302), "--", IFERROR(PROPER(SUBSTITUTE(SUBSTITUTE(SUBSTITUTE(SUBSTITUTE(SUBSTITUTE(SUBSTITUTE(SUBSTITUTE(SUBSTITUTE(SUBSTITUTE(SUBSTITUTE(LEFT(MAIN!A302, FIND(",",MAIN!A302) -1), "0", ""), "1", ""), "2", ""), "3", ""), "4", ""), "5", ""), "6", ""), "7", ""), "8", ""), "9", "")), PROPER(SUBSTITUTE(SUBSTITUTE(SUBSTITUTE(SUBSTITUTE(SUBSTITUTE(SUBSTITUTE(SUBSTITUTE(SUBSTITUTE(SUBSTITUTE(SUBSTITUTE(MAIN!A302, "0", ""), "1", ""), "2", ""), "3", ""), "4", ""), "5", ""), "6", ""), "7", ""), "8", ""), "9", ""))))</f>
        <v>--</v>
      </c>
      <c r="B302" t="str">
        <f>IF(ISBLANK(MAIN!B302), "--", IFERROR(PROPER(SUBSTITUTE(SUBSTITUTE(SUBSTITUTE(SUBSTITUTE(SUBSTITUTE(SUBSTITUTE(SUBSTITUTE(SUBSTITUTE(SUBSTITUTE(SUBSTITUTE(LEFT(MAIN!B302, FIND(",",MAIN!B302) -1), "0", ""), "1", ""), "2", ""), "3", ""), "4", ""), "5", ""), "6", ""), "7", ""), "8", ""), "9", "")), PROPER(SUBSTITUTE(SUBSTITUTE(SUBSTITUTE(SUBSTITUTE(SUBSTITUTE(SUBSTITUTE(SUBSTITUTE(SUBSTITUTE(SUBSTITUTE(SUBSTITUTE(MAIN!B302, "0", ""), "1", ""), "2", ""), "3", ""), "4", ""), "5", ""), "6", ""), "7", ""), "8", ""), "9", ""))))</f>
        <v>--</v>
      </c>
      <c r="C302" t="str">
        <f>IF(ISBLANK(MAIN!C302), "--", IFERROR(PROPER(SUBSTITUTE(SUBSTITUTE(SUBSTITUTE(SUBSTITUTE(SUBSTITUTE(SUBSTITUTE(SUBSTITUTE(SUBSTITUTE(SUBSTITUTE(SUBSTITUTE(LEFT(MAIN!C302, FIND(",",MAIN!C302) -1), "0", ""), "1", ""), "2", ""), "3", ""), "4", ""), "5", ""), "6", ""), "7", ""), "8", ""), "9", "")), PROPER(SUBSTITUTE(SUBSTITUTE(SUBSTITUTE(SUBSTITUTE(SUBSTITUTE(SUBSTITUTE(SUBSTITUTE(SUBSTITUTE(SUBSTITUTE(SUBSTITUTE(MAIN!C302, "0", ""), "1", ""), "2", ""), "3", ""), "4", ""), "5", ""), "6", ""), "7", ""), "8", ""), "9", ""))))</f>
        <v>--</v>
      </c>
      <c r="D302" t="str">
        <f>IF(ISBLANK(MAIN!D302), "--", IF(ISNUMBER(MATCH(SUBSTITUTE(LEFT(MAIN!D302, IFERROR(FIND(",", MAIN!D302)-1, LEN(MAIN!D302))), " ", ""), lookup_values!$B$2:$B$51, 0)), UPPER(SUBSTITUTE(LEFT(MAIN!D302, IFERROR(FIND(",", MAIN!D302)-1, LEN(MAIN!D302))), " ", "")), IF(ISNA(VLOOKUP(SUBSTITUTE(LEFT(MAIN!D302, IFERROR(FIND(",", MAIN!D302)-1, LEN(MAIN!D302))), " ", ""), lookup_values!$A$2:$B$51, 2, FALSE)), "--", VLOOKUP(SUBSTITUTE(LEFT(MAIN!D302, IFERROR(FIND(",", MAIN!D302)-1, LEN(MAIN!D302))), " ", ""), lookup_values!$A$2:$B$51, 2, FALSE))))</f>
        <v>--</v>
      </c>
      <c r="E302" t="str">
        <f>IF(CLEAN_DATA!D302&lt;&gt;"--","US",IF(ISBLANK(MAIN!E302), "--", IF(ISNUMBER(MATCH(SUBSTITUTE(LEFT(MAIN!E302, IFERROR(FIND(",", MAIN!E302)-1, LEN(MAIN!E302))), " ", ""), lookup_values!$E$2:$E$197, 0)), UPPER(SUBSTITUTE(LEFT(MAIN!E302, IFERROR(FIND(",", MAIN!E302)-1, LEN(MAIN!E302))), " ", "")), IF(ISNA(VLOOKUP(SUBSTITUTE(LEFT(MAIN!E302, IFERROR(FIND(",", MAIN!E302)-1, LEN(MAIN!E302))), " ", ""), lookup_values!$D$2:$E$197, 2, FALSE)), "--", VLOOKUP(SUBSTITUTE(LEFT(MAIN!E302, IFERROR(FIND(",", MAIN!E302)-1, LEN(MAIN!E302))), " ", ""), lookup_values!$D$2:$E$197, 2, FALSE)))))</f>
        <v>--</v>
      </c>
      <c r="F302" t="str">
        <f>IF(ISBLANK(MAIN!F302), "", IF(AND(ISNUMBER(VALUE(TRIM(MAIN!F302))), LEN(TRIM(MAIN!F302))=4), VALUE(TRIM(MAIN!F302)), ""))</f>
        <v/>
      </c>
      <c r="G302">
        <f>IF(ISBLANK(MAIN!G302), 0, IF(ISNUMBER(VALUE(TRIM(MAIN!G302))), VALUE(TRIM(MAIN!G302)), 0))</f>
        <v>0</v>
      </c>
      <c r="H302">
        <f>IF(ISBLANK(MAIN!H302), 0, IF(ISNUMBER(VALUE(TRIM(MAIN!H302))), VALUE(TRIM(MAIN!H302)), 0))</f>
        <v>0</v>
      </c>
      <c r="I302">
        <f>IF(ISBLANK(MAIN!I302), 0, IF(ISNUMBER(VALUE(TRIM(MAIN!I302))), VALUE(TRIM(MAIN!I302)), 0))</f>
        <v>0</v>
      </c>
      <c r="J302">
        <f>IF(ISBLANK(MAIN!J302), 0, IF(ISNUMBER(VALUE(TRIM(MAIN!J302))), VALUE(TRIM(MAIN!J302)), 0))</f>
        <v>0</v>
      </c>
      <c r="K302" cm="1">
        <f t="array" ref="K302">IFERROR(
    VALUE(
        IFERROR(
            UPPER(
                IF(MAX(IFERROR(SEARCH("WD",MAIN!G302:J302), 0))&gt;0, "WD",
                IF(MAX(IFERROR(SEARCH("NS",MAIN!G302:J302), 0))&gt;0, "NS",
                IF(MAX(IFERROR(SEARCH("NC",MAIN!G302:J302), 0))&gt;0, "NC",
                IF(MAX(IFERROR(SEARCH("DQ",MAIN!G302:J302), 0))&gt;0, "DQ",
                IF(ISNUMBER(SEARCH("WD",MAIN!K302)), "WD",
                IF(ISNUMBER(SEARCH("NS",MAIN!K302)), "NS",
                IF(ISNUMBER(SEARCH("NC",MAIN!K302)), "NC",
                IF(ISNUMBER(SEARCH("DQ",MAIN!K302)), "DQ",
                IF(ISNUMBER(SEARCH("A",MAIN!K302)), 0,
                IF(OR(MAIN!K302=0,MAIN!K302=""), 0, --TRIM(MAIN!K302)))))))))))),
            0
        )
    ),
    IFERROR(
        UPPER(
            IF(MAX(IFERROR(SEARCH("WD",MAIN!G302:J302), 0))&gt;0, "WD",
            IF(MAX(IFERROR(SEARCH("NS",MAIN!G302:J302), 0))&gt;0, "NS",
            IF(MAX(IFERROR(SEARCH("NC",MAIN!G302:J302), 0))&gt;0, "NC",
            IF(MAX(IFERROR(SEARCH("DQ",MAIN!G302:J302), 0))&gt;0, "DQ",
            IF(ISNUMBER(SEARCH("WD",MAIN!K302)), "WD",
            IF(ISNUMBER(SEARCH("NS",MAIN!K302)), "NS",
            IF(ISNUMBER(SEARCH("NC",MAIN!K302)), "NC",
            IF(ISNUMBER(SEARCH("DQ",MAIN!K302)), "DQ",
            IF(ISNUMBER(SEARCH("A",MAIN!K302)), 0,
            IF(OR(MAIN!K302=0,MAIN!K302=""), 0, --TRIM(MAIN!K302)))))))))))),
        0
    )
)</f>
        <v>0</v>
      </c>
    </row>
    <row r="303" spans="1:11" x14ac:dyDescent="0.25">
      <c r="A303" t="str">
        <f>IF(ISBLANK(MAIN!A303), "--", IFERROR(PROPER(SUBSTITUTE(SUBSTITUTE(SUBSTITUTE(SUBSTITUTE(SUBSTITUTE(SUBSTITUTE(SUBSTITUTE(SUBSTITUTE(SUBSTITUTE(SUBSTITUTE(LEFT(MAIN!A303, FIND(",",MAIN!A303) -1), "0", ""), "1", ""), "2", ""), "3", ""), "4", ""), "5", ""), "6", ""), "7", ""), "8", ""), "9", "")), PROPER(SUBSTITUTE(SUBSTITUTE(SUBSTITUTE(SUBSTITUTE(SUBSTITUTE(SUBSTITUTE(SUBSTITUTE(SUBSTITUTE(SUBSTITUTE(SUBSTITUTE(MAIN!A303, "0", ""), "1", ""), "2", ""), "3", ""), "4", ""), "5", ""), "6", ""), "7", ""), "8", ""), "9", ""))))</f>
        <v>--</v>
      </c>
      <c r="B303" t="str">
        <f>IF(ISBLANK(MAIN!B303), "--", IFERROR(PROPER(SUBSTITUTE(SUBSTITUTE(SUBSTITUTE(SUBSTITUTE(SUBSTITUTE(SUBSTITUTE(SUBSTITUTE(SUBSTITUTE(SUBSTITUTE(SUBSTITUTE(LEFT(MAIN!B303, FIND(",",MAIN!B303) -1), "0", ""), "1", ""), "2", ""), "3", ""), "4", ""), "5", ""), "6", ""), "7", ""), "8", ""), "9", "")), PROPER(SUBSTITUTE(SUBSTITUTE(SUBSTITUTE(SUBSTITUTE(SUBSTITUTE(SUBSTITUTE(SUBSTITUTE(SUBSTITUTE(SUBSTITUTE(SUBSTITUTE(MAIN!B303, "0", ""), "1", ""), "2", ""), "3", ""), "4", ""), "5", ""), "6", ""), "7", ""), "8", ""), "9", ""))))</f>
        <v>--</v>
      </c>
      <c r="C303" t="str">
        <f>IF(ISBLANK(MAIN!C303), "--", IFERROR(PROPER(SUBSTITUTE(SUBSTITUTE(SUBSTITUTE(SUBSTITUTE(SUBSTITUTE(SUBSTITUTE(SUBSTITUTE(SUBSTITUTE(SUBSTITUTE(SUBSTITUTE(LEFT(MAIN!C303, FIND(",",MAIN!C303) -1), "0", ""), "1", ""), "2", ""), "3", ""), "4", ""), "5", ""), "6", ""), "7", ""), "8", ""), "9", "")), PROPER(SUBSTITUTE(SUBSTITUTE(SUBSTITUTE(SUBSTITUTE(SUBSTITUTE(SUBSTITUTE(SUBSTITUTE(SUBSTITUTE(SUBSTITUTE(SUBSTITUTE(MAIN!C303, "0", ""), "1", ""), "2", ""), "3", ""), "4", ""), "5", ""), "6", ""), "7", ""), "8", ""), "9", ""))))</f>
        <v>--</v>
      </c>
      <c r="D303" t="str">
        <f>IF(ISBLANK(MAIN!D303), "--", IF(ISNUMBER(MATCH(SUBSTITUTE(LEFT(MAIN!D303, IFERROR(FIND(",", MAIN!D303)-1, LEN(MAIN!D303))), " ", ""), lookup_values!$B$2:$B$51, 0)), UPPER(SUBSTITUTE(LEFT(MAIN!D303, IFERROR(FIND(",", MAIN!D303)-1, LEN(MAIN!D303))), " ", "")), IF(ISNA(VLOOKUP(SUBSTITUTE(LEFT(MAIN!D303, IFERROR(FIND(",", MAIN!D303)-1, LEN(MAIN!D303))), " ", ""), lookup_values!$A$2:$B$51, 2, FALSE)), "--", VLOOKUP(SUBSTITUTE(LEFT(MAIN!D303, IFERROR(FIND(",", MAIN!D303)-1, LEN(MAIN!D303))), " ", ""), lookup_values!$A$2:$B$51, 2, FALSE))))</f>
        <v>--</v>
      </c>
      <c r="E303" t="str">
        <f>IF(CLEAN_DATA!D303&lt;&gt;"--","US",IF(ISBLANK(MAIN!E303), "--", IF(ISNUMBER(MATCH(SUBSTITUTE(LEFT(MAIN!E303, IFERROR(FIND(",", MAIN!E303)-1, LEN(MAIN!E303))), " ", ""), lookup_values!$E$2:$E$197, 0)), UPPER(SUBSTITUTE(LEFT(MAIN!E303, IFERROR(FIND(",", MAIN!E303)-1, LEN(MAIN!E303))), " ", "")), IF(ISNA(VLOOKUP(SUBSTITUTE(LEFT(MAIN!E303, IFERROR(FIND(",", MAIN!E303)-1, LEN(MAIN!E303))), " ", ""), lookup_values!$D$2:$E$197, 2, FALSE)), "--", VLOOKUP(SUBSTITUTE(LEFT(MAIN!E303, IFERROR(FIND(",", MAIN!E303)-1, LEN(MAIN!E303))), " ", ""), lookup_values!$D$2:$E$197, 2, FALSE)))))</f>
        <v>--</v>
      </c>
      <c r="F303" t="str">
        <f>IF(ISBLANK(MAIN!F303), "", IF(AND(ISNUMBER(VALUE(TRIM(MAIN!F303))), LEN(TRIM(MAIN!F303))=4), VALUE(TRIM(MAIN!F303)), ""))</f>
        <v/>
      </c>
      <c r="G303">
        <f>IF(ISBLANK(MAIN!G303), 0, IF(ISNUMBER(VALUE(TRIM(MAIN!G303))), VALUE(TRIM(MAIN!G303)), 0))</f>
        <v>0</v>
      </c>
      <c r="H303">
        <f>IF(ISBLANK(MAIN!H303), 0, IF(ISNUMBER(VALUE(TRIM(MAIN!H303))), VALUE(TRIM(MAIN!H303)), 0))</f>
        <v>0</v>
      </c>
      <c r="I303">
        <f>IF(ISBLANK(MAIN!I303), 0, IF(ISNUMBER(VALUE(TRIM(MAIN!I303))), VALUE(TRIM(MAIN!I303)), 0))</f>
        <v>0</v>
      </c>
      <c r="J303">
        <f>IF(ISBLANK(MAIN!J303), 0, IF(ISNUMBER(VALUE(TRIM(MAIN!J303))), VALUE(TRIM(MAIN!J303)), 0))</f>
        <v>0</v>
      </c>
      <c r="K303" cm="1">
        <f t="array" ref="K303">IFERROR(
    VALUE(
        IFERROR(
            UPPER(
                IF(MAX(IFERROR(SEARCH("WD",MAIN!G303:J303), 0))&gt;0, "WD",
                IF(MAX(IFERROR(SEARCH("NS",MAIN!G303:J303), 0))&gt;0, "NS",
                IF(MAX(IFERROR(SEARCH("NC",MAIN!G303:J303), 0))&gt;0, "NC",
                IF(MAX(IFERROR(SEARCH("DQ",MAIN!G303:J303), 0))&gt;0, "DQ",
                IF(ISNUMBER(SEARCH("WD",MAIN!K303)), "WD",
                IF(ISNUMBER(SEARCH("NS",MAIN!K303)), "NS",
                IF(ISNUMBER(SEARCH("NC",MAIN!K303)), "NC",
                IF(ISNUMBER(SEARCH("DQ",MAIN!K303)), "DQ",
                IF(ISNUMBER(SEARCH("A",MAIN!K303)), 0,
                IF(OR(MAIN!K303=0,MAIN!K303=""), 0, --TRIM(MAIN!K303)))))))))))),
            0
        )
    ),
    IFERROR(
        UPPER(
            IF(MAX(IFERROR(SEARCH("WD",MAIN!G303:J303), 0))&gt;0, "WD",
            IF(MAX(IFERROR(SEARCH("NS",MAIN!G303:J303), 0))&gt;0, "NS",
            IF(MAX(IFERROR(SEARCH("NC",MAIN!G303:J303), 0))&gt;0, "NC",
            IF(MAX(IFERROR(SEARCH("DQ",MAIN!G303:J303), 0))&gt;0, "DQ",
            IF(ISNUMBER(SEARCH("WD",MAIN!K303)), "WD",
            IF(ISNUMBER(SEARCH("NS",MAIN!K303)), "NS",
            IF(ISNUMBER(SEARCH("NC",MAIN!K303)), "NC",
            IF(ISNUMBER(SEARCH("DQ",MAIN!K303)), "DQ",
            IF(ISNUMBER(SEARCH("A",MAIN!K303)), 0,
            IF(OR(MAIN!K303=0,MAIN!K303=""), 0, --TRIM(MAIN!K303)))))))))))),
        0
    )
)</f>
        <v>0</v>
      </c>
    </row>
    <row r="304" spans="1:11" x14ac:dyDescent="0.25">
      <c r="A304" t="str">
        <f>IF(ISBLANK(MAIN!A304), "--", IFERROR(PROPER(SUBSTITUTE(SUBSTITUTE(SUBSTITUTE(SUBSTITUTE(SUBSTITUTE(SUBSTITUTE(SUBSTITUTE(SUBSTITUTE(SUBSTITUTE(SUBSTITUTE(LEFT(MAIN!A304, FIND(",",MAIN!A304) -1), "0", ""), "1", ""), "2", ""), "3", ""), "4", ""), "5", ""), "6", ""), "7", ""), "8", ""), "9", "")), PROPER(SUBSTITUTE(SUBSTITUTE(SUBSTITUTE(SUBSTITUTE(SUBSTITUTE(SUBSTITUTE(SUBSTITUTE(SUBSTITUTE(SUBSTITUTE(SUBSTITUTE(MAIN!A304, "0", ""), "1", ""), "2", ""), "3", ""), "4", ""), "5", ""), "6", ""), "7", ""), "8", ""), "9", ""))))</f>
        <v>--</v>
      </c>
      <c r="B304" t="str">
        <f>IF(ISBLANK(MAIN!B304), "--", IFERROR(PROPER(SUBSTITUTE(SUBSTITUTE(SUBSTITUTE(SUBSTITUTE(SUBSTITUTE(SUBSTITUTE(SUBSTITUTE(SUBSTITUTE(SUBSTITUTE(SUBSTITUTE(LEFT(MAIN!B304, FIND(",",MAIN!B304) -1), "0", ""), "1", ""), "2", ""), "3", ""), "4", ""), "5", ""), "6", ""), "7", ""), "8", ""), "9", "")), PROPER(SUBSTITUTE(SUBSTITUTE(SUBSTITUTE(SUBSTITUTE(SUBSTITUTE(SUBSTITUTE(SUBSTITUTE(SUBSTITUTE(SUBSTITUTE(SUBSTITUTE(MAIN!B304, "0", ""), "1", ""), "2", ""), "3", ""), "4", ""), "5", ""), "6", ""), "7", ""), "8", ""), "9", ""))))</f>
        <v>--</v>
      </c>
      <c r="C304" t="str">
        <f>IF(ISBLANK(MAIN!C304), "--", IFERROR(PROPER(SUBSTITUTE(SUBSTITUTE(SUBSTITUTE(SUBSTITUTE(SUBSTITUTE(SUBSTITUTE(SUBSTITUTE(SUBSTITUTE(SUBSTITUTE(SUBSTITUTE(LEFT(MAIN!C304, FIND(",",MAIN!C304) -1), "0", ""), "1", ""), "2", ""), "3", ""), "4", ""), "5", ""), "6", ""), "7", ""), "8", ""), "9", "")), PROPER(SUBSTITUTE(SUBSTITUTE(SUBSTITUTE(SUBSTITUTE(SUBSTITUTE(SUBSTITUTE(SUBSTITUTE(SUBSTITUTE(SUBSTITUTE(SUBSTITUTE(MAIN!C304, "0", ""), "1", ""), "2", ""), "3", ""), "4", ""), "5", ""), "6", ""), "7", ""), "8", ""), "9", ""))))</f>
        <v>--</v>
      </c>
      <c r="D304" t="str">
        <f>IF(ISBLANK(MAIN!D304), "--", IF(ISNUMBER(MATCH(SUBSTITUTE(LEFT(MAIN!D304, IFERROR(FIND(",", MAIN!D304)-1, LEN(MAIN!D304))), " ", ""), lookup_values!$B$2:$B$51, 0)), UPPER(SUBSTITUTE(LEFT(MAIN!D304, IFERROR(FIND(",", MAIN!D304)-1, LEN(MAIN!D304))), " ", "")), IF(ISNA(VLOOKUP(SUBSTITUTE(LEFT(MAIN!D304, IFERROR(FIND(",", MAIN!D304)-1, LEN(MAIN!D304))), " ", ""), lookup_values!$A$2:$B$51, 2, FALSE)), "--", VLOOKUP(SUBSTITUTE(LEFT(MAIN!D304, IFERROR(FIND(",", MAIN!D304)-1, LEN(MAIN!D304))), " ", ""), lookup_values!$A$2:$B$51, 2, FALSE))))</f>
        <v>--</v>
      </c>
      <c r="E304" t="str">
        <f>IF(CLEAN_DATA!D304&lt;&gt;"--","US",IF(ISBLANK(MAIN!E304), "--", IF(ISNUMBER(MATCH(SUBSTITUTE(LEFT(MAIN!E304, IFERROR(FIND(",", MAIN!E304)-1, LEN(MAIN!E304))), " ", ""), lookup_values!$E$2:$E$197, 0)), UPPER(SUBSTITUTE(LEFT(MAIN!E304, IFERROR(FIND(",", MAIN!E304)-1, LEN(MAIN!E304))), " ", "")), IF(ISNA(VLOOKUP(SUBSTITUTE(LEFT(MAIN!E304, IFERROR(FIND(",", MAIN!E304)-1, LEN(MAIN!E304))), " ", ""), lookup_values!$D$2:$E$197, 2, FALSE)), "--", VLOOKUP(SUBSTITUTE(LEFT(MAIN!E304, IFERROR(FIND(",", MAIN!E304)-1, LEN(MAIN!E304))), " ", ""), lookup_values!$D$2:$E$197, 2, FALSE)))))</f>
        <v>--</v>
      </c>
      <c r="F304" t="str">
        <f>IF(ISBLANK(MAIN!F304), "", IF(AND(ISNUMBER(VALUE(TRIM(MAIN!F304))), LEN(TRIM(MAIN!F304))=4), VALUE(TRIM(MAIN!F304)), ""))</f>
        <v/>
      </c>
      <c r="G304">
        <f>IF(ISBLANK(MAIN!G304), 0, IF(ISNUMBER(VALUE(TRIM(MAIN!G304))), VALUE(TRIM(MAIN!G304)), 0))</f>
        <v>0</v>
      </c>
      <c r="H304">
        <f>IF(ISBLANK(MAIN!H304), 0, IF(ISNUMBER(VALUE(TRIM(MAIN!H304))), VALUE(TRIM(MAIN!H304)), 0))</f>
        <v>0</v>
      </c>
      <c r="I304">
        <f>IF(ISBLANK(MAIN!I304), 0, IF(ISNUMBER(VALUE(TRIM(MAIN!I304))), VALUE(TRIM(MAIN!I304)), 0))</f>
        <v>0</v>
      </c>
      <c r="J304">
        <f>IF(ISBLANK(MAIN!J304), 0, IF(ISNUMBER(VALUE(TRIM(MAIN!J304))), VALUE(TRIM(MAIN!J304)), 0))</f>
        <v>0</v>
      </c>
      <c r="K304" cm="1">
        <f t="array" ref="K304">IFERROR(
    VALUE(
        IFERROR(
            UPPER(
                IF(MAX(IFERROR(SEARCH("WD",MAIN!G304:J304), 0))&gt;0, "WD",
                IF(MAX(IFERROR(SEARCH("NS",MAIN!G304:J304), 0))&gt;0, "NS",
                IF(MAX(IFERROR(SEARCH("NC",MAIN!G304:J304), 0))&gt;0, "NC",
                IF(MAX(IFERROR(SEARCH("DQ",MAIN!G304:J304), 0))&gt;0, "DQ",
                IF(ISNUMBER(SEARCH("WD",MAIN!K304)), "WD",
                IF(ISNUMBER(SEARCH("NS",MAIN!K304)), "NS",
                IF(ISNUMBER(SEARCH("NC",MAIN!K304)), "NC",
                IF(ISNUMBER(SEARCH("DQ",MAIN!K304)), "DQ",
                IF(ISNUMBER(SEARCH("A",MAIN!K304)), 0,
                IF(OR(MAIN!K304=0,MAIN!K304=""), 0, --TRIM(MAIN!K304)))))))))))),
            0
        )
    ),
    IFERROR(
        UPPER(
            IF(MAX(IFERROR(SEARCH("WD",MAIN!G304:J304), 0))&gt;0, "WD",
            IF(MAX(IFERROR(SEARCH("NS",MAIN!G304:J304), 0))&gt;0, "NS",
            IF(MAX(IFERROR(SEARCH("NC",MAIN!G304:J304), 0))&gt;0, "NC",
            IF(MAX(IFERROR(SEARCH("DQ",MAIN!G304:J304), 0))&gt;0, "DQ",
            IF(ISNUMBER(SEARCH("WD",MAIN!K304)), "WD",
            IF(ISNUMBER(SEARCH("NS",MAIN!K304)), "NS",
            IF(ISNUMBER(SEARCH("NC",MAIN!K304)), "NC",
            IF(ISNUMBER(SEARCH("DQ",MAIN!K304)), "DQ",
            IF(ISNUMBER(SEARCH("A",MAIN!K304)), 0,
            IF(OR(MAIN!K304=0,MAIN!K304=""), 0, --TRIM(MAIN!K304)))))))))))),
        0
    )
)</f>
        <v>0</v>
      </c>
    </row>
    <row r="305" spans="1:11" x14ac:dyDescent="0.25">
      <c r="A305" t="str">
        <f>IF(ISBLANK(MAIN!A305), "--", IFERROR(PROPER(SUBSTITUTE(SUBSTITUTE(SUBSTITUTE(SUBSTITUTE(SUBSTITUTE(SUBSTITUTE(SUBSTITUTE(SUBSTITUTE(SUBSTITUTE(SUBSTITUTE(LEFT(MAIN!A305, FIND(",",MAIN!A305) -1), "0", ""), "1", ""), "2", ""), "3", ""), "4", ""), "5", ""), "6", ""), "7", ""), "8", ""), "9", "")), PROPER(SUBSTITUTE(SUBSTITUTE(SUBSTITUTE(SUBSTITUTE(SUBSTITUTE(SUBSTITUTE(SUBSTITUTE(SUBSTITUTE(SUBSTITUTE(SUBSTITUTE(MAIN!A305, "0", ""), "1", ""), "2", ""), "3", ""), "4", ""), "5", ""), "6", ""), "7", ""), "8", ""), "9", ""))))</f>
        <v>--</v>
      </c>
      <c r="B305" t="str">
        <f>IF(ISBLANK(MAIN!B305), "--", IFERROR(PROPER(SUBSTITUTE(SUBSTITUTE(SUBSTITUTE(SUBSTITUTE(SUBSTITUTE(SUBSTITUTE(SUBSTITUTE(SUBSTITUTE(SUBSTITUTE(SUBSTITUTE(LEFT(MAIN!B305, FIND(",",MAIN!B305) -1), "0", ""), "1", ""), "2", ""), "3", ""), "4", ""), "5", ""), "6", ""), "7", ""), "8", ""), "9", "")), PROPER(SUBSTITUTE(SUBSTITUTE(SUBSTITUTE(SUBSTITUTE(SUBSTITUTE(SUBSTITUTE(SUBSTITUTE(SUBSTITUTE(SUBSTITUTE(SUBSTITUTE(MAIN!B305, "0", ""), "1", ""), "2", ""), "3", ""), "4", ""), "5", ""), "6", ""), "7", ""), "8", ""), "9", ""))))</f>
        <v>--</v>
      </c>
      <c r="C305" t="str">
        <f>IF(ISBLANK(MAIN!C305), "--", IFERROR(PROPER(SUBSTITUTE(SUBSTITUTE(SUBSTITUTE(SUBSTITUTE(SUBSTITUTE(SUBSTITUTE(SUBSTITUTE(SUBSTITUTE(SUBSTITUTE(SUBSTITUTE(LEFT(MAIN!C305, FIND(",",MAIN!C305) -1), "0", ""), "1", ""), "2", ""), "3", ""), "4", ""), "5", ""), "6", ""), "7", ""), "8", ""), "9", "")), PROPER(SUBSTITUTE(SUBSTITUTE(SUBSTITUTE(SUBSTITUTE(SUBSTITUTE(SUBSTITUTE(SUBSTITUTE(SUBSTITUTE(SUBSTITUTE(SUBSTITUTE(MAIN!C305, "0", ""), "1", ""), "2", ""), "3", ""), "4", ""), "5", ""), "6", ""), "7", ""), "8", ""), "9", ""))))</f>
        <v>--</v>
      </c>
      <c r="D305" t="str">
        <f>IF(ISBLANK(MAIN!D305), "--", IF(ISNUMBER(MATCH(SUBSTITUTE(LEFT(MAIN!D305, IFERROR(FIND(",", MAIN!D305)-1, LEN(MAIN!D305))), " ", ""), lookup_values!$B$2:$B$51, 0)), UPPER(SUBSTITUTE(LEFT(MAIN!D305, IFERROR(FIND(",", MAIN!D305)-1, LEN(MAIN!D305))), " ", "")), IF(ISNA(VLOOKUP(SUBSTITUTE(LEFT(MAIN!D305, IFERROR(FIND(",", MAIN!D305)-1, LEN(MAIN!D305))), " ", ""), lookup_values!$A$2:$B$51, 2, FALSE)), "--", VLOOKUP(SUBSTITUTE(LEFT(MAIN!D305, IFERROR(FIND(",", MAIN!D305)-1, LEN(MAIN!D305))), " ", ""), lookup_values!$A$2:$B$51, 2, FALSE))))</f>
        <v>--</v>
      </c>
      <c r="E305" t="str">
        <f>IF(CLEAN_DATA!D305&lt;&gt;"--","US",IF(ISBLANK(MAIN!E305), "--", IF(ISNUMBER(MATCH(SUBSTITUTE(LEFT(MAIN!E305, IFERROR(FIND(",", MAIN!E305)-1, LEN(MAIN!E305))), " ", ""), lookup_values!$E$2:$E$197, 0)), UPPER(SUBSTITUTE(LEFT(MAIN!E305, IFERROR(FIND(",", MAIN!E305)-1, LEN(MAIN!E305))), " ", "")), IF(ISNA(VLOOKUP(SUBSTITUTE(LEFT(MAIN!E305, IFERROR(FIND(",", MAIN!E305)-1, LEN(MAIN!E305))), " ", ""), lookup_values!$D$2:$E$197, 2, FALSE)), "--", VLOOKUP(SUBSTITUTE(LEFT(MAIN!E305, IFERROR(FIND(",", MAIN!E305)-1, LEN(MAIN!E305))), " ", ""), lookup_values!$D$2:$E$197, 2, FALSE)))))</f>
        <v>--</v>
      </c>
      <c r="F305" t="str">
        <f>IF(ISBLANK(MAIN!F305), "", IF(AND(ISNUMBER(VALUE(TRIM(MAIN!F305))), LEN(TRIM(MAIN!F305))=4), VALUE(TRIM(MAIN!F305)), ""))</f>
        <v/>
      </c>
      <c r="G305">
        <f>IF(ISBLANK(MAIN!G305), 0, IF(ISNUMBER(VALUE(TRIM(MAIN!G305))), VALUE(TRIM(MAIN!G305)), 0))</f>
        <v>0</v>
      </c>
      <c r="H305">
        <f>IF(ISBLANK(MAIN!H305), 0, IF(ISNUMBER(VALUE(TRIM(MAIN!H305))), VALUE(TRIM(MAIN!H305)), 0))</f>
        <v>0</v>
      </c>
      <c r="I305">
        <f>IF(ISBLANK(MAIN!I305), 0, IF(ISNUMBER(VALUE(TRIM(MAIN!I305))), VALUE(TRIM(MAIN!I305)), 0))</f>
        <v>0</v>
      </c>
      <c r="J305">
        <f>IF(ISBLANK(MAIN!J305), 0, IF(ISNUMBER(VALUE(TRIM(MAIN!J305))), VALUE(TRIM(MAIN!J305)), 0))</f>
        <v>0</v>
      </c>
      <c r="K305" cm="1">
        <f t="array" ref="K305">IFERROR(
    VALUE(
        IFERROR(
            UPPER(
                IF(MAX(IFERROR(SEARCH("WD",MAIN!G305:J305), 0))&gt;0, "WD",
                IF(MAX(IFERROR(SEARCH("NS",MAIN!G305:J305), 0))&gt;0, "NS",
                IF(MAX(IFERROR(SEARCH("NC",MAIN!G305:J305), 0))&gt;0, "NC",
                IF(MAX(IFERROR(SEARCH("DQ",MAIN!G305:J305), 0))&gt;0, "DQ",
                IF(ISNUMBER(SEARCH("WD",MAIN!K305)), "WD",
                IF(ISNUMBER(SEARCH("NS",MAIN!K305)), "NS",
                IF(ISNUMBER(SEARCH("NC",MAIN!K305)), "NC",
                IF(ISNUMBER(SEARCH("DQ",MAIN!K305)), "DQ",
                IF(ISNUMBER(SEARCH("A",MAIN!K305)), 0,
                IF(OR(MAIN!K305=0,MAIN!K305=""), 0, --TRIM(MAIN!K305)))))))))))),
            0
        )
    ),
    IFERROR(
        UPPER(
            IF(MAX(IFERROR(SEARCH("WD",MAIN!G305:J305), 0))&gt;0, "WD",
            IF(MAX(IFERROR(SEARCH("NS",MAIN!G305:J305), 0))&gt;0, "NS",
            IF(MAX(IFERROR(SEARCH("NC",MAIN!G305:J305), 0))&gt;0, "NC",
            IF(MAX(IFERROR(SEARCH("DQ",MAIN!G305:J305), 0))&gt;0, "DQ",
            IF(ISNUMBER(SEARCH("WD",MAIN!K305)), "WD",
            IF(ISNUMBER(SEARCH("NS",MAIN!K305)), "NS",
            IF(ISNUMBER(SEARCH("NC",MAIN!K305)), "NC",
            IF(ISNUMBER(SEARCH("DQ",MAIN!K305)), "DQ",
            IF(ISNUMBER(SEARCH("A",MAIN!K305)), 0,
            IF(OR(MAIN!K305=0,MAIN!K305=""), 0, --TRIM(MAIN!K305)))))))))))),
        0
    )
)</f>
        <v>0</v>
      </c>
    </row>
    <row r="306" spans="1:11" x14ac:dyDescent="0.25">
      <c r="A306" t="str">
        <f>IF(ISBLANK(MAIN!A306), "--", IFERROR(PROPER(SUBSTITUTE(SUBSTITUTE(SUBSTITUTE(SUBSTITUTE(SUBSTITUTE(SUBSTITUTE(SUBSTITUTE(SUBSTITUTE(SUBSTITUTE(SUBSTITUTE(LEFT(MAIN!A306, FIND(",",MAIN!A306) -1), "0", ""), "1", ""), "2", ""), "3", ""), "4", ""), "5", ""), "6", ""), "7", ""), "8", ""), "9", "")), PROPER(SUBSTITUTE(SUBSTITUTE(SUBSTITUTE(SUBSTITUTE(SUBSTITUTE(SUBSTITUTE(SUBSTITUTE(SUBSTITUTE(SUBSTITUTE(SUBSTITUTE(MAIN!A306, "0", ""), "1", ""), "2", ""), "3", ""), "4", ""), "5", ""), "6", ""), "7", ""), "8", ""), "9", ""))))</f>
        <v>--</v>
      </c>
      <c r="B306" t="str">
        <f>IF(ISBLANK(MAIN!B306), "--", IFERROR(PROPER(SUBSTITUTE(SUBSTITUTE(SUBSTITUTE(SUBSTITUTE(SUBSTITUTE(SUBSTITUTE(SUBSTITUTE(SUBSTITUTE(SUBSTITUTE(SUBSTITUTE(LEFT(MAIN!B306, FIND(",",MAIN!B306) -1), "0", ""), "1", ""), "2", ""), "3", ""), "4", ""), "5", ""), "6", ""), "7", ""), "8", ""), "9", "")), PROPER(SUBSTITUTE(SUBSTITUTE(SUBSTITUTE(SUBSTITUTE(SUBSTITUTE(SUBSTITUTE(SUBSTITUTE(SUBSTITUTE(SUBSTITUTE(SUBSTITUTE(MAIN!B306, "0", ""), "1", ""), "2", ""), "3", ""), "4", ""), "5", ""), "6", ""), "7", ""), "8", ""), "9", ""))))</f>
        <v>--</v>
      </c>
      <c r="C306" t="str">
        <f>IF(ISBLANK(MAIN!C306), "--", IFERROR(PROPER(SUBSTITUTE(SUBSTITUTE(SUBSTITUTE(SUBSTITUTE(SUBSTITUTE(SUBSTITUTE(SUBSTITUTE(SUBSTITUTE(SUBSTITUTE(SUBSTITUTE(LEFT(MAIN!C306, FIND(",",MAIN!C306) -1), "0", ""), "1", ""), "2", ""), "3", ""), "4", ""), "5", ""), "6", ""), "7", ""), "8", ""), "9", "")), PROPER(SUBSTITUTE(SUBSTITUTE(SUBSTITUTE(SUBSTITUTE(SUBSTITUTE(SUBSTITUTE(SUBSTITUTE(SUBSTITUTE(SUBSTITUTE(SUBSTITUTE(MAIN!C306, "0", ""), "1", ""), "2", ""), "3", ""), "4", ""), "5", ""), "6", ""), "7", ""), "8", ""), "9", ""))))</f>
        <v>--</v>
      </c>
      <c r="D306" t="str">
        <f>IF(ISBLANK(MAIN!D306), "--", IF(ISNUMBER(MATCH(SUBSTITUTE(LEFT(MAIN!D306, IFERROR(FIND(",", MAIN!D306)-1, LEN(MAIN!D306))), " ", ""), lookup_values!$B$2:$B$51, 0)), UPPER(SUBSTITUTE(LEFT(MAIN!D306, IFERROR(FIND(",", MAIN!D306)-1, LEN(MAIN!D306))), " ", "")), IF(ISNA(VLOOKUP(SUBSTITUTE(LEFT(MAIN!D306, IFERROR(FIND(",", MAIN!D306)-1, LEN(MAIN!D306))), " ", ""), lookup_values!$A$2:$B$51, 2, FALSE)), "--", VLOOKUP(SUBSTITUTE(LEFT(MAIN!D306, IFERROR(FIND(",", MAIN!D306)-1, LEN(MAIN!D306))), " ", ""), lookup_values!$A$2:$B$51, 2, FALSE))))</f>
        <v>--</v>
      </c>
      <c r="E306" t="str">
        <f>IF(CLEAN_DATA!D306&lt;&gt;"--","US",IF(ISBLANK(MAIN!E306), "--", IF(ISNUMBER(MATCH(SUBSTITUTE(LEFT(MAIN!E306, IFERROR(FIND(",", MAIN!E306)-1, LEN(MAIN!E306))), " ", ""), lookup_values!$E$2:$E$197, 0)), UPPER(SUBSTITUTE(LEFT(MAIN!E306, IFERROR(FIND(",", MAIN!E306)-1, LEN(MAIN!E306))), " ", "")), IF(ISNA(VLOOKUP(SUBSTITUTE(LEFT(MAIN!E306, IFERROR(FIND(",", MAIN!E306)-1, LEN(MAIN!E306))), " ", ""), lookup_values!$D$2:$E$197, 2, FALSE)), "--", VLOOKUP(SUBSTITUTE(LEFT(MAIN!E306, IFERROR(FIND(",", MAIN!E306)-1, LEN(MAIN!E306))), " ", ""), lookup_values!$D$2:$E$197, 2, FALSE)))))</f>
        <v>--</v>
      </c>
      <c r="F306" t="str">
        <f>IF(ISBLANK(MAIN!F306), "", IF(AND(ISNUMBER(VALUE(TRIM(MAIN!F306))), LEN(TRIM(MAIN!F306))=4), VALUE(TRIM(MAIN!F306)), ""))</f>
        <v/>
      </c>
      <c r="G306">
        <f>IF(ISBLANK(MAIN!G306), 0, IF(ISNUMBER(VALUE(TRIM(MAIN!G306))), VALUE(TRIM(MAIN!G306)), 0))</f>
        <v>0</v>
      </c>
      <c r="H306">
        <f>IF(ISBLANK(MAIN!H306), 0, IF(ISNUMBER(VALUE(TRIM(MAIN!H306))), VALUE(TRIM(MAIN!H306)), 0))</f>
        <v>0</v>
      </c>
      <c r="I306">
        <f>IF(ISBLANK(MAIN!I306), 0, IF(ISNUMBER(VALUE(TRIM(MAIN!I306))), VALUE(TRIM(MAIN!I306)), 0))</f>
        <v>0</v>
      </c>
      <c r="J306">
        <f>IF(ISBLANK(MAIN!J306), 0, IF(ISNUMBER(VALUE(TRIM(MAIN!J306))), VALUE(TRIM(MAIN!J306)), 0))</f>
        <v>0</v>
      </c>
      <c r="K306" cm="1">
        <f t="array" ref="K306">IFERROR(
    VALUE(
        IFERROR(
            UPPER(
                IF(MAX(IFERROR(SEARCH("WD",MAIN!G306:J306), 0))&gt;0, "WD",
                IF(MAX(IFERROR(SEARCH("NS",MAIN!G306:J306), 0))&gt;0, "NS",
                IF(MAX(IFERROR(SEARCH("NC",MAIN!G306:J306), 0))&gt;0, "NC",
                IF(MAX(IFERROR(SEARCH("DQ",MAIN!G306:J306), 0))&gt;0, "DQ",
                IF(ISNUMBER(SEARCH("WD",MAIN!K306)), "WD",
                IF(ISNUMBER(SEARCH("NS",MAIN!K306)), "NS",
                IF(ISNUMBER(SEARCH("NC",MAIN!K306)), "NC",
                IF(ISNUMBER(SEARCH("DQ",MAIN!K306)), "DQ",
                IF(ISNUMBER(SEARCH("A",MAIN!K306)), 0,
                IF(OR(MAIN!K306=0,MAIN!K306=""), 0, --TRIM(MAIN!K306)))))))))))),
            0
        )
    ),
    IFERROR(
        UPPER(
            IF(MAX(IFERROR(SEARCH("WD",MAIN!G306:J306), 0))&gt;0, "WD",
            IF(MAX(IFERROR(SEARCH("NS",MAIN!G306:J306), 0))&gt;0, "NS",
            IF(MAX(IFERROR(SEARCH("NC",MAIN!G306:J306), 0))&gt;0, "NC",
            IF(MAX(IFERROR(SEARCH("DQ",MAIN!G306:J306), 0))&gt;0, "DQ",
            IF(ISNUMBER(SEARCH("WD",MAIN!K306)), "WD",
            IF(ISNUMBER(SEARCH("NS",MAIN!K306)), "NS",
            IF(ISNUMBER(SEARCH("NC",MAIN!K306)), "NC",
            IF(ISNUMBER(SEARCH("DQ",MAIN!K306)), "DQ",
            IF(ISNUMBER(SEARCH("A",MAIN!K306)), 0,
            IF(OR(MAIN!K306=0,MAIN!K306=""), 0, --TRIM(MAIN!K306)))))))))))),
        0
    )
)</f>
        <v>0</v>
      </c>
    </row>
    <row r="307" spans="1:11" x14ac:dyDescent="0.25">
      <c r="A307" t="str">
        <f>IF(ISBLANK(MAIN!A307), "--", IFERROR(PROPER(SUBSTITUTE(SUBSTITUTE(SUBSTITUTE(SUBSTITUTE(SUBSTITUTE(SUBSTITUTE(SUBSTITUTE(SUBSTITUTE(SUBSTITUTE(SUBSTITUTE(LEFT(MAIN!A307, FIND(",",MAIN!A307) -1), "0", ""), "1", ""), "2", ""), "3", ""), "4", ""), "5", ""), "6", ""), "7", ""), "8", ""), "9", "")), PROPER(SUBSTITUTE(SUBSTITUTE(SUBSTITUTE(SUBSTITUTE(SUBSTITUTE(SUBSTITUTE(SUBSTITUTE(SUBSTITUTE(SUBSTITUTE(SUBSTITUTE(MAIN!A307, "0", ""), "1", ""), "2", ""), "3", ""), "4", ""), "5", ""), "6", ""), "7", ""), "8", ""), "9", ""))))</f>
        <v>--</v>
      </c>
      <c r="B307" t="str">
        <f>IF(ISBLANK(MAIN!B307), "--", IFERROR(PROPER(SUBSTITUTE(SUBSTITUTE(SUBSTITUTE(SUBSTITUTE(SUBSTITUTE(SUBSTITUTE(SUBSTITUTE(SUBSTITUTE(SUBSTITUTE(SUBSTITUTE(LEFT(MAIN!B307, FIND(",",MAIN!B307) -1), "0", ""), "1", ""), "2", ""), "3", ""), "4", ""), "5", ""), "6", ""), "7", ""), "8", ""), "9", "")), PROPER(SUBSTITUTE(SUBSTITUTE(SUBSTITUTE(SUBSTITUTE(SUBSTITUTE(SUBSTITUTE(SUBSTITUTE(SUBSTITUTE(SUBSTITUTE(SUBSTITUTE(MAIN!B307, "0", ""), "1", ""), "2", ""), "3", ""), "4", ""), "5", ""), "6", ""), "7", ""), "8", ""), "9", ""))))</f>
        <v>--</v>
      </c>
      <c r="C307" t="str">
        <f>IF(ISBLANK(MAIN!C307), "--", IFERROR(PROPER(SUBSTITUTE(SUBSTITUTE(SUBSTITUTE(SUBSTITUTE(SUBSTITUTE(SUBSTITUTE(SUBSTITUTE(SUBSTITUTE(SUBSTITUTE(SUBSTITUTE(LEFT(MAIN!C307, FIND(",",MAIN!C307) -1), "0", ""), "1", ""), "2", ""), "3", ""), "4", ""), "5", ""), "6", ""), "7", ""), "8", ""), "9", "")), PROPER(SUBSTITUTE(SUBSTITUTE(SUBSTITUTE(SUBSTITUTE(SUBSTITUTE(SUBSTITUTE(SUBSTITUTE(SUBSTITUTE(SUBSTITUTE(SUBSTITUTE(MAIN!C307, "0", ""), "1", ""), "2", ""), "3", ""), "4", ""), "5", ""), "6", ""), "7", ""), "8", ""), "9", ""))))</f>
        <v>--</v>
      </c>
      <c r="D307" t="str">
        <f>IF(ISBLANK(MAIN!D307), "--", IF(ISNUMBER(MATCH(SUBSTITUTE(LEFT(MAIN!D307, IFERROR(FIND(",", MAIN!D307)-1, LEN(MAIN!D307))), " ", ""), lookup_values!$B$2:$B$51, 0)), UPPER(SUBSTITUTE(LEFT(MAIN!D307, IFERROR(FIND(",", MAIN!D307)-1, LEN(MAIN!D307))), " ", "")), IF(ISNA(VLOOKUP(SUBSTITUTE(LEFT(MAIN!D307, IFERROR(FIND(",", MAIN!D307)-1, LEN(MAIN!D307))), " ", ""), lookup_values!$A$2:$B$51, 2, FALSE)), "--", VLOOKUP(SUBSTITUTE(LEFT(MAIN!D307, IFERROR(FIND(",", MAIN!D307)-1, LEN(MAIN!D307))), " ", ""), lookup_values!$A$2:$B$51, 2, FALSE))))</f>
        <v>--</v>
      </c>
      <c r="E307" t="str">
        <f>IF(CLEAN_DATA!D307&lt;&gt;"--","US",IF(ISBLANK(MAIN!E307), "--", IF(ISNUMBER(MATCH(SUBSTITUTE(LEFT(MAIN!E307, IFERROR(FIND(",", MAIN!E307)-1, LEN(MAIN!E307))), " ", ""), lookup_values!$E$2:$E$197, 0)), UPPER(SUBSTITUTE(LEFT(MAIN!E307, IFERROR(FIND(",", MAIN!E307)-1, LEN(MAIN!E307))), " ", "")), IF(ISNA(VLOOKUP(SUBSTITUTE(LEFT(MAIN!E307, IFERROR(FIND(",", MAIN!E307)-1, LEN(MAIN!E307))), " ", ""), lookup_values!$D$2:$E$197, 2, FALSE)), "--", VLOOKUP(SUBSTITUTE(LEFT(MAIN!E307, IFERROR(FIND(",", MAIN!E307)-1, LEN(MAIN!E307))), " ", ""), lookup_values!$D$2:$E$197, 2, FALSE)))))</f>
        <v>--</v>
      </c>
      <c r="F307" t="str">
        <f>IF(ISBLANK(MAIN!F307), "", IF(AND(ISNUMBER(VALUE(TRIM(MAIN!F307))), LEN(TRIM(MAIN!F307))=4), VALUE(TRIM(MAIN!F307)), ""))</f>
        <v/>
      </c>
      <c r="G307">
        <f>IF(ISBLANK(MAIN!G307), 0, IF(ISNUMBER(VALUE(TRIM(MAIN!G307))), VALUE(TRIM(MAIN!G307)), 0))</f>
        <v>0</v>
      </c>
      <c r="H307">
        <f>IF(ISBLANK(MAIN!H307), 0, IF(ISNUMBER(VALUE(TRIM(MAIN!H307))), VALUE(TRIM(MAIN!H307)), 0))</f>
        <v>0</v>
      </c>
      <c r="I307">
        <f>IF(ISBLANK(MAIN!I307), 0, IF(ISNUMBER(VALUE(TRIM(MAIN!I307))), VALUE(TRIM(MAIN!I307)), 0))</f>
        <v>0</v>
      </c>
      <c r="J307">
        <f>IF(ISBLANK(MAIN!J307), 0, IF(ISNUMBER(VALUE(TRIM(MAIN!J307))), VALUE(TRIM(MAIN!J307)), 0))</f>
        <v>0</v>
      </c>
      <c r="K307" cm="1">
        <f t="array" ref="K307">IFERROR(
    VALUE(
        IFERROR(
            UPPER(
                IF(MAX(IFERROR(SEARCH("WD",MAIN!G307:J307), 0))&gt;0, "WD",
                IF(MAX(IFERROR(SEARCH("NS",MAIN!G307:J307), 0))&gt;0, "NS",
                IF(MAX(IFERROR(SEARCH("NC",MAIN!G307:J307), 0))&gt;0, "NC",
                IF(MAX(IFERROR(SEARCH("DQ",MAIN!G307:J307), 0))&gt;0, "DQ",
                IF(ISNUMBER(SEARCH("WD",MAIN!K307)), "WD",
                IF(ISNUMBER(SEARCH("NS",MAIN!K307)), "NS",
                IF(ISNUMBER(SEARCH("NC",MAIN!K307)), "NC",
                IF(ISNUMBER(SEARCH("DQ",MAIN!K307)), "DQ",
                IF(ISNUMBER(SEARCH("A",MAIN!K307)), 0,
                IF(OR(MAIN!K307=0,MAIN!K307=""), 0, --TRIM(MAIN!K307)))))))))))),
            0
        )
    ),
    IFERROR(
        UPPER(
            IF(MAX(IFERROR(SEARCH("WD",MAIN!G307:J307), 0))&gt;0, "WD",
            IF(MAX(IFERROR(SEARCH("NS",MAIN!G307:J307), 0))&gt;0, "NS",
            IF(MAX(IFERROR(SEARCH("NC",MAIN!G307:J307), 0))&gt;0, "NC",
            IF(MAX(IFERROR(SEARCH("DQ",MAIN!G307:J307), 0))&gt;0, "DQ",
            IF(ISNUMBER(SEARCH("WD",MAIN!K307)), "WD",
            IF(ISNUMBER(SEARCH("NS",MAIN!K307)), "NS",
            IF(ISNUMBER(SEARCH("NC",MAIN!K307)), "NC",
            IF(ISNUMBER(SEARCH("DQ",MAIN!K307)), "DQ",
            IF(ISNUMBER(SEARCH("A",MAIN!K307)), 0,
            IF(OR(MAIN!K307=0,MAIN!K307=""), 0, --TRIM(MAIN!K307)))))))))))),
        0
    )
)</f>
        <v>0</v>
      </c>
    </row>
    <row r="308" spans="1:11" x14ac:dyDescent="0.25">
      <c r="A308" t="str">
        <f>IF(ISBLANK(MAIN!A308), "--", IFERROR(PROPER(SUBSTITUTE(SUBSTITUTE(SUBSTITUTE(SUBSTITUTE(SUBSTITUTE(SUBSTITUTE(SUBSTITUTE(SUBSTITUTE(SUBSTITUTE(SUBSTITUTE(LEFT(MAIN!A308, FIND(",",MAIN!A308) -1), "0", ""), "1", ""), "2", ""), "3", ""), "4", ""), "5", ""), "6", ""), "7", ""), "8", ""), "9", "")), PROPER(SUBSTITUTE(SUBSTITUTE(SUBSTITUTE(SUBSTITUTE(SUBSTITUTE(SUBSTITUTE(SUBSTITUTE(SUBSTITUTE(SUBSTITUTE(SUBSTITUTE(MAIN!A308, "0", ""), "1", ""), "2", ""), "3", ""), "4", ""), "5", ""), "6", ""), "7", ""), "8", ""), "9", ""))))</f>
        <v>--</v>
      </c>
      <c r="B308" t="str">
        <f>IF(ISBLANK(MAIN!B308), "--", IFERROR(PROPER(SUBSTITUTE(SUBSTITUTE(SUBSTITUTE(SUBSTITUTE(SUBSTITUTE(SUBSTITUTE(SUBSTITUTE(SUBSTITUTE(SUBSTITUTE(SUBSTITUTE(LEFT(MAIN!B308, FIND(",",MAIN!B308) -1), "0", ""), "1", ""), "2", ""), "3", ""), "4", ""), "5", ""), "6", ""), "7", ""), "8", ""), "9", "")), PROPER(SUBSTITUTE(SUBSTITUTE(SUBSTITUTE(SUBSTITUTE(SUBSTITUTE(SUBSTITUTE(SUBSTITUTE(SUBSTITUTE(SUBSTITUTE(SUBSTITUTE(MAIN!B308, "0", ""), "1", ""), "2", ""), "3", ""), "4", ""), "5", ""), "6", ""), "7", ""), "8", ""), "9", ""))))</f>
        <v>--</v>
      </c>
      <c r="C308" t="str">
        <f>IF(ISBLANK(MAIN!C308), "--", IFERROR(PROPER(SUBSTITUTE(SUBSTITUTE(SUBSTITUTE(SUBSTITUTE(SUBSTITUTE(SUBSTITUTE(SUBSTITUTE(SUBSTITUTE(SUBSTITUTE(SUBSTITUTE(LEFT(MAIN!C308, FIND(",",MAIN!C308) -1), "0", ""), "1", ""), "2", ""), "3", ""), "4", ""), "5", ""), "6", ""), "7", ""), "8", ""), "9", "")), PROPER(SUBSTITUTE(SUBSTITUTE(SUBSTITUTE(SUBSTITUTE(SUBSTITUTE(SUBSTITUTE(SUBSTITUTE(SUBSTITUTE(SUBSTITUTE(SUBSTITUTE(MAIN!C308, "0", ""), "1", ""), "2", ""), "3", ""), "4", ""), "5", ""), "6", ""), "7", ""), "8", ""), "9", ""))))</f>
        <v>--</v>
      </c>
      <c r="D308" t="str">
        <f>IF(ISBLANK(MAIN!D308), "--", IF(ISNUMBER(MATCH(SUBSTITUTE(LEFT(MAIN!D308, IFERROR(FIND(",", MAIN!D308)-1, LEN(MAIN!D308))), " ", ""), lookup_values!$B$2:$B$51, 0)), UPPER(SUBSTITUTE(LEFT(MAIN!D308, IFERROR(FIND(",", MAIN!D308)-1, LEN(MAIN!D308))), " ", "")), IF(ISNA(VLOOKUP(SUBSTITUTE(LEFT(MAIN!D308, IFERROR(FIND(",", MAIN!D308)-1, LEN(MAIN!D308))), " ", ""), lookup_values!$A$2:$B$51, 2, FALSE)), "--", VLOOKUP(SUBSTITUTE(LEFT(MAIN!D308, IFERROR(FIND(",", MAIN!D308)-1, LEN(MAIN!D308))), " ", ""), lookup_values!$A$2:$B$51, 2, FALSE))))</f>
        <v>--</v>
      </c>
      <c r="E308" t="str">
        <f>IF(CLEAN_DATA!D308&lt;&gt;"--","US",IF(ISBLANK(MAIN!E308), "--", IF(ISNUMBER(MATCH(SUBSTITUTE(LEFT(MAIN!E308, IFERROR(FIND(",", MAIN!E308)-1, LEN(MAIN!E308))), " ", ""), lookup_values!$E$2:$E$197, 0)), UPPER(SUBSTITUTE(LEFT(MAIN!E308, IFERROR(FIND(",", MAIN!E308)-1, LEN(MAIN!E308))), " ", "")), IF(ISNA(VLOOKUP(SUBSTITUTE(LEFT(MAIN!E308, IFERROR(FIND(",", MAIN!E308)-1, LEN(MAIN!E308))), " ", ""), lookup_values!$D$2:$E$197, 2, FALSE)), "--", VLOOKUP(SUBSTITUTE(LEFT(MAIN!E308, IFERROR(FIND(",", MAIN!E308)-1, LEN(MAIN!E308))), " ", ""), lookup_values!$D$2:$E$197, 2, FALSE)))))</f>
        <v>--</v>
      </c>
      <c r="F308" t="str">
        <f>IF(ISBLANK(MAIN!F308), "", IF(AND(ISNUMBER(VALUE(TRIM(MAIN!F308))), LEN(TRIM(MAIN!F308))=4), VALUE(TRIM(MAIN!F308)), ""))</f>
        <v/>
      </c>
      <c r="G308">
        <f>IF(ISBLANK(MAIN!G308), 0, IF(ISNUMBER(VALUE(TRIM(MAIN!G308))), VALUE(TRIM(MAIN!G308)), 0))</f>
        <v>0</v>
      </c>
      <c r="H308">
        <f>IF(ISBLANK(MAIN!H308), 0, IF(ISNUMBER(VALUE(TRIM(MAIN!H308))), VALUE(TRIM(MAIN!H308)), 0))</f>
        <v>0</v>
      </c>
      <c r="I308">
        <f>IF(ISBLANK(MAIN!I308), 0, IF(ISNUMBER(VALUE(TRIM(MAIN!I308))), VALUE(TRIM(MAIN!I308)), 0))</f>
        <v>0</v>
      </c>
      <c r="J308">
        <f>IF(ISBLANK(MAIN!J308), 0, IF(ISNUMBER(VALUE(TRIM(MAIN!J308))), VALUE(TRIM(MAIN!J308)), 0))</f>
        <v>0</v>
      </c>
      <c r="K308" cm="1">
        <f t="array" ref="K308">IFERROR(
    VALUE(
        IFERROR(
            UPPER(
                IF(MAX(IFERROR(SEARCH("WD",MAIN!G308:J308), 0))&gt;0, "WD",
                IF(MAX(IFERROR(SEARCH("NS",MAIN!G308:J308), 0))&gt;0, "NS",
                IF(MAX(IFERROR(SEARCH("NC",MAIN!G308:J308), 0))&gt;0, "NC",
                IF(MAX(IFERROR(SEARCH("DQ",MAIN!G308:J308), 0))&gt;0, "DQ",
                IF(ISNUMBER(SEARCH("WD",MAIN!K308)), "WD",
                IF(ISNUMBER(SEARCH("NS",MAIN!K308)), "NS",
                IF(ISNUMBER(SEARCH("NC",MAIN!K308)), "NC",
                IF(ISNUMBER(SEARCH("DQ",MAIN!K308)), "DQ",
                IF(ISNUMBER(SEARCH("A",MAIN!K308)), 0,
                IF(OR(MAIN!K308=0,MAIN!K308=""), 0, --TRIM(MAIN!K308)))))))))))),
            0
        )
    ),
    IFERROR(
        UPPER(
            IF(MAX(IFERROR(SEARCH("WD",MAIN!G308:J308), 0))&gt;0, "WD",
            IF(MAX(IFERROR(SEARCH("NS",MAIN!G308:J308), 0))&gt;0, "NS",
            IF(MAX(IFERROR(SEARCH("NC",MAIN!G308:J308), 0))&gt;0, "NC",
            IF(MAX(IFERROR(SEARCH("DQ",MAIN!G308:J308), 0))&gt;0, "DQ",
            IF(ISNUMBER(SEARCH("WD",MAIN!K308)), "WD",
            IF(ISNUMBER(SEARCH("NS",MAIN!K308)), "NS",
            IF(ISNUMBER(SEARCH("NC",MAIN!K308)), "NC",
            IF(ISNUMBER(SEARCH("DQ",MAIN!K308)), "DQ",
            IF(ISNUMBER(SEARCH("A",MAIN!K308)), 0,
            IF(OR(MAIN!K308=0,MAIN!K308=""), 0, --TRIM(MAIN!K308)))))))))))),
        0
    )
)</f>
        <v>0</v>
      </c>
    </row>
    <row r="309" spans="1:11" x14ac:dyDescent="0.25">
      <c r="A309" t="str">
        <f>IF(ISBLANK(MAIN!A309), "--", IFERROR(PROPER(SUBSTITUTE(SUBSTITUTE(SUBSTITUTE(SUBSTITUTE(SUBSTITUTE(SUBSTITUTE(SUBSTITUTE(SUBSTITUTE(SUBSTITUTE(SUBSTITUTE(LEFT(MAIN!A309, FIND(",",MAIN!A309) -1), "0", ""), "1", ""), "2", ""), "3", ""), "4", ""), "5", ""), "6", ""), "7", ""), "8", ""), "9", "")), PROPER(SUBSTITUTE(SUBSTITUTE(SUBSTITUTE(SUBSTITUTE(SUBSTITUTE(SUBSTITUTE(SUBSTITUTE(SUBSTITUTE(SUBSTITUTE(SUBSTITUTE(MAIN!A309, "0", ""), "1", ""), "2", ""), "3", ""), "4", ""), "5", ""), "6", ""), "7", ""), "8", ""), "9", ""))))</f>
        <v>--</v>
      </c>
      <c r="B309" t="str">
        <f>IF(ISBLANK(MAIN!B309), "--", IFERROR(PROPER(SUBSTITUTE(SUBSTITUTE(SUBSTITUTE(SUBSTITUTE(SUBSTITUTE(SUBSTITUTE(SUBSTITUTE(SUBSTITUTE(SUBSTITUTE(SUBSTITUTE(LEFT(MAIN!B309, FIND(",",MAIN!B309) -1), "0", ""), "1", ""), "2", ""), "3", ""), "4", ""), "5", ""), "6", ""), "7", ""), "8", ""), "9", "")), PROPER(SUBSTITUTE(SUBSTITUTE(SUBSTITUTE(SUBSTITUTE(SUBSTITUTE(SUBSTITUTE(SUBSTITUTE(SUBSTITUTE(SUBSTITUTE(SUBSTITUTE(MAIN!B309, "0", ""), "1", ""), "2", ""), "3", ""), "4", ""), "5", ""), "6", ""), "7", ""), "8", ""), "9", ""))))</f>
        <v>--</v>
      </c>
      <c r="C309" t="str">
        <f>IF(ISBLANK(MAIN!C309), "--", IFERROR(PROPER(SUBSTITUTE(SUBSTITUTE(SUBSTITUTE(SUBSTITUTE(SUBSTITUTE(SUBSTITUTE(SUBSTITUTE(SUBSTITUTE(SUBSTITUTE(SUBSTITUTE(LEFT(MAIN!C309, FIND(",",MAIN!C309) -1), "0", ""), "1", ""), "2", ""), "3", ""), "4", ""), "5", ""), "6", ""), "7", ""), "8", ""), "9", "")), PROPER(SUBSTITUTE(SUBSTITUTE(SUBSTITUTE(SUBSTITUTE(SUBSTITUTE(SUBSTITUTE(SUBSTITUTE(SUBSTITUTE(SUBSTITUTE(SUBSTITUTE(MAIN!C309, "0", ""), "1", ""), "2", ""), "3", ""), "4", ""), "5", ""), "6", ""), "7", ""), "8", ""), "9", ""))))</f>
        <v>--</v>
      </c>
      <c r="D309" t="str">
        <f>IF(ISBLANK(MAIN!D309), "--", IF(ISNUMBER(MATCH(SUBSTITUTE(LEFT(MAIN!D309, IFERROR(FIND(",", MAIN!D309)-1, LEN(MAIN!D309))), " ", ""), lookup_values!$B$2:$B$51, 0)), UPPER(SUBSTITUTE(LEFT(MAIN!D309, IFERROR(FIND(",", MAIN!D309)-1, LEN(MAIN!D309))), " ", "")), IF(ISNA(VLOOKUP(SUBSTITUTE(LEFT(MAIN!D309, IFERROR(FIND(",", MAIN!D309)-1, LEN(MAIN!D309))), " ", ""), lookup_values!$A$2:$B$51, 2, FALSE)), "--", VLOOKUP(SUBSTITUTE(LEFT(MAIN!D309, IFERROR(FIND(",", MAIN!D309)-1, LEN(MAIN!D309))), " ", ""), lookup_values!$A$2:$B$51, 2, FALSE))))</f>
        <v>--</v>
      </c>
      <c r="E309" t="str">
        <f>IF(CLEAN_DATA!D309&lt;&gt;"--","US",IF(ISBLANK(MAIN!E309), "--", IF(ISNUMBER(MATCH(SUBSTITUTE(LEFT(MAIN!E309, IFERROR(FIND(",", MAIN!E309)-1, LEN(MAIN!E309))), " ", ""), lookup_values!$E$2:$E$197, 0)), UPPER(SUBSTITUTE(LEFT(MAIN!E309, IFERROR(FIND(",", MAIN!E309)-1, LEN(MAIN!E309))), " ", "")), IF(ISNA(VLOOKUP(SUBSTITUTE(LEFT(MAIN!E309, IFERROR(FIND(",", MAIN!E309)-1, LEN(MAIN!E309))), " ", ""), lookup_values!$D$2:$E$197, 2, FALSE)), "--", VLOOKUP(SUBSTITUTE(LEFT(MAIN!E309, IFERROR(FIND(",", MAIN!E309)-1, LEN(MAIN!E309))), " ", ""), lookup_values!$D$2:$E$197, 2, FALSE)))))</f>
        <v>--</v>
      </c>
      <c r="F309" t="str">
        <f>IF(ISBLANK(MAIN!F309), "", IF(AND(ISNUMBER(VALUE(TRIM(MAIN!F309))), LEN(TRIM(MAIN!F309))=4), VALUE(TRIM(MAIN!F309)), ""))</f>
        <v/>
      </c>
      <c r="G309">
        <f>IF(ISBLANK(MAIN!G309), 0, IF(ISNUMBER(VALUE(TRIM(MAIN!G309))), VALUE(TRIM(MAIN!G309)), 0))</f>
        <v>0</v>
      </c>
      <c r="H309">
        <f>IF(ISBLANK(MAIN!H309), 0, IF(ISNUMBER(VALUE(TRIM(MAIN!H309))), VALUE(TRIM(MAIN!H309)), 0))</f>
        <v>0</v>
      </c>
      <c r="I309">
        <f>IF(ISBLANK(MAIN!I309), 0, IF(ISNUMBER(VALUE(TRIM(MAIN!I309))), VALUE(TRIM(MAIN!I309)), 0))</f>
        <v>0</v>
      </c>
      <c r="J309">
        <f>IF(ISBLANK(MAIN!J309), 0, IF(ISNUMBER(VALUE(TRIM(MAIN!J309))), VALUE(TRIM(MAIN!J309)), 0))</f>
        <v>0</v>
      </c>
      <c r="K309" cm="1">
        <f t="array" ref="K309">IFERROR(
    VALUE(
        IFERROR(
            UPPER(
                IF(MAX(IFERROR(SEARCH("WD",MAIN!G309:J309), 0))&gt;0, "WD",
                IF(MAX(IFERROR(SEARCH("NS",MAIN!G309:J309), 0))&gt;0, "NS",
                IF(MAX(IFERROR(SEARCH("NC",MAIN!G309:J309), 0))&gt;0, "NC",
                IF(MAX(IFERROR(SEARCH("DQ",MAIN!G309:J309), 0))&gt;0, "DQ",
                IF(ISNUMBER(SEARCH("WD",MAIN!K309)), "WD",
                IF(ISNUMBER(SEARCH("NS",MAIN!K309)), "NS",
                IF(ISNUMBER(SEARCH("NC",MAIN!K309)), "NC",
                IF(ISNUMBER(SEARCH("DQ",MAIN!K309)), "DQ",
                IF(ISNUMBER(SEARCH("A",MAIN!K309)), 0,
                IF(OR(MAIN!K309=0,MAIN!K309=""), 0, --TRIM(MAIN!K309)))))))))))),
            0
        )
    ),
    IFERROR(
        UPPER(
            IF(MAX(IFERROR(SEARCH("WD",MAIN!G309:J309), 0))&gt;0, "WD",
            IF(MAX(IFERROR(SEARCH("NS",MAIN!G309:J309), 0))&gt;0, "NS",
            IF(MAX(IFERROR(SEARCH("NC",MAIN!G309:J309), 0))&gt;0, "NC",
            IF(MAX(IFERROR(SEARCH("DQ",MAIN!G309:J309), 0))&gt;0, "DQ",
            IF(ISNUMBER(SEARCH("WD",MAIN!K309)), "WD",
            IF(ISNUMBER(SEARCH("NS",MAIN!K309)), "NS",
            IF(ISNUMBER(SEARCH("NC",MAIN!K309)), "NC",
            IF(ISNUMBER(SEARCH("DQ",MAIN!K309)), "DQ",
            IF(ISNUMBER(SEARCH("A",MAIN!K309)), 0,
            IF(OR(MAIN!K309=0,MAIN!K309=""), 0, --TRIM(MAIN!K309)))))))))))),
        0
    )
)</f>
        <v>0</v>
      </c>
    </row>
    <row r="310" spans="1:11" x14ac:dyDescent="0.25">
      <c r="A310" t="str">
        <f>IF(ISBLANK(MAIN!A310), "--", IFERROR(PROPER(SUBSTITUTE(SUBSTITUTE(SUBSTITUTE(SUBSTITUTE(SUBSTITUTE(SUBSTITUTE(SUBSTITUTE(SUBSTITUTE(SUBSTITUTE(SUBSTITUTE(LEFT(MAIN!A310, FIND(",",MAIN!A310) -1), "0", ""), "1", ""), "2", ""), "3", ""), "4", ""), "5", ""), "6", ""), "7", ""), "8", ""), "9", "")), PROPER(SUBSTITUTE(SUBSTITUTE(SUBSTITUTE(SUBSTITUTE(SUBSTITUTE(SUBSTITUTE(SUBSTITUTE(SUBSTITUTE(SUBSTITUTE(SUBSTITUTE(MAIN!A310, "0", ""), "1", ""), "2", ""), "3", ""), "4", ""), "5", ""), "6", ""), "7", ""), "8", ""), "9", ""))))</f>
        <v>--</v>
      </c>
      <c r="B310" t="str">
        <f>IF(ISBLANK(MAIN!B310), "--", IFERROR(PROPER(SUBSTITUTE(SUBSTITUTE(SUBSTITUTE(SUBSTITUTE(SUBSTITUTE(SUBSTITUTE(SUBSTITUTE(SUBSTITUTE(SUBSTITUTE(SUBSTITUTE(LEFT(MAIN!B310, FIND(",",MAIN!B310) -1), "0", ""), "1", ""), "2", ""), "3", ""), "4", ""), "5", ""), "6", ""), "7", ""), "8", ""), "9", "")), PROPER(SUBSTITUTE(SUBSTITUTE(SUBSTITUTE(SUBSTITUTE(SUBSTITUTE(SUBSTITUTE(SUBSTITUTE(SUBSTITUTE(SUBSTITUTE(SUBSTITUTE(MAIN!B310, "0", ""), "1", ""), "2", ""), "3", ""), "4", ""), "5", ""), "6", ""), "7", ""), "8", ""), "9", ""))))</f>
        <v>--</v>
      </c>
      <c r="C310" t="str">
        <f>IF(ISBLANK(MAIN!C310), "--", IFERROR(PROPER(SUBSTITUTE(SUBSTITUTE(SUBSTITUTE(SUBSTITUTE(SUBSTITUTE(SUBSTITUTE(SUBSTITUTE(SUBSTITUTE(SUBSTITUTE(SUBSTITUTE(LEFT(MAIN!C310, FIND(",",MAIN!C310) -1), "0", ""), "1", ""), "2", ""), "3", ""), "4", ""), "5", ""), "6", ""), "7", ""), "8", ""), "9", "")), PROPER(SUBSTITUTE(SUBSTITUTE(SUBSTITUTE(SUBSTITUTE(SUBSTITUTE(SUBSTITUTE(SUBSTITUTE(SUBSTITUTE(SUBSTITUTE(SUBSTITUTE(MAIN!C310, "0", ""), "1", ""), "2", ""), "3", ""), "4", ""), "5", ""), "6", ""), "7", ""), "8", ""), "9", ""))))</f>
        <v>--</v>
      </c>
      <c r="D310" t="str">
        <f>IF(ISBLANK(MAIN!D310), "--", IF(ISNUMBER(MATCH(SUBSTITUTE(LEFT(MAIN!D310, IFERROR(FIND(",", MAIN!D310)-1, LEN(MAIN!D310))), " ", ""), lookup_values!$B$2:$B$51, 0)), UPPER(SUBSTITUTE(LEFT(MAIN!D310, IFERROR(FIND(",", MAIN!D310)-1, LEN(MAIN!D310))), " ", "")), IF(ISNA(VLOOKUP(SUBSTITUTE(LEFT(MAIN!D310, IFERROR(FIND(",", MAIN!D310)-1, LEN(MAIN!D310))), " ", ""), lookup_values!$A$2:$B$51, 2, FALSE)), "--", VLOOKUP(SUBSTITUTE(LEFT(MAIN!D310, IFERROR(FIND(",", MAIN!D310)-1, LEN(MAIN!D310))), " ", ""), lookup_values!$A$2:$B$51, 2, FALSE))))</f>
        <v>--</v>
      </c>
      <c r="E310" t="str">
        <f>IF(CLEAN_DATA!D310&lt;&gt;"--","US",IF(ISBLANK(MAIN!E310), "--", IF(ISNUMBER(MATCH(SUBSTITUTE(LEFT(MAIN!E310, IFERROR(FIND(",", MAIN!E310)-1, LEN(MAIN!E310))), " ", ""), lookup_values!$E$2:$E$197, 0)), UPPER(SUBSTITUTE(LEFT(MAIN!E310, IFERROR(FIND(",", MAIN!E310)-1, LEN(MAIN!E310))), " ", "")), IF(ISNA(VLOOKUP(SUBSTITUTE(LEFT(MAIN!E310, IFERROR(FIND(",", MAIN!E310)-1, LEN(MAIN!E310))), " ", ""), lookup_values!$D$2:$E$197, 2, FALSE)), "--", VLOOKUP(SUBSTITUTE(LEFT(MAIN!E310, IFERROR(FIND(",", MAIN!E310)-1, LEN(MAIN!E310))), " ", ""), lookup_values!$D$2:$E$197, 2, FALSE)))))</f>
        <v>--</v>
      </c>
      <c r="F310" t="str">
        <f>IF(ISBLANK(MAIN!F310), "", IF(AND(ISNUMBER(VALUE(TRIM(MAIN!F310))), LEN(TRIM(MAIN!F310))=4), VALUE(TRIM(MAIN!F310)), ""))</f>
        <v/>
      </c>
      <c r="G310">
        <f>IF(ISBLANK(MAIN!G310), 0, IF(ISNUMBER(VALUE(TRIM(MAIN!G310))), VALUE(TRIM(MAIN!G310)), 0))</f>
        <v>0</v>
      </c>
      <c r="H310">
        <f>IF(ISBLANK(MAIN!H310), 0, IF(ISNUMBER(VALUE(TRIM(MAIN!H310))), VALUE(TRIM(MAIN!H310)), 0))</f>
        <v>0</v>
      </c>
      <c r="I310">
        <f>IF(ISBLANK(MAIN!I310), 0, IF(ISNUMBER(VALUE(TRIM(MAIN!I310))), VALUE(TRIM(MAIN!I310)), 0))</f>
        <v>0</v>
      </c>
      <c r="J310">
        <f>IF(ISBLANK(MAIN!J310), 0, IF(ISNUMBER(VALUE(TRIM(MAIN!J310))), VALUE(TRIM(MAIN!J310)), 0))</f>
        <v>0</v>
      </c>
      <c r="K310" cm="1">
        <f t="array" ref="K310">IFERROR(
    VALUE(
        IFERROR(
            UPPER(
                IF(MAX(IFERROR(SEARCH("WD",MAIN!G310:J310), 0))&gt;0, "WD",
                IF(MAX(IFERROR(SEARCH("NS",MAIN!G310:J310), 0))&gt;0, "NS",
                IF(MAX(IFERROR(SEARCH("NC",MAIN!G310:J310), 0))&gt;0, "NC",
                IF(MAX(IFERROR(SEARCH("DQ",MAIN!G310:J310), 0))&gt;0, "DQ",
                IF(ISNUMBER(SEARCH("WD",MAIN!K310)), "WD",
                IF(ISNUMBER(SEARCH("NS",MAIN!K310)), "NS",
                IF(ISNUMBER(SEARCH("NC",MAIN!K310)), "NC",
                IF(ISNUMBER(SEARCH("DQ",MAIN!K310)), "DQ",
                IF(ISNUMBER(SEARCH("A",MAIN!K310)), 0,
                IF(OR(MAIN!K310=0,MAIN!K310=""), 0, --TRIM(MAIN!K310)))))))))))),
            0
        )
    ),
    IFERROR(
        UPPER(
            IF(MAX(IFERROR(SEARCH("WD",MAIN!G310:J310), 0))&gt;0, "WD",
            IF(MAX(IFERROR(SEARCH("NS",MAIN!G310:J310), 0))&gt;0, "NS",
            IF(MAX(IFERROR(SEARCH("NC",MAIN!G310:J310), 0))&gt;0, "NC",
            IF(MAX(IFERROR(SEARCH("DQ",MAIN!G310:J310), 0))&gt;0, "DQ",
            IF(ISNUMBER(SEARCH("WD",MAIN!K310)), "WD",
            IF(ISNUMBER(SEARCH("NS",MAIN!K310)), "NS",
            IF(ISNUMBER(SEARCH("NC",MAIN!K310)), "NC",
            IF(ISNUMBER(SEARCH("DQ",MAIN!K310)), "DQ",
            IF(ISNUMBER(SEARCH("A",MAIN!K310)), 0,
            IF(OR(MAIN!K310=0,MAIN!K310=""), 0, --TRIM(MAIN!K310)))))))))))),
        0
    )
)</f>
        <v>0</v>
      </c>
    </row>
    <row r="311" spans="1:11" x14ac:dyDescent="0.25">
      <c r="A311" t="str">
        <f>IF(ISBLANK(MAIN!A311), "--", IFERROR(PROPER(SUBSTITUTE(SUBSTITUTE(SUBSTITUTE(SUBSTITUTE(SUBSTITUTE(SUBSTITUTE(SUBSTITUTE(SUBSTITUTE(SUBSTITUTE(SUBSTITUTE(LEFT(MAIN!A311, FIND(",",MAIN!A311) -1), "0", ""), "1", ""), "2", ""), "3", ""), "4", ""), "5", ""), "6", ""), "7", ""), "8", ""), "9", "")), PROPER(SUBSTITUTE(SUBSTITUTE(SUBSTITUTE(SUBSTITUTE(SUBSTITUTE(SUBSTITUTE(SUBSTITUTE(SUBSTITUTE(SUBSTITUTE(SUBSTITUTE(MAIN!A311, "0", ""), "1", ""), "2", ""), "3", ""), "4", ""), "5", ""), "6", ""), "7", ""), "8", ""), "9", ""))))</f>
        <v>--</v>
      </c>
      <c r="B311" t="str">
        <f>IF(ISBLANK(MAIN!B311), "--", IFERROR(PROPER(SUBSTITUTE(SUBSTITUTE(SUBSTITUTE(SUBSTITUTE(SUBSTITUTE(SUBSTITUTE(SUBSTITUTE(SUBSTITUTE(SUBSTITUTE(SUBSTITUTE(LEFT(MAIN!B311, FIND(",",MAIN!B311) -1), "0", ""), "1", ""), "2", ""), "3", ""), "4", ""), "5", ""), "6", ""), "7", ""), "8", ""), "9", "")), PROPER(SUBSTITUTE(SUBSTITUTE(SUBSTITUTE(SUBSTITUTE(SUBSTITUTE(SUBSTITUTE(SUBSTITUTE(SUBSTITUTE(SUBSTITUTE(SUBSTITUTE(MAIN!B311, "0", ""), "1", ""), "2", ""), "3", ""), "4", ""), "5", ""), "6", ""), "7", ""), "8", ""), "9", ""))))</f>
        <v>--</v>
      </c>
      <c r="C311" t="str">
        <f>IF(ISBLANK(MAIN!C311), "--", IFERROR(PROPER(SUBSTITUTE(SUBSTITUTE(SUBSTITUTE(SUBSTITUTE(SUBSTITUTE(SUBSTITUTE(SUBSTITUTE(SUBSTITUTE(SUBSTITUTE(SUBSTITUTE(LEFT(MAIN!C311, FIND(",",MAIN!C311) -1), "0", ""), "1", ""), "2", ""), "3", ""), "4", ""), "5", ""), "6", ""), "7", ""), "8", ""), "9", "")), PROPER(SUBSTITUTE(SUBSTITUTE(SUBSTITUTE(SUBSTITUTE(SUBSTITUTE(SUBSTITUTE(SUBSTITUTE(SUBSTITUTE(SUBSTITUTE(SUBSTITUTE(MAIN!C311, "0", ""), "1", ""), "2", ""), "3", ""), "4", ""), "5", ""), "6", ""), "7", ""), "8", ""), "9", ""))))</f>
        <v>--</v>
      </c>
      <c r="D311" t="str">
        <f>IF(ISBLANK(MAIN!D311), "--", IF(ISNUMBER(MATCH(SUBSTITUTE(LEFT(MAIN!D311, IFERROR(FIND(",", MAIN!D311)-1, LEN(MAIN!D311))), " ", ""), lookup_values!$B$2:$B$51, 0)), UPPER(SUBSTITUTE(LEFT(MAIN!D311, IFERROR(FIND(",", MAIN!D311)-1, LEN(MAIN!D311))), " ", "")), IF(ISNA(VLOOKUP(SUBSTITUTE(LEFT(MAIN!D311, IFERROR(FIND(",", MAIN!D311)-1, LEN(MAIN!D311))), " ", ""), lookup_values!$A$2:$B$51, 2, FALSE)), "--", VLOOKUP(SUBSTITUTE(LEFT(MAIN!D311, IFERROR(FIND(",", MAIN!D311)-1, LEN(MAIN!D311))), " ", ""), lookup_values!$A$2:$B$51, 2, FALSE))))</f>
        <v>--</v>
      </c>
      <c r="E311" t="str">
        <f>IF(CLEAN_DATA!D311&lt;&gt;"--","US",IF(ISBLANK(MAIN!E311), "--", IF(ISNUMBER(MATCH(SUBSTITUTE(LEFT(MAIN!E311, IFERROR(FIND(",", MAIN!E311)-1, LEN(MAIN!E311))), " ", ""), lookup_values!$E$2:$E$197, 0)), UPPER(SUBSTITUTE(LEFT(MAIN!E311, IFERROR(FIND(",", MAIN!E311)-1, LEN(MAIN!E311))), " ", "")), IF(ISNA(VLOOKUP(SUBSTITUTE(LEFT(MAIN!E311, IFERROR(FIND(",", MAIN!E311)-1, LEN(MAIN!E311))), " ", ""), lookup_values!$D$2:$E$197, 2, FALSE)), "--", VLOOKUP(SUBSTITUTE(LEFT(MAIN!E311, IFERROR(FIND(",", MAIN!E311)-1, LEN(MAIN!E311))), " ", ""), lookup_values!$D$2:$E$197, 2, FALSE)))))</f>
        <v>--</v>
      </c>
      <c r="F311" t="str">
        <f>IF(ISBLANK(MAIN!F311), "", IF(AND(ISNUMBER(VALUE(TRIM(MAIN!F311))), LEN(TRIM(MAIN!F311))=4), VALUE(TRIM(MAIN!F311)), ""))</f>
        <v/>
      </c>
      <c r="G311">
        <f>IF(ISBLANK(MAIN!G311), 0, IF(ISNUMBER(VALUE(TRIM(MAIN!G311))), VALUE(TRIM(MAIN!G311)), 0))</f>
        <v>0</v>
      </c>
      <c r="H311">
        <f>IF(ISBLANK(MAIN!H311), 0, IF(ISNUMBER(VALUE(TRIM(MAIN!H311))), VALUE(TRIM(MAIN!H311)), 0))</f>
        <v>0</v>
      </c>
      <c r="I311">
        <f>IF(ISBLANK(MAIN!I311), 0, IF(ISNUMBER(VALUE(TRIM(MAIN!I311))), VALUE(TRIM(MAIN!I311)), 0))</f>
        <v>0</v>
      </c>
      <c r="J311">
        <f>IF(ISBLANK(MAIN!J311), 0, IF(ISNUMBER(VALUE(TRIM(MAIN!J311))), VALUE(TRIM(MAIN!J311)), 0))</f>
        <v>0</v>
      </c>
      <c r="K311" cm="1">
        <f t="array" ref="K311">IFERROR(
    VALUE(
        IFERROR(
            UPPER(
                IF(MAX(IFERROR(SEARCH("WD",MAIN!G311:J311), 0))&gt;0, "WD",
                IF(MAX(IFERROR(SEARCH("NS",MAIN!G311:J311), 0))&gt;0, "NS",
                IF(MAX(IFERROR(SEARCH("NC",MAIN!G311:J311), 0))&gt;0, "NC",
                IF(MAX(IFERROR(SEARCH("DQ",MAIN!G311:J311), 0))&gt;0, "DQ",
                IF(ISNUMBER(SEARCH("WD",MAIN!K311)), "WD",
                IF(ISNUMBER(SEARCH("NS",MAIN!K311)), "NS",
                IF(ISNUMBER(SEARCH("NC",MAIN!K311)), "NC",
                IF(ISNUMBER(SEARCH("DQ",MAIN!K311)), "DQ",
                IF(ISNUMBER(SEARCH("A",MAIN!K311)), 0,
                IF(OR(MAIN!K311=0,MAIN!K311=""), 0, --TRIM(MAIN!K311)))))))))))),
            0
        )
    ),
    IFERROR(
        UPPER(
            IF(MAX(IFERROR(SEARCH("WD",MAIN!G311:J311), 0))&gt;0, "WD",
            IF(MAX(IFERROR(SEARCH("NS",MAIN!G311:J311), 0))&gt;0, "NS",
            IF(MAX(IFERROR(SEARCH("NC",MAIN!G311:J311), 0))&gt;0, "NC",
            IF(MAX(IFERROR(SEARCH("DQ",MAIN!G311:J311), 0))&gt;0, "DQ",
            IF(ISNUMBER(SEARCH("WD",MAIN!K311)), "WD",
            IF(ISNUMBER(SEARCH("NS",MAIN!K311)), "NS",
            IF(ISNUMBER(SEARCH("NC",MAIN!K311)), "NC",
            IF(ISNUMBER(SEARCH("DQ",MAIN!K311)), "DQ",
            IF(ISNUMBER(SEARCH("A",MAIN!K311)), 0,
            IF(OR(MAIN!K311=0,MAIN!K311=""), 0, --TRIM(MAIN!K311)))))))))))),
        0
    )
)</f>
        <v>0</v>
      </c>
    </row>
    <row r="312" spans="1:11" x14ac:dyDescent="0.25">
      <c r="A312" t="str">
        <f>IF(ISBLANK(MAIN!A312), "--", IFERROR(PROPER(SUBSTITUTE(SUBSTITUTE(SUBSTITUTE(SUBSTITUTE(SUBSTITUTE(SUBSTITUTE(SUBSTITUTE(SUBSTITUTE(SUBSTITUTE(SUBSTITUTE(LEFT(MAIN!A312, FIND(",",MAIN!A312) -1), "0", ""), "1", ""), "2", ""), "3", ""), "4", ""), "5", ""), "6", ""), "7", ""), "8", ""), "9", "")), PROPER(SUBSTITUTE(SUBSTITUTE(SUBSTITUTE(SUBSTITUTE(SUBSTITUTE(SUBSTITUTE(SUBSTITUTE(SUBSTITUTE(SUBSTITUTE(SUBSTITUTE(MAIN!A312, "0", ""), "1", ""), "2", ""), "3", ""), "4", ""), "5", ""), "6", ""), "7", ""), "8", ""), "9", ""))))</f>
        <v>--</v>
      </c>
      <c r="B312" t="str">
        <f>IF(ISBLANK(MAIN!B312), "--", IFERROR(PROPER(SUBSTITUTE(SUBSTITUTE(SUBSTITUTE(SUBSTITUTE(SUBSTITUTE(SUBSTITUTE(SUBSTITUTE(SUBSTITUTE(SUBSTITUTE(SUBSTITUTE(LEFT(MAIN!B312, FIND(",",MAIN!B312) -1), "0", ""), "1", ""), "2", ""), "3", ""), "4", ""), "5", ""), "6", ""), "7", ""), "8", ""), "9", "")), PROPER(SUBSTITUTE(SUBSTITUTE(SUBSTITUTE(SUBSTITUTE(SUBSTITUTE(SUBSTITUTE(SUBSTITUTE(SUBSTITUTE(SUBSTITUTE(SUBSTITUTE(MAIN!B312, "0", ""), "1", ""), "2", ""), "3", ""), "4", ""), "5", ""), "6", ""), "7", ""), "8", ""), "9", ""))))</f>
        <v>--</v>
      </c>
      <c r="C312" t="str">
        <f>IF(ISBLANK(MAIN!C312), "--", IFERROR(PROPER(SUBSTITUTE(SUBSTITUTE(SUBSTITUTE(SUBSTITUTE(SUBSTITUTE(SUBSTITUTE(SUBSTITUTE(SUBSTITUTE(SUBSTITUTE(SUBSTITUTE(LEFT(MAIN!C312, FIND(",",MAIN!C312) -1), "0", ""), "1", ""), "2", ""), "3", ""), "4", ""), "5", ""), "6", ""), "7", ""), "8", ""), "9", "")), PROPER(SUBSTITUTE(SUBSTITUTE(SUBSTITUTE(SUBSTITUTE(SUBSTITUTE(SUBSTITUTE(SUBSTITUTE(SUBSTITUTE(SUBSTITUTE(SUBSTITUTE(MAIN!C312, "0", ""), "1", ""), "2", ""), "3", ""), "4", ""), "5", ""), "6", ""), "7", ""), "8", ""), "9", ""))))</f>
        <v>--</v>
      </c>
      <c r="D312" t="str">
        <f>IF(ISBLANK(MAIN!D312), "--", IF(ISNUMBER(MATCH(SUBSTITUTE(LEFT(MAIN!D312, IFERROR(FIND(",", MAIN!D312)-1, LEN(MAIN!D312))), " ", ""), lookup_values!$B$2:$B$51, 0)), UPPER(SUBSTITUTE(LEFT(MAIN!D312, IFERROR(FIND(",", MAIN!D312)-1, LEN(MAIN!D312))), " ", "")), IF(ISNA(VLOOKUP(SUBSTITUTE(LEFT(MAIN!D312, IFERROR(FIND(",", MAIN!D312)-1, LEN(MAIN!D312))), " ", ""), lookup_values!$A$2:$B$51, 2, FALSE)), "--", VLOOKUP(SUBSTITUTE(LEFT(MAIN!D312, IFERROR(FIND(",", MAIN!D312)-1, LEN(MAIN!D312))), " ", ""), lookup_values!$A$2:$B$51, 2, FALSE))))</f>
        <v>--</v>
      </c>
      <c r="E312" t="str">
        <f>IF(CLEAN_DATA!D312&lt;&gt;"--","US",IF(ISBLANK(MAIN!E312), "--", IF(ISNUMBER(MATCH(SUBSTITUTE(LEFT(MAIN!E312, IFERROR(FIND(",", MAIN!E312)-1, LEN(MAIN!E312))), " ", ""), lookup_values!$E$2:$E$197, 0)), UPPER(SUBSTITUTE(LEFT(MAIN!E312, IFERROR(FIND(",", MAIN!E312)-1, LEN(MAIN!E312))), " ", "")), IF(ISNA(VLOOKUP(SUBSTITUTE(LEFT(MAIN!E312, IFERROR(FIND(",", MAIN!E312)-1, LEN(MAIN!E312))), " ", ""), lookup_values!$D$2:$E$197, 2, FALSE)), "--", VLOOKUP(SUBSTITUTE(LEFT(MAIN!E312, IFERROR(FIND(",", MAIN!E312)-1, LEN(MAIN!E312))), " ", ""), lookup_values!$D$2:$E$197, 2, FALSE)))))</f>
        <v>--</v>
      </c>
      <c r="F312" t="str">
        <f>IF(ISBLANK(MAIN!F312), "", IF(AND(ISNUMBER(VALUE(TRIM(MAIN!F312))), LEN(TRIM(MAIN!F312))=4), VALUE(TRIM(MAIN!F312)), ""))</f>
        <v/>
      </c>
      <c r="G312">
        <f>IF(ISBLANK(MAIN!G312), 0, IF(ISNUMBER(VALUE(TRIM(MAIN!G312))), VALUE(TRIM(MAIN!G312)), 0))</f>
        <v>0</v>
      </c>
      <c r="H312">
        <f>IF(ISBLANK(MAIN!H312), 0, IF(ISNUMBER(VALUE(TRIM(MAIN!H312))), VALUE(TRIM(MAIN!H312)), 0))</f>
        <v>0</v>
      </c>
      <c r="I312">
        <f>IF(ISBLANK(MAIN!I312), 0, IF(ISNUMBER(VALUE(TRIM(MAIN!I312))), VALUE(TRIM(MAIN!I312)), 0))</f>
        <v>0</v>
      </c>
      <c r="J312">
        <f>IF(ISBLANK(MAIN!J312), 0, IF(ISNUMBER(VALUE(TRIM(MAIN!J312))), VALUE(TRIM(MAIN!J312)), 0))</f>
        <v>0</v>
      </c>
      <c r="K312" cm="1">
        <f t="array" ref="K312">IFERROR(
    VALUE(
        IFERROR(
            UPPER(
                IF(MAX(IFERROR(SEARCH("WD",MAIN!G312:J312), 0))&gt;0, "WD",
                IF(MAX(IFERROR(SEARCH("NS",MAIN!G312:J312), 0))&gt;0, "NS",
                IF(MAX(IFERROR(SEARCH("NC",MAIN!G312:J312), 0))&gt;0, "NC",
                IF(MAX(IFERROR(SEARCH("DQ",MAIN!G312:J312), 0))&gt;0, "DQ",
                IF(ISNUMBER(SEARCH("WD",MAIN!K312)), "WD",
                IF(ISNUMBER(SEARCH("NS",MAIN!K312)), "NS",
                IF(ISNUMBER(SEARCH("NC",MAIN!K312)), "NC",
                IF(ISNUMBER(SEARCH("DQ",MAIN!K312)), "DQ",
                IF(ISNUMBER(SEARCH("A",MAIN!K312)), 0,
                IF(OR(MAIN!K312=0,MAIN!K312=""), 0, --TRIM(MAIN!K312)))))))))))),
            0
        )
    ),
    IFERROR(
        UPPER(
            IF(MAX(IFERROR(SEARCH("WD",MAIN!G312:J312), 0))&gt;0, "WD",
            IF(MAX(IFERROR(SEARCH("NS",MAIN!G312:J312), 0))&gt;0, "NS",
            IF(MAX(IFERROR(SEARCH("NC",MAIN!G312:J312), 0))&gt;0, "NC",
            IF(MAX(IFERROR(SEARCH("DQ",MAIN!G312:J312), 0))&gt;0, "DQ",
            IF(ISNUMBER(SEARCH("WD",MAIN!K312)), "WD",
            IF(ISNUMBER(SEARCH("NS",MAIN!K312)), "NS",
            IF(ISNUMBER(SEARCH("NC",MAIN!K312)), "NC",
            IF(ISNUMBER(SEARCH("DQ",MAIN!K312)), "DQ",
            IF(ISNUMBER(SEARCH("A",MAIN!K312)), 0,
            IF(OR(MAIN!K312=0,MAIN!K312=""), 0, --TRIM(MAIN!K312)))))))))))),
        0
    )
)</f>
        <v>0</v>
      </c>
    </row>
    <row r="313" spans="1:11" x14ac:dyDescent="0.25">
      <c r="A313" t="str">
        <f>IF(ISBLANK(MAIN!A313), "--", IFERROR(PROPER(SUBSTITUTE(SUBSTITUTE(SUBSTITUTE(SUBSTITUTE(SUBSTITUTE(SUBSTITUTE(SUBSTITUTE(SUBSTITUTE(SUBSTITUTE(SUBSTITUTE(LEFT(MAIN!A313, FIND(",",MAIN!A313) -1), "0", ""), "1", ""), "2", ""), "3", ""), "4", ""), "5", ""), "6", ""), "7", ""), "8", ""), "9", "")), PROPER(SUBSTITUTE(SUBSTITUTE(SUBSTITUTE(SUBSTITUTE(SUBSTITUTE(SUBSTITUTE(SUBSTITUTE(SUBSTITUTE(SUBSTITUTE(SUBSTITUTE(MAIN!A313, "0", ""), "1", ""), "2", ""), "3", ""), "4", ""), "5", ""), "6", ""), "7", ""), "8", ""), "9", ""))))</f>
        <v>--</v>
      </c>
      <c r="B313" t="str">
        <f>IF(ISBLANK(MAIN!B313), "--", IFERROR(PROPER(SUBSTITUTE(SUBSTITUTE(SUBSTITUTE(SUBSTITUTE(SUBSTITUTE(SUBSTITUTE(SUBSTITUTE(SUBSTITUTE(SUBSTITUTE(SUBSTITUTE(LEFT(MAIN!B313, FIND(",",MAIN!B313) -1), "0", ""), "1", ""), "2", ""), "3", ""), "4", ""), "5", ""), "6", ""), "7", ""), "8", ""), "9", "")), PROPER(SUBSTITUTE(SUBSTITUTE(SUBSTITUTE(SUBSTITUTE(SUBSTITUTE(SUBSTITUTE(SUBSTITUTE(SUBSTITUTE(SUBSTITUTE(SUBSTITUTE(MAIN!B313, "0", ""), "1", ""), "2", ""), "3", ""), "4", ""), "5", ""), "6", ""), "7", ""), "8", ""), "9", ""))))</f>
        <v>--</v>
      </c>
      <c r="C313" t="str">
        <f>IF(ISBLANK(MAIN!C313), "--", IFERROR(PROPER(SUBSTITUTE(SUBSTITUTE(SUBSTITUTE(SUBSTITUTE(SUBSTITUTE(SUBSTITUTE(SUBSTITUTE(SUBSTITUTE(SUBSTITUTE(SUBSTITUTE(LEFT(MAIN!C313, FIND(",",MAIN!C313) -1), "0", ""), "1", ""), "2", ""), "3", ""), "4", ""), "5", ""), "6", ""), "7", ""), "8", ""), "9", "")), PROPER(SUBSTITUTE(SUBSTITUTE(SUBSTITUTE(SUBSTITUTE(SUBSTITUTE(SUBSTITUTE(SUBSTITUTE(SUBSTITUTE(SUBSTITUTE(SUBSTITUTE(MAIN!C313, "0", ""), "1", ""), "2", ""), "3", ""), "4", ""), "5", ""), "6", ""), "7", ""), "8", ""), "9", ""))))</f>
        <v>--</v>
      </c>
      <c r="D313" t="str">
        <f>IF(ISBLANK(MAIN!D313), "--", IF(ISNUMBER(MATCH(SUBSTITUTE(LEFT(MAIN!D313, IFERROR(FIND(",", MAIN!D313)-1, LEN(MAIN!D313))), " ", ""), lookup_values!$B$2:$B$51, 0)), UPPER(SUBSTITUTE(LEFT(MAIN!D313, IFERROR(FIND(",", MAIN!D313)-1, LEN(MAIN!D313))), " ", "")), IF(ISNA(VLOOKUP(SUBSTITUTE(LEFT(MAIN!D313, IFERROR(FIND(",", MAIN!D313)-1, LEN(MAIN!D313))), " ", ""), lookup_values!$A$2:$B$51, 2, FALSE)), "--", VLOOKUP(SUBSTITUTE(LEFT(MAIN!D313, IFERROR(FIND(",", MAIN!D313)-1, LEN(MAIN!D313))), " ", ""), lookup_values!$A$2:$B$51, 2, FALSE))))</f>
        <v>--</v>
      </c>
      <c r="E313" t="str">
        <f>IF(CLEAN_DATA!D313&lt;&gt;"--","US",IF(ISBLANK(MAIN!E313), "--", IF(ISNUMBER(MATCH(SUBSTITUTE(LEFT(MAIN!E313, IFERROR(FIND(",", MAIN!E313)-1, LEN(MAIN!E313))), " ", ""), lookup_values!$E$2:$E$197, 0)), UPPER(SUBSTITUTE(LEFT(MAIN!E313, IFERROR(FIND(",", MAIN!E313)-1, LEN(MAIN!E313))), " ", "")), IF(ISNA(VLOOKUP(SUBSTITUTE(LEFT(MAIN!E313, IFERROR(FIND(",", MAIN!E313)-1, LEN(MAIN!E313))), " ", ""), lookup_values!$D$2:$E$197, 2, FALSE)), "--", VLOOKUP(SUBSTITUTE(LEFT(MAIN!E313, IFERROR(FIND(",", MAIN!E313)-1, LEN(MAIN!E313))), " ", ""), lookup_values!$D$2:$E$197, 2, FALSE)))))</f>
        <v>--</v>
      </c>
      <c r="F313" t="str">
        <f>IF(ISBLANK(MAIN!F313), "", IF(AND(ISNUMBER(VALUE(TRIM(MAIN!F313))), LEN(TRIM(MAIN!F313))=4), VALUE(TRIM(MAIN!F313)), ""))</f>
        <v/>
      </c>
      <c r="G313">
        <f>IF(ISBLANK(MAIN!G313), 0, IF(ISNUMBER(VALUE(TRIM(MAIN!G313))), VALUE(TRIM(MAIN!G313)), 0))</f>
        <v>0</v>
      </c>
      <c r="H313">
        <f>IF(ISBLANK(MAIN!H313), 0, IF(ISNUMBER(VALUE(TRIM(MAIN!H313))), VALUE(TRIM(MAIN!H313)), 0))</f>
        <v>0</v>
      </c>
      <c r="I313">
        <f>IF(ISBLANK(MAIN!I313), 0, IF(ISNUMBER(VALUE(TRIM(MAIN!I313))), VALUE(TRIM(MAIN!I313)), 0))</f>
        <v>0</v>
      </c>
      <c r="J313">
        <f>IF(ISBLANK(MAIN!J313), 0, IF(ISNUMBER(VALUE(TRIM(MAIN!J313))), VALUE(TRIM(MAIN!J313)), 0))</f>
        <v>0</v>
      </c>
      <c r="K313" cm="1">
        <f t="array" ref="K313">IFERROR(
    VALUE(
        IFERROR(
            UPPER(
                IF(MAX(IFERROR(SEARCH("WD",MAIN!G313:J313), 0))&gt;0, "WD",
                IF(MAX(IFERROR(SEARCH("NS",MAIN!G313:J313), 0))&gt;0, "NS",
                IF(MAX(IFERROR(SEARCH("NC",MAIN!G313:J313), 0))&gt;0, "NC",
                IF(MAX(IFERROR(SEARCH("DQ",MAIN!G313:J313), 0))&gt;0, "DQ",
                IF(ISNUMBER(SEARCH("WD",MAIN!K313)), "WD",
                IF(ISNUMBER(SEARCH("NS",MAIN!K313)), "NS",
                IF(ISNUMBER(SEARCH("NC",MAIN!K313)), "NC",
                IF(ISNUMBER(SEARCH("DQ",MAIN!K313)), "DQ",
                IF(ISNUMBER(SEARCH("A",MAIN!K313)), 0,
                IF(OR(MAIN!K313=0,MAIN!K313=""), 0, --TRIM(MAIN!K313)))))))))))),
            0
        )
    ),
    IFERROR(
        UPPER(
            IF(MAX(IFERROR(SEARCH("WD",MAIN!G313:J313), 0))&gt;0, "WD",
            IF(MAX(IFERROR(SEARCH("NS",MAIN!G313:J313), 0))&gt;0, "NS",
            IF(MAX(IFERROR(SEARCH("NC",MAIN!G313:J313), 0))&gt;0, "NC",
            IF(MAX(IFERROR(SEARCH("DQ",MAIN!G313:J313), 0))&gt;0, "DQ",
            IF(ISNUMBER(SEARCH("WD",MAIN!K313)), "WD",
            IF(ISNUMBER(SEARCH("NS",MAIN!K313)), "NS",
            IF(ISNUMBER(SEARCH("NC",MAIN!K313)), "NC",
            IF(ISNUMBER(SEARCH("DQ",MAIN!K313)), "DQ",
            IF(ISNUMBER(SEARCH("A",MAIN!K313)), 0,
            IF(OR(MAIN!K313=0,MAIN!K313=""), 0, --TRIM(MAIN!K313)))))))))))),
        0
    )
)</f>
        <v>0</v>
      </c>
    </row>
    <row r="314" spans="1:11" x14ac:dyDescent="0.25">
      <c r="A314" t="str">
        <f>IF(ISBLANK(MAIN!A314), "--", IFERROR(PROPER(SUBSTITUTE(SUBSTITUTE(SUBSTITUTE(SUBSTITUTE(SUBSTITUTE(SUBSTITUTE(SUBSTITUTE(SUBSTITUTE(SUBSTITUTE(SUBSTITUTE(LEFT(MAIN!A314, FIND(",",MAIN!A314) -1), "0", ""), "1", ""), "2", ""), "3", ""), "4", ""), "5", ""), "6", ""), "7", ""), "8", ""), "9", "")), PROPER(SUBSTITUTE(SUBSTITUTE(SUBSTITUTE(SUBSTITUTE(SUBSTITUTE(SUBSTITUTE(SUBSTITUTE(SUBSTITUTE(SUBSTITUTE(SUBSTITUTE(MAIN!A314, "0", ""), "1", ""), "2", ""), "3", ""), "4", ""), "5", ""), "6", ""), "7", ""), "8", ""), "9", ""))))</f>
        <v>--</v>
      </c>
      <c r="B314" t="str">
        <f>IF(ISBLANK(MAIN!B314), "--", IFERROR(PROPER(SUBSTITUTE(SUBSTITUTE(SUBSTITUTE(SUBSTITUTE(SUBSTITUTE(SUBSTITUTE(SUBSTITUTE(SUBSTITUTE(SUBSTITUTE(SUBSTITUTE(LEFT(MAIN!B314, FIND(",",MAIN!B314) -1), "0", ""), "1", ""), "2", ""), "3", ""), "4", ""), "5", ""), "6", ""), "7", ""), "8", ""), "9", "")), PROPER(SUBSTITUTE(SUBSTITUTE(SUBSTITUTE(SUBSTITUTE(SUBSTITUTE(SUBSTITUTE(SUBSTITUTE(SUBSTITUTE(SUBSTITUTE(SUBSTITUTE(MAIN!B314, "0", ""), "1", ""), "2", ""), "3", ""), "4", ""), "5", ""), "6", ""), "7", ""), "8", ""), "9", ""))))</f>
        <v>--</v>
      </c>
      <c r="C314" t="str">
        <f>IF(ISBLANK(MAIN!C314), "--", IFERROR(PROPER(SUBSTITUTE(SUBSTITUTE(SUBSTITUTE(SUBSTITUTE(SUBSTITUTE(SUBSTITUTE(SUBSTITUTE(SUBSTITUTE(SUBSTITUTE(SUBSTITUTE(LEFT(MAIN!C314, FIND(",",MAIN!C314) -1), "0", ""), "1", ""), "2", ""), "3", ""), "4", ""), "5", ""), "6", ""), "7", ""), "8", ""), "9", "")), PROPER(SUBSTITUTE(SUBSTITUTE(SUBSTITUTE(SUBSTITUTE(SUBSTITUTE(SUBSTITUTE(SUBSTITUTE(SUBSTITUTE(SUBSTITUTE(SUBSTITUTE(MAIN!C314, "0", ""), "1", ""), "2", ""), "3", ""), "4", ""), "5", ""), "6", ""), "7", ""), "8", ""), "9", ""))))</f>
        <v>--</v>
      </c>
      <c r="D314" t="str">
        <f>IF(ISBLANK(MAIN!D314), "--", IF(ISNUMBER(MATCH(SUBSTITUTE(LEFT(MAIN!D314, IFERROR(FIND(",", MAIN!D314)-1, LEN(MAIN!D314))), " ", ""), lookup_values!$B$2:$B$51, 0)), UPPER(SUBSTITUTE(LEFT(MAIN!D314, IFERROR(FIND(",", MAIN!D314)-1, LEN(MAIN!D314))), " ", "")), IF(ISNA(VLOOKUP(SUBSTITUTE(LEFT(MAIN!D314, IFERROR(FIND(",", MAIN!D314)-1, LEN(MAIN!D314))), " ", ""), lookup_values!$A$2:$B$51, 2, FALSE)), "--", VLOOKUP(SUBSTITUTE(LEFT(MAIN!D314, IFERROR(FIND(",", MAIN!D314)-1, LEN(MAIN!D314))), " ", ""), lookup_values!$A$2:$B$51, 2, FALSE))))</f>
        <v>--</v>
      </c>
      <c r="E314" t="str">
        <f>IF(CLEAN_DATA!D314&lt;&gt;"--","US",IF(ISBLANK(MAIN!E314), "--", IF(ISNUMBER(MATCH(SUBSTITUTE(LEFT(MAIN!E314, IFERROR(FIND(",", MAIN!E314)-1, LEN(MAIN!E314))), " ", ""), lookup_values!$E$2:$E$197, 0)), UPPER(SUBSTITUTE(LEFT(MAIN!E314, IFERROR(FIND(",", MAIN!E314)-1, LEN(MAIN!E314))), " ", "")), IF(ISNA(VLOOKUP(SUBSTITUTE(LEFT(MAIN!E314, IFERROR(FIND(",", MAIN!E314)-1, LEN(MAIN!E314))), " ", ""), lookup_values!$D$2:$E$197, 2, FALSE)), "--", VLOOKUP(SUBSTITUTE(LEFT(MAIN!E314, IFERROR(FIND(",", MAIN!E314)-1, LEN(MAIN!E314))), " ", ""), lookup_values!$D$2:$E$197, 2, FALSE)))))</f>
        <v>--</v>
      </c>
      <c r="F314" t="str">
        <f>IF(ISBLANK(MAIN!F314), "", IF(AND(ISNUMBER(VALUE(TRIM(MAIN!F314))), LEN(TRIM(MAIN!F314))=4), VALUE(TRIM(MAIN!F314)), ""))</f>
        <v/>
      </c>
      <c r="G314">
        <f>IF(ISBLANK(MAIN!G314), 0, IF(ISNUMBER(VALUE(TRIM(MAIN!G314))), VALUE(TRIM(MAIN!G314)), 0))</f>
        <v>0</v>
      </c>
      <c r="H314">
        <f>IF(ISBLANK(MAIN!H314), 0, IF(ISNUMBER(VALUE(TRIM(MAIN!H314))), VALUE(TRIM(MAIN!H314)), 0))</f>
        <v>0</v>
      </c>
      <c r="I314">
        <f>IF(ISBLANK(MAIN!I314), 0, IF(ISNUMBER(VALUE(TRIM(MAIN!I314))), VALUE(TRIM(MAIN!I314)), 0))</f>
        <v>0</v>
      </c>
      <c r="J314">
        <f>IF(ISBLANK(MAIN!J314), 0, IF(ISNUMBER(VALUE(TRIM(MAIN!J314))), VALUE(TRIM(MAIN!J314)), 0))</f>
        <v>0</v>
      </c>
      <c r="K314" cm="1">
        <f t="array" ref="K314">IFERROR(
    VALUE(
        IFERROR(
            UPPER(
                IF(MAX(IFERROR(SEARCH("WD",MAIN!G314:J314), 0))&gt;0, "WD",
                IF(MAX(IFERROR(SEARCH("NS",MAIN!G314:J314), 0))&gt;0, "NS",
                IF(MAX(IFERROR(SEARCH("NC",MAIN!G314:J314), 0))&gt;0, "NC",
                IF(MAX(IFERROR(SEARCH("DQ",MAIN!G314:J314), 0))&gt;0, "DQ",
                IF(ISNUMBER(SEARCH("WD",MAIN!K314)), "WD",
                IF(ISNUMBER(SEARCH("NS",MAIN!K314)), "NS",
                IF(ISNUMBER(SEARCH("NC",MAIN!K314)), "NC",
                IF(ISNUMBER(SEARCH("DQ",MAIN!K314)), "DQ",
                IF(ISNUMBER(SEARCH("A",MAIN!K314)), 0,
                IF(OR(MAIN!K314=0,MAIN!K314=""), 0, --TRIM(MAIN!K314)))))))))))),
            0
        )
    ),
    IFERROR(
        UPPER(
            IF(MAX(IFERROR(SEARCH("WD",MAIN!G314:J314), 0))&gt;0, "WD",
            IF(MAX(IFERROR(SEARCH("NS",MAIN!G314:J314), 0))&gt;0, "NS",
            IF(MAX(IFERROR(SEARCH("NC",MAIN!G314:J314), 0))&gt;0, "NC",
            IF(MAX(IFERROR(SEARCH("DQ",MAIN!G314:J314), 0))&gt;0, "DQ",
            IF(ISNUMBER(SEARCH("WD",MAIN!K314)), "WD",
            IF(ISNUMBER(SEARCH("NS",MAIN!K314)), "NS",
            IF(ISNUMBER(SEARCH("NC",MAIN!K314)), "NC",
            IF(ISNUMBER(SEARCH("DQ",MAIN!K314)), "DQ",
            IF(ISNUMBER(SEARCH("A",MAIN!K314)), 0,
            IF(OR(MAIN!K314=0,MAIN!K314=""), 0, --TRIM(MAIN!K314)))))))))))),
        0
    )
)</f>
        <v>0</v>
      </c>
    </row>
    <row r="315" spans="1:11" x14ac:dyDescent="0.25">
      <c r="A315" t="str">
        <f>IF(ISBLANK(MAIN!A315), "--", IFERROR(PROPER(SUBSTITUTE(SUBSTITUTE(SUBSTITUTE(SUBSTITUTE(SUBSTITUTE(SUBSTITUTE(SUBSTITUTE(SUBSTITUTE(SUBSTITUTE(SUBSTITUTE(LEFT(MAIN!A315, FIND(",",MAIN!A315) -1), "0", ""), "1", ""), "2", ""), "3", ""), "4", ""), "5", ""), "6", ""), "7", ""), "8", ""), "9", "")), PROPER(SUBSTITUTE(SUBSTITUTE(SUBSTITUTE(SUBSTITUTE(SUBSTITUTE(SUBSTITUTE(SUBSTITUTE(SUBSTITUTE(SUBSTITUTE(SUBSTITUTE(MAIN!A315, "0", ""), "1", ""), "2", ""), "3", ""), "4", ""), "5", ""), "6", ""), "7", ""), "8", ""), "9", ""))))</f>
        <v>--</v>
      </c>
      <c r="B315" t="str">
        <f>IF(ISBLANK(MAIN!B315), "--", IFERROR(PROPER(SUBSTITUTE(SUBSTITUTE(SUBSTITUTE(SUBSTITUTE(SUBSTITUTE(SUBSTITUTE(SUBSTITUTE(SUBSTITUTE(SUBSTITUTE(SUBSTITUTE(LEFT(MAIN!B315, FIND(",",MAIN!B315) -1), "0", ""), "1", ""), "2", ""), "3", ""), "4", ""), "5", ""), "6", ""), "7", ""), "8", ""), "9", "")), PROPER(SUBSTITUTE(SUBSTITUTE(SUBSTITUTE(SUBSTITUTE(SUBSTITUTE(SUBSTITUTE(SUBSTITUTE(SUBSTITUTE(SUBSTITUTE(SUBSTITUTE(MAIN!B315, "0", ""), "1", ""), "2", ""), "3", ""), "4", ""), "5", ""), "6", ""), "7", ""), "8", ""), "9", ""))))</f>
        <v>--</v>
      </c>
      <c r="C315" t="str">
        <f>IF(ISBLANK(MAIN!C315), "--", IFERROR(PROPER(SUBSTITUTE(SUBSTITUTE(SUBSTITUTE(SUBSTITUTE(SUBSTITUTE(SUBSTITUTE(SUBSTITUTE(SUBSTITUTE(SUBSTITUTE(SUBSTITUTE(LEFT(MAIN!C315, FIND(",",MAIN!C315) -1), "0", ""), "1", ""), "2", ""), "3", ""), "4", ""), "5", ""), "6", ""), "7", ""), "8", ""), "9", "")), PROPER(SUBSTITUTE(SUBSTITUTE(SUBSTITUTE(SUBSTITUTE(SUBSTITUTE(SUBSTITUTE(SUBSTITUTE(SUBSTITUTE(SUBSTITUTE(SUBSTITUTE(MAIN!C315, "0", ""), "1", ""), "2", ""), "3", ""), "4", ""), "5", ""), "6", ""), "7", ""), "8", ""), "9", ""))))</f>
        <v>--</v>
      </c>
      <c r="D315" t="str">
        <f>IF(ISBLANK(MAIN!D315), "--", IF(ISNUMBER(MATCH(SUBSTITUTE(LEFT(MAIN!D315, IFERROR(FIND(",", MAIN!D315)-1, LEN(MAIN!D315))), " ", ""), lookup_values!$B$2:$B$51, 0)), UPPER(SUBSTITUTE(LEFT(MAIN!D315, IFERROR(FIND(",", MAIN!D315)-1, LEN(MAIN!D315))), " ", "")), IF(ISNA(VLOOKUP(SUBSTITUTE(LEFT(MAIN!D315, IFERROR(FIND(",", MAIN!D315)-1, LEN(MAIN!D315))), " ", ""), lookup_values!$A$2:$B$51, 2, FALSE)), "--", VLOOKUP(SUBSTITUTE(LEFT(MAIN!D315, IFERROR(FIND(",", MAIN!D315)-1, LEN(MAIN!D315))), " ", ""), lookup_values!$A$2:$B$51, 2, FALSE))))</f>
        <v>--</v>
      </c>
      <c r="E315" t="str">
        <f>IF(CLEAN_DATA!D315&lt;&gt;"--","US",IF(ISBLANK(MAIN!E315), "--", IF(ISNUMBER(MATCH(SUBSTITUTE(LEFT(MAIN!E315, IFERROR(FIND(",", MAIN!E315)-1, LEN(MAIN!E315))), " ", ""), lookup_values!$E$2:$E$197, 0)), UPPER(SUBSTITUTE(LEFT(MAIN!E315, IFERROR(FIND(",", MAIN!E315)-1, LEN(MAIN!E315))), " ", "")), IF(ISNA(VLOOKUP(SUBSTITUTE(LEFT(MAIN!E315, IFERROR(FIND(",", MAIN!E315)-1, LEN(MAIN!E315))), " ", ""), lookup_values!$D$2:$E$197, 2, FALSE)), "--", VLOOKUP(SUBSTITUTE(LEFT(MAIN!E315, IFERROR(FIND(",", MAIN!E315)-1, LEN(MAIN!E315))), " ", ""), lookup_values!$D$2:$E$197, 2, FALSE)))))</f>
        <v>--</v>
      </c>
      <c r="F315" t="str">
        <f>IF(ISBLANK(MAIN!F315), "", IF(AND(ISNUMBER(VALUE(TRIM(MAIN!F315))), LEN(TRIM(MAIN!F315))=4), VALUE(TRIM(MAIN!F315)), ""))</f>
        <v/>
      </c>
      <c r="G315">
        <f>IF(ISBLANK(MAIN!G315), 0, IF(ISNUMBER(VALUE(TRIM(MAIN!G315))), VALUE(TRIM(MAIN!G315)), 0))</f>
        <v>0</v>
      </c>
      <c r="H315">
        <f>IF(ISBLANK(MAIN!H315), 0, IF(ISNUMBER(VALUE(TRIM(MAIN!H315))), VALUE(TRIM(MAIN!H315)), 0))</f>
        <v>0</v>
      </c>
      <c r="I315">
        <f>IF(ISBLANK(MAIN!I315), 0, IF(ISNUMBER(VALUE(TRIM(MAIN!I315))), VALUE(TRIM(MAIN!I315)), 0))</f>
        <v>0</v>
      </c>
      <c r="J315">
        <f>IF(ISBLANK(MAIN!J315), 0, IF(ISNUMBER(VALUE(TRIM(MAIN!J315))), VALUE(TRIM(MAIN!J315)), 0))</f>
        <v>0</v>
      </c>
      <c r="K315" cm="1">
        <f t="array" ref="K315">IFERROR(
    VALUE(
        IFERROR(
            UPPER(
                IF(MAX(IFERROR(SEARCH("WD",MAIN!G315:J315), 0))&gt;0, "WD",
                IF(MAX(IFERROR(SEARCH("NS",MAIN!G315:J315), 0))&gt;0, "NS",
                IF(MAX(IFERROR(SEARCH("NC",MAIN!G315:J315), 0))&gt;0, "NC",
                IF(MAX(IFERROR(SEARCH("DQ",MAIN!G315:J315), 0))&gt;0, "DQ",
                IF(ISNUMBER(SEARCH("WD",MAIN!K315)), "WD",
                IF(ISNUMBER(SEARCH("NS",MAIN!K315)), "NS",
                IF(ISNUMBER(SEARCH("NC",MAIN!K315)), "NC",
                IF(ISNUMBER(SEARCH("DQ",MAIN!K315)), "DQ",
                IF(ISNUMBER(SEARCH("A",MAIN!K315)), 0,
                IF(OR(MAIN!K315=0,MAIN!K315=""), 0, --TRIM(MAIN!K315)))))))))))),
            0
        )
    ),
    IFERROR(
        UPPER(
            IF(MAX(IFERROR(SEARCH("WD",MAIN!G315:J315), 0))&gt;0, "WD",
            IF(MAX(IFERROR(SEARCH("NS",MAIN!G315:J315), 0))&gt;0, "NS",
            IF(MAX(IFERROR(SEARCH("NC",MAIN!G315:J315), 0))&gt;0, "NC",
            IF(MAX(IFERROR(SEARCH("DQ",MAIN!G315:J315), 0))&gt;0, "DQ",
            IF(ISNUMBER(SEARCH("WD",MAIN!K315)), "WD",
            IF(ISNUMBER(SEARCH("NS",MAIN!K315)), "NS",
            IF(ISNUMBER(SEARCH("NC",MAIN!K315)), "NC",
            IF(ISNUMBER(SEARCH("DQ",MAIN!K315)), "DQ",
            IF(ISNUMBER(SEARCH("A",MAIN!K315)), 0,
            IF(OR(MAIN!K315=0,MAIN!K315=""), 0, --TRIM(MAIN!K315)))))))))))),
        0
    )
)</f>
        <v>0</v>
      </c>
    </row>
    <row r="316" spans="1:11" x14ac:dyDescent="0.25">
      <c r="A316" t="str">
        <f>IF(ISBLANK(MAIN!A316), "--", IFERROR(PROPER(SUBSTITUTE(SUBSTITUTE(SUBSTITUTE(SUBSTITUTE(SUBSTITUTE(SUBSTITUTE(SUBSTITUTE(SUBSTITUTE(SUBSTITUTE(SUBSTITUTE(LEFT(MAIN!A316, FIND(",",MAIN!A316) -1), "0", ""), "1", ""), "2", ""), "3", ""), "4", ""), "5", ""), "6", ""), "7", ""), "8", ""), "9", "")), PROPER(SUBSTITUTE(SUBSTITUTE(SUBSTITUTE(SUBSTITUTE(SUBSTITUTE(SUBSTITUTE(SUBSTITUTE(SUBSTITUTE(SUBSTITUTE(SUBSTITUTE(MAIN!A316, "0", ""), "1", ""), "2", ""), "3", ""), "4", ""), "5", ""), "6", ""), "7", ""), "8", ""), "9", ""))))</f>
        <v>--</v>
      </c>
      <c r="B316" t="str">
        <f>IF(ISBLANK(MAIN!B316), "--", IFERROR(PROPER(SUBSTITUTE(SUBSTITUTE(SUBSTITUTE(SUBSTITUTE(SUBSTITUTE(SUBSTITUTE(SUBSTITUTE(SUBSTITUTE(SUBSTITUTE(SUBSTITUTE(LEFT(MAIN!B316, FIND(",",MAIN!B316) -1), "0", ""), "1", ""), "2", ""), "3", ""), "4", ""), "5", ""), "6", ""), "7", ""), "8", ""), "9", "")), PROPER(SUBSTITUTE(SUBSTITUTE(SUBSTITUTE(SUBSTITUTE(SUBSTITUTE(SUBSTITUTE(SUBSTITUTE(SUBSTITUTE(SUBSTITUTE(SUBSTITUTE(MAIN!B316, "0", ""), "1", ""), "2", ""), "3", ""), "4", ""), "5", ""), "6", ""), "7", ""), "8", ""), "9", ""))))</f>
        <v>--</v>
      </c>
      <c r="C316" t="str">
        <f>IF(ISBLANK(MAIN!C316), "--", IFERROR(PROPER(SUBSTITUTE(SUBSTITUTE(SUBSTITUTE(SUBSTITUTE(SUBSTITUTE(SUBSTITUTE(SUBSTITUTE(SUBSTITUTE(SUBSTITUTE(SUBSTITUTE(LEFT(MAIN!C316, FIND(",",MAIN!C316) -1), "0", ""), "1", ""), "2", ""), "3", ""), "4", ""), "5", ""), "6", ""), "7", ""), "8", ""), "9", "")), PROPER(SUBSTITUTE(SUBSTITUTE(SUBSTITUTE(SUBSTITUTE(SUBSTITUTE(SUBSTITUTE(SUBSTITUTE(SUBSTITUTE(SUBSTITUTE(SUBSTITUTE(MAIN!C316, "0", ""), "1", ""), "2", ""), "3", ""), "4", ""), "5", ""), "6", ""), "7", ""), "8", ""), "9", ""))))</f>
        <v>--</v>
      </c>
      <c r="D316" t="str">
        <f>IF(ISBLANK(MAIN!D316), "--", IF(ISNUMBER(MATCH(SUBSTITUTE(LEFT(MAIN!D316, IFERROR(FIND(",", MAIN!D316)-1, LEN(MAIN!D316))), " ", ""), lookup_values!$B$2:$B$51, 0)), UPPER(SUBSTITUTE(LEFT(MAIN!D316, IFERROR(FIND(",", MAIN!D316)-1, LEN(MAIN!D316))), " ", "")), IF(ISNA(VLOOKUP(SUBSTITUTE(LEFT(MAIN!D316, IFERROR(FIND(",", MAIN!D316)-1, LEN(MAIN!D316))), " ", ""), lookup_values!$A$2:$B$51, 2, FALSE)), "--", VLOOKUP(SUBSTITUTE(LEFT(MAIN!D316, IFERROR(FIND(",", MAIN!D316)-1, LEN(MAIN!D316))), " ", ""), lookup_values!$A$2:$B$51, 2, FALSE))))</f>
        <v>--</v>
      </c>
      <c r="E316" t="str">
        <f>IF(CLEAN_DATA!D316&lt;&gt;"--","US",IF(ISBLANK(MAIN!E316), "--", IF(ISNUMBER(MATCH(SUBSTITUTE(LEFT(MAIN!E316, IFERROR(FIND(",", MAIN!E316)-1, LEN(MAIN!E316))), " ", ""), lookup_values!$E$2:$E$197, 0)), UPPER(SUBSTITUTE(LEFT(MAIN!E316, IFERROR(FIND(",", MAIN!E316)-1, LEN(MAIN!E316))), " ", "")), IF(ISNA(VLOOKUP(SUBSTITUTE(LEFT(MAIN!E316, IFERROR(FIND(",", MAIN!E316)-1, LEN(MAIN!E316))), " ", ""), lookup_values!$D$2:$E$197, 2, FALSE)), "--", VLOOKUP(SUBSTITUTE(LEFT(MAIN!E316, IFERROR(FIND(",", MAIN!E316)-1, LEN(MAIN!E316))), " ", ""), lookup_values!$D$2:$E$197, 2, FALSE)))))</f>
        <v>--</v>
      </c>
      <c r="F316" t="str">
        <f>IF(ISBLANK(MAIN!F316), "", IF(AND(ISNUMBER(VALUE(TRIM(MAIN!F316))), LEN(TRIM(MAIN!F316))=4), VALUE(TRIM(MAIN!F316)), ""))</f>
        <v/>
      </c>
      <c r="G316">
        <f>IF(ISBLANK(MAIN!G316), 0, IF(ISNUMBER(VALUE(TRIM(MAIN!G316))), VALUE(TRIM(MAIN!G316)), 0))</f>
        <v>0</v>
      </c>
      <c r="H316">
        <f>IF(ISBLANK(MAIN!H316), 0, IF(ISNUMBER(VALUE(TRIM(MAIN!H316))), VALUE(TRIM(MAIN!H316)), 0))</f>
        <v>0</v>
      </c>
      <c r="I316">
        <f>IF(ISBLANK(MAIN!I316), 0, IF(ISNUMBER(VALUE(TRIM(MAIN!I316))), VALUE(TRIM(MAIN!I316)), 0))</f>
        <v>0</v>
      </c>
      <c r="J316">
        <f>IF(ISBLANK(MAIN!J316), 0, IF(ISNUMBER(VALUE(TRIM(MAIN!J316))), VALUE(TRIM(MAIN!J316)), 0))</f>
        <v>0</v>
      </c>
      <c r="K316" cm="1">
        <f t="array" ref="K316">IFERROR(
    VALUE(
        IFERROR(
            UPPER(
                IF(MAX(IFERROR(SEARCH("WD",MAIN!G316:J316), 0))&gt;0, "WD",
                IF(MAX(IFERROR(SEARCH("NS",MAIN!G316:J316), 0))&gt;0, "NS",
                IF(MAX(IFERROR(SEARCH("NC",MAIN!G316:J316), 0))&gt;0, "NC",
                IF(MAX(IFERROR(SEARCH("DQ",MAIN!G316:J316), 0))&gt;0, "DQ",
                IF(ISNUMBER(SEARCH("WD",MAIN!K316)), "WD",
                IF(ISNUMBER(SEARCH("NS",MAIN!K316)), "NS",
                IF(ISNUMBER(SEARCH("NC",MAIN!K316)), "NC",
                IF(ISNUMBER(SEARCH("DQ",MAIN!K316)), "DQ",
                IF(ISNUMBER(SEARCH("A",MAIN!K316)), 0,
                IF(OR(MAIN!K316=0,MAIN!K316=""), 0, --TRIM(MAIN!K316)))))))))))),
            0
        )
    ),
    IFERROR(
        UPPER(
            IF(MAX(IFERROR(SEARCH("WD",MAIN!G316:J316), 0))&gt;0, "WD",
            IF(MAX(IFERROR(SEARCH("NS",MAIN!G316:J316), 0))&gt;0, "NS",
            IF(MAX(IFERROR(SEARCH("NC",MAIN!G316:J316), 0))&gt;0, "NC",
            IF(MAX(IFERROR(SEARCH("DQ",MAIN!G316:J316), 0))&gt;0, "DQ",
            IF(ISNUMBER(SEARCH("WD",MAIN!K316)), "WD",
            IF(ISNUMBER(SEARCH("NS",MAIN!K316)), "NS",
            IF(ISNUMBER(SEARCH("NC",MAIN!K316)), "NC",
            IF(ISNUMBER(SEARCH("DQ",MAIN!K316)), "DQ",
            IF(ISNUMBER(SEARCH("A",MAIN!K316)), 0,
            IF(OR(MAIN!K316=0,MAIN!K316=""), 0, --TRIM(MAIN!K316)))))))))))),
        0
    )
)</f>
        <v>0</v>
      </c>
    </row>
    <row r="317" spans="1:11" x14ac:dyDescent="0.25">
      <c r="A317" t="str">
        <f>IF(ISBLANK(MAIN!A317), "--", IFERROR(PROPER(SUBSTITUTE(SUBSTITUTE(SUBSTITUTE(SUBSTITUTE(SUBSTITUTE(SUBSTITUTE(SUBSTITUTE(SUBSTITUTE(SUBSTITUTE(SUBSTITUTE(LEFT(MAIN!A317, FIND(",",MAIN!A317) -1), "0", ""), "1", ""), "2", ""), "3", ""), "4", ""), "5", ""), "6", ""), "7", ""), "8", ""), "9", "")), PROPER(SUBSTITUTE(SUBSTITUTE(SUBSTITUTE(SUBSTITUTE(SUBSTITUTE(SUBSTITUTE(SUBSTITUTE(SUBSTITUTE(SUBSTITUTE(SUBSTITUTE(MAIN!A317, "0", ""), "1", ""), "2", ""), "3", ""), "4", ""), "5", ""), "6", ""), "7", ""), "8", ""), "9", ""))))</f>
        <v>--</v>
      </c>
      <c r="B317" t="str">
        <f>IF(ISBLANK(MAIN!B317), "--", IFERROR(PROPER(SUBSTITUTE(SUBSTITUTE(SUBSTITUTE(SUBSTITUTE(SUBSTITUTE(SUBSTITUTE(SUBSTITUTE(SUBSTITUTE(SUBSTITUTE(SUBSTITUTE(LEFT(MAIN!B317, FIND(",",MAIN!B317) -1), "0", ""), "1", ""), "2", ""), "3", ""), "4", ""), "5", ""), "6", ""), "7", ""), "8", ""), "9", "")), PROPER(SUBSTITUTE(SUBSTITUTE(SUBSTITUTE(SUBSTITUTE(SUBSTITUTE(SUBSTITUTE(SUBSTITUTE(SUBSTITUTE(SUBSTITUTE(SUBSTITUTE(MAIN!B317, "0", ""), "1", ""), "2", ""), "3", ""), "4", ""), "5", ""), "6", ""), "7", ""), "8", ""), "9", ""))))</f>
        <v>--</v>
      </c>
      <c r="C317" t="str">
        <f>IF(ISBLANK(MAIN!C317), "--", IFERROR(PROPER(SUBSTITUTE(SUBSTITUTE(SUBSTITUTE(SUBSTITUTE(SUBSTITUTE(SUBSTITUTE(SUBSTITUTE(SUBSTITUTE(SUBSTITUTE(SUBSTITUTE(LEFT(MAIN!C317, FIND(",",MAIN!C317) -1), "0", ""), "1", ""), "2", ""), "3", ""), "4", ""), "5", ""), "6", ""), "7", ""), "8", ""), "9", "")), PROPER(SUBSTITUTE(SUBSTITUTE(SUBSTITUTE(SUBSTITUTE(SUBSTITUTE(SUBSTITUTE(SUBSTITUTE(SUBSTITUTE(SUBSTITUTE(SUBSTITUTE(MAIN!C317, "0", ""), "1", ""), "2", ""), "3", ""), "4", ""), "5", ""), "6", ""), "7", ""), "8", ""), "9", ""))))</f>
        <v>--</v>
      </c>
      <c r="D317" t="str">
        <f>IF(ISBLANK(MAIN!D317), "--", IF(ISNUMBER(MATCH(SUBSTITUTE(LEFT(MAIN!D317, IFERROR(FIND(",", MAIN!D317)-1, LEN(MAIN!D317))), " ", ""), lookup_values!$B$2:$B$51, 0)), UPPER(SUBSTITUTE(LEFT(MAIN!D317, IFERROR(FIND(",", MAIN!D317)-1, LEN(MAIN!D317))), " ", "")), IF(ISNA(VLOOKUP(SUBSTITUTE(LEFT(MAIN!D317, IFERROR(FIND(",", MAIN!D317)-1, LEN(MAIN!D317))), " ", ""), lookup_values!$A$2:$B$51, 2, FALSE)), "--", VLOOKUP(SUBSTITUTE(LEFT(MAIN!D317, IFERROR(FIND(",", MAIN!D317)-1, LEN(MAIN!D317))), " ", ""), lookup_values!$A$2:$B$51, 2, FALSE))))</f>
        <v>--</v>
      </c>
      <c r="E317" t="str">
        <f>IF(CLEAN_DATA!D317&lt;&gt;"--","US",IF(ISBLANK(MAIN!E317), "--", IF(ISNUMBER(MATCH(SUBSTITUTE(LEFT(MAIN!E317, IFERROR(FIND(",", MAIN!E317)-1, LEN(MAIN!E317))), " ", ""), lookup_values!$E$2:$E$197, 0)), UPPER(SUBSTITUTE(LEFT(MAIN!E317, IFERROR(FIND(",", MAIN!E317)-1, LEN(MAIN!E317))), " ", "")), IF(ISNA(VLOOKUP(SUBSTITUTE(LEFT(MAIN!E317, IFERROR(FIND(",", MAIN!E317)-1, LEN(MAIN!E317))), " ", ""), lookup_values!$D$2:$E$197, 2, FALSE)), "--", VLOOKUP(SUBSTITUTE(LEFT(MAIN!E317, IFERROR(FIND(",", MAIN!E317)-1, LEN(MAIN!E317))), " ", ""), lookup_values!$D$2:$E$197, 2, FALSE)))))</f>
        <v>--</v>
      </c>
      <c r="F317" t="str">
        <f>IF(ISBLANK(MAIN!F317), "", IF(AND(ISNUMBER(VALUE(TRIM(MAIN!F317))), LEN(TRIM(MAIN!F317))=4), VALUE(TRIM(MAIN!F317)), ""))</f>
        <v/>
      </c>
      <c r="G317">
        <f>IF(ISBLANK(MAIN!G317), 0, IF(ISNUMBER(VALUE(TRIM(MAIN!G317))), VALUE(TRIM(MAIN!G317)), 0))</f>
        <v>0</v>
      </c>
      <c r="H317">
        <f>IF(ISBLANK(MAIN!H317), 0, IF(ISNUMBER(VALUE(TRIM(MAIN!H317))), VALUE(TRIM(MAIN!H317)), 0))</f>
        <v>0</v>
      </c>
      <c r="I317">
        <f>IF(ISBLANK(MAIN!I317), 0, IF(ISNUMBER(VALUE(TRIM(MAIN!I317))), VALUE(TRIM(MAIN!I317)), 0))</f>
        <v>0</v>
      </c>
      <c r="J317">
        <f>IF(ISBLANK(MAIN!J317), 0, IF(ISNUMBER(VALUE(TRIM(MAIN!J317))), VALUE(TRIM(MAIN!J317)), 0))</f>
        <v>0</v>
      </c>
      <c r="K317" cm="1">
        <f t="array" ref="K317">IFERROR(
    VALUE(
        IFERROR(
            UPPER(
                IF(MAX(IFERROR(SEARCH("WD",MAIN!G317:J317), 0))&gt;0, "WD",
                IF(MAX(IFERROR(SEARCH("NS",MAIN!G317:J317), 0))&gt;0, "NS",
                IF(MAX(IFERROR(SEARCH("NC",MAIN!G317:J317), 0))&gt;0, "NC",
                IF(MAX(IFERROR(SEARCH("DQ",MAIN!G317:J317), 0))&gt;0, "DQ",
                IF(ISNUMBER(SEARCH("WD",MAIN!K317)), "WD",
                IF(ISNUMBER(SEARCH("NS",MAIN!K317)), "NS",
                IF(ISNUMBER(SEARCH("NC",MAIN!K317)), "NC",
                IF(ISNUMBER(SEARCH("DQ",MAIN!K317)), "DQ",
                IF(ISNUMBER(SEARCH("A",MAIN!K317)), 0,
                IF(OR(MAIN!K317=0,MAIN!K317=""), 0, --TRIM(MAIN!K317)))))))))))),
            0
        )
    ),
    IFERROR(
        UPPER(
            IF(MAX(IFERROR(SEARCH("WD",MAIN!G317:J317), 0))&gt;0, "WD",
            IF(MAX(IFERROR(SEARCH("NS",MAIN!G317:J317), 0))&gt;0, "NS",
            IF(MAX(IFERROR(SEARCH("NC",MAIN!G317:J317), 0))&gt;0, "NC",
            IF(MAX(IFERROR(SEARCH("DQ",MAIN!G317:J317), 0))&gt;0, "DQ",
            IF(ISNUMBER(SEARCH("WD",MAIN!K317)), "WD",
            IF(ISNUMBER(SEARCH("NS",MAIN!K317)), "NS",
            IF(ISNUMBER(SEARCH("NC",MAIN!K317)), "NC",
            IF(ISNUMBER(SEARCH("DQ",MAIN!K317)), "DQ",
            IF(ISNUMBER(SEARCH("A",MAIN!K317)), 0,
            IF(OR(MAIN!K317=0,MAIN!K317=""), 0, --TRIM(MAIN!K317)))))))))))),
        0
    )
)</f>
        <v>0</v>
      </c>
    </row>
    <row r="318" spans="1:11" x14ac:dyDescent="0.25">
      <c r="A318" t="str">
        <f>IF(ISBLANK(MAIN!A318), "--", IFERROR(PROPER(SUBSTITUTE(SUBSTITUTE(SUBSTITUTE(SUBSTITUTE(SUBSTITUTE(SUBSTITUTE(SUBSTITUTE(SUBSTITUTE(SUBSTITUTE(SUBSTITUTE(LEFT(MAIN!A318, FIND(",",MAIN!A318) -1), "0", ""), "1", ""), "2", ""), "3", ""), "4", ""), "5", ""), "6", ""), "7", ""), "8", ""), "9", "")), PROPER(SUBSTITUTE(SUBSTITUTE(SUBSTITUTE(SUBSTITUTE(SUBSTITUTE(SUBSTITUTE(SUBSTITUTE(SUBSTITUTE(SUBSTITUTE(SUBSTITUTE(MAIN!A318, "0", ""), "1", ""), "2", ""), "3", ""), "4", ""), "5", ""), "6", ""), "7", ""), "8", ""), "9", ""))))</f>
        <v>--</v>
      </c>
      <c r="B318" t="str">
        <f>IF(ISBLANK(MAIN!B318), "--", IFERROR(PROPER(SUBSTITUTE(SUBSTITUTE(SUBSTITUTE(SUBSTITUTE(SUBSTITUTE(SUBSTITUTE(SUBSTITUTE(SUBSTITUTE(SUBSTITUTE(SUBSTITUTE(LEFT(MAIN!B318, FIND(",",MAIN!B318) -1), "0", ""), "1", ""), "2", ""), "3", ""), "4", ""), "5", ""), "6", ""), "7", ""), "8", ""), "9", "")), PROPER(SUBSTITUTE(SUBSTITUTE(SUBSTITUTE(SUBSTITUTE(SUBSTITUTE(SUBSTITUTE(SUBSTITUTE(SUBSTITUTE(SUBSTITUTE(SUBSTITUTE(MAIN!B318, "0", ""), "1", ""), "2", ""), "3", ""), "4", ""), "5", ""), "6", ""), "7", ""), "8", ""), "9", ""))))</f>
        <v>--</v>
      </c>
      <c r="C318" t="str">
        <f>IF(ISBLANK(MAIN!C318), "--", IFERROR(PROPER(SUBSTITUTE(SUBSTITUTE(SUBSTITUTE(SUBSTITUTE(SUBSTITUTE(SUBSTITUTE(SUBSTITUTE(SUBSTITUTE(SUBSTITUTE(SUBSTITUTE(LEFT(MAIN!C318, FIND(",",MAIN!C318) -1), "0", ""), "1", ""), "2", ""), "3", ""), "4", ""), "5", ""), "6", ""), "7", ""), "8", ""), "9", "")), PROPER(SUBSTITUTE(SUBSTITUTE(SUBSTITUTE(SUBSTITUTE(SUBSTITUTE(SUBSTITUTE(SUBSTITUTE(SUBSTITUTE(SUBSTITUTE(SUBSTITUTE(MAIN!C318, "0", ""), "1", ""), "2", ""), "3", ""), "4", ""), "5", ""), "6", ""), "7", ""), "8", ""), "9", ""))))</f>
        <v>--</v>
      </c>
      <c r="D318" t="str">
        <f>IF(ISBLANK(MAIN!D318), "--", IF(ISNUMBER(MATCH(SUBSTITUTE(LEFT(MAIN!D318, IFERROR(FIND(",", MAIN!D318)-1, LEN(MAIN!D318))), " ", ""), lookup_values!$B$2:$B$51, 0)), UPPER(SUBSTITUTE(LEFT(MAIN!D318, IFERROR(FIND(",", MAIN!D318)-1, LEN(MAIN!D318))), " ", "")), IF(ISNA(VLOOKUP(SUBSTITUTE(LEFT(MAIN!D318, IFERROR(FIND(",", MAIN!D318)-1, LEN(MAIN!D318))), " ", ""), lookup_values!$A$2:$B$51, 2, FALSE)), "--", VLOOKUP(SUBSTITUTE(LEFT(MAIN!D318, IFERROR(FIND(",", MAIN!D318)-1, LEN(MAIN!D318))), " ", ""), lookup_values!$A$2:$B$51, 2, FALSE))))</f>
        <v>--</v>
      </c>
      <c r="E318" t="str">
        <f>IF(CLEAN_DATA!D318&lt;&gt;"--","US",IF(ISBLANK(MAIN!E318), "--", IF(ISNUMBER(MATCH(SUBSTITUTE(LEFT(MAIN!E318, IFERROR(FIND(",", MAIN!E318)-1, LEN(MAIN!E318))), " ", ""), lookup_values!$E$2:$E$197, 0)), UPPER(SUBSTITUTE(LEFT(MAIN!E318, IFERROR(FIND(",", MAIN!E318)-1, LEN(MAIN!E318))), " ", "")), IF(ISNA(VLOOKUP(SUBSTITUTE(LEFT(MAIN!E318, IFERROR(FIND(",", MAIN!E318)-1, LEN(MAIN!E318))), " ", ""), lookup_values!$D$2:$E$197, 2, FALSE)), "--", VLOOKUP(SUBSTITUTE(LEFT(MAIN!E318, IFERROR(FIND(",", MAIN!E318)-1, LEN(MAIN!E318))), " ", ""), lookup_values!$D$2:$E$197, 2, FALSE)))))</f>
        <v>--</v>
      </c>
      <c r="F318" t="str">
        <f>IF(ISBLANK(MAIN!F318), "", IF(AND(ISNUMBER(VALUE(TRIM(MAIN!F318))), LEN(TRIM(MAIN!F318))=4), VALUE(TRIM(MAIN!F318)), ""))</f>
        <v/>
      </c>
      <c r="G318">
        <f>IF(ISBLANK(MAIN!G318), 0, IF(ISNUMBER(VALUE(TRIM(MAIN!G318))), VALUE(TRIM(MAIN!G318)), 0))</f>
        <v>0</v>
      </c>
      <c r="H318">
        <f>IF(ISBLANK(MAIN!H318), 0, IF(ISNUMBER(VALUE(TRIM(MAIN!H318))), VALUE(TRIM(MAIN!H318)), 0))</f>
        <v>0</v>
      </c>
      <c r="I318">
        <f>IF(ISBLANK(MAIN!I318), 0, IF(ISNUMBER(VALUE(TRIM(MAIN!I318))), VALUE(TRIM(MAIN!I318)), 0))</f>
        <v>0</v>
      </c>
      <c r="J318">
        <f>IF(ISBLANK(MAIN!J318), 0, IF(ISNUMBER(VALUE(TRIM(MAIN!J318))), VALUE(TRIM(MAIN!J318)), 0))</f>
        <v>0</v>
      </c>
      <c r="K318" cm="1">
        <f t="array" ref="K318">IFERROR(
    VALUE(
        IFERROR(
            UPPER(
                IF(MAX(IFERROR(SEARCH("WD",MAIN!G318:J318), 0))&gt;0, "WD",
                IF(MAX(IFERROR(SEARCH("NS",MAIN!G318:J318), 0))&gt;0, "NS",
                IF(MAX(IFERROR(SEARCH("NC",MAIN!G318:J318), 0))&gt;0, "NC",
                IF(MAX(IFERROR(SEARCH("DQ",MAIN!G318:J318), 0))&gt;0, "DQ",
                IF(ISNUMBER(SEARCH("WD",MAIN!K318)), "WD",
                IF(ISNUMBER(SEARCH("NS",MAIN!K318)), "NS",
                IF(ISNUMBER(SEARCH("NC",MAIN!K318)), "NC",
                IF(ISNUMBER(SEARCH("DQ",MAIN!K318)), "DQ",
                IF(ISNUMBER(SEARCH("A",MAIN!K318)), 0,
                IF(OR(MAIN!K318=0,MAIN!K318=""), 0, --TRIM(MAIN!K318)))))))))))),
            0
        )
    ),
    IFERROR(
        UPPER(
            IF(MAX(IFERROR(SEARCH("WD",MAIN!G318:J318), 0))&gt;0, "WD",
            IF(MAX(IFERROR(SEARCH("NS",MAIN!G318:J318), 0))&gt;0, "NS",
            IF(MAX(IFERROR(SEARCH("NC",MAIN!G318:J318), 0))&gt;0, "NC",
            IF(MAX(IFERROR(SEARCH("DQ",MAIN!G318:J318), 0))&gt;0, "DQ",
            IF(ISNUMBER(SEARCH("WD",MAIN!K318)), "WD",
            IF(ISNUMBER(SEARCH("NS",MAIN!K318)), "NS",
            IF(ISNUMBER(SEARCH("NC",MAIN!K318)), "NC",
            IF(ISNUMBER(SEARCH("DQ",MAIN!K318)), "DQ",
            IF(ISNUMBER(SEARCH("A",MAIN!K318)), 0,
            IF(OR(MAIN!K318=0,MAIN!K318=""), 0, --TRIM(MAIN!K318)))))))))))),
        0
    )
)</f>
        <v>0</v>
      </c>
    </row>
    <row r="319" spans="1:11" x14ac:dyDescent="0.25">
      <c r="A319" t="str">
        <f>IF(ISBLANK(MAIN!A319), "--", IFERROR(PROPER(SUBSTITUTE(SUBSTITUTE(SUBSTITUTE(SUBSTITUTE(SUBSTITUTE(SUBSTITUTE(SUBSTITUTE(SUBSTITUTE(SUBSTITUTE(SUBSTITUTE(LEFT(MAIN!A319, FIND(",",MAIN!A319) -1), "0", ""), "1", ""), "2", ""), "3", ""), "4", ""), "5", ""), "6", ""), "7", ""), "8", ""), "9", "")), PROPER(SUBSTITUTE(SUBSTITUTE(SUBSTITUTE(SUBSTITUTE(SUBSTITUTE(SUBSTITUTE(SUBSTITUTE(SUBSTITUTE(SUBSTITUTE(SUBSTITUTE(MAIN!A319, "0", ""), "1", ""), "2", ""), "3", ""), "4", ""), "5", ""), "6", ""), "7", ""), "8", ""), "9", ""))))</f>
        <v>--</v>
      </c>
      <c r="B319" t="str">
        <f>IF(ISBLANK(MAIN!B319), "--", IFERROR(PROPER(SUBSTITUTE(SUBSTITUTE(SUBSTITUTE(SUBSTITUTE(SUBSTITUTE(SUBSTITUTE(SUBSTITUTE(SUBSTITUTE(SUBSTITUTE(SUBSTITUTE(LEFT(MAIN!B319, FIND(",",MAIN!B319) -1), "0", ""), "1", ""), "2", ""), "3", ""), "4", ""), "5", ""), "6", ""), "7", ""), "8", ""), "9", "")), PROPER(SUBSTITUTE(SUBSTITUTE(SUBSTITUTE(SUBSTITUTE(SUBSTITUTE(SUBSTITUTE(SUBSTITUTE(SUBSTITUTE(SUBSTITUTE(SUBSTITUTE(MAIN!B319, "0", ""), "1", ""), "2", ""), "3", ""), "4", ""), "5", ""), "6", ""), "7", ""), "8", ""), "9", ""))))</f>
        <v>--</v>
      </c>
      <c r="C319" t="str">
        <f>IF(ISBLANK(MAIN!C319), "--", IFERROR(PROPER(SUBSTITUTE(SUBSTITUTE(SUBSTITUTE(SUBSTITUTE(SUBSTITUTE(SUBSTITUTE(SUBSTITUTE(SUBSTITUTE(SUBSTITUTE(SUBSTITUTE(LEFT(MAIN!C319, FIND(",",MAIN!C319) -1), "0", ""), "1", ""), "2", ""), "3", ""), "4", ""), "5", ""), "6", ""), "7", ""), "8", ""), "9", "")), PROPER(SUBSTITUTE(SUBSTITUTE(SUBSTITUTE(SUBSTITUTE(SUBSTITUTE(SUBSTITUTE(SUBSTITUTE(SUBSTITUTE(SUBSTITUTE(SUBSTITUTE(MAIN!C319, "0", ""), "1", ""), "2", ""), "3", ""), "4", ""), "5", ""), "6", ""), "7", ""), "8", ""), "9", ""))))</f>
        <v>--</v>
      </c>
      <c r="D319" t="str">
        <f>IF(ISBLANK(MAIN!D319), "--", IF(ISNUMBER(MATCH(SUBSTITUTE(LEFT(MAIN!D319, IFERROR(FIND(",", MAIN!D319)-1, LEN(MAIN!D319))), " ", ""), lookup_values!$B$2:$B$51, 0)), UPPER(SUBSTITUTE(LEFT(MAIN!D319, IFERROR(FIND(",", MAIN!D319)-1, LEN(MAIN!D319))), " ", "")), IF(ISNA(VLOOKUP(SUBSTITUTE(LEFT(MAIN!D319, IFERROR(FIND(",", MAIN!D319)-1, LEN(MAIN!D319))), " ", ""), lookup_values!$A$2:$B$51, 2, FALSE)), "--", VLOOKUP(SUBSTITUTE(LEFT(MAIN!D319, IFERROR(FIND(",", MAIN!D319)-1, LEN(MAIN!D319))), " ", ""), lookup_values!$A$2:$B$51, 2, FALSE))))</f>
        <v>--</v>
      </c>
      <c r="E319" t="str">
        <f>IF(CLEAN_DATA!D319&lt;&gt;"--","US",IF(ISBLANK(MAIN!E319), "--", IF(ISNUMBER(MATCH(SUBSTITUTE(LEFT(MAIN!E319, IFERROR(FIND(",", MAIN!E319)-1, LEN(MAIN!E319))), " ", ""), lookup_values!$E$2:$E$197, 0)), UPPER(SUBSTITUTE(LEFT(MAIN!E319, IFERROR(FIND(",", MAIN!E319)-1, LEN(MAIN!E319))), " ", "")), IF(ISNA(VLOOKUP(SUBSTITUTE(LEFT(MAIN!E319, IFERROR(FIND(",", MAIN!E319)-1, LEN(MAIN!E319))), " ", ""), lookup_values!$D$2:$E$197, 2, FALSE)), "--", VLOOKUP(SUBSTITUTE(LEFT(MAIN!E319, IFERROR(FIND(",", MAIN!E319)-1, LEN(MAIN!E319))), " ", ""), lookup_values!$D$2:$E$197, 2, FALSE)))))</f>
        <v>--</v>
      </c>
      <c r="F319" t="str">
        <f>IF(ISBLANK(MAIN!F319), "", IF(AND(ISNUMBER(VALUE(TRIM(MAIN!F319))), LEN(TRIM(MAIN!F319))=4), VALUE(TRIM(MAIN!F319)), ""))</f>
        <v/>
      </c>
      <c r="G319">
        <f>IF(ISBLANK(MAIN!G319), 0, IF(ISNUMBER(VALUE(TRIM(MAIN!G319))), VALUE(TRIM(MAIN!G319)), 0))</f>
        <v>0</v>
      </c>
      <c r="H319">
        <f>IF(ISBLANK(MAIN!H319), 0, IF(ISNUMBER(VALUE(TRIM(MAIN!H319))), VALUE(TRIM(MAIN!H319)), 0))</f>
        <v>0</v>
      </c>
      <c r="I319">
        <f>IF(ISBLANK(MAIN!I319), 0, IF(ISNUMBER(VALUE(TRIM(MAIN!I319))), VALUE(TRIM(MAIN!I319)), 0))</f>
        <v>0</v>
      </c>
      <c r="J319">
        <f>IF(ISBLANK(MAIN!J319), 0, IF(ISNUMBER(VALUE(TRIM(MAIN!J319))), VALUE(TRIM(MAIN!J319)), 0))</f>
        <v>0</v>
      </c>
      <c r="K319" cm="1">
        <f t="array" ref="K319">IFERROR(
    VALUE(
        IFERROR(
            UPPER(
                IF(MAX(IFERROR(SEARCH("WD",MAIN!G319:J319), 0))&gt;0, "WD",
                IF(MAX(IFERROR(SEARCH("NS",MAIN!G319:J319), 0))&gt;0, "NS",
                IF(MAX(IFERROR(SEARCH("NC",MAIN!G319:J319), 0))&gt;0, "NC",
                IF(MAX(IFERROR(SEARCH("DQ",MAIN!G319:J319), 0))&gt;0, "DQ",
                IF(ISNUMBER(SEARCH("WD",MAIN!K319)), "WD",
                IF(ISNUMBER(SEARCH("NS",MAIN!K319)), "NS",
                IF(ISNUMBER(SEARCH("NC",MAIN!K319)), "NC",
                IF(ISNUMBER(SEARCH("DQ",MAIN!K319)), "DQ",
                IF(ISNUMBER(SEARCH("A",MAIN!K319)), 0,
                IF(OR(MAIN!K319=0,MAIN!K319=""), 0, --TRIM(MAIN!K319)))))))))))),
            0
        )
    ),
    IFERROR(
        UPPER(
            IF(MAX(IFERROR(SEARCH("WD",MAIN!G319:J319), 0))&gt;0, "WD",
            IF(MAX(IFERROR(SEARCH("NS",MAIN!G319:J319), 0))&gt;0, "NS",
            IF(MAX(IFERROR(SEARCH("NC",MAIN!G319:J319), 0))&gt;0, "NC",
            IF(MAX(IFERROR(SEARCH("DQ",MAIN!G319:J319), 0))&gt;0, "DQ",
            IF(ISNUMBER(SEARCH("WD",MAIN!K319)), "WD",
            IF(ISNUMBER(SEARCH("NS",MAIN!K319)), "NS",
            IF(ISNUMBER(SEARCH("NC",MAIN!K319)), "NC",
            IF(ISNUMBER(SEARCH("DQ",MAIN!K319)), "DQ",
            IF(ISNUMBER(SEARCH("A",MAIN!K319)), 0,
            IF(OR(MAIN!K319=0,MAIN!K319=""), 0, --TRIM(MAIN!K319)))))))))))),
        0
    )
)</f>
        <v>0</v>
      </c>
    </row>
    <row r="320" spans="1:11" x14ac:dyDescent="0.25">
      <c r="A320" t="str">
        <f>IF(ISBLANK(MAIN!A320), "--", IFERROR(PROPER(SUBSTITUTE(SUBSTITUTE(SUBSTITUTE(SUBSTITUTE(SUBSTITUTE(SUBSTITUTE(SUBSTITUTE(SUBSTITUTE(SUBSTITUTE(SUBSTITUTE(LEFT(MAIN!A320, FIND(",",MAIN!A320) -1), "0", ""), "1", ""), "2", ""), "3", ""), "4", ""), "5", ""), "6", ""), "7", ""), "8", ""), "9", "")), PROPER(SUBSTITUTE(SUBSTITUTE(SUBSTITUTE(SUBSTITUTE(SUBSTITUTE(SUBSTITUTE(SUBSTITUTE(SUBSTITUTE(SUBSTITUTE(SUBSTITUTE(MAIN!A320, "0", ""), "1", ""), "2", ""), "3", ""), "4", ""), "5", ""), "6", ""), "7", ""), "8", ""), "9", ""))))</f>
        <v>--</v>
      </c>
      <c r="B320" t="str">
        <f>IF(ISBLANK(MAIN!B320), "--", IFERROR(PROPER(SUBSTITUTE(SUBSTITUTE(SUBSTITUTE(SUBSTITUTE(SUBSTITUTE(SUBSTITUTE(SUBSTITUTE(SUBSTITUTE(SUBSTITUTE(SUBSTITUTE(LEFT(MAIN!B320, FIND(",",MAIN!B320) -1), "0", ""), "1", ""), "2", ""), "3", ""), "4", ""), "5", ""), "6", ""), "7", ""), "8", ""), "9", "")), PROPER(SUBSTITUTE(SUBSTITUTE(SUBSTITUTE(SUBSTITUTE(SUBSTITUTE(SUBSTITUTE(SUBSTITUTE(SUBSTITUTE(SUBSTITUTE(SUBSTITUTE(MAIN!B320, "0", ""), "1", ""), "2", ""), "3", ""), "4", ""), "5", ""), "6", ""), "7", ""), "8", ""), "9", ""))))</f>
        <v>--</v>
      </c>
      <c r="C320" t="str">
        <f>IF(ISBLANK(MAIN!C320), "--", IFERROR(PROPER(SUBSTITUTE(SUBSTITUTE(SUBSTITUTE(SUBSTITUTE(SUBSTITUTE(SUBSTITUTE(SUBSTITUTE(SUBSTITUTE(SUBSTITUTE(SUBSTITUTE(LEFT(MAIN!C320, FIND(",",MAIN!C320) -1), "0", ""), "1", ""), "2", ""), "3", ""), "4", ""), "5", ""), "6", ""), "7", ""), "8", ""), "9", "")), PROPER(SUBSTITUTE(SUBSTITUTE(SUBSTITUTE(SUBSTITUTE(SUBSTITUTE(SUBSTITUTE(SUBSTITUTE(SUBSTITUTE(SUBSTITUTE(SUBSTITUTE(MAIN!C320, "0", ""), "1", ""), "2", ""), "3", ""), "4", ""), "5", ""), "6", ""), "7", ""), "8", ""), "9", ""))))</f>
        <v>--</v>
      </c>
      <c r="D320" t="str">
        <f>IF(ISBLANK(MAIN!D320), "--", IF(ISNUMBER(MATCH(SUBSTITUTE(LEFT(MAIN!D320, IFERROR(FIND(",", MAIN!D320)-1, LEN(MAIN!D320))), " ", ""), lookup_values!$B$2:$B$51, 0)), UPPER(SUBSTITUTE(LEFT(MAIN!D320, IFERROR(FIND(",", MAIN!D320)-1, LEN(MAIN!D320))), " ", "")), IF(ISNA(VLOOKUP(SUBSTITUTE(LEFT(MAIN!D320, IFERROR(FIND(",", MAIN!D320)-1, LEN(MAIN!D320))), " ", ""), lookup_values!$A$2:$B$51, 2, FALSE)), "--", VLOOKUP(SUBSTITUTE(LEFT(MAIN!D320, IFERROR(FIND(",", MAIN!D320)-1, LEN(MAIN!D320))), " ", ""), lookup_values!$A$2:$B$51, 2, FALSE))))</f>
        <v>--</v>
      </c>
      <c r="E320" t="str">
        <f>IF(CLEAN_DATA!D320&lt;&gt;"--","US",IF(ISBLANK(MAIN!E320), "--", IF(ISNUMBER(MATCH(SUBSTITUTE(LEFT(MAIN!E320, IFERROR(FIND(",", MAIN!E320)-1, LEN(MAIN!E320))), " ", ""), lookup_values!$E$2:$E$197, 0)), UPPER(SUBSTITUTE(LEFT(MAIN!E320, IFERROR(FIND(",", MAIN!E320)-1, LEN(MAIN!E320))), " ", "")), IF(ISNA(VLOOKUP(SUBSTITUTE(LEFT(MAIN!E320, IFERROR(FIND(",", MAIN!E320)-1, LEN(MAIN!E320))), " ", ""), lookup_values!$D$2:$E$197, 2, FALSE)), "--", VLOOKUP(SUBSTITUTE(LEFT(MAIN!E320, IFERROR(FIND(",", MAIN!E320)-1, LEN(MAIN!E320))), " ", ""), lookup_values!$D$2:$E$197, 2, FALSE)))))</f>
        <v>--</v>
      </c>
      <c r="F320" t="str">
        <f>IF(ISBLANK(MAIN!F320), "", IF(AND(ISNUMBER(VALUE(TRIM(MAIN!F320))), LEN(TRIM(MAIN!F320))=4), VALUE(TRIM(MAIN!F320)), ""))</f>
        <v/>
      </c>
      <c r="G320">
        <f>IF(ISBLANK(MAIN!G320), 0, IF(ISNUMBER(VALUE(TRIM(MAIN!G320))), VALUE(TRIM(MAIN!G320)), 0))</f>
        <v>0</v>
      </c>
      <c r="H320">
        <f>IF(ISBLANK(MAIN!H320), 0, IF(ISNUMBER(VALUE(TRIM(MAIN!H320))), VALUE(TRIM(MAIN!H320)), 0))</f>
        <v>0</v>
      </c>
      <c r="I320">
        <f>IF(ISBLANK(MAIN!I320), 0, IF(ISNUMBER(VALUE(TRIM(MAIN!I320))), VALUE(TRIM(MAIN!I320)), 0))</f>
        <v>0</v>
      </c>
      <c r="J320">
        <f>IF(ISBLANK(MAIN!J320), 0, IF(ISNUMBER(VALUE(TRIM(MAIN!J320))), VALUE(TRIM(MAIN!J320)), 0))</f>
        <v>0</v>
      </c>
      <c r="K320" cm="1">
        <f t="array" ref="K320">IFERROR(
    VALUE(
        IFERROR(
            UPPER(
                IF(MAX(IFERROR(SEARCH("WD",MAIN!G320:J320), 0))&gt;0, "WD",
                IF(MAX(IFERROR(SEARCH("NS",MAIN!G320:J320), 0))&gt;0, "NS",
                IF(MAX(IFERROR(SEARCH("NC",MAIN!G320:J320), 0))&gt;0, "NC",
                IF(MAX(IFERROR(SEARCH("DQ",MAIN!G320:J320), 0))&gt;0, "DQ",
                IF(ISNUMBER(SEARCH("WD",MAIN!K320)), "WD",
                IF(ISNUMBER(SEARCH("NS",MAIN!K320)), "NS",
                IF(ISNUMBER(SEARCH("NC",MAIN!K320)), "NC",
                IF(ISNUMBER(SEARCH("DQ",MAIN!K320)), "DQ",
                IF(ISNUMBER(SEARCH("A",MAIN!K320)), 0,
                IF(OR(MAIN!K320=0,MAIN!K320=""), 0, --TRIM(MAIN!K320)))))))))))),
            0
        )
    ),
    IFERROR(
        UPPER(
            IF(MAX(IFERROR(SEARCH("WD",MAIN!G320:J320), 0))&gt;0, "WD",
            IF(MAX(IFERROR(SEARCH("NS",MAIN!G320:J320), 0))&gt;0, "NS",
            IF(MAX(IFERROR(SEARCH("NC",MAIN!G320:J320), 0))&gt;0, "NC",
            IF(MAX(IFERROR(SEARCH("DQ",MAIN!G320:J320), 0))&gt;0, "DQ",
            IF(ISNUMBER(SEARCH("WD",MAIN!K320)), "WD",
            IF(ISNUMBER(SEARCH("NS",MAIN!K320)), "NS",
            IF(ISNUMBER(SEARCH("NC",MAIN!K320)), "NC",
            IF(ISNUMBER(SEARCH("DQ",MAIN!K320)), "DQ",
            IF(ISNUMBER(SEARCH("A",MAIN!K320)), 0,
            IF(OR(MAIN!K320=0,MAIN!K320=""), 0, --TRIM(MAIN!K320)))))))))))),
        0
    )
)</f>
        <v>0</v>
      </c>
    </row>
    <row r="321" spans="1:11" x14ac:dyDescent="0.25">
      <c r="A321" t="str">
        <f>IF(ISBLANK(MAIN!A321), "--", IFERROR(PROPER(SUBSTITUTE(SUBSTITUTE(SUBSTITUTE(SUBSTITUTE(SUBSTITUTE(SUBSTITUTE(SUBSTITUTE(SUBSTITUTE(SUBSTITUTE(SUBSTITUTE(LEFT(MAIN!A321, FIND(",",MAIN!A321) -1), "0", ""), "1", ""), "2", ""), "3", ""), "4", ""), "5", ""), "6", ""), "7", ""), "8", ""), "9", "")), PROPER(SUBSTITUTE(SUBSTITUTE(SUBSTITUTE(SUBSTITUTE(SUBSTITUTE(SUBSTITUTE(SUBSTITUTE(SUBSTITUTE(SUBSTITUTE(SUBSTITUTE(MAIN!A321, "0", ""), "1", ""), "2", ""), "3", ""), "4", ""), "5", ""), "6", ""), "7", ""), "8", ""), "9", ""))))</f>
        <v>--</v>
      </c>
      <c r="B321" t="str">
        <f>IF(ISBLANK(MAIN!B321), "--", IFERROR(PROPER(SUBSTITUTE(SUBSTITUTE(SUBSTITUTE(SUBSTITUTE(SUBSTITUTE(SUBSTITUTE(SUBSTITUTE(SUBSTITUTE(SUBSTITUTE(SUBSTITUTE(LEFT(MAIN!B321, FIND(",",MAIN!B321) -1), "0", ""), "1", ""), "2", ""), "3", ""), "4", ""), "5", ""), "6", ""), "7", ""), "8", ""), "9", "")), PROPER(SUBSTITUTE(SUBSTITUTE(SUBSTITUTE(SUBSTITUTE(SUBSTITUTE(SUBSTITUTE(SUBSTITUTE(SUBSTITUTE(SUBSTITUTE(SUBSTITUTE(MAIN!B321, "0", ""), "1", ""), "2", ""), "3", ""), "4", ""), "5", ""), "6", ""), "7", ""), "8", ""), "9", ""))))</f>
        <v>--</v>
      </c>
      <c r="C321" t="str">
        <f>IF(ISBLANK(MAIN!C321), "--", IFERROR(PROPER(SUBSTITUTE(SUBSTITUTE(SUBSTITUTE(SUBSTITUTE(SUBSTITUTE(SUBSTITUTE(SUBSTITUTE(SUBSTITUTE(SUBSTITUTE(SUBSTITUTE(LEFT(MAIN!C321, FIND(",",MAIN!C321) -1), "0", ""), "1", ""), "2", ""), "3", ""), "4", ""), "5", ""), "6", ""), "7", ""), "8", ""), "9", "")), PROPER(SUBSTITUTE(SUBSTITUTE(SUBSTITUTE(SUBSTITUTE(SUBSTITUTE(SUBSTITUTE(SUBSTITUTE(SUBSTITUTE(SUBSTITUTE(SUBSTITUTE(MAIN!C321, "0", ""), "1", ""), "2", ""), "3", ""), "4", ""), "5", ""), "6", ""), "7", ""), "8", ""), "9", ""))))</f>
        <v>--</v>
      </c>
      <c r="D321" t="str">
        <f>IF(ISBLANK(MAIN!D321), "--", IF(ISNUMBER(MATCH(SUBSTITUTE(LEFT(MAIN!D321, IFERROR(FIND(",", MAIN!D321)-1, LEN(MAIN!D321))), " ", ""), lookup_values!$B$2:$B$51, 0)), UPPER(SUBSTITUTE(LEFT(MAIN!D321, IFERROR(FIND(",", MAIN!D321)-1, LEN(MAIN!D321))), " ", "")), IF(ISNA(VLOOKUP(SUBSTITUTE(LEFT(MAIN!D321, IFERROR(FIND(",", MAIN!D321)-1, LEN(MAIN!D321))), " ", ""), lookup_values!$A$2:$B$51, 2, FALSE)), "--", VLOOKUP(SUBSTITUTE(LEFT(MAIN!D321, IFERROR(FIND(",", MAIN!D321)-1, LEN(MAIN!D321))), " ", ""), lookup_values!$A$2:$B$51, 2, FALSE))))</f>
        <v>--</v>
      </c>
      <c r="E321" t="str">
        <f>IF(CLEAN_DATA!D321&lt;&gt;"--","US",IF(ISBLANK(MAIN!E321), "--", IF(ISNUMBER(MATCH(SUBSTITUTE(LEFT(MAIN!E321, IFERROR(FIND(",", MAIN!E321)-1, LEN(MAIN!E321))), " ", ""), lookup_values!$E$2:$E$197, 0)), UPPER(SUBSTITUTE(LEFT(MAIN!E321, IFERROR(FIND(",", MAIN!E321)-1, LEN(MAIN!E321))), " ", "")), IF(ISNA(VLOOKUP(SUBSTITUTE(LEFT(MAIN!E321, IFERROR(FIND(",", MAIN!E321)-1, LEN(MAIN!E321))), " ", ""), lookup_values!$D$2:$E$197, 2, FALSE)), "--", VLOOKUP(SUBSTITUTE(LEFT(MAIN!E321, IFERROR(FIND(",", MAIN!E321)-1, LEN(MAIN!E321))), " ", ""), lookup_values!$D$2:$E$197, 2, FALSE)))))</f>
        <v>--</v>
      </c>
      <c r="F321" t="str">
        <f>IF(ISBLANK(MAIN!F321), "", IF(AND(ISNUMBER(VALUE(TRIM(MAIN!F321))), LEN(TRIM(MAIN!F321))=4), VALUE(TRIM(MAIN!F321)), ""))</f>
        <v/>
      </c>
      <c r="G321">
        <f>IF(ISBLANK(MAIN!G321), 0, IF(ISNUMBER(VALUE(TRIM(MAIN!G321))), VALUE(TRIM(MAIN!G321)), 0))</f>
        <v>0</v>
      </c>
      <c r="H321">
        <f>IF(ISBLANK(MAIN!H321), 0, IF(ISNUMBER(VALUE(TRIM(MAIN!H321))), VALUE(TRIM(MAIN!H321)), 0))</f>
        <v>0</v>
      </c>
      <c r="I321">
        <f>IF(ISBLANK(MAIN!I321), 0, IF(ISNUMBER(VALUE(TRIM(MAIN!I321))), VALUE(TRIM(MAIN!I321)), 0))</f>
        <v>0</v>
      </c>
      <c r="J321">
        <f>IF(ISBLANK(MAIN!J321), 0, IF(ISNUMBER(VALUE(TRIM(MAIN!J321))), VALUE(TRIM(MAIN!J321)), 0))</f>
        <v>0</v>
      </c>
      <c r="K321" cm="1">
        <f t="array" ref="K321">IFERROR(
    VALUE(
        IFERROR(
            UPPER(
                IF(MAX(IFERROR(SEARCH("WD",MAIN!G321:J321), 0))&gt;0, "WD",
                IF(MAX(IFERROR(SEARCH("NS",MAIN!G321:J321), 0))&gt;0, "NS",
                IF(MAX(IFERROR(SEARCH("NC",MAIN!G321:J321), 0))&gt;0, "NC",
                IF(MAX(IFERROR(SEARCH("DQ",MAIN!G321:J321), 0))&gt;0, "DQ",
                IF(ISNUMBER(SEARCH("WD",MAIN!K321)), "WD",
                IF(ISNUMBER(SEARCH("NS",MAIN!K321)), "NS",
                IF(ISNUMBER(SEARCH("NC",MAIN!K321)), "NC",
                IF(ISNUMBER(SEARCH("DQ",MAIN!K321)), "DQ",
                IF(ISNUMBER(SEARCH("A",MAIN!K321)), 0,
                IF(OR(MAIN!K321=0,MAIN!K321=""), 0, --TRIM(MAIN!K321)))))))))))),
            0
        )
    ),
    IFERROR(
        UPPER(
            IF(MAX(IFERROR(SEARCH("WD",MAIN!G321:J321), 0))&gt;0, "WD",
            IF(MAX(IFERROR(SEARCH("NS",MAIN!G321:J321), 0))&gt;0, "NS",
            IF(MAX(IFERROR(SEARCH("NC",MAIN!G321:J321), 0))&gt;0, "NC",
            IF(MAX(IFERROR(SEARCH("DQ",MAIN!G321:J321), 0))&gt;0, "DQ",
            IF(ISNUMBER(SEARCH("WD",MAIN!K321)), "WD",
            IF(ISNUMBER(SEARCH("NS",MAIN!K321)), "NS",
            IF(ISNUMBER(SEARCH("NC",MAIN!K321)), "NC",
            IF(ISNUMBER(SEARCH("DQ",MAIN!K321)), "DQ",
            IF(ISNUMBER(SEARCH("A",MAIN!K321)), 0,
            IF(OR(MAIN!K321=0,MAIN!K321=""), 0, --TRIM(MAIN!K321)))))))))))),
        0
    )
)</f>
        <v>0</v>
      </c>
    </row>
    <row r="322" spans="1:11" x14ac:dyDescent="0.25">
      <c r="A322" t="str">
        <f>IF(ISBLANK(MAIN!A322), "--", IFERROR(PROPER(SUBSTITUTE(SUBSTITUTE(SUBSTITUTE(SUBSTITUTE(SUBSTITUTE(SUBSTITUTE(SUBSTITUTE(SUBSTITUTE(SUBSTITUTE(SUBSTITUTE(LEFT(MAIN!A322, FIND(",",MAIN!A322) -1), "0", ""), "1", ""), "2", ""), "3", ""), "4", ""), "5", ""), "6", ""), "7", ""), "8", ""), "9", "")), PROPER(SUBSTITUTE(SUBSTITUTE(SUBSTITUTE(SUBSTITUTE(SUBSTITUTE(SUBSTITUTE(SUBSTITUTE(SUBSTITUTE(SUBSTITUTE(SUBSTITUTE(MAIN!A322, "0", ""), "1", ""), "2", ""), "3", ""), "4", ""), "5", ""), "6", ""), "7", ""), "8", ""), "9", ""))))</f>
        <v>--</v>
      </c>
      <c r="B322" t="str">
        <f>IF(ISBLANK(MAIN!B322), "--", IFERROR(PROPER(SUBSTITUTE(SUBSTITUTE(SUBSTITUTE(SUBSTITUTE(SUBSTITUTE(SUBSTITUTE(SUBSTITUTE(SUBSTITUTE(SUBSTITUTE(SUBSTITUTE(LEFT(MAIN!B322, FIND(",",MAIN!B322) -1), "0", ""), "1", ""), "2", ""), "3", ""), "4", ""), "5", ""), "6", ""), "7", ""), "8", ""), "9", "")), PROPER(SUBSTITUTE(SUBSTITUTE(SUBSTITUTE(SUBSTITUTE(SUBSTITUTE(SUBSTITUTE(SUBSTITUTE(SUBSTITUTE(SUBSTITUTE(SUBSTITUTE(MAIN!B322, "0", ""), "1", ""), "2", ""), "3", ""), "4", ""), "5", ""), "6", ""), "7", ""), "8", ""), "9", ""))))</f>
        <v>--</v>
      </c>
      <c r="C322" t="str">
        <f>IF(ISBLANK(MAIN!C322), "--", IFERROR(PROPER(SUBSTITUTE(SUBSTITUTE(SUBSTITUTE(SUBSTITUTE(SUBSTITUTE(SUBSTITUTE(SUBSTITUTE(SUBSTITUTE(SUBSTITUTE(SUBSTITUTE(LEFT(MAIN!C322, FIND(",",MAIN!C322) -1), "0", ""), "1", ""), "2", ""), "3", ""), "4", ""), "5", ""), "6", ""), "7", ""), "8", ""), "9", "")), PROPER(SUBSTITUTE(SUBSTITUTE(SUBSTITUTE(SUBSTITUTE(SUBSTITUTE(SUBSTITUTE(SUBSTITUTE(SUBSTITUTE(SUBSTITUTE(SUBSTITUTE(MAIN!C322, "0", ""), "1", ""), "2", ""), "3", ""), "4", ""), "5", ""), "6", ""), "7", ""), "8", ""), "9", ""))))</f>
        <v>--</v>
      </c>
      <c r="D322" t="str">
        <f>IF(ISBLANK(MAIN!D322), "--", IF(ISNUMBER(MATCH(SUBSTITUTE(LEFT(MAIN!D322, IFERROR(FIND(",", MAIN!D322)-1, LEN(MAIN!D322))), " ", ""), lookup_values!$B$2:$B$51, 0)), UPPER(SUBSTITUTE(LEFT(MAIN!D322, IFERROR(FIND(",", MAIN!D322)-1, LEN(MAIN!D322))), " ", "")), IF(ISNA(VLOOKUP(SUBSTITUTE(LEFT(MAIN!D322, IFERROR(FIND(",", MAIN!D322)-1, LEN(MAIN!D322))), " ", ""), lookup_values!$A$2:$B$51, 2, FALSE)), "--", VLOOKUP(SUBSTITUTE(LEFT(MAIN!D322, IFERROR(FIND(",", MAIN!D322)-1, LEN(MAIN!D322))), " ", ""), lookup_values!$A$2:$B$51, 2, FALSE))))</f>
        <v>--</v>
      </c>
      <c r="E322" t="str">
        <f>IF(CLEAN_DATA!D322&lt;&gt;"--","US",IF(ISBLANK(MAIN!E322), "--", IF(ISNUMBER(MATCH(SUBSTITUTE(LEFT(MAIN!E322, IFERROR(FIND(",", MAIN!E322)-1, LEN(MAIN!E322))), " ", ""), lookup_values!$E$2:$E$197, 0)), UPPER(SUBSTITUTE(LEFT(MAIN!E322, IFERROR(FIND(",", MAIN!E322)-1, LEN(MAIN!E322))), " ", "")), IF(ISNA(VLOOKUP(SUBSTITUTE(LEFT(MAIN!E322, IFERROR(FIND(",", MAIN!E322)-1, LEN(MAIN!E322))), " ", ""), lookup_values!$D$2:$E$197, 2, FALSE)), "--", VLOOKUP(SUBSTITUTE(LEFT(MAIN!E322, IFERROR(FIND(",", MAIN!E322)-1, LEN(MAIN!E322))), " ", ""), lookup_values!$D$2:$E$197, 2, FALSE)))))</f>
        <v>--</v>
      </c>
      <c r="F322" t="str">
        <f>IF(ISBLANK(MAIN!F322), "", IF(AND(ISNUMBER(VALUE(TRIM(MAIN!F322))), LEN(TRIM(MAIN!F322))=4), VALUE(TRIM(MAIN!F322)), ""))</f>
        <v/>
      </c>
      <c r="G322">
        <f>IF(ISBLANK(MAIN!G322), 0, IF(ISNUMBER(VALUE(TRIM(MAIN!G322))), VALUE(TRIM(MAIN!G322)), 0))</f>
        <v>0</v>
      </c>
      <c r="H322">
        <f>IF(ISBLANK(MAIN!H322), 0, IF(ISNUMBER(VALUE(TRIM(MAIN!H322))), VALUE(TRIM(MAIN!H322)), 0))</f>
        <v>0</v>
      </c>
      <c r="I322">
        <f>IF(ISBLANK(MAIN!I322), 0, IF(ISNUMBER(VALUE(TRIM(MAIN!I322))), VALUE(TRIM(MAIN!I322)), 0))</f>
        <v>0</v>
      </c>
      <c r="J322">
        <f>IF(ISBLANK(MAIN!J322), 0, IF(ISNUMBER(VALUE(TRIM(MAIN!J322))), VALUE(TRIM(MAIN!J322)), 0))</f>
        <v>0</v>
      </c>
      <c r="K322" cm="1">
        <f t="array" ref="K322">IFERROR(
    VALUE(
        IFERROR(
            UPPER(
                IF(MAX(IFERROR(SEARCH("WD",MAIN!G322:J322), 0))&gt;0, "WD",
                IF(MAX(IFERROR(SEARCH("NS",MAIN!G322:J322), 0))&gt;0, "NS",
                IF(MAX(IFERROR(SEARCH("NC",MAIN!G322:J322), 0))&gt;0, "NC",
                IF(MAX(IFERROR(SEARCH("DQ",MAIN!G322:J322), 0))&gt;0, "DQ",
                IF(ISNUMBER(SEARCH("WD",MAIN!K322)), "WD",
                IF(ISNUMBER(SEARCH("NS",MAIN!K322)), "NS",
                IF(ISNUMBER(SEARCH("NC",MAIN!K322)), "NC",
                IF(ISNUMBER(SEARCH("DQ",MAIN!K322)), "DQ",
                IF(ISNUMBER(SEARCH("A",MAIN!K322)), 0,
                IF(OR(MAIN!K322=0,MAIN!K322=""), 0, --TRIM(MAIN!K322)))))))))))),
            0
        )
    ),
    IFERROR(
        UPPER(
            IF(MAX(IFERROR(SEARCH("WD",MAIN!G322:J322), 0))&gt;0, "WD",
            IF(MAX(IFERROR(SEARCH("NS",MAIN!G322:J322), 0))&gt;0, "NS",
            IF(MAX(IFERROR(SEARCH("NC",MAIN!G322:J322), 0))&gt;0, "NC",
            IF(MAX(IFERROR(SEARCH("DQ",MAIN!G322:J322), 0))&gt;0, "DQ",
            IF(ISNUMBER(SEARCH("WD",MAIN!K322)), "WD",
            IF(ISNUMBER(SEARCH("NS",MAIN!K322)), "NS",
            IF(ISNUMBER(SEARCH("NC",MAIN!K322)), "NC",
            IF(ISNUMBER(SEARCH("DQ",MAIN!K322)), "DQ",
            IF(ISNUMBER(SEARCH("A",MAIN!K322)), 0,
            IF(OR(MAIN!K322=0,MAIN!K322=""), 0, --TRIM(MAIN!K322)))))))))))),
        0
    )
)</f>
        <v>0</v>
      </c>
    </row>
    <row r="323" spans="1:11" x14ac:dyDescent="0.25">
      <c r="A323" t="str">
        <f>IF(ISBLANK(MAIN!A323), "--", IFERROR(PROPER(SUBSTITUTE(SUBSTITUTE(SUBSTITUTE(SUBSTITUTE(SUBSTITUTE(SUBSTITUTE(SUBSTITUTE(SUBSTITUTE(SUBSTITUTE(SUBSTITUTE(LEFT(MAIN!A323, FIND(",",MAIN!A323) -1), "0", ""), "1", ""), "2", ""), "3", ""), "4", ""), "5", ""), "6", ""), "7", ""), "8", ""), "9", "")), PROPER(SUBSTITUTE(SUBSTITUTE(SUBSTITUTE(SUBSTITUTE(SUBSTITUTE(SUBSTITUTE(SUBSTITUTE(SUBSTITUTE(SUBSTITUTE(SUBSTITUTE(MAIN!A323, "0", ""), "1", ""), "2", ""), "3", ""), "4", ""), "5", ""), "6", ""), "7", ""), "8", ""), "9", ""))))</f>
        <v>--</v>
      </c>
      <c r="B323" t="str">
        <f>IF(ISBLANK(MAIN!B323), "--", IFERROR(PROPER(SUBSTITUTE(SUBSTITUTE(SUBSTITUTE(SUBSTITUTE(SUBSTITUTE(SUBSTITUTE(SUBSTITUTE(SUBSTITUTE(SUBSTITUTE(SUBSTITUTE(LEFT(MAIN!B323, FIND(",",MAIN!B323) -1), "0", ""), "1", ""), "2", ""), "3", ""), "4", ""), "5", ""), "6", ""), "7", ""), "8", ""), "9", "")), PROPER(SUBSTITUTE(SUBSTITUTE(SUBSTITUTE(SUBSTITUTE(SUBSTITUTE(SUBSTITUTE(SUBSTITUTE(SUBSTITUTE(SUBSTITUTE(SUBSTITUTE(MAIN!B323, "0", ""), "1", ""), "2", ""), "3", ""), "4", ""), "5", ""), "6", ""), "7", ""), "8", ""), "9", ""))))</f>
        <v>--</v>
      </c>
      <c r="C323" t="str">
        <f>IF(ISBLANK(MAIN!C323), "--", IFERROR(PROPER(SUBSTITUTE(SUBSTITUTE(SUBSTITUTE(SUBSTITUTE(SUBSTITUTE(SUBSTITUTE(SUBSTITUTE(SUBSTITUTE(SUBSTITUTE(SUBSTITUTE(LEFT(MAIN!C323, FIND(",",MAIN!C323) -1), "0", ""), "1", ""), "2", ""), "3", ""), "4", ""), "5", ""), "6", ""), "7", ""), "8", ""), "9", "")), PROPER(SUBSTITUTE(SUBSTITUTE(SUBSTITUTE(SUBSTITUTE(SUBSTITUTE(SUBSTITUTE(SUBSTITUTE(SUBSTITUTE(SUBSTITUTE(SUBSTITUTE(MAIN!C323, "0", ""), "1", ""), "2", ""), "3", ""), "4", ""), "5", ""), "6", ""), "7", ""), "8", ""), "9", ""))))</f>
        <v>--</v>
      </c>
      <c r="D323" t="str">
        <f>IF(ISBLANK(MAIN!D323), "--", IF(ISNUMBER(MATCH(SUBSTITUTE(LEFT(MAIN!D323, IFERROR(FIND(",", MAIN!D323)-1, LEN(MAIN!D323))), " ", ""), lookup_values!$B$2:$B$51, 0)), UPPER(SUBSTITUTE(LEFT(MAIN!D323, IFERROR(FIND(",", MAIN!D323)-1, LEN(MAIN!D323))), " ", "")), IF(ISNA(VLOOKUP(SUBSTITUTE(LEFT(MAIN!D323, IFERROR(FIND(",", MAIN!D323)-1, LEN(MAIN!D323))), " ", ""), lookup_values!$A$2:$B$51, 2, FALSE)), "--", VLOOKUP(SUBSTITUTE(LEFT(MAIN!D323, IFERROR(FIND(",", MAIN!D323)-1, LEN(MAIN!D323))), " ", ""), lookup_values!$A$2:$B$51, 2, FALSE))))</f>
        <v>--</v>
      </c>
      <c r="E323" t="str">
        <f>IF(CLEAN_DATA!D323&lt;&gt;"--","US",IF(ISBLANK(MAIN!E323), "--", IF(ISNUMBER(MATCH(SUBSTITUTE(LEFT(MAIN!E323, IFERROR(FIND(",", MAIN!E323)-1, LEN(MAIN!E323))), " ", ""), lookup_values!$E$2:$E$197, 0)), UPPER(SUBSTITUTE(LEFT(MAIN!E323, IFERROR(FIND(",", MAIN!E323)-1, LEN(MAIN!E323))), " ", "")), IF(ISNA(VLOOKUP(SUBSTITUTE(LEFT(MAIN!E323, IFERROR(FIND(",", MAIN!E323)-1, LEN(MAIN!E323))), " ", ""), lookup_values!$D$2:$E$197, 2, FALSE)), "--", VLOOKUP(SUBSTITUTE(LEFT(MAIN!E323, IFERROR(FIND(",", MAIN!E323)-1, LEN(MAIN!E323))), " ", ""), lookup_values!$D$2:$E$197, 2, FALSE)))))</f>
        <v>--</v>
      </c>
      <c r="F323" t="str">
        <f>IF(ISBLANK(MAIN!F323), "", IF(AND(ISNUMBER(VALUE(TRIM(MAIN!F323))), LEN(TRIM(MAIN!F323))=4), VALUE(TRIM(MAIN!F323)), ""))</f>
        <v/>
      </c>
      <c r="G323">
        <f>IF(ISBLANK(MAIN!G323), 0, IF(ISNUMBER(VALUE(TRIM(MAIN!G323))), VALUE(TRIM(MAIN!G323)), 0))</f>
        <v>0</v>
      </c>
      <c r="H323">
        <f>IF(ISBLANK(MAIN!H323), 0, IF(ISNUMBER(VALUE(TRIM(MAIN!H323))), VALUE(TRIM(MAIN!H323)), 0))</f>
        <v>0</v>
      </c>
      <c r="I323">
        <f>IF(ISBLANK(MAIN!I323), 0, IF(ISNUMBER(VALUE(TRIM(MAIN!I323))), VALUE(TRIM(MAIN!I323)), 0))</f>
        <v>0</v>
      </c>
      <c r="J323">
        <f>IF(ISBLANK(MAIN!J323), 0, IF(ISNUMBER(VALUE(TRIM(MAIN!J323))), VALUE(TRIM(MAIN!J323)), 0))</f>
        <v>0</v>
      </c>
      <c r="K323" cm="1">
        <f t="array" ref="K323">IFERROR(
    VALUE(
        IFERROR(
            UPPER(
                IF(MAX(IFERROR(SEARCH("WD",MAIN!G323:J323), 0))&gt;0, "WD",
                IF(MAX(IFERROR(SEARCH("NS",MAIN!G323:J323), 0))&gt;0, "NS",
                IF(MAX(IFERROR(SEARCH("NC",MAIN!G323:J323), 0))&gt;0, "NC",
                IF(MAX(IFERROR(SEARCH("DQ",MAIN!G323:J323), 0))&gt;0, "DQ",
                IF(ISNUMBER(SEARCH("WD",MAIN!K323)), "WD",
                IF(ISNUMBER(SEARCH("NS",MAIN!K323)), "NS",
                IF(ISNUMBER(SEARCH("NC",MAIN!K323)), "NC",
                IF(ISNUMBER(SEARCH("DQ",MAIN!K323)), "DQ",
                IF(ISNUMBER(SEARCH("A",MAIN!K323)), 0,
                IF(OR(MAIN!K323=0,MAIN!K323=""), 0, --TRIM(MAIN!K323)))))))))))),
            0
        )
    ),
    IFERROR(
        UPPER(
            IF(MAX(IFERROR(SEARCH("WD",MAIN!G323:J323), 0))&gt;0, "WD",
            IF(MAX(IFERROR(SEARCH("NS",MAIN!G323:J323), 0))&gt;0, "NS",
            IF(MAX(IFERROR(SEARCH("NC",MAIN!G323:J323), 0))&gt;0, "NC",
            IF(MAX(IFERROR(SEARCH("DQ",MAIN!G323:J323), 0))&gt;0, "DQ",
            IF(ISNUMBER(SEARCH("WD",MAIN!K323)), "WD",
            IF(ISNUMBER(SEARCH("NS",MAIN!K323)), "NS",
            IF(ISNUMBER(SEARCH("NC",MAIN!K323)), "NC",
            IF(ISNUMBER(SEARCH("DQ",MAIN!K323)), "DQ",
            IF(ISNUMBER(SEARCH("A",MAIN!K323)), 0,
            IF(OR(MAIN!K323=0,MAIN!K323=""), 0, --TRIM(MAIN!K323)))))))))))),
        0
    )
)</f>
        <v>0</v>
      </c>
    </row>
    <row r="324" spans="1:11" x14ac:dyDescent="0.25">
      <c r="A324" t="str">
        <f>IF(ISBLANK(MAIN!A324), "--", IFERROR(PROPER(SUBSTITUTE(SUBSTITUTE(SUBSTITUTE(SUBSTITUTE(SUBSTITUTE(SUBSTITUTE(SUBSTITUTE(SUBSTITUTE(SUBSTITUTE(SUBSTITUTE(LEFT(MAIN!A324, FIND(",",MAIN!A324) -1), "0", ""), "1", ""), "2", ""), "3", ""), "4", ""), "5", ""), "6", ""), "7", ""), "8", ""), "9", "")), PROPER(SUBSTITUTE(SUBSTITUTE(SUBSTITUTE(SUBSTITUTE(SUBSTITUTE(SUBSTITUTE(SUBSTITUTE(SUBSTITUTE(SUBSTITUTE(SUBSTITUTE(MAIN!A324, "0", ""), "1", ""), "2", ""), "3", ""), "4", ""), "5", ""), "6", ""), "7", ""), "8", ""), "9", ""))))</f>
        <v>--</v>
      </c>
      <c r="B324" t="str">
        <f>IF(ISBLANK(MAIN!B324), "--", IFERROR(PROPER(SUBSTITUTE(SUBSTITUTE(SUBSTITUTE(SUBSTITUTE(SUBSTITUTE(SUBSTITUTE(SUBSTITUTE(SUBSTITUTE(SUBSTITUTE(SUBSTITUTE(LEFT(MAIN!B324, FIND(",",MAIN!B324) -1), "0", ""), "1", ""), "2", ""), "3", ""), "4", ""), "5", ""), "6", ""), "7", ""), "8", ""), "9", "")), PROPER(SUBSTITUTE(SUBSTITUTE(SUBSTITUTE(SUBSTITUTE(SUBSTITUTE(SUBSTITUTE(SUBSTITUTE(SUBSTITUTE(SUBSTITUTE(SUBSTITUTE(MAIN!B324, "0", ""), "1", ""), "2", ""), "3", ""), "4", ""), "5", ""), "6", ""), "7", ""), "8", ""), "9", ""))))</f>
        <v>--</v>
      </c>
      <c r="C324" t="str">
        <f>IF(ISBLANK(MAIN!C324), "--", IFERROR(PROPER(SUBSTITUTE(SUBSTITUTE(SUBSTITUTE(SUBSTITUTE(SUBSTITUTE(SUBSTITUTE(SUBSTITUTE(SUBSTITUTE(SUBSTITUTE(SUBSTITUTE(LEFT(MAIN!C324, FIND(",",MAIN!C324) -1), "0", ""), "1", ""), "2", ""), "3", ""), "4", ""), "5", ""), "6", ""), "7", ""), "8", ""), "9", "")), PROPER(SUBSTITUTE(SUBSTITUTE(SUBSTITUTE(SUBSTITUTE(SUBSTITUTE(SUBSTITUTE(SUBSTITUTE(SUBSTITUTE(SUBSTITUTE(SUBSTITUTE(MAIN!C324, "0", ""), "1", ""), "2", ""), "3", ""), "4", ""), "5", ""), "6", ""), "7", ""), "8", ""), "9", ""))))</f>
        <v>--</v>
      </c>
      <c r="D324" t="str">
        <f>IF(ISBLANK(MAIN!D324), "--", IF(ISNUMBER(MATCH(SUBSTITUTE(LEFT(MAIN!D324, IFERROR(FIND(",", MAIN!D324)-1, LEN(MAIN!D324))), " ", ""), lookup_values!$B$2:$B$51, 0)), UPPER(SUBSTITUTE(LEFT(MAIN!D324, IFERROR(FIND(",", MAIN!D324)-1, LEN(MAIN!D324))), " ", "")), IF(ISNA(VLOOKUP(SUBSTITUTE(LEFT(MAIN!D324, IFERROR(FIND(",", MAIN!D324)-1, LEN(MAIN!D324))), " ", ""), lookup_values!$A$2:$B$51, 2, FALSE)), "--", VLOOKUP(SUBSTITUTE(LEFT(MAIN!D324, IFERROR(FIND(",", MAIN!D324)-1, LEN(MAIN!D324))), " ", ""), lookup_values!$A$2:$B$51, 2, FALSE))))</f>
        <v>--</v>
      </c>
      <c r="E324" t="str">
        <f>IF(CLEAN_DATA!D324&lt;&gt;"--","US",IF(ISBLANK(MAIN!E324), "--", IF(ISNUMBER(MATCH(SUBSTITUTE(LEFT(MAIN!E324, IFERROR(FIND(",", MAIN!E324)-1, LEN(MAIN!E324))), " ", ""), lookup_values!$E$2:$E$197, 0)), UPPER(SUBSTITUTE(LEFT(MAIN!E324, IFERROR(FIND(",", MAIN!E324)-1, LEN(MAIN!E324))), " ", "")), IF(ISNA(VLOOKUP(SUBSTITUTE(LEFT(MAIN!E324, IFERROR(FIND(",", MAIN!E324)-1, LEN(MAIN!E324))), " ", ""), lookup_values!$D$2:$E$197, 2, FALSE)), "--", VLOOKUP(SUBSTITUTE(LEFT(MAIN!E324, IFERROR(FIND(",", MAIN!E324)-1, LEN(MAIN!E324))), " ", ""), lookup_values!$D$2:$E$197, 2, FALSE)))))</f>
        <v>--</v>
      </c>
      <c r="F324" t="str">
        <f>IF(ISBLANK(MAIN!F324), "", IF(AND(ISNUMBER(VALUE(TRIM(MAIN!F324))), LEN(TRIM(MAIN!F324))=4), VALUE(TRIM(MAIN!F324)), ""))</f>
        <v/>
      </c>
      <c r="G324">
        <f>IF(ISBLANK(MAIN!G324), 0, IF(ISNUMBER(VALUE(TRIM(MAIN!G324))), VALUE(TRIM(MAIN!G324)), 0))</f>
        <v>0</v>
      </c>
      <c r="H324">
        <f>IF(ISBLANK(MAIN!H324), 0, IF(ISNUMBER(VALUE(TRIM(MAIN!H324))), VALUE(TRIM(MAIN!H324)), 0))</f>
        <v>0</v>
      </c>
      <c r="I324">
        <f>IF(ISBLANK(MAIN!I324), 0, IF(ISNUMBER(VALUE(TRIM(MAIN!I324))), VALUE(TRIM(MAIN!I324)), 0))</f>
        <v>0</v>
      </c>
      <c r="J324">
        <f>IF(ISBLANK(MAIN!J324), 0, IF(ISNUMBER(VALUE(TRIM(MAIN!J324))), VALUE(TRIM(MAIN!J324)), 0))</f>
        <v>0</v>
      </c>
      <c r="K324" cm="1">
        <f t="array" ref="K324">IFERROR(
    VALUE(
        IFERROR(
            UPPER(
                IF(MAX(IFERROR(SEARCH("WD",MAIN!G324:J324), 0))&gt;0, "WD",
                IF(MAX(IFERROR(SEARCH("NS",MAIN!G324:J324), 0))&gt;0, "NS",
                IF(MAX(IFERROR(SEARCH("NC",MAIN!G324:J324), 0))&gt;0, "NC",
                IF(MAX(IFERROR(SEARCH("DQ",MAIN!G324:J324), 0))&gt;0, "DQ",
                IF(ISNUMBER(SEARCH("WD",MAIN!K324)), "WD",
                IF(ISNUMBER(SEARCH("NS",MAIN!K324)), "NS",
                IF(ISNUMBER(SEARCH("NC",MAIN!K324)), "NC",
                IF(ISNUMBER(SEARCH("DQ",MAIN!K324)), "DQ",
                IF(ISNUMBER(SEARCH("A",MAIN!K324)), 0,
                IF(OR(MAIN!K324=0,MAIN!K324=""), 0, --TRIM(MAIN!K324)))))))))))),
            0
        )
    ),
    IFERROR(
        UPPER(
            IF(MAX(IFERROR(SEARCH("WD",MAIN!G324:J324), 0))&gt;0, "WD",
            IF(MAX(IFERROR(SEARCH("NS",MAIN!G324:J324), 0))&gt;0, "NS",
            IF(MAX(IFERROR(SEARCH("NC",MAIN!G324:J324), 0))&gt;0, "NC",
            IF(MAX(IFERROR(SEARCH("DQ",MAIN!G324:J324), 0))&gt;0, "DQ",
            IF(ISNUMBER(SEARCH("WD",MAIN!K324)), "WD",
            IF(ISNUMBER(SEARCH("NS",MAIN!K324)), "NS",
            IF(ISNUMBER(SEARCH("NC",MAIN!K324)), "NC",
            IF(ISNUMBER(SEARCH("DQ",MAIN!K324)), "DQ",
            IF(ISNUMBER(SEARCH("A",MAIN!K324)), 0,
            IF(OR(MAIN!K324=0,MAIN!K324=""), 0, --TRIM(MAIN!K324)))))))))))),
        0
    )
)</f>
        <v>0</v>
      </c>
    </row>
    <row r="325" spans="1:11" x14ac:dyDescent="0.25">
      <c r="A325" t="str">
        <f>IF(ISBLANK(MAIN!A325), "--", IFERROR(PROPER(SUBSTITUTE(SUBSTITUTE(SUBSTITUTE(SUBSTITUTE(SUBSTITUTE(SUBSTITUTE(SUBSTITUTE(SUBSTITUTE(SUBSTITUTE(SUBSTITUTE(LEFT(MAIN!A325, FIND(",",MAIN!A325) -1), "0", ""), "1", ""), "2", ""), "3", ""), "4", ""), "5", ""), "6", ""), "7", ""), "8", ""), "9", "")), PROPER(SUBSTITUTE(SUBSTITUTE(SUBSTITUTE(SUBSTITUTE(SUBSTITUTE(SUBSTITUTE(SUBSTITUTE(SUBSTITUTE(SUBSTITUTE(SUBSTITUTE(MAIN!A325, "0", ""), "1", ""), "2", ""), "3", ""), "4", ""), "5", ""), "6", ""), "7", ""), "8", ""), "9", ""))))</f>
        <v>--</v>
      </c>
      <c r="B325" t="str">
        <f>IF(ISBLANK(MAIN!B325), "--", IFERROR(PROPER(SUBSTITUTE(SUBSTITUTE(SUBSTITUTE(SUBSTITUTE(SUBSTITUTE(SUBSTITUTE(SUBSTITUTE(SUBSTITUTE(SUBSTITUTE(SUBSTITUTE(LEFT(MAIN!B325, FIND(",",MAIN!B325) -1), "0", ""), "1", ""), "2", ""), "3", ""), "4", ""), "5", ""), "6", ""), "7", ""), "8", ""), "9", "")), PROPER(SUBSTITUTE(SUBSTITUTE(SUBSTITUTE(SUBSTITUTE(SUBSTITUTE(SUBSTITUTE(SUBSTITUTE(SUBSTITUTE(SUBSTITUTE(SUBSTITUTE(MAIN!B325, "0", ""), "1", ""), "2", ""), "3", ""), "4", ""), "5", ""), "6", ""), "7", ""), "8", ""), "9", ""))))</f>
        <v>--</v>
      </c>
      <c r="C325" t="str">
        <f>IF(ISBLANK(MAIN!C325), "--", IFERROR(PROPER(SUBSTITUTE(SUBSTITUTE(SUBSTITUTE(SUBSTITUTE(SUBSTITUTE(SUBSTITUTE(SUBSTITUTE(SUBSTITUTE(SUBSTITUTE(SUBSTITUTE(LEFT(MAIN!C325, FIND(",",MAIN!C325) -1), "0", ""), "1", ""), "2", ""), "3", ""), "4", ""), "5", ""), "6", ""), "7", ""), "8", ""), "9", "")), PROPER(SUBSTITUTE(SUBSTITUTE(SUBSTITUTE(SUBSTITUTE(SUBSTITUTE(SUBSTITUTE(SUBSTITUTE(SUBSTITUTE(SUBSTITUTE(SUBSTITUTE(MAIN!C325, "0", ""), "1", ""), "2", ""), "3", ""), "4", ""), "5", ""), "6", ""), "7", ""), "8", ""), "9", ""))))</f>
        <v>--</v>
      </c>
      <c r="D325" t="str">
        <f>IF(ISBLANK(MAIN!D325), "--", IF(ISNUMBER(MATCH(SUBSTITUTE(LEFT(MAIN!D325, IFERROR(FIND(",", MAIN!D325)-1, LEN(MAIN!D325))), " ", ""), lookup_values!$B$2:$B$51, 0)), UPPER(SUBSTITUTE(LEFT(MAIN!D325, IFERROR(FIND(",", MAIN!D325)-1, LEN(MAIN!D325))), " ", "")), IF(ISNA(VLOOKUP(SUBSTITUTE(LEFT(MAIN!D325, IFERROR(FIND(",", MAIN!D325)-1, LEN(MAIN!D325))), " ", ""), lookup_values!$A$2:$B$51, 2, FALSE)), "--", VLOOKUP(SUBSTITUTE(LEFT(MAIN!D325, IFERROR(FIND(",", MAIN!D325)-1, LEN(MAIN!D325))), " ", ""), lookup_values!$A$2:$B$51, 2, FALSE))))</f>
        <v>--</v>
      </c>
      <c r="E325" t="str">
        <f>IF(CLEAN_DATA!D325&lt;&gt;"--","US",IF(ISBLANK(MAIN!E325), "--", IF(ISNUMBER(MATCH(SUBSTITUTE(LEFT(MAIN!E325, IFERROR(FIND(",", MAIN!E325)-1, LEN(MAIN!E325))), " ", ""), lookup_values!$E$2:$E$197, 0)), UPPER(SUBSTITUTE(LEFT(MAIN!E325, IFERROR(FIND(",", MAIN!E325)-1, LEN(MAIN!E325))), " ", "")), IF(ISNA(VLOOKUP(SUBSTITUTE(LEFT(MAIN!E325, IFERROR(FIND(",", MAIN!E325)-1, LEN(MAIN!E325))), " ", ""), lookup_values!$D$2:$E$197, 2, FALSE)), "--", VLOOKUP(SUBSTITUTE(LEFT(MAIN!E325, IFERROR(FIND(",", MAIN!E325)-1, LEN(MAIN!E325))), " ", ""), lookup_values!$D$2:$E$197, 2, FALSE)))))</f>
        <v>--</v>
      </c>
      <c r="F325" t="str">
        <f>IF(ISBLANK(MAIN!F325), "", IF(AND(ISNUMBER(VALUE(TRIM(MAIN!F325))), LEN(TRIM(MAIN!F325))=4), VALUE(TRIM(MAIN!F325)), ""))</f>
        <v/>
      </c>
      <c r="G325">
        <f>IF(ISBLANK(MAIN!G325), 0, IF(ISNUMBER(VALUE(TRIM(MAIN!G325))), VALUE(TRIM(MAIN!G325)), 0))</f>
        <v>0</v>
      </c>
      <c r="H325">
        <f>IF(ISBLANK(MAIN!H325), 0, IF(ISNUMBER(VALUE(TRIM(MAIN!H325))), VALUE(TRIM(MAIN!H325)), 0))</f>
        <v>0</v>
      </c>
      <c r="I325">
        <f>IF(ISBLANK(MAIN!I325), 0, IF(ISNUMBER(VALUE(TRIM(MAIN!I325))), VALUE(TRIM(MAIN!I325)), 0))</f>
        <v>0</v>
      </c>
      <c r="J325">
        <f>IF(ISBLANK(MAIN!J325), 0, IF(ISNUMBER(VALUE(TRIM(MAIN!J325))), VALUE(TRIM(MAIN!J325)), 0))</f>
        <v>0</v>
      </c>
      <c r="K325" cm="1">
        <f t="array" ref="K325">IFERROR(
    VALUE(
        IFERROR(
            UPPER(
                IF(MAX(IFERROR(SEARCH("WD",MAIN!G325:J325), 0))&gt;0, "WD",
                IF(MAX(IFERROR(SEARCH("NS",MAIN!G325:J325), 0))&gt;0, "NS",
                IF(MAX(IFERROR(SEARCH("NC",MAIN!G325:J325), 0))&gt;0, "NC",
                IF(MAX(IFERROR(SEARCH("DQ",MAIN!G325:J325), 0))&gt;0, "DQ",
                IF(ISNUMBER(SEARCH("WD",MAIN!K325)), "WD",
                IF(ISNUMBER(SEARCH("NS",MAIN!K325)), "NS",
                IF(ISNUMBER(SEARCH("NC",MAIN!K325)), "NC",
                IF(ISNUMBER(SEARCH("DQ",MAIN!K325)), "DQ",
                IF(ISNUMBER(SEARCH("A",MAIN!K325)), 0,
                IF(OR(MAIN!K325=0,MAIN!K325=""), 0, --TRIM(MAIN!K325)))))))))))),
            0
        )
    ),
    IFERROR(
        UPPER(
            IF(MAX(IFERROR(SEARCH("WD",MAIN!G325:J325), 0))&gt;0, "WD",
            IF(MAX(IFERROR(SEARCH("NS",MAIN!G325:J325), 0))&gt;0, "NS",
            IF(MAX(IFERROR(SEARCH("NC",MAIN!G325:J325), 0))&gt;0, "NC",
            IF(MAX(IFERROR(SEARCH("DQ",MAIN!G325:J325), 0))&gt;0, "DQ",
            IF(ISNUMBER(SEARCH("WD",MAIN!K325)), "WD",
            IF(ISNUMBER(SEARCH("NS",MAIN!K325)), "NS",
            IF(ISNUMBER(SEARCH("NC",MAIN!K325)), "NC",
            IF(ISNUMBER(SEARCH("DQ",MAIN!K325)), "DQ",
            IF(ISNUMBER(SEARCH("A",MAIN!K325)), 0,
            IF(OR(MAIN!K325=0,MAIN!K325=""), 0, --TRIM(MAIN!K325)))))))))))),
        0
    )
)</f>
        <v>0</v>
      </c>
    </row>
    <row r="326" spans="1:11" x14ac:dyDescent="0.25">
      <c r="A326" t="str">
        <f>IF(ISBLANK(MAIN!A326), "--", IFERROR(PROPER(SUBSTITUTE(SUBSTITUTE(SUBSTITUTE(SUBSTITUTE(SUBSTITUTE(SUBSTITUTE(SUBSTITUTE(SUBSTITUTE(SUBSTITUTE(SUBSTITUTE(LEFT(MAIN!A326, FIND(",",MAIN!A326) -1), "0", ""), "1", ""), "2", ""), "3", ""), "4", ""), "5", ""), "6", ""), "7", ""), "8", ""), "9", "")), PROPER(SUBSTITUTE(SUBSTITUTE(SUBSTITUTE(SUBSTITUTE(SUBSTITUTE(SUBSTITUTE(SUBSTITUTE(SUBSTITUTE(SUBSTITUTE(SUBSTITUTE(MAIN!A326, "0", ""), "1", ""), "2", ""), "3", ""), "4", ""), "5", ""), "6", ""), "7", ""), "8", ""), "9", ""))))</f>
        <v>--</v>
      </c>
      <c r="B326" t="str">
        <f>IF(ISBLANK(MAIN!B326), "--", IFERROR(PROPER(SUBSTITUTE(SUBSTITUTE(SUBSTITUTE(SUBSTITUTE(SUBSTITUTE(SUBSTITUTE(SUBSTITUTE(SUBSTITUTE(SUBSTITUTE(SUBSTITUTE(LEFT(MAIN!B326, FIND(",",MAIN!B326) -1), "0", ""), "1", ""), "2", ""), "3", ""), "4", ""), "5", ""), "6", ""), "7", ""), "8", ""), "9", "")), PROPER(SUBSTITUTE(SUBSTITUTE(SUBSTITUTE(SUBSTITUTE(SUBSTITUTE(SUBSTITUTE(SUBSTITUTE(SUBSTITUTE(SUBSTITUTE(SUBSTITUTE(MAIN!B326, "0", ""), "1", ""), "2", ""), "3", ""), "4", ""), "5", ""), "6", ""), "7", ""), "8", ""), "9", ""))))</f>
        <v>--</v>
      </c>
      <c r="C326" t="str">
        <f>IF(ISBLANK(MAIN!C326), "--", IFERROR(PROPER(SUBSTITUTE(SUBSTITUTE(SUBSTITUTE(SUBSTITUTE(SUBSTITUTE(SUBSTITUTE(SUBSTITUTE(SUBSTITUTE(SUBSTITUTE(SUBSTITUTE(LEFT(MAIN!C326, FIND(",",MAIN!C326) -1), "0", ""), "1", ""), "2", ""), "3", ""), "4", ""), "5", ""), "6", ""), "7", ""), "8", ""), "9", "")), PROPER(SUBSTITUTE(SUBSTITUTE(SUBSTITUTE(SUBSTITUTE(SUBSTITUTE(SUBSTITUTE(SUBSTITUTE(SUBSTITUTE(SUBSTITUTE(SUBSTITUTE(MAIN!C326, "0", ""), "1", ""), "2", ""), "3", ""), "4", ""), "5", ""), "6", ""), "7", ""), "8", ""), "9", ""))))</f>
        <v>--</v>
      </c>
      <c r="D326" t="str">
        <f>IF(ISBLANK(MAIN!D326), "--", IF(ISNUMBER(MATCH(SUBSTITUTE(LEFT(MAIN!D326, IFERROR(FIND(",", MAIN!D326)-1, LEN(MAIN!D326))), " ", ""), lookup_values!$B$2:$B$51, 0)), UPPER(SUBSTITUTE(LEFT(MAIN!D326, IFERROR(FIND(",", MAIN!D326)-1, LEN(MAIN!D326))), " ", "")), IF(ISNA(VLOOKUP(SUBSTITUTE(LEFT(MAIN!D326, IFERROR(FIND(",", MAIN!D326)-1, LEN(MAIN!D326))), " ", ""), lookup_values!$A$2:$B$51, 2, FALSE)), "--", VLOOKUP(SUBSTITUTE(LEFT(MAIN!D326, IFERROR(FIND(",", MAIN!D326)-1, LEN(MAIN!D326))), " ", ""), lookup_values!$A$2:$B$51, 2, FALSE))))</f>
        <v>--</v>
      </c>
      <c r="E326" t="str">
        <f>IF(CLEAN_DATA!D326&lt;&gt;"--","US",IF(ISBLANK(MAIN!E326), "--", IF(ISNUMBER(MATCH(SUBSTITUTE(LEFT(MAIN!E326, IFERROR(FIND(",", MAIN!E326)-1, LEN(MAIN!E326))), " ", ""), lookup_values!$E$2:$E$197, 0)), UPPER(SUBSTITUTE(LEFT(MAIN!E326, IFERROR(FIND(",", MAIN!E326)-1, LEN(MAIN!E326))), " ", "")), IF(ISNA(VLOOKUP(SUBSTITUTE(LEFT(MAIN!E326, IFERROR(FIND(",", MAIN!E326)-1, LEN(MAIN!E326))), " ", ""), lookup_values!$D$2:$E$197, 2, FALSE)), "--", VLOOKUP(SUBSTITUTE(LEFT(MAIN!E326, IFERROR(FIND(",", MAIN!E326)-1, LEN(MAIN!E326))), " ", ""), lookup_values!$D$2:$E$197, 2, FALSE)))))</f>
        <v>--</v>
      </c>
      <c r="F326" t="str">
        <f>IF(ISBLANK(MAIN!F326), "", IF(AND(ISNUMBER(VALUE(TRIM(MAIN!F326))), LEN(TRIM(MAIN!F326))=4), VALUE(TRIM(MAIN!F326)), ""))</f>
        <v/>
      </c>
      <c r="G326">
        <f>IF(ISBLANK(MAIN!G326), 0, IF(ISNUMBER(VALUE(TRIM(MAIN!G326))), VALUE(TRIM(MAIN!G326)), 0))</f>
        <v>0</v>
      </c>
      <c r="H326">
        <f>IF(ISBLANK(MAIN!H326), 0, IF(ISNUMBER(VALUE(TRIM(MAIN!H326))), VALUE(TRIM(MAIN!H326)), 0))</f>
        <v>0</v>
      </c>
      <c r="I326">
        <f>IF(ISBLANK(MAIN!I326), 0, IF(ISNUMBER(VALUE(TRIM(MAIN!I326))), VALUE(TRIM(MAIN!I326)), 0))</f>
        <v>0</v>
      </c>
      <c r="J326">
        <f>IF(ISBLANK(MAIN!J326), 0, IF(ISNUMBER(VALUE(TRIM(MAIN!J326))), VALUE(TRIM(MAIN!J326)), 0))</f>
        <v>0</v>
      </c>
      <c r="K326" cm="1">
        <f t="array" ref="K326">IFERROR(
    VALUE(
        IFERROR(
            UPPER(
                IF(MAX(IFERROR(SEARCH("WD",MAIN!G326:J326), 0))&gt;0, "WD",
                IF(MAX(IFERROR(SEARCH("NS",MAIN!G326:J326), 0))&gt;0, "NS",
                IF(MAX(IFERROR(SEARCH("NC",MAIN!G326:J326), 0))&gt;0, "NC",
                IF(MAX(IFERROR(SEARCH("DQ",MAIN!G326:J326), 0))&gt;0, "DQ",
                IF(ISNUMBER(SEARCH("WD",MAIN!K326)), "WD",
                IF(ISNUMBER(SEARCH("NS",MAIN!K326)), "NS",
                IF(ISNUMBER(SEARCH("NC",MAIN!K326)), "NC",
                IF(ISNUMBER(SEARCH("DQ",MAIN!K326)), "DQ",
                IF(ISNUMBER(SEARCH("A",MAIN!K326)), 0,
                IF(OR(MAIN!K326=0,MAIN!K326=""), 0, --TRIM(MAIN!K326)))))))))))),
            0
        )
    ),
    IFERROR(
        UPPER(
            IF(MAX(IFERROR(SEARCH("WD",MAIN!G326:J326), 0))&gt;0, "WD",
            IF(MAX(IFERROR(SEARCH("NS",MAIN!G326:J326), 0))&gt;0, "NS",
            IF(MAX(IFERROR(SEARCH("NC",MAIN!G326:J326), 0))&gt;0, "NC",
            IF(MAX(IFERROR(SEARCH("DQ",MAIN!G326:J326), 0))&gt;0, "DQ",
            IF(ISNUMBER(SEARCH("WD",MAIN!K326)), "WD",
            IF(ISNUMBER(SEARCH("NS",MAIN!K326)), "NS",
            IF(ISNUMBER(SEARCH("NC",MAIN!K326)), "NC",
            IF(ISNUMBER(SEARCH("DQ",MAIN!K326)), "DQ",
            IF(ISNUMBER(SEARCH("A",MAIN!K326)), 0,
            IF(OR(MAIN!K326=0,MAIN!K326=""), 0, --TRIM(MAIN!K326)))))))))))),
        0
    )
)</f>
        <v>0</v>
      </c>
    </row>
    <row r="327" spans="1:11" x14ac:dyDescent="0.25">
      <c r="A327" t="str">
        <f>IF(ISBLANK(MAIN!A327), "--", IFERROR(PROPER(SUBSTITUTE(SUBSTITUTE(SUBSTITUTE(SUBSTITUTE(SUBSTITUTE(SUBSTITUTE(SUBSTITUTE(SUBSTITUTE(SUBSTITUTE(SUBSTITUTE(LEFT(MAIN!A327, FIND(",",MAIN!A327) -1), "0", ""), "1", ""), "2", ""), "3", ""), "4", ""), "5", ""), "6", ""), "7", ""), "8", ""), "9", "")), PROPER(SUBSTITUTE(SUBSTITUTE(SUBSTITUTE(SUBSTITUTE(SUBSTITUTE(SUBSTITUTE(SUBSTITUTE(SUBSTITUTE(SUBSTITUTE(SUBSTITUTE(MAIN!A327, "0", ""), "1", ""), "2", ""), "3", ""), "4", ""), "5", ""), "6", ""), "7", ""), "8", ""), "9", ""))))</f>
        <v>--</v>
      </c>
      <c r="B327" t="str">
        <f>IF(ISBLANK(MAIN!B327), "--", IFERROR(PROPER(SUBSTITUTE(SUBSTITUTE(SUBSTITUTE(SUBSTITUTE(SUBSTITUTE(SUBSTITUTE(SUBSTITUTE(SUBSTITUTE(SUBSTITUTE(SUBSTITUTE(LEFT(MAIN!B327, FIND(",",MAIN!B327) -1), "0", ""), "1", ""), "2", ""), "3", ""), "4", ""), "5", ""), "6", ""), "7", ""), "8", ""), "9", "")), PROPER(SUBSTITUTE(SUBSTITUTE(SUBSTITUTE(SUBSTITUTE(SUBSTITUTE(SUBSTITUTE(SUBSTITUTE(SUBSTITUTE(SUBSTITUTE(SUBSTITUTE(MAIN!B327, "0", ""), "1", ""), "2", ""), "3", ""), "4", ""), "5", ""), "6", ""), "7", ""), "8", ""), "9", ""))))</f>
        <v>--</v>
      </c>
      <c r="C327" t="str">
        <f>IF(ISBLANK(MAIN!C327), "--", IFERROR(PROPER(SUBSTITUTE(SUBSTITUTE(SUBSTITUTE(SUBSTITUTE(SUBSTITUTE(SUBSTITUTE(SUBSTITUTE(SUBSTITUTE(SUBSTITUTE(SUBSTITUTE(LEFT(MAIN!C327, FIND(",",MAIN!C327) -1), "0", ""), "1", ""), "2", ""), "3", ""), "4", ""), "5", ""), "6", ""), "7", ""), "8", ""), "9", "")), PROPER(SUBSTITUTE(SUBSTITUTE(SUBSTITUTE(SUBSTITUTE(SUBSTITUTE(SUBSTITUTE(SUBSTITUTE(SUBSTITUTE(SUBSTITUTE(SUBSTITUTE(MAIN!C327, "0", ""), "1", ""), "2", ""), "3", ""), "4", ""), "5", ""), "6", ""), "7", ""), "8", ""), "9", ""))))</f>
        <v>--</v>
      </c>
      <c r="D327" t="str">
        <f>IF(ISBLANK(MAIN!D327), "--", IF(ISNUMBER(MATCH(SUBSTITUTE(LEFT(MAIN!D327, IFERROR(FIND(",", MAIN!D327)-1, LEN(MAIN!D327))), " ", ""), lookup_values!$B$2:$B$51, 0)), UPPER(SUBSTITUTE(LEFT(MAIN!D327, IFERROR(FIND(",", MAIN!D327)-1, LEN(MAIN!D327))), " ", "")), IF(ISNA(VLOOKUP(SUBSTITUTE(LEFT(MAIN!D327, IFERROR(FIND(",", MAIN!D327)-1, LEN(MAIN!D327))), " ", ""), lookup_values!$A$2:$B$51, 2, FALSE)), "--", VLOOKUP(SUBSTITUTE(LEFT(MAIN!D327, IFERROR(FIND(",", MAIN!D327)-1, LEN(MAIN!D327))), " ", ""), lookup_values!$A$2:$B$51, 2, FALSE))))</f>
        <v>--</v>
      </c>
      <c r="E327" t="str">
        <f>IF(CLEAN_DATA!D327&lt;&gt;"--","US",IF(ISBLANK(MAIN!E327), "--", IF(ISNUMBER(MATCH(SUBSTITUTE(LEFT(MAIN!E327, IFERROR(FIND(",", MAIN!E327)-1, LEN(MAIN!E327))), " ", ""), lookup_values!$E$2:$E$197, 0)), UPPER(SUBSTITUTE(LEFT(MAIN!E327, IFERROR(FIND(",", MAIN!E327)-1, LEN(MAIN!E327))), " ", "")), IF(ISNA(VLOOKUP(SUBSTITUTE(LEFT(MAIN!E327, IFERROR(FIND(",", MAIN!E327)-1, LEN(MAIN!E327))), " ", ""), lookup_values!$D$2:$E$197, 2, FALSE)), "--", VLOOKUP(SUBSTITUTE(LEFT(MAIN!E327, IFERROR(FIND(",", MAIN!E327)-1, LEN(MAIN!E327))), " ", ""), lookup_values!$D$2:$E$197, 2, FALSE)))))</f>
        <v>--</v>
      </c>
      <c r="F327" t="str">
        <f>IF(ISBLANK(MAIN!F327), "", IF(AND(ISNUMBER(VALUE(TRIM(MAIN!F327))), LEN(TRIM(MAIN!F327))=4), VALUE(TRIM(MAIN!F327)), ""))</f>
        <v/>
      </c>
      <c r="G327">
        <f>IF(ISBLANK(MAIN!G327), 0, IF(ISNUMBER(VALUE(TRIM(MAIN!G327))), VALUE(TRIM(MAIN!G327)), 0))</f>
        <v>0</v>
      </c>
      <c r="H327">
        <f>IF(ISBLANK(MAIN!H327), 0, IF(ISNUMBER(VALUE(TRIM(MAIN!H327))), VALUE(TRIM(MAIN!H327)), 0))</f>
        <v>0</v>
      </c>
      <c r="I327">
        <f>IF(ISBLANK(MAIN!I327), 0, IF(ISNUMBER(VALUE(TRIM(MAIN!I327))), VALUE(TRIM(MAIN!I327)), 0))</f>
        <v>0</v>
      </c>
      <c r="J327">
        <f>IF(ISBLANK(MAIN!J327), 0, IF(ISNUMBER(VALUE(TRIM(MAIN!J327))), VALUE(TRIM(MAIN!J327)), 0))</f>
        <v>0</v>
      </c>
      <c r="K327" cm="1">
        <f t="array" ref="K327">IFERROR(
    VALUE(
        IFERROR(
            UPPER(
                IF(MAX(IFERROR(SEARCH("WD",MAIN!G327:J327), 0))&gt;0, "WD",
                IF(MAX(IFERROR(SEARCH("NS",MAIN!G327:J327), 0))&gt;0, "NS",
                IF(MAX(IFERROR(SEARCH("NC",MAIN!G327:J327), 0))&gt;0, "NC",
                IF(MAX(IFERROR(SEARCH("DQ",MAIN!G327:J327), 0))&gt;0, "DQ",
                IF(ISNUMBER(SEARCH("WD",MAIN!K327)), "WD",
                IF(ISNUMBER(SEARCH("NS",MAIN!K327)), "NS",
                IF(ISNUMBER(SEARCH("NC",MAIN!K327)), "NC",
                IF(ISNUMBER(SEARCH("DQ",MAIN!K327)), "DQ",
                IF(ISNUMBER(SEARCH("A",MAIN!K327)), 0,
                IF(OR(MAIN!K327=0,MAIN!K327=""), 0, --TRIM(MAIN!K327)))))))))))),
            0
        )
    ),
    IFERROR(
        UPPER(
            IF(MAX(IFERROR(SEARCH("WD",MAIN!G327:J327), 0))&gt;0, "WD",
            IF(MAX(IFERROR(SEARCH("NS",MAIN!G327:J327), 0))&gt;0, "NS",
            IF(MAX(IFERROR(SEARCH("NC",MAIN!G327:J327), 0))&gt;0, "NC",
            IF(MAX(IFERROR(SEARCH("DQ",MAIN!G327:J327), 0))&gt;0, "DQ",
            IF(ISNUMBER(SEARCH("WD",MAIN!K327)), "WD",
            IF(ISNUMBER(SEARCH("NS",MAIN!K327)), "NS",
            IF(ISNUMBER(SEARCH("NC",MAIN!K327)), "NC",
            IF(ISNUMBER(SEARCH("DQ",MAIN!K327)), "DQ",
            IF(ISNUMBER(SEARCH("A",MAIN!K327)), 0,
            IF(OR(MAIN!K327=0,MAIN!K327=""), 0, --TRIM(MAIN!K327)))))))))))),
        0
    )
)</f>
        <v>0</v>
      </c>
    </row>
    <row r="328" spans="1:11" x14ac:dyDescent="0.25">
      <c r="A328" t="str">
        <f>IF(ISBLANK(MAIN!A328), "--", IFERROR(PROPER(SUBSTITUTE(SUBSTITUTE(SUBSTITUTE(SUBSTITUTE(SUBSTITUTE(SUBSTITUTE(SUBSTITUTE(SUBSTITUTE(SUBSTITUTE(SUBSTITUTE(LEFT(MAIN!A328, FIND(",",MAIN!A328) -1), "0", ""), "1", ""), "2", ""), "3", ""), "4", ""), "5", ""), "6", ""), "7", ""), "8", ""), "9", "")), PROPER(SUBSTITUTE(SUBSTITUTE(SUBSTITUTE(SUBSTITUTE(SUBSTITUTE(SUBSTITUTE(SUBSTITUTE(SUBSTITUTE(SUBSTITUTE(SUBSTITUTE(MAIN!A328, "0", ""), "1", ""), "2", ""), "3", ""), "4", ""), "5", ""), "6", ""), "7", ""), "8", ""), "9", ""))))</f>
        <v>--</v>
      </c>
      <c r="B328" t="str">
        <f>IF(ISBLANK(MAIN!B328), "--", IFERROR(PROPER(SUBSTITUTE(SUBSTITUTE(SUBSTITUTE(SUBSTITUTE(SUBSTITUTE(SUBSTITUTE(SUBSTITUTE(SUBSTITUTE(SUBSTITUTE(SUBSTITUTE(LEFT(MAIN!B328, FIND(",",MAIN!B328) -1), "0", ""), "1", ""), "2", ""), "3", ""), "4", ""), "5", ""), "6", ""), "7", ""), "8", ""), "9", "")), PROPER(SUBSTITUTE(SUBSTITUTE(SUBSTITUTE(SUBSTITUTE(SUBSTITUTE(SUBSTITUTE(SUBSTITUTE(SUBSTITUTE(SUBSTITUTE(SUBSTITUTE(MAIN!B328, "0", ""), "1", ""), "2", ""), "3", ""), "4", ""), "5", ""), "6", ""), "7", ""), "8", ""), "9", ""))))</f>
        <v>--</v>
      </c>
      <c r="C328" t="str">
        <f>IF(ISBLANK(MAIN!C328), "--", IFERROR(PROPER(SUBSTITUTE(SUBSTITUTE(SUBSTITUTE(SUBSTITUTE(SUBSTITUTE(SUBSTITUTE(SUBSTITUTE(SUBSTITUTE(SUBSTITUTE(SUBSTITUTE(LEFT(MAIN!C328, FIND(",",MAIN!C328) -1), "0", ""), "1", ""), "2", ""), "3", ""), "4", ""), "5", ""), "6", ""), "7", ""), "8", ""), "9", "")), PROPER(SUBSTITUTE(SUBSTITUTE(SUBSTITUTE(SUBSTITUTE(SUBSTITUTE(SUBSTITUTE(SUBSTITUTE(SUBSTITUTE(SUBSTITUTE(SUBSTITUTE(MAIN!C328, "0", ""), "1", ""), "2", ""), "3", ""), "4", ""), "5", ""), "6", ""), "7", ""), "8", ""), "9", ""))))</f>
        <v>--</v>
      </c>
      <c r="D328" t="str">
        <f>IF(ISBLANK(MAIN!D328), "--", IF(ISNUMBER(MATCH(SUBSTITUTE(LEFT(MAIN!D328, IFERROR(FIND(",", MAIN!D328)-1, LEN(MAIN!D328))), " ", ""), lookup_values!$B$2:$B$51, 0)), UPPER(SUBSTITUTE(LEFT(MAIN!D328, IFERROR(FIND(",", MAIN!D328)-1, LEN(MAIN!D328))), " ", "")), IF(ISNA(VLOOKUP(SUBSTITUTE(LEFT(MAIN!D328, IFERROR(FIND(",", MAIN!D328)-1, LEN(MAIN!D328))), " ", ""), lookup_values!$A$2:$B$51, 2, FALSE)), "--", VLOOKUP(SUBSTITUTE(LEFT(MAIN!D328, IFERROR(FIND(",", MAIN!D328)-1, LEN(MAIN!D328))), " ", ""), lookup_values!$A$2:$B$51, 2, FALSE))))</f>
        <v>--</v>
      </c>
      <c r="E328" t="str">
        <f>IF(CLEAN_DATA!D328&lt;&gt;"--","US",IF(ISBLANK(MAIN!E328), "--", IF(ISNUMBER(MATCH(SUBSTITUTE(LEFT(MAIN!E328, IFERROR(FIND(",", MAIN!E328)-1, LEN(MAIN!E328))), " ", ""), lookup_values!$E$2:$E$197, 0)), UPPER(SUBSTITUTE(LEFT(MAIN!E328, IFERROR(FIND(",", MAIN!E328)-1, LEN(MAIN!E328))), " ", "")), IF(ISNA(VLOOKUP(SUBSTITUTE(LEFT(MAIN!E328, IFERROR(FIND(",", MAIN!E328)-1, LEN(MAIN!E328))), " ", ""), lookup_values!$D$2:$E$197, 2, FALSE)), "--", VLOOKUP(SUBSTITUTE(LEFT(MAIN!E328, IFERROR(FIND(",", MAIN!E328)-1, LEN(MAIN!E328))), " ", ""), lookup_values!$D$2:$E$197, 2, FALSE)))))</f>
        <v>--</v>
      </c>
      <c r="F328" t="str">
        <f>IF(ISBLANK(MAIN!F328), "", IF(AND(ISNUMBER(VALUE(TRIM(MAIN!F328))), LEN(TRIM(MAIN!F328))=4), VALUE(TRIM(MAIN!F328)), ""))</f>
        <v/>
      </c>
      <c r="G328">
        <f>IF(ISBLANK(MAIN!G328), 0, IF(ISNUMBER(VALUE(TRIM(MAIN!G328))), VALUE(TRIM(MAIN!G328)), 0))</f>
        <v>0</v>
      </c>
      <c r="H328">
        <f>IF(ISBLANK(MAIN!H328), 0, IF(ISNUMBER(VALUE(TRIM(MAIN!H328))), VALUE(TRIM(MAIN!H328)), 0))</f>
        <v>0</v>
      </c>
      <c r="I328">
        <f>IF(ISBLANK(MAIN!I328), 0, IF(ISNUMBER(VALUE(TRIM(MAIN!I328))), VALUE(TRIM(MAIN!I328)), 0))</f>
        <v>0</v>
      </c>
      <c r="J328">
        <f>IF(ISBLANK(MAIN!J328), 0, IF(ISNUMBER(VALUE(TRIM(MAIN!J328))), VALUE(TRIM(MAIN!J328)), 0))</f>
        <v>0</v>
      </c>
      <c r="K328" cm="1">
        <f t="array" ref="K328">IFERROR(
    VALUE(
        IFERROR(
            UPPER(
                IF(MAX(IFERROR(SEARCH("WD",MAIN!G328:J328), 0))&gt;0, "WD",
                IF(MAX(IFERROR(SEARCH("NS",MAIN!G328:J328), 0))&gt;0, "NS",
                IF(MAX(IFERROR(SEARCH("NC",MAIN!G328:J328), 0))&gt;0, "NC",
                IF(MAX(IFERROR(SEARCH("DQ",MAIN!G328:J328), 0))&gt;0, "DQ",
                IF(ISNUMBER(SEARCH("WD",MAIN!K328)), "WD",
                IF(ISNUMBER(SEARCH("NS",MAIN!K328)), "NS",
                IF(ISNUMBER(SEARCH("NC",MAIN!K328)), "NC",
                IF(ISNUMBER(SEARCH("DQ",MAIN!K328)), "DQ",
                IF(ISNUMBER(SEARCH("A",MAIN!K328)), 0,
                IF(OR(MAIN!K328=0,MAIN!K328=""), 0, --TRIM(MAIN!K328)))))))))))),
            0
        )
    ),
    IFERROR(
        UPPER(
            IF(MAX(IFERROR(SEARCH("WD",MAIN!G328:J328), 0))&gt;0, "WD",
            IF(MAX(IFERROR(SEARCH("NS",MAIN!G328:J328), 0))&gt;0, "NS",
            IF(MAX(IFERROR(SEARCH("NC",MAIN!G328:J328), 0))&gt;0, "NC",
            IF(MAX(IFERROR(SEARCH("DQ",MAIN!G328:J328), 0))&gt;0, "DQ",
            IF(ISNUMBER(SEARCH("WD",MAIN!K328)), "WD",
            IF(ISNUMBER(SEARCH("NS",MAIN!K328)), "NS",
            IF(ISNUMBER(SEARCH("NC",MAIN!K328)), "NC",
            IF(ISNUMBER(SEARCH("DQ",MAIN!K328)), "DQ",
            IF(ISNUMBER(SEARCH("A",MAIN!K328)), 0,
            IF(OR(MAIN!K328=0,MAIN!K328=""), 0, --TRIM(MAIN!K328)))))))))))),
        0
    )
)</f>
        <v>0</v>
      </c>
    </row>
    <row r="329" spans="1:11" x14ac:dyDescent="0.25">
      <c r="A329" t="str">
        <f>IF(ISBLANK(MAIN!A329), "--", IFERROR(PROPER(SUBSTITUTE(SUBSTITUTE(SUBSTITUTE(SUBSTITUTE(SUBSTITUTE(SUBSTITUTE(SUBSTITUTE(SUBSTITUTE(SUBSTITUTE(SUBSTITUTE(LEFT(MAIN!A329, FIND(",",MAIN!A329) -1), "0", ""), "1", ""), "2", ""), "3", ""), "4", ""), "5", ""), "6", ""), "7", ""), "8", ""), "9", "")), PROPER(SUBSTITUTE(SUBSTITUTE(SUBSTITUTE(SUBSTITUTE(SUBSTITUTE(SUBSTITUTE(SUBSTITUTE(SUBSTITUTE(SUBSTITUTE(SUBSTITUTE(MAIN!A329, "0", ""), "1", ""), "2", ""), "3", ""), "4", ""), "5", ""), "6", ""), "7", ""), "8", ""), "9", ""))))</f>
        <v>--</v>
      </c>
      <c r="B329" t="str">
        <f>IF(ISBLANK(MAIN!B329), "--", IFERROR(PROPER(SUBSTITUTE(SUBSTITUTE(SUBSTITUTE(SUBSTITUTE(SUBSTITUTE(SUBSTITUTE(SUBSTITUTE(SUBSTITUTE(SUBSTITUTE(SUBSTITUTE(LEFT(MAIN!B329, FIND(",",MAIN!B329) -1), "0", ""), "1", ""), "2", ""), "3", ""), "4", ""), "5", ""), "6", ""), "7", ""), "8", ""), "9", "")), PROPER(SUBSTITUTE(SUBSTITUTE(SUBSTITUTE(SUBSTITUTE(SUBSTITUTE(SUBSTITUTE(SUBSTITUTE(SUBSTITUTE(SUBSTITUTE(SUBSTITUTE(MAIN!B329, "0", ""), "1", ""), "2", ""), "3", ""), "4", ""), "5", ""), "6", ""), "7", ""), "8", ""), "9", ""))))</f>
        <v>--</v>
      </c>
      <c r="C329" t="str">
        <f>IF(ISBLANK(MAIN!C329), "--", IFERROR(PROPER(SUBSTITUTE(SUBSTITUTE(SUBSTITUTE(SUBSTITUTE(SUBSTITUTE(SUBSTITUTE(SUBSTITUTE(SUBSTITUTE(SUBSTITUTE(SUBSTITUTE(LEFT(MAIN!C329, FIND(",",MAIN!C329) -1), "0", ""), "1", ""), "2", ""), "3", ""), "4", ""), "5", ""), "6", ""), "7", ""), "8", ""), "9", "")), PROPER(SUBSTITUTE(SUBSTITUTE(SUBSTITUTE(SUBSTITUTE(SUBSTITUTE(SUBSTITUTE(SUBSTITUTE(SUBSTITUTE(SUBSTITUTE(SUBSTITUTE(MAIN!C329, "0", ""), "1", ""), "2", ""), "3", ""), "4", ""), "5", ""), "6", ""), "7", ""), "8", ""), "9", ""))))</f>
        <v>--</v>
      </c>
      <c r="D329" t="str">
        <f>IF(ISBLANK(MAIN!D329), "--", IF(ISNUMBER(MATCH(SUBSTITUTE(LEFT(MAIN!D329, IFERROR(FIND(",", MAIN!D329)-1, LEN(MAIN!D329))), " ", ""), lookup_values!$B$2:$B$51, 0)), UPPER(SUBSTITUTE(LEFT(MAIN!D329, IFERROR(FIND(",", MAIN!D329)-1, LEN(MAIN!D329))), " ", "")), IF(ISNA(VLOOKUP(SUBSTITUTE(LEFT(MAIN!D329, IFERROR(FIND(",", MAIN!D329)-1, LEN(MAIN!D329))), " ", ""), lookup_values!$A$2:$B$51, 2, FALSE)), "--", VLOOKUP(SUBSTITUTE(LEFT(MAIN!D329, IFERROR(FIND(",", MAIN!D329)-1, LEN(MAIN!D329))), " ", ""), lookup_values!$A$2:$B$51, 2, FALSE))))</f>
        <v>--</v>
      </c>
      <c r="E329" t="str">
        <f>IF(CLEAN_DATA!D329&lt;&gt;"--","US",IF(ISBLANK(MAIN!E329), "--", IF(ISNUMBER(MATCH(SUBSTITUTE(LEFT(MAIN!E329, IFERROR(FIND(",", MAIN!E329)-1, LEN(MAIN!E329))), " ", ""), lookup_values!$E$2:$E$197, 0)), UPPER(SUBSTITUTE(LEFT(MAIN!E329, IFERROR(FIND(",", MAIN!E329)-1, LEN(MAIN!E329))), " ", "")), IF(ISNA(VLOOKUP(SUBSTITUTE(LEFT(MAIN!E329, IFERROR(FIND(",", MAIN!E329)-1, LEN(MAIN!E329))), " ", ""), lookup_values!$D$2:$E$197, 2, FALSE)), "--", VLOOKUP(SUBSTITUTE(LEFT(MAIN!E329, IFERROR(FIND(",", MAIN!E329)-1, LEN(MAIN!E329))), " ", ""), lookup_values!$D$2:$E$197, 2, FALSE)))))</f>
        <v>--</v>
      </c>
      <c r="F329" t="str">
        <f>IF(ISBLANK(MAIN!F329), "", IF(AND(ISNUMBER(VALUE(TRIM(MAIN!F329))), LEN(TRIM(MAIN!F329))=4), VALUE(TRIM(MAIN!F329)), ""))</f>
        <v/>
      </c>
      <c r="G329">
        <f>IF(ISBLANK(MAIN!G329), 0, IF(ISNUMBER(VALUE(TRIM(MAIN!G329))), VALUE(TRIM(MAIN!G329)), 0))</f>
        <v>0</v>
      </c>
      <c r="H329">
        <f>IF(ISBLANK(MAIN!H329), 0, IF(ISNUMBER(VALUE(TRIM(MAIN!H329))), VALUE(TRIM(MAIN!H329)), 0))</f>
        <v>0</v>
      </c>
      <c r="I329">
        <f>IF(ISBLANK(MAIN!I329), 0, IF(ISNUMBER(VALUE(TRIM(MAIN!I329))), VALUE(TRIM(MAIN!I329)), 0))</f>
        <v>0</v>
      </c>
      <c r="J329">
        <f>IF(ISBLANK(MAIN!J329), 0, IF(ISNUMBER(VALUE(TRIM(MAIN!J329))), VALUE(TRIM(MAIN!J329)), 0))</f>
        <v>0</v>
      </c>
      <c r="K329" cm="1">
        <f t="array" ref="K329">IFERROR(
    VALUE(
        IFERROR(
            UPPER(
                IF(MAX(IFERROR(SEARCH("WD",MAIN!G329:J329), 0))&gt;0, "WD",
                IF(MAX(IFERROR(SEARCH("NS",MAIN!G329:J329), 0))&gt;0, "NS",
                IF(MAX(IFERROR(SEARCH("NC",MAIN!G329:J329), 0))&gt;0, "NC",
                IF(MAX(IFERROR(SEARCH("DQ",MAIN!G329:J329), 0))&gt;0, "DQ",
                IF(ISNUMBER(SEARCH("WD",MAIN!K329)), "WD",
                IF(ISNUMBER(SEARCH("NS",MAIN!K329)), "NS",
                IF(ISNUMBER(SEARCH("NC",MAIN!K329)), "NC",
                IF(ISNUMBER(SEARCH("DQ",MAIN!K329)), "DQ",
                IF(ISNUMBER(SEARCH("A",MAIN!K329)), 0,
                IF(OR(MAIN!K329=0,MAIN!K329=""), 0, --TRIM(MAIN!K329)))))))))))),
            0
        )
    ),
    IFERROR(
        UPPER(
            IF(MAX(IFERROR(SEARCH("WD",MAIN!G329:J329), 0))&gt;0, "WD",
            IF(MAX(IFERROR(SEARCH("NS",MAIN!G329:J329), 0))&gt;0, "NS",
            IF(MAX(IFERROR(SEARCH("NC",MAIN!G329:J329), 0))&gt;0, "NC",
            IF(MAX(IFERROR(SEARCH("DQ",MAIN!G329:J329), 0))&gt;0, "DQ",
            IF(ISNUMBER(SEARCH("WD",MAIN!K329)), "WD",
            IF(ISNUMBER(SEARCH("NS",MAIN!K329)), "NS",
            IF(ISNUMBER(SEARCH("NC",MAIN!K329)), "NC",
            IF(ISNUMBER(SEARCH("DQ",MAIN!K329)), "DQ",
            IF(ISNUMBER(SEARCH("A",MAIN!K329)), 0,
            IF(OR(MAIN!K329=0,MAIN!K329=""), 0, --TRIM(MAIN!K329)))))))))))),
        0
    )
)</f>
        <v>0</v>
      </c>
    </row>
    <row r="330" spans="1:11" x14ac:dyDescent="0.25">
      <c r="A330" t="str">
        <f>IF(ISBLANK(MAIN!A330), "--", IFERROR(PROPER(SUBSTITUTE(SUBSTITUTE(SUBSTITUTE(SUBSTITUTE(SUBSTITUTE(SUBSTITUTE(SUBSTITUTE(SUBSTITUTE(SUBSTITUTE(SUBSTITUTE(LEFT(MAIN!A330, FIND(",",MAIN!A330) -1), "0", ""), "1", ""), "2", ""), "3", ""), "4", ""), "5", ""), "6", ""), "7", ""), "8", ""), "9", "")), PROPER(SUBSTITUTE(SUBSTITUTE(SUBSTITUTE(SUBSTITUTE(SUBSTITUTE(SUBSTITUTE(SUBSTITUTE(SUBSTITUTE(SUBSTITUTE(SUBSTITUTE(MAIN!A330, "0", ""), "1", ""), "2", ""), "3", ""), "4", ""), "5", ""), "6", ""), "7", ""), "8", ""), "9", ""))))</f>
        <v>--</v>
      </c>
      <c r="B330" t="str">
        <f>IF(ISBLANK(MAIN!B330), "--", IFERROR(PROPER(SUBSTITUTE(SUBSTITUTE(SUBSTITUTE(SUBSTITUTE(SUBSTITUTE(SUBSTITUTE(SUBSTITUTE(SUBSTITUTE(SUBSTITUTE(SUBSTITUTE(LEFT(MAIN!B330, FIND(",",MAIN!B330) -1), "0", ""), "1", ""), "2", ""), "3", ""), "4", ""), "5", ""), "6", ""), "7", ""), "8", ""), "9", "")), PROPER(SUBSTITUTE(SUBSTITUTE(SUBSTITUTE(SUBSTITUTE(SUBSTITUTE(SUBSTITUTE(SUBSTITUTE(SUBSTITUTE(SUBSTITUTE(SUBSTITUTE(MAIN!B330, "0", ""), "1", ""), "2", ""), "3", ""), "4", ""), "5", ""), "6", ""), "7", ""), "8", ""), "9", ""))))</f>
        <v>--</v>
      </c>
      <c r="C330" t="str">
        <f>IF(ISBLANK(MAIN!C330), "--", IFERROR(PROPER(SUBSTITUTE(SUBSTITUTE(SUBSTITUTE(SUBSTITUTE(SUBSTITUTE(SUBSTITUTE(SUBSTITUTE(SUBSTITUTE(SUBSTITUTE(SUBSTITUTE(LEFT(MAIN!C330, FIND(",",MAIN!C330) -1), "0", ""), "1", ""), "2", ""), "3", ""), "4", ""), "5", ""), "6", ""), "7", ""), "8", ""), "9", "")), PROPER(SUBSTITUTE(SUBSTITUTE(SUBSTITUTE(SUBSTITUTE(SUBSTITUTE(SUBSTITUTE(SUBSTITUTE(SUBSTITUTE(SUBSTITUTE(SUBSTITUTE(MAIN!C330, "0", ""), "1", ""), "2", ""), "3", ""), "4", ""), "5", ""), "6", ""), "7", ""), "8", ""), "9", ""))))</f>
        <v>--</v>
      </c>
      <c r="D330" t="str">
        <f>IF(ISBLANK(MAIN!D330), "--", IF(ISNUMBER(MATCH(SUBSTITUTE(LEFT(MAIN!D330, IFERROR(FIND(",", MAIN!D330)-1, LEN(MAIN!D330))), " ", ""), lookup_values!$B$2:$B$51, 0)), UPPER(SUBSTITUTE(LEFT(MAIN!D330, IFERROR(FIND(",", MAIN!D330)-1, LEN(MAIN!D330))), " ", "")), IF(ISNA(VLOOKUP(SUBSTITUTE(LEFT(MAIN!D330, IFERROR(FIND(",", MAIN!D330)-1, LEN(MAIN!D330))), " ", ""), lookup_values!$A$2:$B$51, 2, FALSE)), "--", VLOOKUP(SUBSTITUTE(LEFT(MAIN!D330, IFERROR(FIND(",", MAIN!D330)-1, LEN(MAIN!D330))), " ", ""), lookup_values!$A$2:$B$51, 2, FALSE))))</f>
        <v>--</v>
      </c>
      <c r="E330" t="str">
        <f>IF(CLEAN_DATA!D330&lt;&gt;"--","US",IF(ISBLANK(MAIN!E330), "--", IF(ISNUMBER(MATCH(SUBSTITUTE(LEFT(MAIN!E330, IFERROR(FIND(",", MAIN!E330)-1, LEN(MAIN!E330))), " ", ""), lookup_values!$E$2:$E$197, 0)), UPPER(SUBSTITUTE(LEFT(MAIN!E330, IFERROR(FIND(",", MAIN!E330)-1, LEN(MAIN!E330))), " ", "")), IF(ISNA(VLOOKUP(SUBSTITUTE(LEFT(MAIN!E330, IFERROR(FIND(",", MAIN!E330)-1, LEN(MAIN!E330))), " ", ""), lookup_values!$D$2:$E$197, 2, FALSE)), "--", VLOOKUP(SUBSTITUTE(LEFT(MAIN!E330, IFERROR(FIND(",", MAIN!E330)-1, LEN(MAIN!E330))), " ", ""), lookup_values!$D$2:$E$197, 2, FALSE)))))</f>
        <v>--</v>
      </c>
      <c r="F330" t="str">
        <f>IF(ISBLANK(MAIN!F330), "", IF(AND(ISNUMBER(VALUE(TRIM(MAIN!F330))), LEN(TRIM(MAIN!F330))=4), VALUE(TRIM(MAIN!F330)), ""))</f>
        <v/>
      </c>
      <c r="G330">
        <f>IF(ISBLANK(MAIN!G330), 0, IF(ISNUMBER(VALUE(TRIM(MAIN!G330))), VALUE(TRIM(MAIN!G330)), 0))</f>
        <v>0</v>
      </c>
      <c r="H330">
        <f>IF(ISBLANK(MAIN!H330), 0, IF(ISNUMBER(VALUE(TRIM(MAIN!H330))), VALUE(TRIM(MAIN!H330)), 0))</f>
        <v>0</v>
      </c>
      <c r="I330">
        <f>IF(ISBLANK(MAIN!I330), 0, IF(ISNUMBER(VALUE(TRIM(MAIN!I330))), VALUE(TRIM(MAIN!I330)), 0))</f>
        <v>0</v>
      </c>
      <c r="J330">
        <f>IF(ISBLANK(MAIN!J330), 0, IF(ISNUMBER(VALUE(TRIM(MAIN!J330))), VALUE(TRIM(MAIN!J330)), 0))</f>
        <v>0</v>
      </c>
      <c r="K330" cm="1">
        <f t="array" ref="K330">IFERROR(
    VALUE(
        IFERROR(
            UPPER(
                IF(MAX(IFERROR(SEARCH("WD",MAIN!G330:J330), 0))&gt;0, "WD",
                IF(MAX(IFERROR(SEARCH("NS",MAIN!G330:J330), 0))&gt;0, "NS",
                IF(MAX(IFERROR(SEARCH("NC",MAIN!G330:J330), 0))&gt;0, "NC",
                IF(MAX(IFERROR(SEARCH("DQ",MAIN!G330:J330), 0))&gt;0, "DQ",
                IF(ISNUMBER(SEARCH("WD",MAIN!K330)), "WD",
                IF(ISNUMBER(SEARCH("NS",MAIN!K330)), "NS",
                IF(ISNUMBER(SEARCH("NC",MAIN!K330)), "NC",
                IF(ISNUMBER(SEARCH("DQ",MAIN!K330)), "DQ",
                IF(ISNUMBER(SEARCH("A",MAIN!K330)), 0,
                IF(OR(MAIN!K330=0,MAIN!K330=""), 0, --TRIM(MAIN!K330)))))))))))),
            0
        )
    ),
    IFERROR(
        UPPER(
            IF(MAX(IFERROR(SEARCH("WD",MAIN!G330:J330), 0))&gt;0, "WD",
            IF(MAX(IFERROR(SEARCH("NS",MAIN!G330:J330), 0))&gt;0, "NS",
            IF(MAX(IFERROR(SEARCH("NC",MAIN!G330:J330), 0))&gt;0, "NC",
            IF(MAX(IFERROR(SEARCH("DQ",MAIN!G330:J330), 0))&gt;0, "DQ",
            IF(ISNUMBER(SEARCH("WD",MAIN!K330)), "WD",
            IF(ISNUMBER(SEARCH("NS",MAIN!K330)), "NS",
            IF(ISNUMBER(SEARCH("NC",MAIN!K330)), "NC",
            IF(ISNUMBER(SEARCH("DQ",MAIN!K330)), "DQ",
            IF(ISNUMBER(SEARCH("A",MAIN!K330)), 0,
            IF(OR(MAIN!K330=0,MAIN!K330=""), 0, --TRIM(MAIN!K330)))))))))))),
        0
    )
)</f>
        <v>0</v>
      </c>
    </row>
    <row r="331" spans="1:11" x14ac:dyDescent="0.25">
      <c r="A331" t="str">
        <f>IF(ISBLANK(MAIN!A331), "--", IFERROR(PROPER(SUBSTITUTE(SUBSTITUTE(SUBSTITUTE(SUBSTITUTE(SUBSTITUTE(SUBSTITUTE(SUBSTITUTE(SUBSTITUTE(SUBSTITUTE(SUBSTITUTE(LEFT(MAIN!A331, FIND(",",MAIN!A331) -1), "0", ""), "1", ""), "2", ""), "3", ""), "4", ""), "5", ""), "6", ""), "7", ""), "8", ""), "9", "")), PROPER(SUBSTITUTE(SUBSTITUTE(SUBSTITUTE(SUBSTITUTE(SUBSTITUTE(SUBSTITUTE(SUBSTITUTE(SUBSTITUTE(SUBSTITUTE(SUBSTITUTE(MAIN!A331, "0", ""), "1", ""), "2", ""), "3", ""), "4", ""), "5", ""), "6", ""), "7", ""), "8", ""), "9", ""))))</f>
        <v>--</v>
      </c>
      <c r="B331" t="str">
        <f>IF(ISBLANK(MAIN!B331), "--", IFERROR(PROPER(SUBSTITUTE(SUBSTITUTE(SUBSTITUTE(SUBSTITUTE(SUBSTITUTE(SUBSTITUTE(SUBSTITUTE(SUBSTITUTE(SUBSTITUTE(SUBSTITUTE(LEFT(MAIN!B331, FIND(",",MAIN!B331) -1), "0", ""), "1", ""), "2", ""), "3", ""), "4", ""), "5", ""), "6", ""), "7", ""), "8", ""), "9", "")), PROPER(SUBSTITUTE(SUBSTITUTE(SUBSTITUTE(SUBSTITUTE(SUBSTITUTE(SUBSTITUTE(SUBSTITUTE(SUBSTITUTE(SUBSTITUTE(SUBSTITUTE(MAIN!B331, "0", ""), "1", ""), "2", ""), "3", ""), "4", ""), "5", ""), "6", ""), "7", ""), "8", ""), "9", ""))))</f>
        <v>--</v>
      </c>
      <c r="C331" t="str">
        <f>IF(ISBLANK(MAIN!C331), "--", IFERROR(PROPER(SUBSTITUTE(SUBSTITUTE(SUBSTITUTE(SUBSTITUTE(SUBSTITUTE(SUBSTITUTE(SUBSTITUTE(SUBSTITUTE(SUBSTITUTE(SUBSTITUTE(LEFT(MAIN!C331, FIND(",",MAIN!C331) -1), "0", ""), "1", ""), "2", ""), "3", ""), "4", ""), "5", ""), "6", ""), "7", ""), "8", ""), "9", "")), PROPER(SUBSTITUTE(SUBSTITUTE(SUBSTITUTE(SUBSTITUTE(SUBSTITUTE(SUBSTITUTE(SUBSTITUTE(SUBSTITUTE(SUBSTITUTE(SUBSTITUTE(MAIN!C331, "0", ""), "1", ""), "2", ""), "3", ""), "4", ""), "5", ""), "6", ""), "7", ""), "8", ""), "9", ""))))</f>
        <v>--</v>
      </c>
      <c r="D331" t="str">
        <f>IF(ISBLANK(MAIN!D331), "--", IF(ISNUMBER(MATCH(SUBSTITUTE(LEFT(MAIN!D331, IFERROR(FIND(",", MAIN!D331)-1, LEN(MAIN!D331))), " ", ""), lookup_values!$B$2:$B$51, 0)), UPPER(SUBSTITUTE(LEFT(MAIN!D331, IFERROR(FIND(",", MAIN!D331)-1, LEN(MAIN!D331))), " ", "")), IF(ISNA(VLOOKUP(SUBSTITUTE(LEFT(MAIN!D331, IFERROR(FIND(",", MAIN!D331)-1, LEN(MAIN!D331))), " ", ""), lookup_values!$A$2:$B$51, 2, FALSE)), "--", VLOOKUP(SUBSTITUTE(LEFT(MAIN!D331, IFERROR(FIND(",", MAIN!D331)-1, LEN(MAIN!D331))), " ", ""), lookup_values!$A$2:$B$51, 2, FALSE))))</f>
        <v>--</v>
      </c>
      <c r="E331" t="str">
        <f>IF(CLEAN_DATA!D331&lt;&gt;"--","US",IF(ISBLANK(MAIN!E331), "--", IF(ISNUMBER(MATCH(SUBSTITUTE(LEFT(MAIN!E331, IFERROR(FIND(",", MAIN!E331)-1, LEN(MAIN!E331))), " ", ""), lookup_values!$E$2:$E$197, 0)), UPPER(SUBSTITUTE(LEFT(MAIN!E331, IFERROR(FIND(",", MAIN!E331)-1, LEN(MAIN!E331))), " ", "")), IF(ISNA(VLOOKUP(SUBSTITUTE(LEFT(MAIN!E331, IFERROR(FIND(",", MAIN!E331)-1, LEN(MAIN!E331))), " ", ""), lookup_values!$D$2:$E$197, 2, FALSE)), "--", VLOOKUP(SUBSTITUTE(LEFT(MAIN!E331, IFERROR(FIND(",", MAIN!E331)-1, LEN(MAIN!E331))), " ", ""), lookup_values!$D$2:$E$197, 2, FALSE)))))</f>
        <v>--</v>
      </c>
      <c r="F331" t="str">
        <f>IF(ISBLANK(MAIN!F331), "", IF(AND(ISNUMBER(VALUE(TRIM(MAIN!F331))), LEN(TRIM(MAIN!F331))=4), VALUE(TRIM(MAIN!F331)), ""))</f>
        <v/>
      </c>
      <c r="G331">
        <f>IF(ISBLANK(MAIN!G331), 0, IF(ISNUMBER(VALUE(TRIM(MAIN!G331))), VALUE(TRIM(MAIN!G331)), 0))</f>
        <v>0</v>
      </c>
      <c r="H331">
        <f>IF(ISBLANK(MAIN!H331), 0, IF(ISNUMBER(VALUE(TRIM(MAIN!H331))), VALUE(TRIM(MAIN!H331)), 0))</f>
        <v>0</v>
      </c>
      <c r="I331">
        <f>IF(ISBLANK(MAIN!I331), 0, IF(ISNUMBER(VALUE(TRIM(MAIN!I331))), VALUE(TRIM(MAIN!I331)), 0))</f>
        <v>0</v>
      </c>
      <c r="J331">
        <f>IF(ISBLANK(MAIN!J331), 0, IF(ISNUMBER(VALUE(TRIM(MAIN!J331))), VALUE(TRIM(MAIN!J331)), 0))</f>
        <v>0</v>
      </c>
      <c r="K331" cm="1">
        <f t="array" ref="K331">IFERROR(
    VALUE(
        IFERROR(
            UPPER(
                IF(MAX(IFERROR(SEARCH("WD",MAIN!G331:J331), 0))&gt;0, "WD",
                IF(MAX(IFERROR(SEARCH("NS",MAIN!G331:J331), 0))&gt;0, "NS",
                IF(MAX(IFERROR(SEARCH("NC",MAIN!G331:J331), 0))&gt;0, "NC",
                IF(MAX(IFERROR(SEARCH("DQ",MAIN!G331:J331), 0))&gt;0, "DQ",
                IF(ISNUMBER(SEARCH("WD",MAIN!K331)), "WD",
                IF(ISNUMBER(SEARCH("NS",MAIN!K331)), "NS",
                IF(ISNUMBER(SEARCH("NC",MAIN!K331)), "NC",
                IF(ISNUMBER(SEARCH("DQ",MAIN!K331)), "DQ",
                IF(ISNUMBER(SEARCH("A",MAIN!K331)), 0,
                IF(OR(MAIN!K331=0,MAIN!K331=""), 0, --TRIM(MAIN!K331)))))))))))),
            0
        )
    ),
    IFERROR(
        UPPER(
            IF(MAX(IFERROR(SEARCH("WD",MAIN!G331:J331), 0))&gt;0, "WD",
            IF(MAX(IFERROR(SEARCH("NS",MAIN!G331:J331), 0))&gt;0, "NS",
            IF(MAX(IFERROR(SEARCH("NC",MAIN!G331:J331), 0))&gt;0, "NC",
            IF(MAX(IFERROR(SEARCH("DQ",MAIN!G331:J331), 0))&gt;0, "DQ",
            IF(ISNUMBER(SEARCH("WD",MAIN!K331)), "WD",
            IF(ISNUMBER(SEARCH("NS",MAIN!K331)), "NS",
            IF(ISNUMBER(SEARCH("NC",MAIN!K331)), "NC",
            IF(ISNUMBER(SEARCH("DQ",MAIN!K331)), "DQ",
            IF(ISNUMBER(SEARCH("A",MAIN!K331)), 0,
            IF(OR(MAIN!K331=0,MAIN!K331=""), 0, --TRIM(MAIN!K331)))))))))))),
        0
    )
)</f>
        <v>0</v>
      </c>
    </row>
    <row r="332" spans="1:11" x14ac:dyDescent="0.25">
      <c r="A332" t="str">
        <f>IF(ISBLANK(MAIN!A332), "--", IFERROR(PROPER(SUBSTITUTE(SUBSTITUTE(SUBSTITUTE(SUBSTITUTE(SUBSTITUTE(SUBSTITUTE(SUBSTITUTE(SUBSTITUTE(SUBSTITUTE(SUBSTITUTE(LEFT(MAIN!A332, FIND(",",MAIN!A332) -1), "0", ""), "1", ""), "2", ""), "3", ""), "4", ""), "5", ""), "6", ""), "7", ""), "8", ""), "9", "")), PROPER(SUBSTITUTE(SUBSTITUTE(SUBSTITUTE(SUBSTITUTE(SUBSTITUTE(SUBSTITUTE(SUBSTITUTE(SUBSTITUTE(SUBSTITUTE(SUBSTITUTE(MAIN!A332, "0", ""), "1", ""), "2", ""), "3", ""), "4", ""), "5", ""), "6", ""), "7", ""), "8", ""), "9", ""))))</f>
        <v>--</v>
      </c>
      <c r="B332" t="str">
        <f>IF(ISBLANK(MAIN!B332), "--", IFERROR(PROPER(SUBSTITUTE(SUBSTITUTE(SUBSTITUTE(SUBSTITUTE(SUBSTITUTE(SUBSTITUTE(SUBSTITUTE(SUBSTITUTE(SUBSTITUTE(SUBSTITUTE(LEFT(MAIN!B332, FIND(",",MAIN!B332) -1), "0", ""), "1", ""), "2", ""), "3", ""), "4", ""), "5", ""), "6", ""), "7", ""), "8", ""), "9", "")), PROPER(SUBSTITUTE(SUBSTITUTE(SUBSTITUTE(SUBSTITUTE(SUBSTITUTE(SUBSTITUTE(SUBSTITUTE(SUBSTITUTE(SUBSTITUTE(SUBSTITUTE(MAIN!B332, "0", ""), "1", ""), "2", ""), "3", ""), "4", ""), "5", ""), "6", ""), "7", ""), "8", ""), "9", ""))))</f>
        <v>--</v>
      </c>
      <c r="C332" t="str">
        <f>IF(ISBLANK(MAIN!C332), "--", IFERROR(PROPER(SUBSTITUTE(SUBSTITUTE(SUBSTITUTE(SUBSTITUTE(SUBSTITUTE(SUBSTITUTE(SUBSTITUTE(SUBSTITUTE(SUBSTITUTE(SUBSTITUTE(LEFT(MAIN!C332, FIND(",",MAIN!C332) -1), "0", ""), "1", ""), "2", ""), "3", ""), "4", ""), "5", ""), "6", ""), "7", ""), "8", ""), "9", "")), PROPER(SUBSTITUTE(SUBSTITUTE(SUBSTITUTE(SUBSTITUTE(SUBSTITUTE(SUBSTITUTE(SUBSTITUTE(SUBSTITUTE(SUBSTITUTE(SUBSTITUTE(MAIN!C332, "0", ""), "1", ""), "2", ""), "3", ""), "4", ""), "5", ""), "6", ""), "7", ""), "8", ""), "9", ""))))</f>
        <v>--</v>
      </c>
      <c r="D332" t="str">
        <f>IF(ISBLANK(MAIN!D332), "--", IF(ISNUMBER(MATCH(SUBSTITUTE(LEFT(MAIN!D332, IFERROR(FIND(",", MAIN!D332)-1, LEN(MAIN!D332))), " ", ""), lookup_values!$B$2:$B$51, 0)), UPPER(SUBSTITUTE(LEFT(MAIN!D332, IFERROR(FIND(",", MAIN!D332)-1, LEN(MAIN!D332))), " ", "")), IF(ISNA(VLOOKUP(SUBSTITUTE(LEFT(MAIN!D332, IFERROR(FIND(",", MAIN!D332)-1, LEN(MAIN!D332))), " ", ""), lookup_values!$A$2:$B$51, 2, FALSE)), "--", VLOOKUP(SUBSTITUTE(LEFT(MAIN!D332, IFERROR(FIND(",", MAIN!D332)-1, LEN(MAIN!D332))), " ", ""), lookup_values!$A$2:$B$51, 2, FALSE))))</f>
        <v>--</v>
      </c>
      <c r="E332" t="str">
        <f>IF(CLEAN_DATA!D332&lt;&gt;"--","US",IF(ISBLANK(MAIN!E332), "--", IF(ISNUMBER(MATCH(SUBSTITUTE(LEFT(MAIN!E332, IFERROR(FIND(",", MAIN!E332)-1, LEN(MAIN!E332))), " ", ""), lookup_values!$E$2:$E$197, 0)), UPPER(SUBSTITUTE(LEFT(MAIN!E332, IFERROR(FIND(",", MAIN!E332)-1, LEN(MAIN!E332))), " ", "")), IF(ISNA(VLOOKUP(SUBSTITUTE(LEFT(MAIN!E332, IFERROR(FIND(",", MAIN!E332)-1, LEN(MAIN!E332))), " ", ""), lookup_values!$D$2:$E$197, 2, FALSE)), "--", VLOOKUP(SUBSTITUTE(LEFT(MAIN!E332, IFERROR(FIND(",", MAIN!E332)-1, LEN(MAIN!E332))), " ", ""), lookup_values!$D$2:$E$197, 2, FALSE)))))</f>
        <v>--</v>
      </c>
      <c r="F332" t="str">
        <f>IF(ISBLANK(MAIN!F332), "", IF(AND(ISNUMBER(VALUE(TRIM(MAIN!F332))), LEN(TRIM(MAIN!F332))=4), VALUE(TRIM(MAIN!F332)), ""))</f>
        <v/>
      </c>
      <c r="G332">
        <f>IF(ISBLANK(MAIN!G332), 0, IF(ISNUMBER(VALUE(TRIM(MAIN!G332))), VALUE(TRIM(MAIN!G332)), 0))</f>
        <v>0</v>
      </c>
      <c r="H332">
        <f>IF(ISBLANK(MAIN!H332), 0, IF(ISNUMBER(VALUE(TRIM(MAIN!H332))), VALUE(TRIM(MAIN!H332)), 0))</f>
        <v>0</v>
      </c>
      <c r="I332">
        <f>IF(ISBLANK(MAIN!I332), 0, IF(ISNUMBER(VALUE(TRIM(MAIN!I332))), VALUE(TRIM(MAIN!I332)), 0))</f>
        <v>0</v>
      </c>
      <c r="J332">
        <f>IF(ISBLANK(MAIN!J332), 0, IF(ISNUMBER(VALUE(TRIM(MAIN!J332))), VALUE(TRIM(MAIN!J332)), 0))</f>
        <v>0</v>
      </c>
      <c r="K332" cm="1">
        <f t="array" ref="K332">IFERROR(
    VALUE(
        IFERROR(
            UPPER(
                IF(MAX(IFERROR(SEARCH("WD",MAIN!G332:J332), 0))&gt;0, "WD",
                IF(MAX(IFERROR(SEARCH("NS",MAIN!G332:J332), 0))&gt;0, "NS",
                IF(MAX(IFERROR(SEARCH("NC",MAIN!G332:J332), 0))&gt;0, "NC",
                IF(MAX(IFERROR(SEARCH("DQ",MAIN!G332:J332), 0))&gt;0, "DQ",
                IF(ISNUMBER(SEARCH("WD",MAIN!K332)), "WD",
                IF(ISNUMBER(SEARCH("NS",MAIN!K332)), "NS",
                IF(ISNUMBER(SEARCH("NC",MAIN!K332)), "NC",
                IF(ISNUMBER(SEARCH("DQ",MAIN!K332)), "DQ",
                IF(ISNUMBER(SEARCH("A",MAIN!K332)), 0,
                IF(OR(MAIN!K332=0,MAIN!K332=""), 0, --TRIM(MAIN!K332)))))))))))),
            0
        )
    ),
    IFERROR(
        UPPER(
            IF(MAX(IFERROR(SEARCH("WD",MAIN!G332:J332), 0))&gt;0, "WD",
            IF(MAX(IFERROR(SEARCH("NS",MAIN!G332:J332), 0))&gt;0, "NS",
            IF(MAX(IFERROR(SEARCH("NC",MAIN!G332:J332), 0))&gt;0, "NC",
            IF(MAX(IFERROR(SEARCH("DQ",MAIN!G332:J332), 0))&gt;0, "DQ",
            IF(ISNUMBER(SEARCH("WD",MAIN!K332)), "WD",
            IF(ISNUMBER(SEARCH("NS",MAIN!K332)), "NS",
            IF(ISNUMBER(SEARCH("NC",MAIN!K332)), "NC",
            IF(ISNUMBER(SEARCH("DQ",MAIN!K332)), "DQ",
            IF(ISNUMBER(SEARCH("A",MAIN!K332)), 0,
            IF(OR(MAIN!K332=0,MAIN!K332=""), 0, --TRIM(MAIN!K332)))))))))))),
        0
    )
)</f>
        <v>0</v>
      </c>
    </row>
    <row r="333" spans="1:11" x14ac:dyDescent="0.25">
      <c r="A333" t="str">
        <f>IF(ISBLANK(MAIN!A333), "--", IFERROR(PROPER(SUBSTITUTE(SUBSTITUTE(SUBSTITUTE(SUBSTITUTE(SUBSTITUTE(SUBSTITUTE(SUBSTITUTE(SUBSTITUTE(SUBSTITUTE(SUBSTITUTE(LEFT(MAIN!A333, FIND(",",MAIN!A333) -1), "0", ""), "1", ""), "2", ""), "3", ""), "4", ""), "5", ""), "6", ""), "7", ""), "8", ""), "9", "")), PROPER(SUBSTITUTE(SUBSTITUTE(SUBSTITUTE(SUBSTITUTE(SUBSTITUTE(SUBSTITUTE(SUBSTITUTE(SUBSTITUTE(SUBSTITUTE(SUBSTITUTE(MAIN!A333, "0", ""), "1", ""), "2", ""), "3", ""), "4", ""), "5", ""), "6", ""), "7", ""), "8", ""), "9", ""))))</f>
        <v>--</v>
      </c>
      <c r="B333" t="str">
        <f>IF(ISBLANK(MAIN!B333), "--", IFERROR(PROPER(SUBSTITUTE(SUBSTITUTE(SUBSTITUTE(SUBSTITUTE(SUBSTITUTE(SUBSTITUTE(SUBSTITUTE(SUBSTITUTE(SUBSTITUTE(SUBSTITUTE(LEFT(MAIN!B333, FIND(",",MAIN!B333) -1), "0", ""), "1", ""), "2", ""), "3", ""), "4", ""), "5", ""), "6", ""), "7", ""), "8", ""), "9", "")), PROPER(SUBSTITUTE(SUBSTITUTE(SUBSTITUTE(SUBSTITUTE(SUBSTITUTE(SUBSTITUTE(SUBSTITUTE(SUBSTITUTE(SUBSTITUTE(SUBSTITUTE(MAIN!B333, "0", ""), "1", ""), "2", ""), "3", ""), "4", ""), "5", ""), "6", ""), "7", ""), "8", ""), "9", ""))))</f>
        <v>--</v>
      </c>
      <c r="C333" t="str">
        <f>IF(ISBLANK(MAIN!C333), "--", IFERROR(PROPER(SUBSTITUTE(SUBSTITUTE(SUBSTITUTE(SUBSTITUTE(SUBSTITUTE(SUBSTITUTE(SUBSTITUTE(SUBSTITUTE(SUBSTITUTE(SUBSTITUTE(LEFT(MAIN!C333, FIND(",",MAIN!C333) -1), "0", ""), "1", ""), "2", ""), "3", ""), "4", ""), "5", ""), "6", ""), "7", ""), "8", ""), "9", "")), PROPER(SUBSTITUTE(SUBSTITUTE(SUBSTITUTE(SUBSTITUTE(SUBSTITUTE(SUBSTITUTE(SUBSTITUTE(SUBSTITUTE(SUBSTITUTE(SUBSTITUTE(MAIN!C333, "0", ""), "1", ""), "2", ""), "3", ""), "4", ""), "5", ""), "6", ""), "7", ""), "8", ""), "9", ""))))</f>
        <v>--</v>
      </c>
      <c r="D333" t="str">
        <f>IF(ISBLANK(MAIN!D333), "--", IF(ISNUMBER(MATCH(SUBSTITUTE(LEFT(MAIN!D333, IFERROR(FIND(",", MAIN!D333)-1, LEN(MAIN!D333))), " ", ""), lookup_values!$B$2:$B$51, 0)), UPPER(SUBSTITUTE(LEFT(MAIN!D333, IFERROR(FIND(",", MAIN!D333)-1, LEN(MAIN!D333))), " ", "")), IF(ISNA(VLOOKUP(SUBSTITUTE(LEFT(MAIN!D333, IFERROR(FIND(",", MAIN!D333)-1, LEN(MAIN!D333))), " ", ""), lookup_values!$A$2:$B$51, 2, FALSE)), "--", VLOOKUP(SUBSTITUTE(LEFT(MAIN!D333, IFERROR(FIND(",", MAIN!D333)-1, LEN(MAIN!D333))), " ", ""), lookup_values!$A$2:$B$51, 2, FALSE))))</f>
        <v>--</v>
      </c>
      <c r="E333" t="str">
        <f>IF(CLEAN_DATA!D333&lt;&gt;"--","US",IF(ISBLANK(MAIN!E333), "--", IF(ISNUMBER(MATCH(SUBSTITUTE(LEFT(MAIN!E333, IFERROR(FIND(",", MAIN!E333)-1, LEN(MAIN!E333))), " ", ""), lookup_values!$E$2:$E$197, 0)), UPPER(SUBSTITUTE(LEFT(MAIN!E333, IFERROR(FIND(",", MAIN!E333)-1, LEN(MAIN!E333))), " ", "")), IF(ISNA(VLOOKUP(SUBSTITUTE(LEFT(MAIN!E333, IFERROR(FIND(",", MAIN!E333)-1, LEN(MAIN!E333))), " ", ""), lookup_values!$D$2:$E$197, 2, FALSE)), "--", VLOOKUP(SUBSTITUTE(LEFT(MAIN!E333, IFERROR(FIND(",", MAIN!E333)-1, LEN(MAIN!E333))), " ", ""), lookup_values!$D$2:$E$197, 2, FALSE)))))</f>
        <v>--</v>
      </c>
      <c r="F333" t="str">
        <f>IF(ISBLANK(MAIN!F333), "", IF(AND(ISNUMBER(VALUE(TRIM(MAIN!F333))), LEN(TRIM(MAIN!F333))=4), VALUE(TRIM(MAIN!F333)), ""))</f>
        <v/>
      </c>
      <c r="G333">
        <f>IF(ISBLANK(MAIN!G333), 0, IF(ISNUMBER(VALUE(TRIM(MAIN!G333))), VALUE(TRIM(MAIN!G333)), 0))</f>
        <v>0</v>
      </c>
      <c r="H333">
        <f>IF(ISBLANK(MAIN!H333), 0, IF(ISNUMBER(VALUE(TRIM(MAIN!H333))), VALUE(TRIM(MAIN!H333)), 0))</f>
        <v>0</v>
      </c>
      <c r="I333">
        <f>IF(ISBLANK(MAIN!I333), 0, IF(ISNUMBER(VALUE(TRIM(MAIN!I333))), VALUE(TRIM(MAIN!I333)), 0))</f>
        <v>0</v>
      </c>
      <c r="J333">
        <f>IF(ISBLANK(MAIN!J333), 0, IF(ISNUMBER(VALUE(TRIM(MAIN!J333))), VALUE(TRIM(MAIN!J333)), 0))</f>
        <v>0</v>
      </c>
      <c r="K333" cm="1">
        <f t="array" ref="K333">IFERROR(
    VALUE(
        IFERROR(
            UPPER(
                IF(MAX(IFERROR(SEARCH("WD",MAIN!G333:J333), 0))&gt;0, "WD",
                IF(MAX(IFERROR(SEARCH("NS",MAIN!G333:J333), 0))&gt;0, "NS",
                IF(MAX(IFERROR(SEARCH("NC",MAIN!G333:J333), 0))&gt;0, "NC",
                IF(MAX(IFERROR(SEARCH("DQ",MAIN!G333:J333), 0))&gt;0, "DQ",
                IF(ISNUMBER(SEARCH("WD",MAIN!K333)), "WD",
                IF(ISNUMBER(SEARCH("NS",MAIN!K333)), "NS",
                IF(ISNUMBER(SEARCH("NC",MAIN!K333)), "NC",
                IF(ISNUMBER(SEARCH("DQ",MAIN!K333)), "DQ",
                IF(ISNUMBER(SEARCH("A",MAIN!K333)), 0,
                IF(OR(MAIN!K333=0,MAIN!K333=""), 0, --TRIM(MAIN!K333)))))))))))),
            0
        )
    ),
    IFERROR(
        UPPER(
            IF(MAX(IFERROR(SEARCH("WD",MAIN!G333:J333), 0))&gt;0, "WD",
            IF(MAX(IFERROR(SEARCH("NS",MAIN!G333:J333), 0))&gt;0, "NS",
            IF(MAX(IFERROR(SEARCH("NC",MAIN!G333:J333), 0))&gt;0, "NC",
            IF(MAX(IFERROR(SEARCH("DQ",MAIN!G333:J333), 0))&gt;0, "DQ",
            IF(ISNUMBER(SEARCH("WD",MAIN!K333)), "WD",
            IF(ISNUMBER(SEARCH("NS",MAIN!K333)), "NS",
            IF(ISNUMBER(SEARCH("NC",MAIN!K333)), "NC",
            IF(ISNUMBER(SEARCH("DQ",MAIN!K333)), "DQ",
            IF(ISNUMBER(SEARCH("A",MAIN!K333)), 0,
            IF(OR(MAIN!K333=0,MAIN!K333=""), 0, --TRIM(MAIN!K333)))))))))))),
        0
    )
)</f>
        <v>0</v>
      </c>
    </row>
    <row r="334" spans="1:11" x14ac:dyDescent="0.25">
      <c r="A334" t="str">
        <f>IF(ISBLANK(MAIN!A334), "--", IFERROR(PROPER(SUBSTITUTE(SUBSTITUTE(SUBSTITUTE(SUBSTITUTE(SUBSTITUTE(SUBSTITUTE(SUBSTITUTE(SUBSTITUTE(SUBSTITUTE(SUBSTITUTE(LEFT(MAIN!A334, FIND(",",MAIN!A334) -1), "0", ""), "1", ""), "2", ""), "3", ""), "4", ""), "5", ""), "6", ""), "7", ""), "8", ""), "9", "")), PROPER(SUBSTITUTE(SUBSTITUTE(SUBSTITUTE(SUBSTITUTE(SUBSTITUTE(SUBSTITUTE(SUBSTITUTE(SUBSTITUTE(SUBSTITUTE(SUBSTITUTE(MAIN!A334, "0", ""), "1", ""), "2", ""), "3", ""), "4", ""), "5", ""), "6", ""), "7", ""), "8", ""), "9", ""))))</f>
        <v>--</v>
      </c>
      <c r="B334" t="str">
        <f>IF(ISBLANK(MAIN!B334), "--", IFERROR(PROPER(SUBSTITUTE(SUBSTITUTE(SUBSTITUTE(SUBSTITUTE(SUBSTITUTE(SUBSTITUTE(SUBSTITUTE(SUBSTITUTE(SUBSTITUTE(SUBSTITUTE(LEFT(MAIN!B334, FIND(",",MAIN!B334) -1), "0", ""), "1", ""), "2", ""), "3", ""), "4", ""), "5", ""), "6", ""), "7", ""), "8", ""), "9", "")), PROPER(SUBSTITUTE(SUBSTITUTE(SUBSTITUTE(SUBSTITUTE(SUBSTITUTE(SUBSTITUTE(SUBSTITUTE(SUBSTITUTE(SUBSTITUTE(SUBSTITUTE(MAIN!B334, "0", ""), "1", ""), "2", ""), "3", ""), "4", ""), "5", ""), "6", ""), "7", ""), "8", ""), "9", ""))))</f>
        <v>--</v>
      </c>
      <c r="C334" t="str">
        <f>IF(ISBLANK(MAIN!C334), "--", IFERROR(PROPER(SUBSTITUTE(SUBSTITUTE(SUBSTITUTE(SUBSTITUTE(SUBSTITUTE(SUBSTITUTE(SUBSTITUTE(SUBSTITUTE(SUBSTITUTE(SUBSTITUTE(LEFT(MAIN!C334, FIND(",",MAIN!C334) -1), "0", ""), "1", ""), "2", ""), "3", ""), "4", ""), "5", ""), "6", ""), "7", ""), "8", ""), "9", "")), PROPER(SUBSTITUTE(SUBSTITUTE(SUBSTITUTE(SUBSTITUTE(SUBSTITUTE(SUBSTITUTE(SUBSTITUTE(SUBSTITUTE(SUBSTITUTE(SUBSTITUTE(MAIN!C334, "0", ""), "1", ""), "2", ""), "3", ""), "4", ""), "5", ""), "6", ""), "7", ""), "8", ""), "9", ""))))</f>
        <v>--</v>
      </c>
      <c r="D334" t="str">
        <f>IF(ISBLANK(MAIN!D334), "--", IF(ISNUMBER(MATCH(SUBSTITUTE(LEFT(MAIN!D334, IFERROR(FIND(",", MAIN!D334)-1, LEN(MAIN!D334))), " ", ""), lookup_values!$B$2:$B$51, 0)), UPPER(SUBSTITUTE(LEFT(MAIN!D334, IFERROR(FIND(",", MAIN!D334)-1, LEN(MAIN!D334))), " ", "")), IF(ISNA(VLOOKUP(SUBSTITUTE(LEFT(MAIN!D334, IFERROR(FIND(",", MAIN!D334)-1, LEN(MAIN!D334))), " ", ""), lookup_values!$A$2:$B$51, 2, FALSE)), "--", VLOOKUP(SUBSTITUTE(LEFT(MAIN!D334, IFERROR(FIND(",", MAIN!D334)-1, LEN(MAIN!D334))), " ", ""), lookup_values!$A$2:$B$51, 2, FALSE))))</f>
        <v>--</v>
      </c>
      <c r="E334" t="str">
        <f>IF(CLEAN_DATA!D334&lt;&gt;"--","US",IF(ISBLANK(MAIN!E334), "--", IF(ISNUMBER(MATCH(SUBSTITUTE(LEFT(MAIN!E334, IFERROR(FIND(",", MAIN!E334)-1, LEN(MAIN!E334))), " ", ""), lookup_values!$E$2:$E$197, 0)), UPPER(SUBSTITUTE(LEFT(MAIN!E334, IFERROR(FIND(",", MAIN!E334)-1, LEN(MAIN!E334))), " ", "")), IF(ISNA(VLOOKUP(SUBSTITUTE(LEFT(MAIN!E334, IFERROR(FIND(",", MAIN!E334)-1, LEN(MAIN!E334))), " ", ""), lookup_values!$D$2:$E$197, 2, FALSE)), "--", VLOOKUP(SUBSTITUTE(LEFT(MAIN!E334, IFERROR(FIND(",", MAIN!E334)-1, LEN(MAIN!E334))), " ", ""), lookup_values!$D$2:$E$197, 2, FALSE)))))</f>
        <v>--</v>
      </c>
      <c r="F334" t="str">
        <f>IF(ISBLANK(MAIN!F334), "", IF(AND(ISNUMBER(VALUE(TRIM(MAIN!F334))), LEN(TRIM(MAIN!F334))=4), VALUE(TRIM(MAIN!F334)), ""))</f>
        <v/>
      </c>
      <c r="G334">
        <f>IF(ISBLANK(MAIN!G334), 0, IF(ISNUMBER(VALUE(TRIM(MAIN!G334))), VALUE(TRIM(MAIN!G334)), 0))</f>
        <v>0</v>
      </c>
      <c r="H334">
        <f>IF(ISBLANK(MAIN!H334), 0, IF(ISNUMBER(VALUE(TRIM(MAIN!H334))), VALUE(TRIM(MAIN!H334)), 0))</f>
        <v>0</v>
      </c>
      <c r="I334">
        <f>IF(ISBLANK(MAIN!I334), 0, IF(ISNUMBER(VALUE(TRIM(MAIN!I334))), VALUE(TRIM(MAIN!I334)), 0))</f>
        <v>0</v>
      </c>
      <c r="J334">
        <f>IF(ISBLANK(MAIN!J334), 0, IF(ISNUMBER(VALUE(TRIM(MAIN!J334))), VALUE(TRIM(MAIN!J334)), 0))</f>
        <v>0</v>
      </c>
      <c r="K334" cm="1">
        <f t="array" ref="K334">IFERROR(
    VALUE(
        IFERROR(
            UPPER(
                IF(MAX(IFERROR(SEARCH("WD",MAIN!G334:J334), 0))&gt;0, "WD",
                IF(MAX(IFERROR(SEARCH("NS",MAIN!G334:J334), 0))&gt;0, "NS",
                IF(MAX(IFERROR(SEARCH("NC",MAIN!G334:J334), 0))&gt;0, "NC",
                IF(MAX(IFERROR(SEARCH("DQ",MAIN!G334:J334), 0))&gt;0, "DQ",
                IF(ISNUMBER(SEARCH("WD",MAIN!K334)), "WD",
                IF(ISNUMBER(SEARCH("NS",MAIN!K334)), "NS",
                IF(ISNUMBER(SEARCH("NC",MAIN!K334)), "NC",
                IF(ISNUMBER(SEARCH("DQ",MAIN!K334)), "DQ",
                IF(ISNUMBER(SEARCH("A",MAIN!K334)), 0,
                IF(OR(MAIN!K334=0,MAIN!K334=""), 0, --TRIM(MAIN!K334)))))))))))),
            0
        )
    ),
    IFERROR(
        UPPER(
            IF(MAX(IFERROR(SEARCH("WD",MAIN!G334:J334), 0))&gt;0, "WD",
            IF(MAX(IFERROR(SEARCH("NS",MAIN!G334:J334), 0))&gt;0, "NS",
            IF(MAX(IFERROR(SEARCH("NC",MAIN!G334:J334), 0))&gt;0, "NC",
            IF(MAX(IFERROR(SEARCH("DQ",MAIN!G334:J334), 0))&gt;0, "DQ",
            IF(ISNUMBER(SEARCH("WD",MAIN!K334)), "WD",
            IF(ISNUMBER(SEARCH("NS",MAIN!K334)), "NS",
            IF(ISNUMBER(SEARCH("NC",MAIN!K334)), "NC",
            IF(ISNUMBER(SEARCH("DQ",MAIN!K334)), "DQ",
            IF(ISNUMBER(SEARCH("A",MAIN!K334)), 0,
            IF(OR(MAIN!K334=0,MAIN!K334=""), 0, --TRIM(MAIN!K334)))))))))))),
        0
    )
)</f>
        <v>0</v>
      </c>
    </row>
    <row r="335" spans="1:11" x14ac:dyDescent="0.25">
      <c r="A335" t="str">
        <f>IF(ISBLANK(MAIN!A335), "--", IFERROR(PROPER(SUBSTITUTE(SUBSTITUTE(SUBSTITUTE(SUBSTITUTE(SUBSTITUTE(SUBSTITUTE(SUBSTITUTE(SUBSTITUTE(SUBSTITUTE(SUBSTITUTE(LEFT(MAIN!A335, FIND(",",MAIN!A335) -1), "0", ""), "1", ""), "2", ""), "3", ""), "4", ""), "5", ""), "6", ""), "7", ""), "8", ""), "9", "")), PROPER(SUBSTITUTE(SUBSTITUTE(SUBSTITUTE(SUBSTITUTE(SUBSTITUTE(SUBSTITUTE(SUBSTITUTE(SUBSTITUTE(SUBSTITUTE(SUBSTITUTE(MAIN!A335, "0", ""), "1", ""), "2", ""), "3", ""), "4", ""), "5", ""), "6", ""), "7", ""), "8", ""), "9", ""))))</f>
        <v>--</v>
      </c>
      <c r="B335" t="str">
        <f>IF(ISBLANK(MAIN!B335), "--", IFERROR(PROPER(SUBSTITUTE(SUBSTITUTE(SUBSTITUTE(SUBSTITUTE(SUBSTITUTE(SUBSTITUTE(SUBSTITUTE(SUBSTITUTE(SUBSTITUTE(SUBSTITUTE(LEFT(MAIN!B335, FIND(",",MAIN!B335) -1), "0", ""), "1", ""), "2", ""), "3", ""), "4", ""), "5", ""), "6", ""), "7", ""), "8", ""), "9", "")), PROPER(SUBSTITUTE(SUBSTITUTE(SUBSTITUTE(SUBSTITUTE(SUBSTITUTE(SUBSTITUTE(SUBSTITUTE(SUBSTITUTE(SUBSTITUTE(SUBSTITUTE(MAIN!B335, "0", ""), "1", ""), "2", ""), "3", ""), "4", ""), "5", ""), "6", ""), "7", ""), "8", ""), "9", ""))))</f>
        <v>--</v>
      </c>
      <c r="C335" t="str">
        <f>IF(ISBLANK(MAIN!C335), "--", IFERROR(PROPER(SUBSTITUTE(SUBSTITUTE(SUBSTITUTE(SUBSTITUTE(SUBSTITUTE(SUBSTITUTE(SUBSTITUTE(SUBSTITUTE(SUBSTITUTE(SUBSTITUTE(LEFT(MAIN!C335, FIND(",",MAIN!C335) -1), "0", ""), "1", ""), "2", ""), "3", ""), "4", ""), "5", ""), "6", ""), "7", ""), "8", ""), "9", "")), PROPER(SUBSTITUTE(SUBSTITUTE(SUBSTITUTE(SUBSTITUTE(SUBSTITUTE(SUBSTITUTE(SUBSTITUTE(SUBSTITUTE(SUBSTITUTE(SUBSTITUTE(MAIN!C335, "0", ""), "1", ""), "2", ""), "3", ""), "4", ""), "5", ""), "6", ""), "7", ""), "8", ""), "9", ""))))</f>
        <v>--</v>
      </c>
      <c r="D335" t="str">
        <f>IF(ISBLANK(MAIN!D335), "--", IF(ISNUMBER(MATCH(SUBSTITUTE(LEFT(MAIN!D335, IFERROR(FIND(",", MAIN!D335)-1, LEN(MAIN!D335))), " ", ""), lookup_values!$B$2:$B$51, 0)), UPPER(SUBSTITUTE(LEFT(MAIN!D335, IFERROR(FIND(",", MAIN!D335)-1, LEN(MAIN!D335))), " ", "")), IF(ISNA(VLOOKUP(SUBSTITUTE(LEFT(MAIN!D335, IFERROR(FIND(",", MAIN!D335)-1, LEN(MAIN!D335))), " ", ""), lookup_values!$A$2:$B$51, 2, FALSE)), "--", VLOOKUP(SUBSTITUTE(LEFT(MAIN!D335, IFERROR(FIND(",", MAIN!D335)-1, LEN(MAIN!D335))), " ", ""), lookup_values!$A$2:$B$51, 2, FALSE))))</f>
        <v>--</v>
      </c>
      <c r="E335" t="str">
        <f>IF(CLEAN_DATA!D335&lt;&gt;"--","US",IF(ISBLANK(MAIN!E335), "--", IF(ISNUMBER(MATCH(SUBSTITUTE(LEFT(MAIN!E335, IFERROR(FIND(",", MAIN!E335)-1, LEN(MAIN!E335))), " ", ""), lookup_values!$E$2:$E$197, 0)), UPPER(SUBSTITUTE(LEFT(MAIN!E335, IFERROR(FIND(",", MAIN!E335)-1, LEN(MAIN!E335))), " ", "")), IF(ISNA(VLOOKUP(SUBSTITUTE(LEFT(MAIN!E335, IFERROR(FIND(",", MAIN!E335)-1, LEN(MAIN!E335))), " ", ""), lookup_values!$D$2:$E$197, 2, FALSE)), "--", VLOOKUP(SUBSTITUTE(LEFT(MAIN!E335, IFERROR(FIND(",", MAIN!E335)-1, LEN(MAIN!E335))), " ", ""), lookup_values!$D$2:$E$197, 2, FALSE)))))</f>
        <v>--</v>
      </c>
      <c r="F335" t="str">
        <f>IF(ISBLANK(MAIN!F335), "", IF(AND(ISNUMBER(VALUE(TRIM(MAIN!F335))), LEN(TRIM(MAIN!F335))=4), VALUE(TRIM(MAIN!F335)), ""))</f>
        <v/>
      </c>
      <c r="G335">
        <f>IF(ISBLANK(MAIN!G335), 0, IF(ISNUMBER(VALUE(TRIM(MAIN!G335))), VALUE(TRIM(MAIN!G335)), 0))</f>
        <v>0</v>
      </c>
      <c r="H335">
        <f>IF(ISBLANK(MAIN!H335), 0, IF(ISNUMBER(VALUE(TRIM(MAIN!H335))), VALUE(TRIM(MAIN!H335)), 0))</f>
        <v>0</v>
      </c>
      <c r="I335">
        <f>IF(ISBLANK(MAIN!I335), 0, IF(ISNUMBER(VALUE(TRIM(MAIN!I335))), VALUE(TRIM(MAIN!I335)), 0))</f>
        <v>0</v>
      </c>
      <c r="J335">
        <f>IF(ISBLANK(MAIN!J335), 0, IF(ISNUMBER(VALUE(TRIM(MAIN!J335))), VALUE(TRIM(MAIN!J335)), 0))</f>
        <v>0</v>
      </c>
      <c r="K335" cm="1">
        <f t="array" ref="K335">IFERROR(
    VALUE(
        IFERROR(
            UPPER(
                IF(MAX(IFERROR(SEARCH("WD",MAIN!G335:J335), 0))&gt;0, "WD",
                IF(MAX(IFERROR(SEARCH("NS",MAIN!G335:J335), 0))&gt;0, "NS",
                IF(MAX(IFERROR(SEARCH("NC",MAIN!G335:J335), 0))&gt;0, "NC",
                IF(MAX(IFERROR(SEARCH("DQ",MAIN!G335:J335), 0))&gt;0, "DQ",
                IF(ISNUMBER(SEARCH("WD",MAIN!K335)), "WD",
                IF(ISNUMBER(SEARCH("NS",MAIN!K335)), "NS",
                IF(ISNUMBER(SEARCH("NC",MAIN!K335)), "NC",
                IF(ISNUMBER(SEARCH("DQ",MAIN!K335)), "DQ",
                IF(ISNUMBER(SEARCH("A",MAIN!K335)), 0,
                IF(OR(MAIN!K335=0,MAIN!K335=""), 0, --TRIM(MAIN!K335)))))))))))),
            0
        )
    ),
    IFERROR(
        UPPER(
            IF(MAX(IFERROR(SEARCH("WD",MAIN!G335:J335), 0))&gt;0, "WD",
            IF(MAX(IFERROR(SEARCH("NS",MAIN!G335:J335), 0))&gt;0, "NS",
            IF(MAX(IFERROR(SEARCH("NC",MAIN!G335:J335), 0))&gt;0, "NC",
            IF(MAX(IFERROR(SEARCH("DQ",MAIN!G335:J335), 0))&gt;0, "DQ",
            IF(ISNUMBER(SEARCH("WD",MAIN!K335)), "WD",
            IF(ISNUMBER(SEARCH("NS",MAIN!K335)), "NS",
            IF(ISNUMBER(SEARCH("NC",MAIN!K335)), "NC",
            IF(ISNUMBER(SEARCH("DQ",MAIN!K335)), "DQ",
            IF(ISNUMBER(SEARCH("A",MAIN!K335)), 0,
            IF(OR(MAIN!K335=0,MAIN!K335=""), 0, --TRIM(MAIN!K335)))))))))))),
        0
    )
)</f>
        <v>0</v>
      </c>
    </row>
    <row r="336" spans="1:11" x14ac:dyDescent="0.25">
      <c r="A336" t="str">
        <f>IF(ISBLANK(MAIN!A336), "--", IFERROR(PROPER(SUBSTITUTE(SUBSTITUTE(SUBSTITUTE(SUBSTITUTE(SUBSTITUTE(SUBSTITUTE(SUBSTITUTE(SUBSTITUTE(SUBSTITUTE(SUBSTITUTE(LEFT(MAIN!A336, FIND(",",MAIN!A336) -1), "0", ""), "1", ""), "2", ""), "3", ""), "4", ""), "5", ""), "6", ""), "7", ""), "8", ""), "9", "")), PROPER(SUBSTITUTE(SUBSTITUTE(SUBSTITUTE(SUBSTITUTE(SUBSTITUTE(SUBSTITUTE(SUBSTITUTE(SUBSTITUTE(SUBSTITUTE(SUBSTITUTE(MAIN!A336, "0", ""), "1", ""), "2", ""), "3", ""), "4", ""), "5", ""), "6", ""), "7", ""), "8", ""), "9", ""))))</f>
        <v>--</v>
      </c>
      <c r="B336" t="str">
        <f>IF(ISBLANK(MAIN!B336), "--", IFERROR(PROPER(SUBSTITUTE(SUBSTITUTE(SUBSTITUTE(SUBSTITUTE(SUBSTITUTE(SUBSTITUTE(SUBSTITUTE(SUBSTITUTE(SUBSTITUTE(SUBSTITUTE(LEFT(MAIN!B336, FIND(",",MAIN!B336) -1), "0", ""), "1", ""), "2", ""), "3", ""), "4", ""), "5", ""), "6", ""), "7", ""), "8", ""), "9", "")), PROPER(SUBSTITUTE(SUBSTITUTE(SUBSTITUTE(SUBSTITUTE(SUBSTITUTE(SUBSTITUTE(SUBSTITUTE(SUBSTITUTE(SUBSTITUTE(SUBSTITUTE(MAIN!B336, "0", ""), "1", ""), "2", ""), "3", ""), "4", ""), "5", ""), "6", ""), "7", ""), "8", ""), "9", ""))))</f>
        <v>--</v>
      </c>
      <c r="C336" t="str">
        <f>IF(ISBLANK(MAIN!C336), "--", IFERROR(PROPER(SUBSTITUTE(SUBSTITUTE(SUBSTITUTE(SUBSTITUTE(SUBSTITUTE(SUBSTITUTE(SUBSTITUTE(SUBSTITUTE(SUBSTITUTE(SUBSTITUTE(LEFT(MAIN!C336, FIND(",",MAIN!C336) -1), "0", ""), "1", ""), "2", ""), "3", ""), "4", ""), "5", ""), "6", ""), "7", ""), "8", ""), "9", "")), PROPER(SUBSTITUTE(SUBSTITUTE(SUBSTITUTE(SUBSTITUTE(SUBSTITUTE(SUBSTITUTE(SUBSTITUTE(SUBSTITUTE(SUBSTITUTE(SUBSTITUTE(MAIN!C336, "0", ""), "1", ""), "2", ""), "3", ""), "4", ""), "5", ""), "6", ""), "7", ""), "8", ""), "9", ""))))</f>
        <v>--</v>
      </c>
      <c r="D336" t="str">
        <f>IF(ISBLANK(MAIN!D336), "--", IF(ISNUMBER(MATCH(SUBSTITUTE(LEFT(MAIN!D336, IFERROR(FIND(",", MAIN!D336)-1, LEN(MAIN!D336))), " ", ""), lookup_values!$B$2:$B$51, 0)), UPPER(SUBSTITUTE(LEFT(MAIN!D336, IFERROR(FIND(",", MAIN!D336)-1, LEN(MAIN!D336))), " ", "")), IF(ISNA(VLOOKUP(SUBSTITUTE(LEFT(MAIN!D336, IFERROR(FIND(",", MAIN!D336)-1, LEN(MAIN!D336))), " ", ""), lookup_values!$A$2:$B$51, 2, FALSE)), "--", VLOOKUP(SUBSTITUTE(LEFT(MAIN!D336, IFERROR(FIND(",", MAIN!D336)-1, LEN(MAIN!D336))), " ", ""), lookup_values!$A$2:$B$51, 2, FALSE))))</f>
        <v>--</v>
      </c>
      <c r="E336" t="str">
        <f>IF(CLEAN_DATA!D336&lt;&gt;"--","US",IF(ISBLANK(MAIN!E336), "--", IF(ISNUMBER(MATCH(SUBSTITUTE(LEFT(MAIN!E336, IFERROR(FIND(",", MAIN!E336)-1, LEN(MAIN!E336))), " ", ""), lookup_values!$E$2:$E$197, 0)), UPPER(SUBSTITUTE(LEFT(MAIN!E336, IFERROR(FIND(",", MAIN!E336)-1, LEN(MAIN!E336))), " ", "")), IF(ISNA(VLOOKUP(SUBSTITUTE(LEFT(MAIN!E336, IFERROR(FIND(",", MAIN!E336)-1, LEN(MAIN!E336))), " ", ""), lookup_values!$D$2:$E$197, 2, FALSE)), "--", VLOOKUP(SUBSTITUTE(LEFT(MAIN!E336, IFERROR(FIND(",", MAIN!E336)-1, LEN(MAIN!E336))), " ", ""), lookup_values!$D$2:$E$197, 2, FALSE)))))</f>
        <v>--</v>
      </c>
      <c r="F336" t="str">
        <f>IF(ISBLANK(MAIN!F336), "", IF(AND(ISNUMBER(VALUE(TRIM(MAIN!F336))), LEN(TRIM(MAIN!F336))=4), VALUE(TRIM(MAIN!F336)), ""))</f>
        <v/>
      </c>
      <c r="G336">
        <f>IF(ISBLANK(MAIN!G336), 0, IF(ISNUMBER(VALUE(TRIM(MAIN!G336))), VALUE(TRIM(MAIN!G336)), 0))</f>
        <v>0</v>
      </c>
      <c r="H336">
        <f>IF(ISBLANK(MAIN!H336), 0, IF(ISNUMBER(VALUE(TRIM(MAIN!H336))), VALUE(TRIM(MAIN!H336)), 0))</f>
        <v>0</v>
      </c>
      <c r="I336">
        <f>IF(ISBLANK(MAIN!I336), 0, IF(ISNUMBER(VALUE(TRIM(MAIN!I336))), VALUE(TRIM(MAIN!I336)), 0))</f>
        <v>0</v>
      </c>
      <c r="J336">
        <f>IF(ISBLANK(MAIN!J336), 0, IF(ISNUMBER(VALUE(TRIM(MAIN!J336))), VALUE(TRIM(MAIN!J336)), 0))</f>
        <v>0</v>
      </c>
      <c r="K336" cm="1">
        <f t="array" ref="K336">IFERROR(
    VALUE(
        IFERROR(
            UPPER(
                IF(MAX(IFERROR(SEARCH("WD",MAIN!G336:J336), 0))&gt;0, "WD",
                IF(MAX(IFERROR(SEARCH("NS",MAIN!G336:J336), 0))&gt;0, "NS",
                IF(MAX(IFERROR(SEARCH("NC",MAIN!G336:J336), 0))&gt;0, "NC",
                IF(MAX(IFERROR(SEARCH("DQ",MAIN!G336:J336), 0))&gt;0, "DQ",
                IF(ISNUMBER(SEARCH("WD",MAIN!K336)), "WD",
                IF(ISNUMBER(SEARCH("NS",MAIN!K336)), "NS",
                IF(ISNUMBER(SEARCH("NC",MAIN!K336)), "NC",
                IF(ISNUMBER(SEARCH("DQ",MAIN!K336)), "DQ",
                IF(ISNUMBER(SEARCH("A",MAIN!K336)), 0,
                IF(OR(MAIN!K336=0,MAIN!K336=""), 0, --TRIM(MAIN!K336)))))))))))),
            0
        )
    ),
    IFERROR(
        UPPER(
            IF(MAX(IFERROR(SEARCH("WD",MAIN!G336:J336), 0))&gt;0, "WD",
            IF(MAX(IFERROR(SEARCH("NS",MAIN!G336:J336), 0))&gt;0, "NS",
            IF(MAX(IFERROR(SEARCH("NC",MAIN!G336:J336), 0))&gt;0, "NC",
            IF(MAX(IFERROR(SEARCH("DQ",MAIN!G336:J336), 0))&gt;0, "DQ",
            IF(ISNUMBER(SEARCH("WD",MAIN!K336)), "WD",
            IF(ISNUMBER(SEARCH("NS",MAIN!K336)), "NS",
            IF(ISNUMBER(SEARCH("NC",MAIN!K336)), "NC",
            IF(ISNUMBER(SEARCH("DQ",MAIN!K336)), "DQ",
            IF(ISNUMBER(SEARCH("A",MAIN!K336)), 0,
            IF(OR(MAIN!K336=0,MAIN!K336=""), 0, --TRIM(MAIN!K336)))))))))))),
        0
    )
)</f>
        <v>0</v>
      </c>
    </row>
    <row r="337" spans="1:11" x14ac:dyDescent="0.25">
      <c r="A337" t="str">
        <f>IF(ISBLANK(MAIN!A337), "--", IFERROR(PROPER(SUBSTITUTE(SUBSTITUTE(SUBSTITUTE(SUBSTITUTE(SUBSTITUTE(SUBSTITUTE(SUBSTITUTE(SUBSTITUTE(SUBSTITUTE(SUBSTITUTE(LEFT(MAIN!A337, FIND(",",MAIN!A337) -1), "0", ""), "1", ""), "2", ""), "3", ""), "4", ""), "5", ""), "6", ""), "7", ""), "8", ""), "9", "")), PROPER(SUBSTITUTE(SUBSTITUTE(SUBSTITUTE(SUBSTITUTE(SUBSTITUTE(SUBSTITUTE(SUBSTITUTE(SUBSTITUTE(SUBSTITUTE(SUBSTITUTE(MAIN!A337, "0", ""), "1", ""), "2", ""), "3", ""), "4", ""), "5", ""), "6", ""), "7", ""), "8", ""), "9", ""))))</f>
        <v>--</v>
      </c>
      <c r="B337" t="str">
        <f>IF(ISBLANK(MAIN!B337), "--", IFERROR(PROPER(SUBSTITUTE(SUBSTITUTE(SUBSTITUTE(SUBSTITUTE(SUBSTITUTE(SUBSTITUTE(SUBSTITUTE(SUBSTITUTE(SUBSTITUTE(SUBSTITUTE(LEFT(MAIN!B337, FIND(",",MAIN!B337) -1), "0", ""), "1", ""), "2", ""), "3", ""), "4", ""), "5", ""), "6", ""), "7", ""), "8", ""), "9", "")), PROPER(SUBSTITUTE(SUBSTITUTE(SUBSTITUTE(SUBSTITUTE(SUBSTITUTE(SUBSTITUTE(SUBSTITUTE(SUBSTITUTE(SUBSTITUTE(SUBSTITUTE(MAIN!B337, "0", ""), "1", ""), "2", ""), "3", ""), "4", ""), "5", ""), "6", ""), "7", ""), "8", ""), "9", ""))))</f>
        <v>--</v>
      </c>
      <c r="C337" t="str">
        <f>IF(ISBLANK(MAIN!C337), "--", IFERROR(PROPER(SUBSTITUTE(SUBSTITUTE(SUBSTITUTE(SUBSTITUTE(SUBSTITUTE(SUBSTITUTE(SUBSTITUTE(SUBSTITUTE(SUBSTITUTE(SUBSTITUTE(LEFT(MAIN!C337, FIND(",",MAIN!C337) -1), "0", ""), "1", ""), "2", ""), "3", ""), "4", ""), "5", ""), "6", ""), "7", ""), "8", ""), "9", "")), PROPER(SUBSTITUTE(SUBSTITUTE(SUBSTITUTE(SUBSTITUTE(SUBSTITUTE(SUBSTITUTE(SUBSTITUTE(SUBSTITUTE(SUBSTITUTE(SUBSTITUTE(MAIN!C337, "0", ""), "1", ""), "2", ""), "3", ""), "4", ""), "5", ""), "6", ""), "7", ""), "8", ""), "9", ""))))</f>
        <v>--</v>
      </c>
      <c r="D337" t="str">
        <f>IF(ISBLANK(MAIN!D337), "--", IF(ISNUMBER(MATCH(SUBSTITUTE(LEFT(MAIN!D337, IFERROR(FIND(",", MAIN!D337)-1, LEN(MAIN!D337))), " ", ""), lookup_values!$B$2:$B$51, 0)), UPPER(SUBSTITUTE(LEFT(MAIN!D337, IFERROR(FIND(",", MAIN!D337)-1, LEN(MAIN!D337))), " ", "")), IF(ISNA(VLOOKUP(SUBSTITUTE(LEFT(MAIN!D337, IFERROR(FIND(",", MAIN!D337)-1, LEN(MAIN!D337))), " ", ""), lookup_values!$A$2:$B$51, 2, FALSE)), "--", VLOOKUP(SUBSTITUTE(LEFT(MAIN!D337, IFERROR(FIND(",", MAIN!D337)-1, LEN(MAIN!D337))), " ", ""), lookup_values!$A$2:$B$51, 2, FALSE))))</f>
        <v>--</v>
      </c>
      <c r="E337" t="str">
        <f>IF(CLEAN_DATA!D337&lt;&gt;"--","US",IF(ISBLANK(MAIN!E337), "--", IF(ISNUMBER(MATCH(SUBSTITUTE(LEFT(MAIN!E337, IFERROR(FIND(",", MAIN!E337)-1, LEN(MAIN!E337))), " ", ""), lookup_values!$E$2:$E$197, 0)), UPPER(SUBSTITUTE(LEFT(MAIN!E337, IFERROR(FIND(",", MAIN!E337)-1, LEN(MAIN!E337))), " ", "")), IF(ISNA(VLOOKUP(SUBSTITUTE(LEFT(MAIN!E337, IFERROR(FIND(",", MAIN!E337)-1, LEN(MAIN!E337))), " ", ""), lookup_values!$D$2:$E$197, 2, FALSE)), "--", VLOOKUP(SUBSTITUTE(LEFT(MAIN!E337, IFERROR(FIND(",", MAIN!E337)-1, LEN(MAIN!E337))), " ", ""), lookup_values!$D$2:$E$197, 2, FALSE)))))</f>
        <v>--</v>
      </c>
      <c r="F337" t="str">
        <f>IF(ISBLANK(MAIN!F337), "", IF(AND(ISNUMBER(VALUE(TRIM(MAIN!F337))), LEN(TRIM(MAIN!F337))=4), VALUE(TRIM(MAIN!F337)), ""))</f>
        <v/>
      </c>
      <c r="G337">
        <f>IF(ISBLANK(MAIN!G337), 0, IF(ISNUMBER(VALUE(TRIM(MAIN!G337))), VALUE(TRIM(MAIN!G337)), 0))</f>
        <v>0</v>
      </c>
      <c r="H337">
        <f>IF(ISBLANK(MAIN!H337), 0, IF(ISNUMBER(VALUE(TRIM(MAIN!H337))), VALUE(TRIM(MAIN!H337)), 0))</f>
        <v>0</v>
      </c>
      <c r="I337">
        <f>IF(ISBLANK(MAIN!I337), 0, IF(ISNUMBER(VALUE(TRIM(MAIN!I337))), VALUE(TRIM(MAIN!I337)), 0))</f>
        <v>0</v>
      </c>
      <c r="J337">
        <f>IF(ISBLANK(MAIN!J337), 0, IF(ISNUMBER(VALUE(TRIM(MAIN!J337))), VALUE(TRIM(MAIN!J337)), 0))</f>
        <v>0</v>
      </c>
      <c r="K337" cm="1">
        <f t="array" ref="K337">IFERROR(
    VALUE(
        IFERROR(
            UPPER(
                IF(MAX(IFERROR(SEARCH("WD",MAIN!G337:J337), 0))&gt;0, "WD",
                IF(MAX(IFERROR(SEARCH("NS",MAIN!G337:J337), 0))&gt;0, "NS",
                IF(MAX(IFERROR(SEARCH("NC",MAIN!G337:J337), 0))&gt;0, "NC",
                IF(MAX(IFERROR(SEARCH("DQ",MAIN!G337:J337), 0))&gt;0, "DQ",
                IF(ISNUMBER(SEARCH("WD",MAIN!K337)), "WD",
                IF(ISNUMBER(SEARCH("NS",MAIN!K337)), "NS",
                IF(ISNUMBER(SEARCH("NC",MAIN!K337)), "NC",
                IF(ISNUMBER(SEARCH("DQ",MAIN!K337)), "DQ",
                IF(ISNUMBER(SEARCH("A",MAIN!K337)), 0,
                IF(OR(MAIN!K337=0,MAIN!K337=""), 0, --TRIM(MAIN!K337)))))))))))),
            0
        )
    ),
    IFERROR(
        UPPER(
            IF(MAX(IFERROR(SEARCH("WD",MAIN!G337:J337), 0))&gt;0, "WD",
            IF(MAX(IFERROR(SEARCH("NS",MAIN!G337:J337), 0))&gt;0, "NS",
            IF(MAX(IFERROR(SEARCH("NC",MAIN!G337:J337), 0))&gt;0, "NC",
            IF(MAX(IFERROR(SEARCH("DQ",MAIN!G337:J337), 0))&gt;0, "DQ",
            IF(ISNUMBER(SEARCH("WD",MAIN!K337)), "WD",
            IF(ISNUMBER(SEARCH("NS",MAIN!K337)), "NS",
            IF(ISNUMBER(SEARCH("NC",MAIN!K337)), "NC",
            IF(ISNUMBER(SEARCH("DQ",MAIN!K337)), "DQ",
            IF(ISNUMBER(SEARCH("A",MAIN!K337)), 0,
            IF(OR(MAIN!K337=0,MAIN!K337=""), 0, --TRIM(MAIN!K337)))))))))))),
        0
    )
)</f>
        <v>0</v>
      </c>
    </row>
    <row r="338" spans="1:11" x14ac:dyDescent="0.25">
      <c r="A338" t="str">
        <f>IF(ISBLANK(MAIN!A338), "--", IFERROR(PROPER(SUBSTITUTE(SUBSTITUTE(SUBSTITUTE(SUBSTITUTE(SUBSTITUTE(SUBSTITUTE(SUBSTITUTE(SUBSTITUTE(SUBSTITUTE(SUBSTITUTE(LEFT(MAIN!A338, FIND(",",MAIN!A338) -1), "0", ""), "1", ""), "2", ""), "3", ""), "4", ""), "5", ""), "6", ""), "7", ""), "8", ""), "9", "")), PROPER(SUBSTITUTE(SUBSTITUTE(SUBSTITUTE(SUBSTITUTE(SUBSTITUTE(SUBSTITUTE(SUBSTITUTE(SUBSTITUTE(SUBSTITUTE(SUBSTITUTE(MAIN!A338, "0", ""), "1", ""), "2", ""), "3", ""), "4", ""), "5", ""), "6", ""), "7", ""), "8", ""), "9", ""))))</f>
        <v>--</v>
      </c>
      <c r="B338" t="str">
        <f>IF(ISBLANK(MAIN!B338), "--", IFERROR(PROPER(SUBSTITUTE(SUBSTITUTE(SUBSTITUTE(SUBSTITUTE(SUBSTITUTE(SUBSTITUTE(SUBSTITUTE(SUBSTITUTE(SUBSTITUTE(SUBSTITUTE(LEFT(MAIN!B338, FIND(",",MAIN!B338) -1), "0", ""), "1", ""), "2", ""), "3", ""), "4", ""), "5", ""), "6", ""), "7", ""), "8", ""), "9", "")), PROPER(SUBSTITUTE(SUBSTITUTE(SUBSTITUTE(SUBSTITUTE(SUBSTITUTE(SUBSTITUTE(SUBSTITUTE(SUBSTITUTE(SUBSTITUTE(SUBSTITUTE(MAIN!B338, "0", ""), "1", ""), "2", ""), "3", ""), "4", ""), "5", ""), "6", ""), "7", ""), "8", ""), "9", ""))))</f>
        <v>--</v>
      </c>
      <c r="C338" t="str">
        <f>IF(ISBLANK(MAIN!C338), "--", IFERROR(PROPER(SUBSTITUTE(SUBSTITUTE(SUBSTITUTE(SUBSTITUTE(SUBSTITUTE(SUBSTITUTE(SUBSTITUTE(SUBSTITUTE(SUBSTITUTE(SUBSTITUTE(LEFT(MAIN!C338, FIND(",",MAIN!C338) -1), "0", ""), "1", ""), "2", ""), "3", ""), "4", ""), "5", ""), "6", ""), "7", ""), "8", ""), "9", "")), PROPER(SUBSTITUTE(SUBSTITUTE(SUBSTITUTE(SUBSTITUTE(SUBSTITUTE(SUBSTITUTE(SUBSTITUTE(SUBSTITUTE(SUBSTITUTE(SUBSTITUTE(MAIN!C338, "0", ""), "1", ""), "2", ""), "3", ""), "4", ""), "5", ""), "6", ""), "7", ""), "8", ""), "9", ""))))</f>
        <v>--</v>
      </c>
      <c r="D338" t="str">
        <f>IF(ISBLANK(MAIN!D338), "--", IF(ISNUMBER(MATCH(SUBSTITUTE(LEFT(MAIN!D338, IFERROR(FIND(",", MAIN!D338)-1, LEN(MAIN!D338))), " ", ""), lookup_values!$B$2:$B$51, 0)), UPPER(SUBSTITUTE(LEFT(MAIN!D338, IFERROR(FIND(",", MAIN!D338)-1, LEN(MAIN!D338))), " ", "")), IF(ISNA(VLOOKUP(SUBSTITUTE(LEFT(MAIN!D338, IFERROR(FIND(",", MAIN!D338)-1, LEN(MAIN!D338))), " ", ""), lookup_values!$A$2:$B$51, 2, FALSE)), "--", VLOOKUP(SUBSTITUTE(LEFT(MAIN!D338, IFERROR(FIND(",", MAIN!D338)-1, LEN(MAIN!D338))), " ", ""), lookup_values!$A$2:$B$51, 2, FALSE))))</f>
        <v>--</v>
      </c>
      <c r="E338" t="str">
        <f>IF(CLEAN_DATA!D338&lt;&gt;"--","US",IF(ISBLANK(MAIN!E338), "--", IF(ISNUMBER(MATCH(SUBSTITUTE(LEFT(MAIN!E338, IFERROR(FIND(",", MAIN!E338)-1, LEN(MAIN!E338))), " ", ""), lookup_values!$E$2:$E$197, 0)), UPPER(SUBSTITUTE(LEFT(MAIN!E338, IFERROR(FIND(",", MAIN!E338)-1, LEN(MAIN!E338))), " ", "")), IF(ISNA(VLOOKUP(SUBSTITUTE(LEFT(MAIN!E338, IFERROR(FIND(",", MAIN!E338)-1, LEN(MAIN!E338))), " ", ""), lookup_values!$D$2:$E$197, 2, FALSE)), "--", VLOOKUP(SUBSTITUTE(LEFT(MAIN!E338, IFERROR(FIND(",", MAIN!E338)-1, LEN(MAIN!E338))), " ", ""), lookup_values!$D$2:$E$197, 2, FALSE)))))</f>
        <v>--</v>
      </c>
      <c r="F338" t="str">
        <f>IF(ISBLANK(MAIN!F338), "", IF(AND(ISNUMBER(VALUE(TRIM(MAIN!F338))), LEN(TRIM(MAIN!F338))=4), VALUE(TRIM(MAIN!F338)), ""))</f>
        <v/>
      </c>
      <c r="G338">
        <f>IF(ISBLANK(MAIN!G338), 0, IF(ISNUMBER(VALUE(TRIM(MAIN!G338))), VALUE(TRIM(MAIN!G338)), 0))</f>
        <v>0</v>
      </c>
      <c r="H338">
        <f>IF(ISBLANK(MAIN!H338), 0, IF(ISNUMBER(VALUE(TRIM(MAIN!H338))), VALUE(TRIM(MAIN!H338)), 0))</f>
        <v>0</v>
      </c>
      <c r="I338">
        <f>IF(ISBLANK(MAIN!I338), 0, IF(ISNUMBER(VALUE(TRIM(MAIN!I338))), VALUE(TRIM(MAIN!I338)), 0))</f>
        <v>0</v>
      </c>
      <c r="J338">
        <f>IF(ISBLANK(MAIN!J338), 0, IF(ISNUMBER(VALUE(TRIM(MAIN!J338))), VALUE(TRIM(MAIN!J338)), 0))</f>
        <v>0</v>
      </c>
      <c r="K338" cm="1">
        <f t="array" ref="K338">IFERROR(
    VALUE(
        IFERROR(
            UPPER(
                IF(MAX(IFERROR(SEARCH("WD",MAIN!G338:J338), 0))&gt;0, "WD",
                IF(MAX(IFERROR(SEARCH("NS",MAIN!G338:J338), 0))&gt;0, "NS",
                IF(MAX(IFERROR(SEARCH("NC",MAIN!G338:J338), 0))&gt;0, "NC",
                IF(MAX(IFERROR(SEARCH("DQ",MAIN!G338:J338), 0))&gt;0, "DQ",
                IF(ISNUMBER(SEARCH("WD",MAIN!K338)), "WD",
                IF(ISNUMBER(SEARCH("NS",MAIN!K338)), "NS",
                IF(ISNUMBER(SEARCH("NC",MAIN!K338)), "NC",
                IF(ISNUMBER(SEARCH("DQ",MAIN!K338)), "DQ",
                IF(ISNUMBER(SEARCH("A",MAIN!K338)), 0,
                IF(OR(MAIN!K338=0,MAIN!K338=""), 0, --TRIM(MAIN!K338)))))))))))),
            0
        )
    ),
    IFERROR(
        UPPER(
            IF(MAX(IFERROR(SEARCH("WD",MAIN!G338:J338), 0))&gt;0, "WD",
            IF(MAX(IFERROR(SEARCH("NS",MAIN!G338:J338), 0))&gt;0, "NS",
            IF(MAX(IFERROR(SEARCH("NC",MAIN!G338:J338), 0))&gt;0, "NC",
            IF(MAX(IFERROR(SEARCH("DQ",MAIN!G338:J338), 0))&gt;0, "DQ",
            IF(ISNUMBER(SEARCH("WD",MAIN!K338)), "WD",
            IF(ISNUMBER(SEARCH("NS",MAIN!K338)), "NS",
            IF(ISNUMBER(SEARCH("NC",MAIN!K338)), "NC",
            IF(ISNUMBER(SEARCH("DQ",MAIN!K338)), "DQ",
            IF(ISNUMBER(SEARCH("A",MAIN!K338)), 0,
            IF(OR(MAIN!K338=0,MAIN!K338=""), 0, --TRIM(MAIN!K338)))))))))))),
        0
    )
)</f>
        <v>0</v>
      </c>
    </row>
    <row r="339" spans="1:11" x14ac:dyDescent="0.25">
      <c r="A339" t="str">
        <f>IF(ISBLANK(MAIN!A339), "--", IFERROR(PROPER(SUBSTITUTE(SUBSTITUTE(SUBSTITUTE(SUBSTITUTE(SUBSTITUTE(SUBSTITUTE(SUBSTITUTE(SUBSTITUTE(SUBSTITUTE(SUBSTITUTE(LEFT(MAIN!A339, FIND(",",MAIN!A339) -1), "0", ""), "1", ""), "2", ""), "3", ""), "4", ""), "5", ""), "6", ""), "7", ""), "8", ""), "9", "")), PROPER(SUBSTITUTE(SUBSTITUTE(SUBSTITUTE(SUBSTITUTE(SUBSTITUTE(SUBSTITUTE(SUBSTITUTE(SUBSTITUTE(SUBSTITUTE(SUBSTITUTE(MAIN!A339, "0", ""), "1", ""), "2", ""), "3", ""), "4", ""), "5", ""), "6", ""), "7", ""), "8", ""), "9", ""))))</f>
        <v>--</v>
      </c>
      <c r="B339" t="str">
        <f>IF(ISBLANK(MAIN!B339), "--", IFERROR(PROPER(SUBSTITUTE(SUBSTITUTE(SUBSTITUTE(SUBSTITUTE(SUBSTITUTE(SUBSTITUTE(SUBSTITUTE(SUBSTITUTE(SUBSTITUTE(SUBSTITUTE(LEFT(MAIN!B339, FIND(",",MAIN!B339) -1), "0", ""), "1", ""), "2", ""), "3", ""), "4", ""), "5", ""), "6", ""), "7", ""), "8", ""), "9", "")), PROPER(SUBSTITUTE(SUBSTITUTE(SUBSTITUTE(SUBSTITUTE(SUBSTITUTE(SUBSTITUTE(SUBSTITUTE(SUBSTITUTE(SUBSTITUTE(SUBSTITUTE(MAIN!B339, "0", ""), "1", ""), "2", ""), "3", ""), "4", ""), "5", ""), "6", ""), "7", ""), "8", ""), "9", ""))))</f>
        <v>--</v>
      </c>
      <c r="C339" t="str">
        <f>IF(ISBLANK(MAIN!C339), "--", IFERROR(PROPER(SUBSTITUTE(SUBSTITUTE(SUBSTITUTE(SUBSTITUTE(SUBSTITUTE(SUBSTITUTE(SUBSTITUTE(SUBSTITUTE(SUBSTITUTE(SUBSTITUTE(LEFT(MAIN!C339, FIND(",",MAIN!C339) -1), "0", ""), "1", ""), "2", ""), "3", ""), "4", ""), "5", ""), "6", ""), "7", ""), "8", ""), "9", "")), PROPER(SUBSTITUTE(SUBSTITUTE(SUBSTITUTE(SUBSTITUTE(SUBSTITUTE(SUBSTITUTE(SUBSTITUTE(SUBSTITUTE(SUBSTITUTE(SUBSTITUTE(MAIN!C339, "0", ""), "1", ""), "2", ""), "3", ""), "4", ""), "5", ""), "6", ""), "7", ""), "8", ""), "9", ""))))</f>
        <v>--</v>
      </c>
      <c r="D339" t="str">
        <f>IF(ISBLANK(MAIN!D339), "--", IF(ISNUMBER(MATCH(SUBSTITUTE(LEFT(MAIN!D339, IFERROR(FIND(",", MAIN!D339)-1, LEN(MAIN!D339))), " ", ""), lookup_values!$B$2:$B$51, 0)), UPPER(SUBSTITUTE(LEFT(MAIN!D339, IFERROR(FIND(",", MAIN!D339)-1, LEN(MAIN!D339))), " ", "")), IF(ISNA(VLOOKUP(SUBSTITUTE(LEFT(MAIN!D339, IFERROR(FIND(",", MAIN!D339)-1, LEN(MAIN!D339))), " ", ""), lookup_values!$A$2:$B$51, 2, FALSE)), "--", VLOOKUP(SUBSTITUTE(LEFT(MAIN!D339, IFERROR(FIND(",", MAIN!D339)-1, LEN(MAIN!D339))), " ", ""), lookup_values!$A$2:$B$51, 2, FALSE))))</f>
        <v>--</v>
      </c>
      <c r="E339" t="str">
        <f>IF(CLEAN_DATA!D339&lt;&gt;"--","US",IF(ISBLANK(MAIN!E339), "--", IF(ISNUMBER(MATCH(SUBSTITUTE(LEFT(MAIN!E339, IFERROR(FIND(",", MAIN!E339)-1, LEN(MAIN!E339))), " ", ""), lookup_values!$E$2:$E$197, 0)), UPPER(SUBSTITUTE(LEFT(MAIN!E339, IFERROR(FIND(",", MAIN!E339)-1, LEN(MAIN!E339))), " ", "")), IF(ISNA(VLOOKUP(SUBSTITUTE(LEFT(MAIN!E339, IFERROR(FIND(",", MAIN!E339)-1, LEN(MAIN!E339))), " ", ""), lookup_values!$D$2:$E$197, 2, FALSE)), "--", VLOOKUP(SUBSTITUTE(LEFT(MAIN!E339, IFERROR(FIND(",", MAIN!E339)-1, LEN(MAIN!E339))), " ", ""), lookup_values!$D$2:$E$197, 2, FALSE)))))</f>
        <v>--</v>
      </c>
      <c r="F339" t="str">
        <f>IF(ISBLANK(MAIN!F339), "", IF(AND(ISNUMBER(VALUE(TRIM(MAIN!F339))), LEN(TRIM(MAIN!F339))=4), VALUE(TRIM(MAIN!F339)), ""))</f>
        <v/>
      </c>
      <c r="G339">
        <f>IF(ISBLANK(MAIN!G339), 0, IF(ISNUMBER(VALUE(TRIM(MAIN!G339))), VALUE(TRIM(MAIN!G339)), 0))</f>
        <v>0</v>
      </c>
      <c r="H339">
        <f>IF(ISBLANK(MAIN!H339), 0, IF(ISNUMBER(VALUE(TRIM(MAIN!H339))), VALUE(TRIM(MAIN!H339)), 0))</f>
        <v>0</v>
      </c>
      <c r="I339">
        <f>IF(ISBLANK(MAIN!I339), 0, IF(ISNUMBER(VALUE(TRIM(MAIN!I339))), VALUE(TRIM(MAIN!I339)), 0))</f>
        <v>0</v>
      </c>
      <c r="J339">
        <f>IF(ISBLANK(MAIN!J339), 0, IF(ISNUMBER(VALUE(TRIM(MAIN!J339))), VALUE(TRIM(MAIN!J339)), 0))</f>
        <v>0</v>
      </c>
      <c r="K339" cm="1">
        <f t="array" ref="K339">IFERROR(
    VALUE(
        IFERROR(
            UPPER(
                IF(MAX(IFERROR(SEARCH("WD",MAIN!G339:J339), 0))&gt;0, "WD",
                IF(MAX(IFERROR(SEARCH("NS",MAIN!G339:J339), 0))&gt;0, "NS",
                IF(MAX(IFERROR(SEARCH("NC",MAIN!G339:J339), 0))&gt;0, "NC",
                IF(MAX(IFERROR(SEARCH("DQ",MAIN!G339:J339), 0))&gt;0, "DQ",
                IF(ISNUMBER(SEARCH("WD",MAIN!K339)), "WD",
                IF(ISNUMBER(SEARCH("NS",MAIN!K339)), "NS",
                IF(ISNUMBER(SEARCH("NC",MAIN!K339)), "NC",
                IF(ISNUMBER(SEARCH("DQ",MAIN!K339)), "DQ",
                IF(ISNUMBER(SEARCH("A",MAIN!K339)), 0,
                IF(OR(MAIN!K339=0,MAIN!K339=""), 0, --TRIM(MAIN!K339)))))))))))),
            0
        )
    ),
    IFERROR(
        UPPER(
            IF(MAX(IFERROR(SEARCH("WD",MAIN!G339:J339), 0))&gt;0, "WD",
            IF(MAX(IFERROR(SEARCH("NS",MAIN!G339:J339), 0))&gt;0, "NS",
            IF(MAX(IFERROR(SEARCH("NC",MAIN!G339:J339), 0))&gt;0, "NC",
            IF(MAX(IFERROR(SEARCH("DQ",MAIN!G339:J339), 0))&gt;0, "DQ",
            IF(ISNUMBER(SEARCH("WD",MAIN!K339)), "WD",
            IF(ISNUMBER(SEARCH("NS",MAIN!K339)), "NS",
            IF(ISNUMBER(SEARCH("NC",MAIN!K339)), "NC",
            IF(ISNUMBER(SEARCH("DQ",MAIN!K339)), "DQ",
            IF(ISNUMBER(SEARCH("A",MAIN!K339)), 0,
            IF(OR(MAIN!K339=0,MAIN!K339=""), 0, --TRIM(MAIN!K339)))))))))))),
        0
    )
)</f>
        <v>0</v>
      </c>
    </row>
    <row r="340" spans="1:11" x14ac:dyDescent="0.25">
      <c r="A340" t="str">
        <f>IF(ISBLANK(MAIN!A340), "--", IFERROR(PROPER(SUBSTITUTE(SUBSTITUTE(SUBSTITUTE(SUBSTITUTE(SUBSTITUTE(SUBSTITUTE(SUBSTITUTE(SUBSTITUTE(SUBSTITUTE(SUBSTITUTE(LEFT(MAIN!A340, FIND(",",MAIN!A340) -1), "0", ""), "1", ""), "2", ""), "3", ""), "4", ""), "5", ""), "6", ""), "7", ""), "8", ""), "9", "")), PROPER(SUBSTITUTE(SUBSTITUTE(SUBSTITUTE(SUBSTITUTE(SUBSTITUTE(SUBSTITUTE(SUBSTITUTE(SUBSTITUTE(SUBSTITUTE(SUBSTITUTE(MAIN!A340, "0", ""), "1", ""), "2", ""), "3", ""), "4", ""), "5", ""), "6", ""), "7", ""), "8", ""), "9", ""))))</f>
        <v>--</v>
      </c>
      <c r="B340" t="str">
        <f>IF(ISBLANK(MAIN!B340), "--", IFERROR(PROPER(SUBSTITUTE(SUBSTITUTE(SUBSTITUTE(SUBSTITUTE(SUBSTITUTE(SUBSTITUTE(SUBSTITUTE(SUBSTITUTE(SUBSTITUTE(SUBSTITUTE(LEFT(MAIN!B340, FIND(",",MAIN!B340) -1), "0", ""), "1", ""), "2", ""), "3", ""), "4", ""), "5", ""), "6", ""), "7", ""), "8", ""), "9", "")), PROPER(SUBSTITUTE(SUBSTITUTE(SUBSTITUTE(SUBSTITUTE(SUBSTITUTE(SUBSTITUTE(SUBSTITUTE(SUBSTITUTE(SUBSTITUTE(SUBSTITUTE(MAIN!B340, "0", ""), "1", ""), "2", ""), "3", ""), "4", ""), "5", ""), "6", ""), "7", ""), "8", ""), "9", ""))))</f>
        <v>--</v>
      </c>
      <c r="C340" t="str">
        <f>IF(ISBLANK(MAIN!C340), "--", IFERROR(PROPER(SUBSTITUTE(SUBSTITUTE(SUBSTITUTE(SUBSTITUTE(SUBSTITUTE(SUBSTITUTE(SUBSTITUTE(SUBSTITUTE(SUBSTITUTE(SUBSTITUTE(LEFT(MAIN!C340, FIND(",",MAIN!C340) -1), "0", ""), "1", ""), "2", ""), "3", ""), "4", ""), "5", ""), "6", ""), "7", ""), "8", ""), "9", "")), PROPER(SUBSTITUTE(SUBSTITUTE(SUBSTITUTE(SUBSTITUTE(SUBSTITUTE(SUBSTITUTE(SUBSTITUTE(SUBSTITUTE(SUBSTITUTE(SUBSTITUTE(MAIN!C340, "0", ""), "1", ""), "2", ""), "3", ""), "4", ""), "5", ""), "6", ""), "7", ""), "8", ""), "9", ""))))</f>
        <v>--</v>
      </c>
      <c r="D340" t="str">
        <f>IF(ISBLANK(MAIN!D340), "--", IF(ISNUMBER(MATCH(SUBSTITUTE(LEFT(MAIN!D340, IFERROR(FIND(",", MAIN!D340)-1, LEN(MAIN!D340))), " ", ""), lookup_values!$B$2:$B$51, 0)), UPPER(SUBSTITUTE(LEFT(MAIN!D340, IFERROR(FIND(",", MAIN!D340)-1, LEN(MAIN!D340))), " ", "")), IF(ISNA(VLOOKUP(SUBSTITUTE(LEFT(MAIN!D340, IFERROR(FIND(",", MAIN!D340)-1, LEN(MAIN!D340))), " ", ""), lookup_values!$A$2:$B$51, 2, FALSE)), "--", VLOOKUP(SUBSTITUTE(LEFT(MAIN!D340, IFERROR(FIND(",", MAIN!D340)-1, LEN(MAIN!D340))), " ", ""), lookup_values!$A$2:$B$51, 2, FALSE))))</f>
        <v>--</v>
      </c>
      <c r="E340" t="str">
        <f>IF(CLEAN_DATA!D340&lt;&gt;"--","US",IF(ISBLANK(MAIN!E340), "--", IF(ISNUMBER(MATCH(SUBSTITUTE(LEFT(MAIN!E340, IFERROR(FIND(",", MAIN!E340)-1, LEN(MAIN!E340))), " ", ""), lookup_values!$E$2:$E$197, 0)), UPPER(SUBSTITUTE(LEFT(MAIN!E340, IFERROR(FIND(",", MAIN!E340)-1, LEN(MAIN!E340))), " ", "")), IF(ISNA(VLOOKUP(SUBSTITUTE(LEFT(MAIN!E340, IFERROR(FIND(",", MAIN!E340)-1, LEN(MAIN!E340))), " ", ""), lookup_values!$D$2:$E$197, 2, FALSE)), "--", VLOOKUP(SUBSTITUTE(LEFT(MAIN!E340, IFERROR(FIND(",", MAIN!E340)-1, LEN(MAIN!E340))), " ", ""), lookup_values!$D$2:$E$197, 2, FALSE)))))</f>
        <v>--</v>
      </c>
      <c r="F340" t="str">
        <f>IF(ISBLANK(MAIN!F340), "", IF(AND(ISNUMBER(VALUE(TRIM(MAIN!F340))), LEN(TRIM(MAIN!F340))=4), VALUE(TRIM(MAIN!F340)), ""))</f>
        <v/>
      </c>
      <c r="G340">
        <f>IF(ISBLANK(MAIN!G340), 0, IF(ISNUMBER(VALUE(TRIM(MAIN!G340))), VALUE(TRIM(MAIN!G340)), 0))</f>
        <v>0</v>
      </c>
      <c r="H340">
        <f>IF(ISBLANK(MAIN!H340), 0, IF(ISNUMBER(VALUE(TRIM(MAIN!H340))), VALUE(TRIM(MAIN!H340)), 0))</f>
        <v>0</v>
      </c>
      <c r="I340">
        <f>IF(ISBLANK(MAIN!I340), 0, IF(ISNUMBER(VALUE(TRIM(MAIN!I340))), VALUE(TRIM(MAIN!I340)), 0))</f>
        <v>0</v>
      </c>
      <c r="J340">
        <f>IF(ISBLANK(MAIN!J340), 0, IF(ISNUMBER(VALUE(TRIM(MAIN!J340))), VALUE(TRIM(MAIN!J340)), 0))</f>
        <v>0</v>
      </c>
      <c r="K340" cm="1">
        <f t="array" ref="K340">IFERROR(
    VALUE(
        IFERROR(
            UPPER(
                IF(MAX(IFERROR(SEARCH("WD",MAIN!G340:J340), 0))&gt;0, "WD",
                IF(MAX(IFERROR(SEARCH("NS",MAIN!G340:J340), 0))&gt;0, "NS",
                IF(MAX(IFERROR(SEARCH("NC",MAIN!G340:J340), 0))&gt;0, "NC",
                IF(MAX(IFERROR(SEARCH("DQ",MAIN!G340:J340), 0))&gt;0, "DQ",
                IF(ISNUMBER(SEARCH("WD",MAIN!K340)), "WD",
                IF(ISNUMBER(SEARCH("NS",MAIN!K340)), "NS",
                IF(ISNUMBER(SEARCH("NC",MAIN!K340)), "NC",
                IF(ISNUMBER(SEARCH("DQ",MAIN!K340)), "DQ",
                IF(ISNUMBER(SEARCH("A",MAIN!K340)), 0,
                IF(OR(MAIN!K340=0,MAIN!K340=""), 0, --TRIM(MAIN!K340)))))))))))),
            0
        )
    ),
    IFERROR(
        UPPER(
            IF(MAX(IFERROR(SEARCH("WD",MAIN!G340:J340), 0))&gt;0, "WD",
            IF(MAX(IFERROR(SEARCH("NS",MAIN!G340:J340), 0))&gt;0, "NS",
            IF(MAX(IFERROR(SEARCH("NC",MAIN!G340:J340), 0))&gt;0, "NC",
            IF(MAX(IFERROR(SEARCH("DQ",MAIN!G340:J340), 0))&gt;0, "DQ",
            IF(ISNUMBER(SEARCH("WD",MAIN!K340)), "WD",
            IF(ISNUMBER(SEARCH("NS",MAIN!K340)), "NS",
            IF(ISNUMBER(SEARCH("NC",MAIN!K340)), "NC",
            IF(ISNUMBER(SEARCH("DQ",MAIN!K340)), "DQ",
            IF(ISNUMBER(SEARCH("A",MAIN!K340)), 0,
            IF(OR(MAIN!K340=0,MAIN!K340=""), 0, --TRIM(MAIN!K340)))))))))))),
        0
    )
)</f>
        <v>0</v>
      </c>
    </row>
    <row r="341" spans="1:11" x14ac:dyDescent="0.25">
      <c r="A341" t="str">
        <f>IF(ISBLANK(MAIN!A341), "--", IFERROR(PROPER(SUBSTITUTE(SUBSTITUTE(SUBSTITUTE(SUBSTITUTE(SUBSTITUTE(SUBSTITUTE(SUBSTITUTE(SUBSTITUTE(SUBSTITUTE(SUBSTITUTE(LEFT(MAIN!A341, FIND(",",MAIN!A341) -1), "0", ""), "1", ""), "2", ""), "3", ""), "4", ""), "5", ""), "6", ""), "7", ""), "8", ""), "9", "")), PROPER(SUBSTITUTE(SUBSTITUTE(SUBSTITUTE(SUBSTITUTE(SUBSTITUTE(SUBSTITUTE(SUBSTITUTE(SUBSTITUTE(SUBSTITUTE(SUBSTITUTE(MAIN!A341, "0", ""), "1", ""), "2", ""), "3", ""), "4", ""), "5", ""), "6", ""), "7", ""), "8", ""), "9", ""))))</f>
        <v>--</v>
      </c>
      <c r="B341" t="str">
        <f>IF(ISBLANK(MAIN!B341), "--", IFERROR(PROPER(SUBSTITUTE(SUBSTITUTE(SUBSTITUTE(SUBSTITUTE(SUBSTITUTE(SUBSTITUTE(SUBSTITUTE(SUBSTITUTE(SUBSTITUTE(SUBSTITUTE(LEFT(MAIN!B341, FIND(",",MAIN!B341) -1), "0", ""), "1", ""), "2", ""), "3", ""), "4", ""), "5", ""), "6", ""), "7", ""), "8", ""), "9", "")), PROPER(SUBSTITUTE(SUBSTITUTE(SUBSTITUTE(SUBSTITUTE(SUBSTITUTE(SUBSTITUTE(SUBSTITUTE(SUBSTITUTE(SUBSTITUTE(SUBSTITUTE(MAIN!B341, "0", ""), "1", ""), "2", ""), "3", ""), "4", ""), "5", ""), "6", ""), "7", ""), "8", ""), "9", ""))))</f>
        <v>--</v>
      </c>
      <c r="C341" t="str">
        <f>IF(ISBLANK(MAIN!C341), "--", IFERROR(PROPER(SUBSTITUTE(SUBSTITUTE(SUBSTITUTE(SUBSTITUTE(SUBSTITUTE(SUBSTITUTE(SUBSTITUTE(SUBSTITUTE(SUBSTITUTE(SUBSTITUTE(LEFT(MAIN!C341, FIND(",",MAIN!C341) -1), "0", ""), "1", ""), "2", ""), "3", ""), "4", ""), "5", ""), "6", ""), "7", ""), "8", ""), "9", "")), PROPER(SUBSTITUTE(SUBSTITUTE(SUBSTITUTE(SUBSTITUTE(SUBSTITUTE(SUBSTITUTE(SUBSTITUTE(SUBSTITUTE(SUBSTITUTE(SUBSTITUTE(MAIN!C341, "0", ""), "1", ""), "2", ""), "3", ""), "4", ""), "5", ""), "6", ""), "7", ""), "8", ""), "9", ""))))</f>
        <v>--</v>
      </c>
      <c r="D341" t="str">
        <f>IF(ISBLANK(MAIN!D341), "--", IF(ISNUMBER(MATCH(SUBSTITUTE(LEFT(MAIN!D341, IFERROR(FIND(",", MAIN!D341)-1, LEN(MAIN!D341))), " ", ""), lookup_values!$B$2:$B$51, 0)), UPPER(SUBSTITUTE(LEFT(MAIN!D341, IFERROR(FIND(",", MAIN!D341)-1, LEN(MAIN!D341))), " ", "")), IF(ISNA(VLOOKUP(SUBSTITUTE(LEFT(MAIN!D341, IFERROR(FIND(",", MAIN!D341)-1, LEN(MAIN!D341))), " ", ""), lookup_values!$A$2:$B$51, 2, FALSE)), "--", VLOOKUP(SUBSTITUTE(LEFT(MAIN!D341, IFERROR(FIND(",", MAIN!D341)-1, LEN(MAIN!D341))), " ", ""), lookup_values!$A$2:$B$51, 2, FALSE))))</f>
        <v>--</v>
      </c>
      <c r="E341" t="str">
        <f>IF(CLEAN_DATA!D341&lt;&gt;"--","US",IF(ISBLANK(MAIN!E341), "--", IF(ISNUMBER(MATCH(SUBSTITUTE(LEFT(MAIN!E341, IFERROR(FIND(",", MAIN!E341)-1, LEN(MAIN!E341))), " ", ""), lookup_values!$E$2:$E$197, 0)), UPPER(SUBSTITUTE(LEFT(MAIN!E341, IFERROR(FIND(",", MAIN!E341)-1, LEN(MAIN!E341))), " ", "")), IF(ISNA(VLOOKUP(SUBSTITUTE(LEFT(MAIN!E341, IFERROR(FIND(",", MAIN!E341)-1, LEN(MAIN!E341))), " ", ""), lookup_values!$D$2:$E$197, 2, FALSE)), "--", VLOOKUP(SUBSTITUTE(LEFT(MAIN!E341, IFERROR(FIND(",", MAIN!E341)-1, LEN(MAIN!E341))), " ", ""), lookup_values!$D$2:$E$197, 2, FALSE)))))</f>
        <v>--</v>
      </c>
      <c r="F341" t="str">
        <f>IF(ISBLANK(MAIN!F341), "", IF(AND(ISNUMBER(VALUE(TRIM(MAIN!F341))), LEN(TRIM(MAIN!F341))=4), VALUE(TRIM(MAIN!F341)), ""))</f>
        <v/>
      </c>
      <c r="G341">
        <f>IF(ISBLANK(MAIN!G341), 0, IF(ISNUMBER(VALUE(TRIM(MAIN!G341))), VALUE(TRIM(MAIN!G341)), 0))</f>
        <v>0</v>
      </c>
      <c r="H341">
        <f>IF(ISBLANK(MAIN!H341), 0, IF(ISNUMBER(VALUE(TRIM(MAIN!H341))), VALUE(TRIM(MAIN!H341)), 0))</f>
        <v>0</v>
      </c>
      <c r="I341">
        <f>IF(ISBLANK(MAIN!I341), 0, IF(ISNUMBER(VALUE(TRIM(MAIN!I341))), VALUE(TRIM(MAIN!I341)), 0))</f>
        <v>0</v>
      </c>
      <c r="J341">
        <f>IF(ISBLANK(MAIN!J341), 0, IF(ISNUMBER(VALUE(TRIM(MAIN!J341))), VALUE(TRIM(MAIN!J341)), 0))</f>
        <v>0</v>
      </c>
      <c r="K341" cm="1">
        <f t="array" ref="K341">IFERROR(
    VALUE(
        IFERROR(
            UPPER(
                IF(MAX(IFERROR(SEARCH("WD",MAIN!G341:J341), 0))&gt;0, "WD",
                IF(MAX(IFERROR(SEARCH("NS",MAIN!G341:J341), 0))&gt;0, "NS",
                IF(MAX(IFERROR(SEARCH("NC",MAIN!G341:J341), 0))&gt;0, "NC",
                IF(MAX(IFERROR(SEARCH("DQ",MAIN!G341:J341), 0))&gt;0, "DQ",
                IF(ISNUMBER(SEARCH("WD",MAIN!K341)), "WD",
                IF(ISNUMBER(SEARCH("NS",MAIN!K341)), "NS",
                IF(ISNUMBER(SEARCH("NC",MAIN!K341)), "NC",
                IF(ISNUMBER(SEARCH("DQ",MAIN!K341)), "DQ",
                IF(ISNUMBER(SEARCH("A",MAIN!K341)), 0,
                IF(OR(MAIN!K341=0,MAIN!K341=""), 0, --TRIM(MAIN!K341)))))))))))),
            0
        )
    ),
    IFERROR(
        UPPER(
            IF(MAX(IFERROR(SEARCH("WD",MAIN!G341:J341), 0))&gt;0, "WD",
            IF(MAX(IFERROR(SEARCH("NS",MAIN!G341:J341), 0))&gt;0, "NS",
            IF(MAX(IFERROR(SEARCH("NC",MAIN!G341:J341), 0))&gt;0, "NC",
            IF(MAX(IFERROR(SEARCH("DQ",MAIN!G341:J341), 0))&gt;0, "DQ",
            IF(ISNUMBER(SEARCH("WD",MAIN!K341)), "WD",
            IF(ISNUMBER(SEARCH("NS",MAIN!K341)), "NS",
            IF(ISNUMBER(SEARCH("NC",MAIN!K341)), "NC",
            IF(ISNUMBER(SEARCH("DQ",MAIN!K341)), "DQ",
            IF(ISNUMBER(SEARCH("A",MAIN!K341)), 0,
            IF(OR(MAIN!K341=0,MAIN!K341=""), 0, --TRIM(MAIN!K341)))))))))))),
        0
    )
)</f>
        <v>0</v>
      </c>
    </row>
    <row r="342" spans="1:11" x14ac:dyDescent="0.25">
      <c r="A342" t="str">
        <f>IF(ISBLANK(MAIN!A342), "--", IFERROR(PROPER(SUBSTITUTE(SUBSTITUTE(SUBSTITUTE(SUBSTITUTE(SUBSTITUTE(SUBSTITUTE(SUBSTITUTE(SUBSTITUTE(SUBSTITUTE(SUBSTITUTE(LEFT(MAIN!A342, FIND(",",MAIN!A342) -1), "0", ""), "1", ""), "2", ""), "3", ""), "4", ""), "5", ""), "6", ""), "7", ""), "8", ""), "9", "")), PROPER(SUBSTITUTE(SUBSTITUTE(SUBSTITUTE(SUBSTITUTE(SUBSTITUTE(SUBSTITUTE(SUBSTITUTE(SUBSTITUTE(SUBSTITUTE(SUBSTITUTE(MAIN!A342, "0", ""), "1", ""), "2", ""), "3", ""), "4", ""), "5", ""), "6", ""), "7", ""), "8", ""), "9", ""))))</f>
        <v>--</v>
      </c>
      <c r="B342" t="str">
        <f>IF(ISBLANK(MAIN!B342), "--", IFERROR(PROPER(SUBSTITUTE(SUBSTITUTE(SUBSTITUTE(SUBSTITUTE(SUBSTITUTE(SUBSTITUTE(SUBSTITUTE(SUBSTITUTE(SUBSTITUTE(SUBSTITUTE(LEFT(MAIN!B342, FIND(",",MAIN!B342) -1), "0", ""), "1", ""), "2", ""), "3", ""), "4", ""), "5", ""), "6", ""), "7", ""), "8", ""), "9", "")), PROPER(SUBSTITUTE(SUBSTITUTE(SUBSTITUTE(SUBSTITUTE(SUBSTITUTE(SUBSTITUTE(SUBSTITUTE(SUBSTITUTE(SUBSTITUTE(SUBSTITUTE(MAIN!B342, "0", ""), "1", ""), "2", ""), "3", ""), "4", ""), "5", ""), "6", ""), "7", ""), "8", ""), "9", ""))))</f>
        <v>--</v>
      </c>
      <c r="C342" t="str">
        <f>IF(ISBLANK(MAIN!C342), "--", IFERROR(PROPER(SUBSTITUTE(SUBSTITUTE(SUBSTITUTE(SUBSTITUTE(SUBSTITUTE(SUBSTITUTE(SUBSTITUTE(SUBSTITUTE(SUBSTITUTE(SUBSTITUTE(LEFT(MAIN!C342, FIND(",",MAIN!C342) -1), "0", ""), "1", ""), "2", ""), "3", ""), "4", ""), "5", ""), "6", ""), "7", ""), "8", ""), "9", "")), PROPER(SUBSTITUTE(SUBSTITUTE(SUBSTITUTE(SUBSTITUTE(SUBSTITUTE(SUBSTITUTE(SUBSTITUTE(SUBSTITUTE(SUBSTITUTE(SUBSTITUTE(MAIN!C342, "0", ""), "1", ""), "2", ""), "3", ""), "4", ""), "5", ""), "6", ""), "7", ""), "8", ""), "9", ""))))</f>
        <v>--</v>
      </c>
      <c r="D342" t="str">
        <f>IF(ISBLANK(MAIN!D342), "--", IF(ISNUMBER(MATCH(SUBSTITUTE(LEFT(MAIN!D342, IFERROR(FIND(",", MAIN!D342)-1, LEN(MAIN!D342))), " ", ""), lookup_values!$B$2:$B$51, 0)), UPPER(SUBSTITUTE(LEFT(MAIN!D342, IFERROR(FIND(",", MAIN!D342)-1, LEN(MAIN!D342))), " ", "")), IF(ISNA(VLOOKUP(SUBSTITUTE(LEFT(MAIN!D342, IFERROR(FIND(",", MAIN!D342)-1, LEN(MAIN!D342))), " ", ""), lookup_values!$A$2:$B$51, 2, FALSE)), "--", VLOOKUP(SUBSTITUTE(LEFT(MAIN!D342, IFERROR(FIND(",", MAIN!D342)-1, LEN(MAIN!D342))), " ", ""), lookup_values!$A$2:$B$51, 2, FALSE))))</f>
        <v>--</v>
      </c>
      <c r="E342" t="str">
        <f>IF(CLEAN_DATA!D342&lt;&gt;"--","US",IF(ISBLANK(MAIN!E342), "--", IF(ISNUMBER(MATCH(SUBSTITUTE(LEFT(MAIN!E342, IFERROR(FIND(",", MAIN!E342)-1, LEN(MAIN!E342))), " ", ""), lookup_values!$E$2:$E$197, 0)), UPPER(SUBSTITUTE(LEFT(MAIN!E342, IFERROR(FIND(",", MAIN!E342)-1, LEN(MAIN!E342))), " ", "")), IF(ISNA(VLOOKUP(SUBSTITUTE(LEFT(MAIN!E342, IFERROR(FIND(",", MAIN!E342)-1, LEN(MAIN!E342))), " ", ""), lookup_values!$D$2:$E$197, 2, FALSE)), "--", VLOOKUP(SUBSTITUTE(LEFT(MAIN!E342, IFERROR(FIND(",", MAIN!E342)-1, LEN(MAIN!E342))), " ", ""), lookup_values!$D$2:$E$197, 2, FALSE)))))</f>
        <v>--</v>
      </c>
      <c r="F342" t="str">
        <f>IF(ISBLANK(MAIN!F342), "", IF(AND(ISNUMBER(VALUE(TRIM(MAIN!F342))), LEN(TRIM(MAIN!F342))=4), VALUE(TRIM(MAIN!F342)), ""))</f>
        <v/>
      </c>
      <c r="G342">
        <f>IF(ISBLANK(MAIN!G342), 0, IF(ISNUMBER(VALUE(TRIM(MAIN!G342))), VALUE(TRIM(MAIN!G342)), 0))</f>
        <v>0</v>
      </c>
      <c r="H342">
        <f>IF(ISBLANK(MAIN!H342), 0, IF(ISNUMBER(VALUE(TRIM(MAIN!H342))), VALUE(TRIM(MAIN!H342)), 0))</f>
        <v>0</v>
      </c>
      <c r="I342">
        <f>IF(ISBLANK(MAIN!I342), 0, IF(ISNUMBER(VALUE(TRIM(MAIN!I342))), VALUE(TRIM(MAIN!I342)), 0))</f>
        <v>0</v>
      </c>
      <c r="J342">
        <f>IF(ISBLANK(MAIN!J342), 0, IF(ISNUMBER(VALUE(TRIM(MAIN!J342))), VALUE(TRIM(MAIN!J342)), 0))</f>
        <v>0</v>
      </c>
      <c r="K342" cm="1">
        <f t="array" ref="K342">IFERROR(
    VALUE(
        IFERROR(
            UPPER(
                IF(MAX(IFERROR(SEARCH("WD",MAIN!G342:J342), 0))&gt;0, "WD",
                IF(MAX(IFERROR(SEARCH("NS",MAIN!G342:J342), 0))&gt;0, "NS",
                IF(MAX(IFERROR(SEARCH("NC",MAIN!G342:J342), 0))&gt;0, "NC",
                IF(MAX(IFERROR(SEARCH("DQ",MAIN!G342:J342), 0))&gt;0, "DQ",
                IF(ISNUMBER(SEARCH("WD",MAIN!K342)), "WD",
                IF(ISNUMBER(SEARCH("NS",MAIN!K342)), "NS",
                IF(ISNUMBER(SEARCH("NC",MAIN!K342)), "NC",
                IF(ISNUMBER(SEARCH("DQ",MAIN!K342)), "DQ",
                IF(ISNUMBER(SEARCH("A",MAIN!K342)), 0,
                IF(OR(MAIN!K342=0,MAIN!K342=""), 0, --TRIM(MAIN!K342)))))))))))),
            0
        )
    ),
    IFERROR(
        UPPER(
            IF(MAX(IFERROR(SEARCH("WD",MAIN!G342:J342), 0))&gt;0, "WD",
            IF(MAX(IFERROR(SEARCH("NS",MAIN!G342:J342), 0))&gt;0, "NS",
            IF(MAX(IFERROR(SEARCH("NC",MAIN!G342:J342), 0))&gt;0, "NC",
            IF(MAX(IFERROR(SEARCH("DQ",MAIN!G342:J342), 0))&gt;0, "DQ",
            IF(ISNUMBER(SEARCH("WD",MAIN!K342)), "WD",
            IF(ISNUMBER(SEARCH("NS",MAIN!K342)), "NS",
            IF(ISNUMBER(SEARCH("NC",MAIN!K342)), "NC",
            IF(ISNUMBER(SEARCH("DQ",MAIN!K342)), "DQ",
            IF(ISNUMBER(SEARCH("A",MAIN!K342)), 0,
            IF(OR(MAIN!K342=0,MAIN!K342=""), 0, --TRIM(MAIN!K342)))))))))))),
        0
    )
)</f>
        <v>0</v>
      </c>
    </row>
    <row r="343" spans="1:11" x14ac:dyDescent="0.25">
      <c r="A343" t="str">
        <f>IF(ISBLANK(MAIN!A343), "--", IFERROR(PROPER(SUBSTITUTE(SUBSTITUTE(SUBSTITUTE(SUBSTITUTE(SUBSTITUTE(SUBSTITUTE(SUBSTITUTE(SUBSTITUTE(SUBSTITUTE(SUBSTITUTE(LEFT(MAIN!A343, FIND(",",MAIN!A343) -1), "0", ""), "1", ""), "2", ""), "3", ""), "4", ""), "5", ""), "6", ""), "7", ""), "8", ""), "9", "")), PROPER(SUBSTITUTE(SUBSTITUTE(SUBSTITUTE(SUBSTITUTE(SUBSTITUTE(SUBSTITUTE(SUBSTITUTE(SUBSTITUTE(SUBSTITUTE(SUBSTITUTE(MAIN!A343, "0", ""), "1", ""), "2", ""), "3", ""), "4", ""), "5", ""), "6", ""), "7", ""), "8", ""), "9", ""))))</f>
        <v>--</v>
      </c>
      <c r="B343" t="str">
        <f>IF(ISBLANK(MAIN!B343), "--", IFERROR(PROPER(SUBSTITUTE(SUBSTITUTE(SUBSTITUTE(SUBSTITUTE(SUBSTITUTE(SUBSTITUTE(SUBSTITUTE(SUBSTITUTE(SUBSTITUTE(SUBSTITUTE(LEFT(MAIN!B343, FIND(",",MAIN!B343) -1), "0", ""), "1", ""), "2", ""), "3", ""), "4", ""), "5", ""), "6", ""), "7", ""), "8", ""), "9", "")), PROPER(SUBSTITUTE(SUBSTITUTE(SUBSTITUTE(SUBSTITUTE(SUBSTITUTE(SUBSTITUTE(SUBSTITUTE(SUBSTITUTE(SUBSTITUTE(SUBSTITUTE(MAIN!B343, "0", ""), "1", ""), "2", ""), "3", ""), "4", ""), "5", ""), "6", ""), "7", ""), "8", ""), "9", ""))))</f>
        <v>--</v>
      </c>
      <c r="C343" t="str">
        <f>IF(ISBLANK(MAIN!C343), "--", IFERROR(PROPER(SUBSTITUTE(SUBSTITUTE(SUBSTITUTE(SUBSTITUTE(SUBSTITUTE(SUBSTITUTE(SUBSTITUTE(SUBSTITUTE(SUBSTITUTE(SUBSTITUTE(LEFT(MAIN!C343, FIND(",",MAIN!C343) -1), "0", ""), "1", ""), "2", ""), "3", ""), "4", ""), "5", ""), "6", ""), "7", ""), "8", ""), "9", "")), PROPER(SUBSTITUTE(SUBSTITUTE(SUBSTITUTE(SUBSTITUTE(SUBSTITUTE(SUBSTITUTE(SUBSTITUTE(SUBSTITUTE(SUBSTITUTE(SUBSTITUTE(MAIN!C343, "0", ""), "1", ""), "2", ""), "3", ""), "4", ""), "5", ""), "6", ""), "7", ""), "8", ""), "9", ""))))</f>
        <v>--</v>
      </c>
      <c r="D343" t="str">
        <f>IF(ISBLANK(MAIN!D343), "--", IF(ISNUMBER(MATCH(SUBSTITUTE(LEFT(MAIN!D343, IFERROR(FIND(",", MAIN!D343)-1, LEN(MAIN!D343))), " ", ""), lookup_values!$B$2:$B$51, 0)), UPPER(SUBSTITUTE(LEFT(MAIN!D343, IFERROR(FIND(",", MAIN!D343)-1, LEN(MAIN!D343))), " ", "")), IF(ISNA(VLOOKUP(SUBSTITUTE(LEFT(MAIN!D343, IFERROR(FIND(",", MAIN!D343)-1, LEN(MAIN!D343))), " ", ""), lookup_values!$A$2:$B$51, 2, FALSE)), "--", VLOOKUP(SUBSTITUTE(LEFT(MAIN!D343, IFERROR(FIND(",", MAIN!D343)-1, LEN(MAIN!D343))), " ", ""), lookup_values!$A$2:$B$51, 2, FALSE))))</f>
        <v>--</v>
      </c>
      <c r="E343" t="str">
        <f>IF(CLEAN_DATA!D343&lt;&gt;"--","US",IF(ISBLANK(MAIN!E343), "--", IF(ISNUMBER(MATCH(SUBSTITUTE(LEFT(MAIN!E343, IFERROR(FIND(",", MAIN!E343)-1, LEN(MAIN!E343))), " ", ""), lookup_values!$E$2:$E$197, 0)), UPPER(SUBSTITUTE(LEFT(MAIN!E343, IFERROR(FIND(",", MAIN!E343)-1, LEN(MAIN!E343))), " ", "")), IF(ISNA(VLOOKUP(SUBSTITUTE(LEFT(MAIN!E343, IFERROR(FIND(",", MAIN!E343)-1, LEN(MAIN!E343))), " ", ""), lookup_values!$D$2:$E$197, 2, FALSE)), "--", VLOOKUP(SUBSTITUTE(LEFT(MAIN!E343, IFERROR(FIND(",", MAIN!E343)-1, LEN(MAIN!E343))), " ", ""), lookup_values!$D$2:$E$197, 2, FALSE)))))</f>
        <v>--</v>
      </c>
      <c r="F343" t="str">
        <f>IF(ISBLANK(MAIN!F343), "", IF(AND(ISNUMBER(VALUE(TRIM(MAIN!F343))), LEN(TRIM(MAIN!F343))=4), VALUE(TRIM(MAIN!F343)), ""))</f>
        <v/>
      </c>
      <c r="G343">
        <f>IF(ISBLANK(MAIN!G343), 0, IF(ISNUMBER(VALUE(TRIM(MAIN!G343))), VALUE(TRIM(MAIN!G343)), 0))</f>
        <v>0</v>
      </c>
      <c r="H343">
        <f>IF(ISBLANK(MAIN!H343), 0, IF(ISNUMBER(VALUE(TRIM(MAIN!H343))), VALUE(TRIM(MAIN!H343)), 0))</f>
        <v>0</v>
      </c>
      <c r="I343">
        <f>IF(ISBLANK(MAIN!I343), 0, IF(ISNUMBER(VALUE(TRIM(MAIN!I343))), VALUE(TRIM(MAIN!I343)), 0))</f>
        <v>0</v>
      </c>
      <c r="J343">
        <f>IF(ISBLANK(MAIN!J343), 0, IF(ISNUMBER(VALUE(TRIM(MAIN!J343))), VALUE(TRIM(MAIN!J343)), 0))</f>
        <v>0</v>
      </c>
      <c r="K343" cm="1">
        <f t="array" ref="K343">IFERROR(
    VALUE(
        IFERROR(
            UPPER(
                IF(MAX(IFERROR(SEARCH("WD",MAIN!G343:J343), 0))&gt;0, "WD",
                IF(MAX(IFERROR(SEARCH("NS",MAIN!G343:J343), 0))&gt;0, "NS",
                IF(MAX(IFERROR(SEARCH("NC",MAIN!G343:J343), 0))&gt;0, "NC",
                IF(MAX(IFERROR(SEARCH("DQ",MAIN!G343:J343), 0))&gt;0, "DQ",
                IF(ISNUMBER(SEARCH("WD",MAIN!K343)), "WD",
                IF(ISNUMBER(SEARCH("NS",MAIN!K343)), "NS",
                IF(ISNUMBER(SEARCH("NC",MAIN!K343)), "NC",
                IF(ISNUMBER(SEARCH("DQ",MAIN!K343)), "DQ",
                IF(ISNUMBER(SEARCH("A",MAIN!K343)), 0,
                IF(OR(MAIN!K343=0,MAIN!K343=""), 0, --TRIM(MAIN!K343)))))))))))),
            0
        )
    ),
    IFERROR(
        UPPER(
            IF(MAX(IFERROR(SEARCH("WD",MAIN!G343:J343), 0))&gt;0, "WD",
            IF(MAX(IFERROR(SEARCH("NS",MAIN!G343:J343), 0))&gt;0, "NS",
            IF(MAX(IFERROR(SEARCH("NC",MAIN!G343:J343), 0))&gt;0, "NC",
            IF(MAX(IFERROR(SEARCH("DQ",MAIN!G343:J343), 0))&gt;0, "DQ",
            IF(ISNUMBER(SEARCH("WD",MAIN!K343)), "WD",
            IF(ISNUMBER(SEARCH("NS",MAIN!K343)), "NS",
            IF(ISNUMBER(SEARCH("NC",MAIN!K343)), "NC",
            IF(ISNUMBER(SEARCH("DQ",MAIN!K343)), "DQ",
            IF(ISNUMBER(SEARCH("A",MAIN!K343)), 0,
            IF(OR(MAIN!K343=0,MAIN!K343=""), 0, --TRIM(MAIN!K343)))))))))))),
        0
    )
)</f>
        <v>0</v>
      </c>
    </row>
    <row r="344" spans="1:11" x14ac:dyDescent="0.25">
      <c r="A344" t="str">
        <f>IF(ISBLANK(MAIN!A344), "--", IFERROR(PROPER(SUBSTITUTE(SUBSTITUTE(SUBSTITUTE(SUBSTITUTE(SUBSTITUTE(SUBSTITUTE(SUBSTITUTE(SUBSTITUTE(SUBSTITUTE(SUBSTITUTE(LEFT(MAIN!A344, FIND(",",MAIN!A344) -1), "0", ""), "1", ""), "2", ""), "3", ""), "4", ""), "5", ""), "6", ""), "7", ""), "8", ""), "9", "")), PROPER(SUBSTITUTE(SUBSTITUTE(SUBSTITUTE(SUBSTITUTE(SUBSTITUTE(SUBSTITUTE(SUBSTITUTE(SUBSTITUTE(SUBSTITUTE(SUBSTITUTE(MAIN!A344, "0", ""), "1", ""), "2", ""), "3", ""), "4", ""), "5", ""), "6", ""), "7", ""), "8", ""), "9", ""))))</f>
        <v>--</v>
      </c>
      <c r="B344" t="str">
        <f>IF(ISBLANK(MAIN!B344), "--", IFERROR(PROPER(SUBSTITUTE(SUBSTITUTE(SUBSTITUTE(SUBSTITUTE(SUBSTITUTE(SUBSTITUTE(SUBSTITUTE(SUBSTITUTE(SUBSTITUTE(SUBSTITUTE(LEFT(MAIN!B344, FIND(",",MAIN!B344) -1), "0", ""), "1", ""), "2", ""), "3", ""), "4", ""), "5", ""), "6", ""), "7", ""), "8", ""), "9", "")), PROPER(SUBSTITUTE(SUBSTITUTE(SUBSTITUTE(SUBSTITUTE(SUBSTITUTE(SUBSTITUTE(SUBSTITUTE(SUBSTITUTE(SUBSTITUTE(SUBSTITUTE(MAIN!B344, "0", ""), "1", ""), "2", ""), "3", ""), "4", ""), "5", ""), "6", ""), "7", ""), "8", ""), "9", ""))))</f>
        <v>--</v>
      </c>
      <c r="C344" t="str">
        <f>IF(ISBLANK(MAIN!C344), "--", IFERROR(PROPER(SUBSTITUTE(SUBSTITUTE(SUBSTITUTE(SUBSTITUTE(SUBSTITUTE(SUBSTITUTE(SUBSTITUTE(SUBSTITUTE(SUBSTITUTE(SUBSTITUTE(LEFT(MAIN!C344, FIND(",",MAIN!C344) -1), "0", ""), "1", ""), "2", ""), "3", ""), "4", ""), "5", ""), "6", ""), "7", ""), "8", ""), "9", "")), PROPER(SUBSTITUTE(SUBSTITUTE(SUBSTITUTE(SUBSTITUTE(SUBSTITUTE(SUBSTITUTE(SUBSTITUTE(SUBSTITUTE(SUBSTITUTE(SUBSTITUTE(MAIN!C344, "0", ""), "1", ""), "2", ""), "3", ""), "4", ""), "5", ""), "6", ""), "7", ""), "8", ""), "9", ""))))</f>
        <v>--</v>
      </c>
      <c r="D344" t="str">
        <f>IF(ISBLANK(MAIN!D344), "--", IF(ISNUMBER(MATCH(SUBSTITUTE(LEFT(MAIN!D344, IFERROR(FIND(",", MAIN!D344)-1, LEN(MAIN!D344))), " ", ""), lookup_values!$B$2:$B$51, 0)), UPPER(SUBSTITUTE(LEFT(MAIN!D344, IFERROR(FIND(",", MAIN!D344)-1, LEN(MAIN!D344))), " ", "")), IF(ISNA(VLOOKUP(SUBSTITUTE(LEFT(MAIN!D344, IFERROR(FIND(",", MAIN!D344)-1, LEN(MAIN!D344))), " ", ""), lookup_values!$A$2:$B$51, 2, FALSE)), "--", VLOOKUP(SUBSTITUTE(LEFT(MAIN!D344, IFERROR(FIND(",", MAIN!D344)-1, LEN(MAIN!D344))), " ", ""), lookup_values!$A$2:$B$51, 2, FALSE))))</f>
        <v>--</v>
      </c>
      <c r="E344" t="str">
        <f>IF(CLEAN_DATA!D344&lt;&gt;"--","US",IF(ISBLANK(MAIN!E344), "--", IF(ISNUMBER(MATCH(SUBSTITUTE(LEFT(MAIN!E344, IFERROR(FIND(",", MAIN!E344)-1, LEN(MAIN!E344))), " ", ""), lookup_values!$E$2:$E$197, 0)), UPPER(SUBSTITUTE(LEFT(MAIN!E344, IFERROR(FIND(",", MAIN!E344)-1, LEN(MAIN!E344))), " ", "")), IF(ISNA(VLOOKUP(SUBSTITUTE(LEFT(MAIN!E344, IFERROR(FIND(",", MAIN!E344)-1, LEN(MAIN!E344))), " ", ""), lookup_values!$D$2:$E$197, 2, FALSE)), "--", VLOOKUP(SUBSTITUTE(LEFT(MAIN!E344, IFERROR(FIND(",", MAIN!E344)-1, LEN(MAIN!E344))), " ", ""), lookup_values!$D$2:$E$197, 2, FALSE)))))</f>
        <v>--</v>
      </c>
      <c r="F344" t="str">
        <f>IF(ISBLANK(MAIN!F344), "", IF(AND(ISNUMBER(VALUE(TRIM(MAIN!F344))), LEN(TRIM(MAIN!F344))=4), VALUE(TRIM(MAIN!F344)), ""))</f>
        <v/>
      </c>
      <c r="G344">
        <f>IF(ISBLANK(MAIN!G344), 0, IF(ISNUMBER(VALUE(TRIM(MAIN!G344))), VALUE(TRIM(MAIN!G344)), 0))</f>
        <v>0</v>
      </c>
      <c r="H344">
        <f>IF(ISBLANK(MAIN!H344), 0, IF(ISNUMBER(VALUE(TRIM(MAIN!H344))), VALUE(TRIM(MAIN!H344)), 0))</f>
        <v>0</v>
      </c>
      <c r="I344">
        <f>IF(ISBLANK(MAIN!I344), 0, IF(ISNUMBER(VALUE(TRIM(MAIN!I344))), VALUE(TRIM(MAIN!I344)), 0))</f>
        <v>0</v>
      </c>
      <c r="J344">
        <f>IF(ISBLANK(MAIN!J344), 0, IF(ISNUMBER(VALUE(TRIM(MAIN!J344))), VALUE(TRIM(MAIN!J344)), 0))</f>
        <v>0</v>
      </c>
      <c r="K344" cm="1">
        <f t="array" ref="K344">IFERROR(
    VALUE(
        IFERROR(
            UPPER(
                IF(MAX(IFERROR(SEARCH("WD",MAIN!G344:J344), 0))&gt;0, "WD",
                IF(MAX(IFERROR(SEARCH("NS",MAIN!G344:J344), 0))&gt;0, "NS",
                IF(MAX(IFERROR(SEARCH("NC",MAIN!G344:J344), 0))&gt;0, "NC",
                IF(MAX(IFERROR(SEARCH("DQ",MAIN!G344:J344), 0))&gt;0, "DQ",
                IF(ISNUMBER(SEARCH("WD",MAIN!K344)), "WD",
                IF(ISNUMBER(SEARCH("NS",MAIN!K344)), "NS",
                IF(ISNUMBER(SEARCH("NC",MAIN!K344)), "NC",
                IF(ISNUMBER(SEARCH("DQ",MAIN!K344)), "DQ",
                IF(ISNUMBER(SEARCH("A",MAIN!K344)), 0,
                IF(OR(MAIN!K344=0,MAIN!K344=""), 0, --TRIM(MAIN!K344)))))))))))),
            0
        )
    ),
    IFERROR(
        UPPER(
            IF(MAX(IFERROR(SEARCH("WD",MAIN!G344:J344), 0))&gt;0, "WD",
            IF(MAX(IFERROR(SEARCH("NS",MAIN!G344:J344), 0))&gt;0, "NS",
            IF(MAX(IFERROR(SEARCH("NC",MAIN!G344:J344), 0))&gt;0, "NC",
            IF(MAX(IFERROR(SEARCH("DQ",MAIN!G344:J344), 0))&gt;0, "DQ",
            IF(ISNUMBER(SEARCH("WD",MAIN!K344)), "WD",
            IF(ISNUMBER(SEARCH("NS",MAIN!K344)), "NS",
            IF(ISNUMBER(SEARCH("NC",MAIN!K344)), "NC",
            IF(ISNUMBER(SEARCH("DQ",MAIN!K344)), "DQ",
            IF(ISNUMBER(SEARCH("A",MAIN!K344)), 0,
            IF(OR(MAIN!K344=0,MAIN!K344=""), 0, --TRIM(MAIN!K344)))))))))))),
        0
    )
)</f>
        <v>0</v>
      </c>
    </row>
    <row r="345" spans="1:11" x14ac:dyDescent="0.25">
      <c r="A345" t="str">
        <f>IF(ISBLANK(MAIN!A345), "--", IFERROR(PROPER(SUBSTITUTE(SUBSTITUTE(SUBSTITUTE(SUBSTITUTE(SUBSTITUTE(SUBSTITUTE(SUBSTITUTE(SUBSTITUTE(SUBSTITUTE(SUBSTITUTE(LEFT(MAIN!A345, FIND(",",MAIN!A345) -1), "0", ""), "1", ""), "2", ""), "3", ""), "4", ""), "5", ""), "6", ""), "7", ""), "8", ""), "9", "")), PROPER(SUBSTITUTE(SUBSTITUTE(SUBSTITUTE(SUBSTITUTE(SUBSTITUTE(SUBSTITUTE(SUBSTITUTE(SUBSTITUTE(SUBSTITUTE(SUBSTITUTE(MAIN!A345, "0", ""), "1", ""), "2", ""), "3", ""), "4", ""), "5", ""), "6", ""), "7", ""), "8", ""), "9", ""))))</f>
        <v>--</v>
      </c>
      <c r="B345" t="str">
        <f>IF(ISBLANK(MAIN!B345), "--", IFERROR(PROPER(SUBSTITUTE(SUBSTITUTE(SUBSTITUTE(SUBSTITUTE(SUBSTITUTE(SUBSTITUTE(SUBSTITUTE(SUBSTITUTE(SUBSTITUTE(SUBSTITUTE(LEFT(MAIN!B345, FIND(",",MAIN!B345) -1), "0", ""), "1", ""), "2", ""), "3", ""), "4", ""), "5", ""), "6", ""), "7", ""), "8", ""), "9", "")), PROPER(SUBSTITUTE(SUBSTITUTE(SUBSTITUTE(SUBSTITUTE(SUBSTITUTE(SUBSTITUTE(SUBSTITUTE(SUBSTITUTE(SUBSTITUTE(SUBSTITUTE(MAIN!B345, "0", ""), "1", ""), "2", ""), "3", ""), "4", ""), "5", ""), "6", ""), "7", ""), "8", ""), "9", ""))))</f>
        <v>--</v>
      </c>
      <c r="C345" t="str">
        <f>IF(ISBLANK(MAIN!C345), "--", IFERROR(PROPER(SUBSTITUTE(SUBSTITUTE(SUBSTITUTE(SUBSTITUTE(SUBSTITUTE(SUBSTITUTE(SUBSTITUTE(SUBSTITUTE(SUBSTITUTE(SUBSTITUTE(LEFT(MAIN!C345, FIND(",",MAIN!C345) -1), "0", ""), "1", ""), "2", ""), "3", ""), "4", ""), "5", ""), "6", ""), "7", ""), "8", ""), "9", "")), PROPER(SUBSTITUTE(SUBSTITUTE(SUBSTITUTE(SUBSTITUTE(SUBSTITUTE(SUBSTITUTE(SUBSTITUTE(SUBSTITUTE(SUBSTITUTE(SUBSTITUTE(MAIN!C345, "0", ""), "1", ""), "2", ""), "3", ""), "4", ""), "5", ""), "6", ""), "7", ""), "8", ""), "9", ""))))</f>
        <v>--</v>
      </c>
      <c r="D345" t="str">
        <f>IF(ISBLANK(MAIN!D345), "--", IF(ISNUMBER(MATCH(SUBSTITUTE(LEFT(MAIN!D345, IFERROR(FIND(",", MAIN!D345)-1, LEN(MAIN!D345))), " ", ""), lookup_values!$B$2:$B$51, 0)), UPPER(SUBSTITUTE(LEFT(MAIN!D345, IFERROR(FIND(",", MAIN!D345)-1, LEN(MAIN!D345))), " ", "")), IF(ISNA(VLOOKUP(SUBSTITUTE(LEFT(MAIN!D345, IFERROR(FIND(",", MAIN!D345)-1, LEN(MAIN!D345))), " ", ""), lookup_values!$A$2:$B$51, 2, FALSE)), "--", VLOOKUP(SUBSTITUTE(LEFT(MAIN!D345, IFERROR(FIND(",", MAIN!D345)-1, LEN(MAIN!D345))), " ", ""), lookup_values!$A$2:$B$51, 2, FALSE))))</f>
        <v>--</v>
      </c>
      <c r="E345" t="str">
        <f>IF(CLEAN_DATA!D345&lt;&gt;"--","US",IF(ISBLANK(MAIN!E345), "--", IF(ISNUMBER(MATCH(SUBSTITUTE(LEFT(MAIN!E345, IFERROR(FIND(",", MAIN!E345)-1, LEN(MAIN!E345))), " ", ""), lookup_values!$E$2:$E$197, 0)), UPPER(SUBSTITUTE(LEFT(MAIN!E345, IFERROR(FIND(",", MAIN!E345)-1, LEN(MAIN!E345))), " ", "")), IF(ISNA(VLOOKUP(SUBSTITUTE(LEFT(MAIN!E345, IFERROR(FIND(",", MAIN!E345)-1, LEN(MAIN!E345))), " ", ""), lookup_values!$D$2:$E$197, 2, FALSE)), "--", VLOOKUP(SUBSTITUTE(LEFT(MAIN!E345, IFERROR(FIND(",", MAIN!E345)-1, LEN(MAIN!E345))), " ", ""), lookup_values!$D$2:$E$197, 2, FALSE)))))</f>
        <v>--</v>
      </c>
      <c r="F345" t="str">
        <f>IF(ISBLANK(MAIN!F345), "", IF(AND(ISNUMBER(VALUE(TRIM(MAIN!F345))), LEN(TRIM(MAIN!F345))=4), VALUE(TRIM(MAIN!F345)), ""))</f>
        <v/>
      </c>
      <c r="G345">
        <f>IF(ISBLANK(MAIN!G345), 0, IF(ISNUMBER(VALUE(TRIM(MAIN!G345))), VALUE(TRIM(MAIN!G345)), 0))</f>
        <v>0</v>
      </c>
      <c r="H345">
        <f>IF(ISBLANK(MAIN!H345), 0, IF(ISNUMBER(VALUE(TRIM(MAIN!H345))), VALUE(TRIM(MAIN!H345)), 0))</f>
        <v>0</v>
      </c>
      <c r="I345">
        <f>IF(ISBLANK(MAIN!I345), 0, IF(ISNUMBER(VALUE(TRIM(MAIN!I345))), VALUE(TRIM(MAIN!I345)), 0))</f>
        <v>0</v>
      </c>
      <c r="J345">
        <f>IF(ISBLANK(MAIN!J345), 0, IF(ISNUMBER(VALUE(TRIM(MAIN!J345))), VALUE(TRIM(MAIN!J345)), 0))</f>
        <v>0</v>
      </c>
      <c r="K345" cm="1">
        <f t="array" ref="K345">IFERROR(
    VALUE(
        IFERROR(
            UPPER(
                IF(MAX(IFERROR(SEARCH("WD",MAIN!G345:J345), 0))&gt;0, "WD",
                IF(MAX(IFERROR(SEARCH("NS",MAIN!G345:J345), 0))&gt;0, "NS",
                IF(MAX(IFERROR(SEARCH("NC",MAIN!G345:J345), 0))&gt;0, "NC",
                IF(MAX(IFERROR(SEARCH("DQ",MAIN!G345:J345), 0))&gt;0, "DQ",
                IF(ISNUMBER(SEARCH("WD",MAIN!K345)), "WD",
                IF(ISNUMBER(SEARCH("NS",MAIN!K345)), "NS",
                IF(ISNUMBER(SEARCH("NC",MAIN!K345)), "NC",
                IF(ISNUMBER(SEARCH("DQ",MAIN!K345)), "DQ",
                IF(ISNUMBER(SEARCH("A",MAIN!K345)), 0,
                IF(OR(MAIN!K345=0,MAIN!K345=""), 0, --TRIM(MAIN!K345)))))))))))),
            0
        )
    ),
    IFERROR(
        UPPER(
            IF(MAX(IFERROR(SEARCH("WD",MAIN!G345:J345), 0))&gt;0, "WD",
            IF(MAX(IFERROR(SEARCH("NS",MAIN!G345:J345), 0))&gt;0, "NS",
            IF(MAX(IFERROR(SEARCH("NC",MAIN!G345:J345), 0))&gt;0, "NC",
            IF(MAX(IFERROR(SEARCH("DQ",MAIN!G345:J345), 0))&gt;0, "DQ",
            IF(ISNUMBER(SEARCH("WD",MAIN!K345)), "WD",
            IF(ISNUMBER(SEARCH("NS",MAIN!K345)), "NS",
            IF(ISNUMBER(SEARCH("NC",MAIN!K345)), "NC",
            IF(ISNUMBER(SEARCH("DQ",MAIN!K345)), "DQ",
            IF(ISNUMBER(SEARCH("A",MAIN!K345)), 0,
            IF(OR(MAIN!K345=0,MAIN!K345=""), 0, --TRIM(MAIN!K345)))))))))))),
        0
    )
)</f>
        <v>0</v>
      </c>
    </row>
    <row r="346" spans="1:11" x14ac:dyDescent="0.25">
      <c r="A346" t="str">
        <f>IF(ISBLANK(MAIN!A346), "--", IFERROR(PROPER(SUBSTITUTE(SUBSTITUTE(SUBSTITUTE(SUBSTITUTE(SUBSTITUTE(SUBSTITUTE(SUBSTITUTE(SUBSTITUTE(SUBSTITUTE(SUBSTITUTE(LEFT(MAIN!A346, FIND(",",MAIN!A346) -1), "0", ""), "1", ""), "2", ""), "3", ""), "4", ""), "5", ""), "6", ""), "7", ""), "8", ""), "9", "")), PROPER(SUBSTITUTE(SUBSTITUTE(SUBSTITUTE(SUBSTITUTE(SUBSTITUTE(SUBSTITUTE(SUBSTITUTE(SUBSTITUTE(SUBSTITUTE(SUBSTITUTE(MAIN!A346, "0", ""), "1", ""), "2", ""), "3", ""), "4", ""), "5", ""), "6", ""), "7", ""), "8", ""), "9", ""))))</f>
        <v>--</v>
      </c>
      <c r="B346" t="str">
        <f>IF(ISBLANK(MAIN!B346), "--", IFERROR(PROPER(SUBSTITUTE(SUBSTITUTE(SUBSTITUTE(SUBSTITUTE(SUBSTITUTE(SUBSTITUTE(SUBSTITUTE(SUBSTITUTE(SUBSTITUTE(SUBSTITUTE(LEFT(MAIN!B346, FIND(",",MAIN!B346) -1), "0", ""), "1", ""), "2", ""), "3", ""), "4", ""), "5", ""), "6", ""), "7", ""), "8", ""), "9", "")), PROPER(SUBSTITUTE(SUBSTITUTE(SUBSTITUTE(SUBSTITUTE(SUBSTITUTE(SUBSTITUTE(SUBSTITUTE(SUBSTITUTE(SUBSTITUTE(SUBSTITUTE(MAIN!B346, "0", ""), "1", ""), "2", ""), "3", ""), "4", ""), "5", ""), "6", ""), "7", ""), "8", ""), "9", ""))))</f>
        <v>--</v>
      </c>
      <c r="C346" t="str">
        <f>IF(ISBLANK(MAIN!C346), "--", IFERROR(PROPER(SUBSTITUTE(SUBSTITUTE(SUBSTITUTE(SUBSTITUTE(SUBSTITUTE(SUBSTITUTE(SUBSTITUTE(SUBSTITUTE(SUBSTITUTE(SUBSTITUTE(LEFT(MAIN!C346, FIND(",",MAIN!C346) -1), "0", ""), "1", ""), "2", ""), "3", ""), "4", ""), "5", ""), "6", ""), "7", ""), "8", ""), "9", "")), PROPER(SUBSTITUTE(SUBSTITUTE(SUBSTITUTE(SUBSTITUTE(SUBSTITUTE(SUBSTITUTE(SUBSTITUTE(SUBSTITUTE(SUBSTITUTE(SUBSTITUTE(MAIN!C346, "0", ""), "1", ""), "2", ""), "3", ""), "4", ""), "5", ""), "6", ""), "7", ""), "8", ""), "9", ""))))</f>
        <v>--</v>
      </c>
      <c r="D346" t="str">
        <f>IF(ISBLANK(MAIN!D346), "--", IF(ISNUMBER(MATCH(SUBSTITUTE(LEFT(MAIN!D346, IFERROR(FIND(",", MAIN!D346)-1, LEN(MAIN!D346))), " ", ""), lookup_values!$B$2:$B$51, 0)), UPPER(SUBSTITUTE(LEFT(MAIN!D346, IFERROR(FIND(",", MAIN!D346)-1, LEN(MAIN!D346))), " ", "")), IF(ISNA(VLOOKUP(SUBSTITUTE(LEFT(MAIN!D346, IFERROR(FIND(",", MAIN!D346)-1, LEN(MAIN!D346))), " ", ""), lookup_values!$A$2:$B$51, 2, FALSE)), "--", VLOOKUP(SUBSTITUTE(LEFT(MAIN!D346, IFERROR(FIND(",", MAIN!D346)-1, LEN(MAIN!D346))), " ", ""), lookup_values!$A$2:$B$51, 2, FALSE))))</f>
        <v>--</v>
      </c>
      <c r="E346" t="str">
        <f>IF(CLEAN_DATA!D346&lt;&gt;"--","US",IF(ISBLANK(MAIN!E346), "--", IF(ISNUMBER(MATCH(SUBSTITUTE(LEFT(MAIN!E346, IFERROR(FIND(",", MAIN!E346)-1, LEN(MAIN!E346))), " ", ""), lookup_values!$E$2:$E$197, 0)), UPPER(SUBSTITUTE(LEFT(MAIN!E346, IFERROR(FIND(",", MAIN!E346)-1, LEN(MAIN!E346))), " ", "")), IF(ISNA(VLOOKUP(SUBSTITUTE(LEFT(MAIN!E346, IFERROR(FIND(",", MAIN!E346)-1, LEN(MAIN!E346))), " ", ""), lookup_values!$D$2:$E$197, 2, FALSE)), "--", VLOOKUP(SUBSTITUTE(LEFT(MAIN!E346, IFERROR(FIND(",", MAIN!E346)-1, LEN(MAIN!E346))), " ", ""), lookup_values!$D$2:$E$197, 2, FALSE)))))</f>
        <v>--</v>
      </c>
      <c r="F346" t="str">
        <f>IF(ISBLANK(MAIN!F346), "", IF(AND(ISNUMBER(VALUE(TRIM(MAIN!F346))), LEN(TRIM(MAIN!F346))=4), VALUE(TRIM(MAIN!F346)), ""))</f>
        <v/>
      </c>
      <c r="G346">
        <f>IF(ISBLANK(MAIN!G346), 0, IF(ISNUMBER(VALUE(TRIM(MAIN!G346))), VALUE(TRIM(MAIN!G346)), 0))</f>
        <v>0</v>
      </c>
      <c r="H346">
        <f>IF(ISBLANK(MAIN!H346), 0, IF(ISNUMBER(VALUE(TRIM(MAIN!H346))), VALUE(TRIM(MAIN!H346)), 0))</f>
        <v>0</v>
      </c>
      <c r="I346">
        <f>IF(ISBLANK(MAIN!I346), 0, IF(ISNUMBER(VALUE(TRIM(MAIN!I346))), VALUE(TRIM(MAIN!I346)), 0))</f>
        <v>0</v>
      </c>
      <c r="J346">
        <f>IF(ISBLANK(MAIN!J346), 0, IF(ISNUMBER(VALUE(TRIM(MAIN!J346))), VALUE(TRIM(MAIN!J346)), 0))</f>
        <v>0</v>
      </c>
      <c r="K346" cm="1">
        <f t="array" ref="K346">IFERROR(
    VALUE(
        IFERROR(
            UPPER(
                IF(MAX(IFERROR(SEARCH("WD",MAIN!G346:J346), 0))&gt;0, "WD",
                IF(MAX(IFERROR(SEARCH("NS",MAIN!G346:J346), 0))&gt;0, "NS",
                IF(MAX(IFERROR(SEARCH("NC",MAIN!G346:J346), 0))&gt;0, "NC",
                IF(MAX(IFERROR(SEARCH("DQ",MAIN!G346:J346), 0))&gt;0, "DQ",
                IF(ISNUMBER(SEARCH("WD",MAIN!K346)), "WD",
                IF(ISNUMBER(SEARCH("NS",MAIN!K346)), "NS",
                IF(ISNUMBER(SEARCH("NC",MAIN!K346)), "NC",
                IF(ISNUMBER(SEARCH("DQ",MAIN!K346)), "DQ",
                IF(ISNUMBER(SEARCH("A",MAIN!K346)), 0,
                IF(OR(MAIN!K346=0,MAIN!K346=""), 0, --TRIM(MAIN!K346)))))))))))),
            0
        )
    ),
    IFERROR(
        UPPER(
            IF(MAX(IFERROR(SEARCH("WD",MAIN!G346:J346), 0))&gt;0, "WD",
            IF(MAX(IFERROR(SEARCH("NS",MAIN!G346:J346), 0))&gt;0, "NS",
            IF(MAX(IFERROR(SEARCH("NC",MAIN!G346:J346), 0))&gt;0, "NC",
            IF(MAX(IFERROR(SEARCH("DQ",MAIN!G346:J346), 0))&gt;0, "DQ",
            IF(ISNUMBER(SEARCH("WD",MAIN!K346)), "WD",
            IF(ISNUMBER(SEARCH("NS",MAIN!K346)), "NS",
            IF(ISNUMBER(SEARCH("NC",MAIN!K346)), "NC",
            IF(ISNUMBER(SEARCH("DQ",MAIN!K346)), "DQ",
            IF(ISNUMBER(SEARCH("A",MAIN!K346)), 0,
            IF(OR(MAIN!K346=0,MAIN!K346=""), 0, --TRIM(MAIN!K346)))))))))))),
        0
    )
)</f>
        <v>0</v>
      </c>
    </row>
    <row r="347" spans="1:11" x14ac:dyDescent="0.25">
      <c r="A347" t="str">
        <f>IF(ISBLANK(MAIN!A347), "--", IFERROR(PROPER(SUBSTITUTE(SUBSTITUTE(SUBSTITUTE(SUBSTITUTE(SUBSTITUTE(SUBSTITUTE(SUBSTITUTE(SUBSTITUTE(SUBSTITUTE(SUBSTITUTE(LEFT(MAIN!A347, FIND(",",MAIN!A347) -1), "0", ""), "1", ""), "2", ""), "3", ""), "4", ""), "5", ""), "6", ""), "7", ""), "8", ""), "9", "")), PROPER(SUBSTITUTE(SUBSTITUTE(SUBSTITUTE(SUBSTITUTE(SUBSTITUTE(SUBSTITUTE(SUBSTITUTE(SUBSTITUTE(SUBSTITUTE(SUBSTITUTE(MAIN!A347, "0", ""), "1", ""), "2", ""), "3", ""), "4", ""), "5", ""), "6", ""), "7", ""), "8", ""), "9", ""))))</f>
        <v>--</v>
      </c>
      <c r="B347" t="str">
        <f>IF(ISBLANK(MAIN!B347), "--", IFERROR(PROPER(SUBSTITUTE(SUBSTITUTE(SUBSTITUTE(SUBSTITUTE(SUBSTITUTE(SUBSTITUTE(SUBSTITUTE(SUBSTITUTE(SUBSTITUTE(SUBSTITUTE(LEFT(MAIN!B347, FIND(",",MAIN!B347) -1), "0", ""), "1", ""), "2", ""), "3", ""), "4", ""), "5", ""), "6", ""), "7", ""), "8", ""), "9", "")), PROPER(SUBSTITUTE(SUBSTITUTE(SUBSTITUTE(SUBSTITUTE(SUBSTITUTE(SUBSTITUTE(SUBSTITUTE(SUBSTITUTE(SUBSTITUTE(SUBSTITUTE(MAIN!B347, "0", ""), "1", ""), "2", ""), "3", ""), "4", ""), "5", ""), "6", ""), "7", ""), "8", ""), "9", ""))))</f>
        <v>--</v>
      </c>
      <c r="C347" t="str">
        <f>IF(ISBLANK(MAIN!C347), "--", IFERROR(PROPER(SUBSTITUTE(SUBSTITUTE(SUBSTITUTE(SUBSTITUTE(SUBSTITUTE(SUBSTITUTE(SUBSTITUTE(SUBSTITUTE(SUBSTITUTE(SUBSTITUTE(LEFT(MAIN!C347, FIND(",",MAIN!C347) -1), "0", ""), "1", ""), "2", ""), "3", ""), "4", ""), "5", ""), "6", ""), "7", ""), "8", ""), "9", "")), PROPER(SUBSTITUTE(SUBSTITUTE(SUBSTITUTE(SUBSTITUTE(SUBSTITUTE(SUBSTITUTE(SUBSTITUTE(SUBSTITUTE(SUBSTITUTE(SUBSTITUTE(MAIN!C347, "0", ""), "1", ""), "2", ""), "3", ""), "4", ""), "5", ""), "6", ""), "7", ""), "8", ""), "9", ""))))</f>
        <v>--</v>
      </c>
      <c r="D347" t="str">
        <f>IF(ISBLANK(MAIN!D347), "--", IF(ISNUMBER(MATCH(SUBSTITUTE(LEFT(MAIN!D347, IFERROR(FIND(",", MAIN!D347)-1, LEN(MAIN!D347))), " ", ""), lookup_values!$B$2:$B$51, 0)), UPPER(SUBSTITUTE(LEFT(MAIN!D347, IFERROR(FIND(",", MAIN!D347)-1, LEN(MAIN!D347))), " ", "")), IF(ISNA(VLOOKUP(SUBSTITUTE(LEFT(MAIN!D347, IFERROR(FIND(",", MAIN!D347)-1, LEN(MAIN!D347))), " ", ""), lookup_values!$A$2:$B$51, 2, FALSE)), "--", VLOOKUP(SUBSTITUTE(LEFT(MAIN!D347, IFERROR(FIND(",", MAIN!D347)-1, LEN(MAIN!D347))), " ", ""), lookup_values!$A$2:$B$51, 2, FALSE))))</f>
        <v>--</v>
      </c>
      <c r="E347" t="str">
        <f>IF(CLEAN_DATA!D347&lt;&gt;"--","US",IF(ISBLANK(MAIN!E347), "--", IF(ISNUMBER(MATCH(SUBSTITUTE(LEFT(MAIN!E347, IFERROR(FIND(",", MAIN!E347)-1, LEN(MAIN!E347))), " ", ""), lookup_values!$E$2:$E$197, 0)), UPPER(SUBSTITUTE(LEFT(MAIN!E347, IFERROR(FIND(",", MAIN!E347)-1, LEN(MAIN!E347))), " ", "")), IF(ISNA(VLOOKUP(SUBSTITUTE(LEFT(MAIN!E347, IFERROR(FIND(",", MAIN!E347)-1, LEN(MAIN!E347))), " ", ""), lookup_values!$D$2:$E$197, 2, FALSE)), "--", VLOOKUP(SUBSTITUTE(LEFT(MAIN!E347, IFERROR(FIND(",", MAIN!E347)-1, LEN(MAIN!E347))), " ", ""), lookup_values!$D$2:$E$197, 2, FALSE)))))</f>
        <v>--</v>
      </c>
      <c r="F347" t="str">
        <f>IF(ISBLANK(MAIN!F347), "", IF(AND(ISNUMBER(VALUE(TRIM(MAIN!F347))), LEN(TRIM(MAIN!F347))=4), VALUE(TRIM(MAIN!F347)), ""))</f>
        <v/>
      </c>
      <c r="G347">
        <f>IF(ISBLANK(MAIN!G347), 0, IF(ISNUMBER(VALUE(TRIM(MAIN!G347))), VALUE(TRIM(MAIN!G347)), 0))</f>
        <v>0</v>
      </c>
      <c r="H347">
        <f>IF(ISBLANK(MAIN!H347), 0, IF(ISNUMBER(VALUE(TRIM(MAIN!H347))), VALUE(TRIM(MAIN!H347)), 0))</f>
        <v>0</v>
      </c>
      <c r="I347">
        <f>IF(ISBLANK(MAIN!I347), 0, IF(ISNUMBER(VALUE(TRIM(MAIN!I347))), VALUE(TRIM(MAIN!I347)), 0))</f>
        <v>0</v>
      </c>
      <c r="J347">
        <f>IF(ISBLANK(MAIN!J347), 0, IF(ISNUMBER(VALUE(TRIM(MAIN!J347))), VALUE(TRIM(MAIN!J347)), 0))</f>
        <v>0</v>
      </c>
      <c r="K347" cm="1">
        <f t="array" ref="K347">IFERROR(
    VALUE(
        IFERROR(
            UPPER(
                IF(MAX(IFERROR(SEARCH("WD",MAIN!G347:J347), 0))&gt;0, "WD",
                IF(MAX(IFERROR(SEARCH("NS",MAIN!G347:J347), 0))&gt;0, "NS",
                IF(MAX(IFERROR(SEARCH("NC",MAIN!G347:J347), 0))&gt;0, "NC",
                IF(MAX(IFERROR(SEARCH("DQ",MAIN!G347:J347), 0))&gt;0, "DQ",
                IF(ISNUMBER(SEARCH("WD",MAIN!K347)), "WD",
                IF(ISNUMBER(SEARCH("NS",MAIN!K347)), "NS",
                IF(ISNUMBER(SEARCH("NC",MAIN!K347)), "NC",
                IF(ISNUMBER(SEARCH("DQ",MAIN!K347)), "DQ",
                IF(ISNUMBER(SEARCH("A",MAIN!K347)), 0,
                IF(OR(MAIN!K347=0,MAIN!K347=""), 0, --TRIM(MAIN!K347)))))))))))),
            0
        )
    ),
    IFERROR(
        UPPER(
            IF(MAX(IFERROR(SEARCH("WD",MAIN!G347:J347), 0))&gt;0, "WD",
            IF(MAX(IFERROR(SEARCH("NS",MAIN!G347:J347), 0))&gt;0, "NS",
            IF(MAX(IFERROR(SEARCH("NC",MAIN!G347:J347), 0))&gt;0, "NC",
            IF(MAX(IFERROR(SEARCH("DQ",MAIN!G347:J347), 0))&gt;0, "DQ",
            IF(ISNUMBER(SEARCH("WD",MAIN!K347)), "WD",
            IF(ISNUMBER(SEARCH("NS",MAIN!K347)), "NS",
            IF(ISNUMBER(SEARCH("NC",MAIN!K347)), "NC",
            IF(ISNUMBER(SEARCH("DQ",MAIN!K347)), "DQ",
            IF(ISNUMBER(SEARCH("A",MAIN!K347)), 0,
            IF(OR(MAIN!K347=0,MAIN!K347=""), 0, --TRIM(MAIN!K347)))))))))))),
        0
    )
)</f>
        <v>0</v>
      </c>
    </row>
    <row r="348" spans="1:11" x14ac:dyDescent="0.25">
      <c r="A348" t="str">
        <f>IF(ISBLANK(MAIN!A348), "--", IFERROR(PROPER(SUBSTITUTE(SUBSTITUTE(SUBSTITUTE(SUBSTITUTE(SUBSTITUTE(SUBSTITUTE(SUBSTITUTE(SUBSTITUTE(SUBSTITUTE(SUBSTITUTE(LEFT(MAIN!A348, FIND(",",MAIN!A348) -1), "0", ""), "1", ""), "2", ""), "3", ""), "4", ""), "5", ""), "6", ""), "7", ""), "8", ""), "9", "")), PROPER(SUBSTITUTE(SUBSTITUTE(SUBSTITUTE(SUBSTITUTE(SUBSTITUTE(SUBSTITUTE(SUBSTITUTE(SUBSTITUTE(SUBSTITUTE(SUBSTITUTE(MAIN!A348, "0", ""), "1", ""), "2", ""), "3", ""), "4", ""), "5", ""), "6", ""), "7", ""), "8", ""), "9", ""))))</f>
        <v>--</v>
      </c>
      <c r="B348" t="str">
        <f>IF(ISBLANK(MAIN!B348), "--", IFERROR(PROPER(SUBSTITUTE(SUBSTITUTE(SUBSTITUTE(SUBSTITUTE(SUBSTITUTE(SUBSTITUTE(SUBSTITUTE(SUBSTITUTE(SUBSTITUTE(SUBSTITUTE(LEFT(MAIN!B348, FIND(",",MAIN!B348) -1), "0", ""), "1", ""), "2", ""), "3", ""), "4", ""), "5", ""), "6", ""), "7", ""), "8", ""), "9", "")), PROPER(SUBSTITUTE(SUBSTITUTE(SUBSTITUTE(SUBSTITUTE(SUBSTITUTE(SUBSTITUTE(SUBSTITUTE(SUBSTITUTE(SUBSTITUTE(SUBSTITUTE(MAIN!B348, "0", ""), "1", ""), "2", ""), "3", ""), "4", ""), "5", ""), "6", ""), "7", ""), "8", ""), "9", ""))))</f>
        <v>--</v>
      </c>
      <c r="C348" t="str">
        <f>IF(ISBLANK(MAIN!C348), "--", IFERROR(PROPER(SUBSTITUTE(SUBSTITUTE(SUBSTITUTE(SUBSTITUTE(SUBSTITUTE(SUBSTITUTE(SUBSTITUTE(SUBSTITUTE(SUBSTITUTE(SUBSTITUTE(LEFT(MAIN!C348, FIND(",",MAIN!C348) -1), "0", ""), "1", ""), "2", ""), "3", ""), "4", ""), "5", ""), "6", ""), "7", ""), "8", ""), "9", "")), PROPER(SUBSTITUTE(SUBSTITUTE(SUBSTITUTE(SUBSTITUTE(SUBSTITUTE(SUBSTITUTE(SUBSTITUTE(SUBSTITUTE(SUBSTITUTE(SUBSTITUTE(MAIN!C348, "0", ""), "1", ""), "2", ""), "3", ""), "4", ""), "5", ""), "6", ""), "7", ""), "8", ""), "9", ""))))</f>
        <v>--</v>
      </c>
      <c r="D348" t="str">
        <f>IF(ISBLANK(MAIN!D348), "--", IF(ISNUMBER(MATCH(SUBSTITUTE(LEFT(MAIN!D348, IFERROR(FIND(",", MAIN!D348)-1, LEN(MAIN!D348))), " ", ""), lookup_values!$B$2:$B$51, 0)), UPPER(SUBSTITUTE(LEFT(MAIN!D348, IFERROR(FIND(",", MAIN!D348)-1, LEN(MAIN!D348))), " ", "")), IF(ISNA(VLOOKUP(SUBSTITUTE(LEFT(MAIN!D348, IFERROR(FIND(",", MAIN!D348)-1, LEN(MAIN!D348))), " ", ""), lookup_values!$A$2:$B$51, 2, FALSE)), "--", VLOOKUP(SUBSTITUTE(LEFT(MAIN!D348, IFERROR(FIND(",", MAIN!D348)-1, LEN(MAIN!D348))), " ", ""), lookup_values!$A$2:$B$51, 2, FALSE))))</f>
        <v>--</v>
      </c>
      <c r="E348" t="str">
        <f>IF(CLEAN_DATA!D348&lt;&gt;"--","US",IF(ISBLANK(MAIN!E348), "--", IF(ISNUMBER(MATCH(SUBSTITUTE(LEFT(MAIN!E348, IFERROR(FIND(",", MAIN!E348)-1, LEN(MAIN!E348))), " ", ""), lookup_values!$E$2:$E$197, 0)), UPPER(SUBSTITUTE(LEFT(MAIN!E348, IFERROR(FIND(",", MAIN!E348)-1, LEN(MAIN!E348))), " ", "")), IF(ISNA(VLOOKUP(SUBSTITUTE(LEFT(MAIN!E348, IFERROR(FIND(",", MAIN!E348)-1, LEN(MAIN!E348))), " ", ""), lookup_values!$D$2:$E$197, 2, FALSE)), "--", VLOOKUP(SUBSTITUTE(LEFT(MAIN!E348, IFERROR(FIND(",", MAIN!E348)-1, LEN(MAIN!E348))), " ", ""), lookup_values!$D$2:$E$197, 2, FALSE)))))</f>
        <v>--</v>
      </c>
      <c r="F348" t="str">
        <f>IF(ISBLANK(MAIN!F348), "", IF(AND(ISNUMBER(VALUE(TRIM(MAIN!F348))), LEN(TRIM(MAIN!F348))=4), VALUE(TRIM(MAIN!F348)), ""))</f>
        <v/>
      </c>
      <c r="G348">
        <f>IF(ISBLANK(MAIN!G348), 0, IF(ISNUMBER(VALUE(TRIM(MAIN!G348))), VALUE(TRIM(MAIN!G348)), 0))</f>
        <v>0</v>
      </c>
      <c r="H348">
        <f>IF(ISBLANK(MAIN!H348), 0, IF(ISNUMBER(VALUE(TRIM(MAIN!H348))), VALUE(TRIM(MAIN!H348)), 0))</f>
        <v>0</v>
      </c>
      <c r="I348">
        <f>IF(ISBLANK(MAIN!I348), 0, IF(ISNUMBER(VALUE(TRIM(MAIN!I348))), VALUE(TRIM(MAIN!I348)), 0))</f>
        <v>0</v>
      </c>
      <c r="J348">
        <f>IF(ISBLANK(MAIN!J348), 0, IF(ISNUMBER(VALUE(TRIM(MAIN!J348))), VALUE(TRIM(MAIN!J348)), 0))</f>
        <v>0</v>
      </c>
      <c r="K348" cm="1">
        <f t="array" ref="K348">IFERROR(
    VALUE(
        IFERROR(
            UPPER(
                IF(MAX(IFERROR(SEARCH("WD",MAIN!G348:J348), 0))&gt;0, "WD",
                IF(MAX(IFERROR(SEARCH("NS",MAIN!G348:J348), 0))&gt;0, "NS",
                IF(MAX(IFERROR(SEARCH("NC",MAIN!G348:J348), 0))&gt;0, "NC",
                IF(MAX(IFERROR(SEARCH("DQ",MAIN!G348:J348), 0))&gt;0, "DQ",
                IF(ISNUMBER(SEARCH("WD",MAIN!K348)), "WD",
                IF(ISNUMBER(SEARCH("NS",MAIN!K348)), "NS",
                IF(ISNUMBER(SEARCH("NC",MAIN!K348)), "NC",
                IF(ISNUMBER(SEARCH("DQ",MAIN!K348)), "DQ",
                IF(ISNUMBER(SEARCH("A",MAIN!K348)), 0,
                IF(OR(MAIN!K348=0,MAIN!K348=""), 0, --TRIM(MAIN!K348)))))))))))),
            0
        )
    ),
    IFERROR(
        UPPER(
            IF(MAX(IFERROR(SEARCH("WD",MAIN!G348:J348), 0))&gt;0, "WD",
            IF(MAX(IFERROR(SEARCH("NS",MAIN!G348:J348), 0))&gt;0, "NS",
            IF(MAX(IFERROR(SEARCH("NC",MAIN!G348:J348), 0))&gt;0, "NC",
            IF(MAX(IFERROR(SEARCH("DQ",MAIN!G348:J348), 0))&gt;0, "DQ",
            IF(ISNUMBER(SEARCH("WD",MAIN!K348)), "WD",
            IF(ISNUMBER(SEARCH("NS",MAIN!K348)), "NS",
            IF(ISNUMBER(SEARCH("NC",MAIN!K348)), "NC",
            IF(ISNUMBER(SEARCH("DQ",MAIN!K348)), "DQ",
            IF(ISNUMBER(SEARCH("A",MAIN!K348)), 0,
            IF(OR(MAIN!K348=0,MAIN!K348=""), 0, --TRIM(MAIN!K348)))))))))))),
        0
    )
)</f>
        <v>0</v>
      </c>
    </row>
    <row r="349" spans="1:11" x14ac:dyDescent="0.25">
      <c r="A349" t="str">
        <f>IF(ISBLANK(MAIN!A349), "--", IFERROR(PROPER(SUBSTITUTE(SUBSTITUTE(SUBSTITUTE(SUBSTITUTE(SUBSTITUTE(SUBSTITUTE(SUBSTITUTE(SUBSTITUTE(SUBSTITUTE(SUBSTITUTE(LEFT(MAIN!A349, FIND(",",MAIN!A349) -1), "0", ""), "1", ""), "2", ""), "3", ""), "4", ""), "5", ""), "6", ""), "7", ""), "8", ""), "9", "")), PROPER(SUBSTITUTE(SUBSTITUTE(SUBSTITUTE(SUBSTITUTE(SUBSTITUTE(SUBSTITUTE(SUBSTITUTE(SUBSTITUTE(SUBSTITUTE(SUBSTITUTE(MAIN!A349, "0", ""), "1", ""), "2", ""), "3", ""), "4", ""), "5", ""), "6", ""), "7", ""), "8", ""), "9", ""))))</f>
        <v>--</v>
      </c>
      <c r="B349" t="str">
        <f>IF(ISBLANK(MAIN!B349), "--", IFERROR(PROPER(SUBSTITUTE(SUBSTITUTE(SUBSTITUTE(SUBSTITUTE(SUBSTITUTE(SUBSTITUTE(SUBSTITUTE(SUBSTITUTE(SUBSTITUTE(SUBSTITUTE(LEFT(MAIN!B349, FIND(",",MAIN!B349) -1), "0", ""), "1", ""), "2", ""), "3", ""), "4", ""), "5", ""), "6", ""), "7", ""), "8", ""), "9", "")), PROPER(SUBSTITUTE(SUBSTITUTE(SUBSTITUTE(SUBSTITUTE(SUBSTITUTE(SUBSTITUTE(SUBSTITUTE(SUBSTITUTE(SUBSTITUTE(SUBSTITUTE(MAIN!B349, "0", ""), "1", ""), "2", ""), "3", ""), "4", ""), "5", ""), "6", ""), "7", ""), "8", ""), "9", ""))))</f>
        <v>--</v>
      </c>
      <c r="C349" t="str">
        <f>IF(ISBLANK(MAIN!C349), "--", IFERROR(PROPER(SUBSTITUTE(SUBSTITUTE(SUBSTITUTE(SUBSTITUTE(SUBSTITUTE(SUBSTITUTE(SUBSTITUTE(SUBSTITUTE(SUBSTITUTE(SUBSTITUTE(LEFT(MAIN!C349, FIND(",",MAIN!C349) -1), "0", ""), "1", ""), "2", ""), "3", ""), "4", ""), "5", ""), "6", ""), "7", ""), "8", ""), "9", "")), PROPER(SUBSTITUTE(SUBSTITUTE(SUBSTITUTE(SUBSTITUTE(SUBSTITUTE(SUBSTITUTE(SUBSTITUTE(SUBSTITUTE(SUBSTITUTE(SUBSTITUTE(MAIN!C349, "0", ""), "1", ""), "2", ""), "3", ""), "4", ""), "5", ""), "6", ""), "7", ""), "8", ""), "9", ""))))</f>
        <v>--</v>
      </c>
      <c r="D349" t="str">
        <f>IF(ISBLANK(MAIN!D349), "--", IF(ISNUMBER(MATCH(SUBSTITUTE(LEFT(MAIN!D349, IFERROR(FIND(",", MAIN!D349)-1, LEN(MAIN!D349))), " ", ""), lookup_values!$B$2:$B$51, 0)), UPPER(SUBSTITUTE(LEFT(MAIN!D349, IFERROR(FIND(",", MAIN!D349)-1, LEN(MAIN!D349))), " ", "")), IF(ISNA(VLOOKUP(SUBSTITUTE(LEFT(MAIN!D349, IFERROR(FIND(",", MAIN!D349)-1, LEN(MAIN!D349))), " ", ""), lookup_values!$A$2:$B$51, 2, FALSE)), "--", VLOOKUP(SUBSTITUTE(LEFT(MAIN!D349, IFERROR(FIND(",", MAIN!D349)-1, LEN(MAIN!D349))), " ", ""), lookup_values!$A$2:$B$51, 2, FALSE))))</f>
        <v>--</v>
      </c>
      <c r="E349" t="str">
        <f>IF(CLEAN_DATA!D349&lt;&gt;"--","US",IF(ISBLANK(MAIN!E349), "--", IF(ISNUMBER(MATCH(SUBSTITUTE(LEFT(MAIN!E349, IFERROR(FIND(",", MAIN!E349)-1, LEN(MAIN!E349))), " ", ""), lookup_values!$E$2:$E$197, 0)), UPPER(SUBSTITUTE(LEFT(MAIN!E349, IFERROR(FIND(",", MAIN!E349)-1, LEN(MAIN!E349))), " ", "")), IF(ISNA(VLOOKUP(SUBSTITUTE(LEFT(MAIN!E349, IFERROR(FIND(",", MAIN!E349)-1, LEN(MAIN!E349))), " ", ""), lookup_values!$D$2:$E$197, 2, FALSE)), "--", VLOOKUP(SUBSTITUTE(LEFT(MAIN!E349, IFERROR(FIND(",", MAIN!E349)-1, LEN(MAIN!E349))), " ", ""), lookup_values!$D$2:$E$197, 2, FALSE)))))</f>
        <v>--</v>
      </c>
      <c r="F349" t="str">
        <f>IF(ISBLANK(MAIN!F349), "", IF(AND(ISNUMBER(VALUE(TRIM(MAIN!F349))), LEN(TRIM(MAIN!F349))=4), VALUE(TRIM(MAIN!F349)), ""))</f>
        <v/>
      </c>
      <c r="G349">
        <f>IF(ISBLANK(MAIN!G349), 0, IF(ISNUMBER(VALUE(TRIM(MAIN!G349))), VALUE(TRIM(MAIN!G349)), 0))</f>
        <v>0</v>
      </c>
      <c r="H349">
        <f>IF(ISBLANK(MAIN!H349), 0, IF(ISNUMBER(VALUE(TRIM(MAIN!H349))), VALUE(TRIM(MAIN!H349)), 0))</f>
        <v>0</v>
      </c>
      <c r="I349">
        <f>IF(ISBLANK(MAIN!I349), 0, IF(ISNUMBER(VALUE(TRIM(MAIN!I349))), VALUE(TRIM(MAIN!I349)), 0))</f>
        <v>0</v>
      </c>
      <c r="J349">
        <f>IF(ISBLANK(MAIN!J349), 0, IF(ISNUMBER(VALUE(TRIM(MAIN!J349))), VALUE(TRIM(MAIN!J349)), 0))</f>
        <v>0</v>
      </c>
      <c r="K349" cm="1">
        <f t="array" ref="K349">IFERROR(
    VALUE(
        IFERROR(
            UPPER(
                IF(MAX(IFERROR(SEARCH("WD",MAIN!G349:J349), 0))&gt;0, "WD",
                IF(MAX(IFERROR(SEARCH("NS",MAIN!G349:J349), 0))&gt;0, "NS",
                IF(MAX(IFERROR(SEARCH("NC",MAIN!G349:J349), 0))&gt;0, "NC",
                IF(MAX(IFERROR(SEARCH("DQ",MAIN!G349:J349), 0))&gt;0, "DQ",
                IF(ISNUMBER(SEARCH("WD",MAIN!K349)), "WD",
                IF(ISNUMBER(SEARCH("NS",MAIN!K349)), "NS",
                IF(ISNUMBER(SEARCH("NC",MAIN!K349)), "NC",
                IF(ISNUMBER(SEARCH("DQ",MAIN!K349)), "DQ",
                IF(ISNUMBER(SEARCH("A",MAIN!K349)), 0,
                IF(OR(MAIN!K349=0,MAIN!K349=""), 0, --TRIM(MAIN!K349)))))))))))),
            0
        )
    ),
    IFERROR(
        UPPER(
            IF(MAX(IFERROR(SEARCH("WD",MAIN!G349:J349), 0))&gt;0, "WD",
            IF(MAX(IFERROR(SEARCH("NS",MAIN!G349:J349), 0))&gt;0, "NS",
            IF(MAX(IFERROR(SEARCH("NC",MAIN!G349:J349), 0))&gt;0, "NC",
            IF(MAX(IFERROR(SEARCH("DQ",MAIN!G349:J349), 0))&gt;0, "DQ",
            IF(ISNUMBER(SEARCH("WD",MAIN!K349)), "WD",
            IF(ISNUMBER(SEARCH("NS",MAIN!K349)), "NS",
            IF(ISNUMBER(SEARCH("NC",MAIN!K349)), "NC",
            IF(ISNUMBER(SEARCH("DQ",MAIN!K349)), "DQ",
            IF(ISNUMBER(SEARCH("A",MAIN!K349)), 0,
            IF(OR(MAIN!K349=0,MAIN!K349=""), 0, --TRIM(MAIN!K349)))))))))))),
        0
    )
)</f>
        <v>0</v>
      </c>
    </row>
    <row r="350" spans="1:11" x14ac:dyDescent="0.25">
      <c r="A350" t="str">
        <f>IF(ISBLANK(MAIN!A350), "--", IFERROR(PROPER(SUBSTITUTE(SUBSTITUTE(SUBSTITUTE(SUBSTITUTE(SUBSTITUTE(SUBSTITUTE(SUBSTITUTE(SUBSTITUTE(SUBSTITUTE(SUBSTITUTE(LEFT(MAIN!A350, FIND(",",MAIN!A350) -1), "0", ""), "1", ""), "2", ""), "3", ""), "4", ""), "5", ""), "6", ""), "7", ""), "8", ""), "9", "")), PROPER(SUBSTITUTE(SUBSTITUTE(SUBSTITUTE(SUBSTITUTE(SUBSTITUTE(SUBSTITUTE(SUBSTITUTE(SUBSTITUTE(SUBSTITUTE(SUBSTITUTE(MAIN!A350, "0", ""), "1", ""), "2", ""), "3", ""), "4", ""), "5", ""), "6", ""), "7", ""), "8", ""), "9", ""))))</f>
        <v>--</v>
      </c>
      <c r="B350" t="str">
        <f>IF(ISBLANK(MAIN!B350), "--", IFERROR(PROPER(SUBSTITUTE(SUBSTITUTE(SUBSTITUTE(SUBSTITUTE(SUBSTITUTE(SUBSTITUTE(SUBSTITUTE(SUBSTITUTE(SUBSTITUTE(SUBSTITUTE(LEFT(MAIN!B350, FIND(",",MAIN!B350) -1), "0", ""), "1", ""), "2", ""), "3", ""), "4", ""), "5", ""), "6", ""), "7", ""), "8", ""), "9", "")), PROPER(SUBSTITUTE(SUBSTITUTE(SUBSTITUTE(SUBSTITUTE(SUBSTITUTE(SUBSTITUTE(SUBSTITUTE(SUBSTITUTE(SUBSTITUTE(SUBSTITUTE(MAIN!B350, "0", ""), "1", ""), "2", ""), "3", ""), "4", ""), "5", ""), "6", ""), "7", ""), "8", ""), "9", ""))))</f>
        <v>--</v>
      </c>
      <c r="C350" t="str">
        <f>IF(ISBLANK(MAIN!C350), "--", IFERROR(PROPER(SUBSTITUTE(SUBSTITUTE(SUBSTITUTE(SUBSTITUTE(SUBSTITUTE(SUBSTITUTE(SUBSTITUTE(SUBSTITUTE(SUBSTITUTE(SUBSTITUTE(LEFT(MAIN!C350, FIND(",",MAIN!C350) -1), "0", ""), "1", ""), "2", ""), "3", ""), "4", ""), "5", ""), "6", ""), "7", ""), "8", ""), "9", "")), PROPER(SUBSTITUTE(SUBSTITUTE(SUBSTITUTE(SUBSTITUTE(SUBSTITUTE(SUBSTITUTE(SUBSTITUTE(SUBSTITUTE(SUBSTITUTE(SUBSTITUTE(MAIN!C350, "0", ""), "1", ""), "2", ""), "3", ""), "4", ""), "5", ""), "6", ""), "7", ""), "8", ""), "9", ""))))</f>
        <v>--</v>
      </c>
      <c r="D350" t="str">
        <f>IF(ISBLANK(MAIN!D350), "--", IF(ISNUMBER(MATCH(SUBSTITUTE(LEFT(MAIN!D350, IFERROR(FIND(",", MAIN!D350)-1, LEN(MAIN!D350))), " ", ""), lookup_values!$B$2:$B$51, 0)), UPPER(SUBSTITUTE(LEFT(MAIN!D350, IFERROR(FIND(",", MAIN!D350)-1, LEN(MAIN!D350))), " ", "")), IF(ISNA(VLOOKUP(SUBSTITUTE(LEFT(MAIN!D350, IFERROR(FIND(",", MAIN!D350)-1, LEN(MAIN!D350))), " ", ""), lookup_values!$A$2:$B$51, 2, FALSE)), "--", VLOOKUP(SUBSTITUTE(LEFT(MAIN!D350, IFERROR(FIND(",", MAIN!D350)-1, LEN(MAIN!D350))), " ", ""), lookup_values!$A$2:$B$51, 2, FALSE))))</f>
        <v>--</v>
      </c>
      <c r="E350" t="str">
        <f>IF(CLEAN_DATA!D350&lt;&gt;"--","US",IF(ISBLANK(MAIN!E350), "--", IF(ISNUMBER(MATCH(SUBSTITUTE(LEFT(MAIN!E350, IFERROR(FIND(",", MAIN!E350)-1, LEN(MAIN!E350))), " ", ""), lookup_values!$E$2:$E$197, 0)), UPPER(SUBSTITUTE(LEFT(MAIN!E350, IFERROR(FIND(",", MAIN!E350)-1, LEN(MAIN!E350))), " ", "")), IF(ISNA(VLOOKUP(SUBSTITUTE(LEFT(MAIN!E350, IFERROR(FIND(",", MAIN!E350)-1, LEN(MAIN!E350))), " ", ""), lookup_values!$D$2:$E$197, 2, FALSE)), "--", VLOOKUP(SUBSTITUTE(LEFT(MAIN!E350, IFERROR(FIND(",", MAIN!E350)-1, LEN(MAIN!E350))), " ", ""), lookup_values!$D$2:$E$197, 2, FALSE)))))</f>
        <v>--</v>
      </c>
      <c r="F350" t="str">
        <f>IF(ISBLANK(MAIN!F350), "", IF(AND(ISNUMBER(VALUE(TRIM(MAIN!F350))), LEN(TRIM(MAIN!F350))=4), VALUE(TRIM(MAIN!F350)), ""))</f>
        <v/>
      </c>
      <c r="G350">
        <f>IF(ISBLANK(MAIN!G350), 0, IF(ISNUMBER(VALUE(TRIM(MAIN!G350))), VALUE(TRIM(MAIN!G350)), 0))</f>
        <v>0</v>
      </c>
      <c r="H350">
        <f>IF(ISBLANK(MAIN!H350), 0, IF(ISNUMBER(VALUE(TRIM(MAIN!H350))), VALUE(TRIM(MAIN!H350)), 0))</f>
        <v>0</v>
      </c>
      <c r="I350">
        <f>IF(ISBLANK(MAIN!I350), 0, IF(ISNUMBER(VALUE(TRIM(MAIN!I350))), VALUE(TRIM(MAIN!I350)), 0))</f>
        <v>0</v>
      </c>
      <c r="J350">
        <f>IF(ISBLANK(MAIN!J350), 0, IF(ISNUMBER(VALUE(TRIM(MAIN!J350))), VALUE(TRIM(MAIN!J350)), 0))</f>
        <v>0</v>
      </c>
      <c r="K350" cm="1">
        <f t="array" ref="K350">IFERROR(
    VALUE(
        IFERROR(
            UPPER(
                IF(MAX(IFERROR(SEARCH("WD",MAIN!G350:J350), 0))&gt;0, "WD",
                IF(MAX(IFERROR(SEARCH("NS",MAIN!G350:J350), 0))&gt;0, "NS",
                IF(MAX(IFERROR(SEARCH("NC",MAIN!G350:J350), 0))&gt;0, "NC",
                IF(MAX(IFERROR(SEARCH("DQ",MAIN!G350:J350), 0))&gt;0, "DQ",
                IF(ISNUMBER(SEARCH("WD",MAIN!K350)), "WD",
                IF(ISNUMBER(SEARCH("NS",MAIN!K350)), "NS",
                IF(ISNUMBER(SEARCH("NC",MAIN!K350)), "NC",
                IF(ISNUMBER(SEARCH("DQ",MAIN!K350)), "DQ",
                IF(ISNUMBER(SEARCH("A",MAIN!K350)), 0,
                IF(OR(MAIN!K350=0,MAIN!K350=""), 0, --TRIM(MAIN!K350)))))))))))),
            0
        )
    ),
    IFERROR(
        UPPER(
            IF(MAX(IFERROR(SEARCH("WD",MAIN!G350:J350), 0))&gt;0, "WD",
            IF(MAX(IFERROR(SEARCH("NS",MAIN!G350:J350), 0))&gt;0, "NS",
            IF(MAX(IFERROR(SEARCH("NC",MAIN!G350:J350), 0))&gt;0, "NC",
            IF(MAX(IFERROR(SEARCH("DQ",MAIN!G350:J350), 0))&gt;0, "DQ",
            IF(ISNUMBER(SEARCH("WD",MAIN!K350)), "WD",
            IF(ISNUMBER(SEARCH("NS",MAIN!K350)), "NS",
            IF(ISNUMBER(SEARCH("NC",MAIN!K350)), "NC",
            IF(ISNUMBER(SEARCH("DQ",MAIN!K350)), "DQ",
            IF(ISNUMBER(SEARCH("A",MAIN!K350)), 0,
            IF(OR(MAIN!K350=0,MAIN!K350=""), 0, --TRIM(MAIN!K350)))))))))))),
        0
    )
)</f>
        <v>0</v>
      </c>
    </row>
    <row r="351" spans="1:11" x14ac:dyDescent="0.25">
      <c r="A351" t="str">
        <f>IF(ISBLANK(MAIN!A351), "--", IFERROR(PROPER(SUBSTITUTE(SUBSTITUTE(SUBSTITUTE(SUBSTITUTE(SUBSTITUTE(SUBSTITUTE(SUBSTITUTE(SUBSTITUTE(SUBSTITUTE(SUBSTITUTE(LEFT(MAIN!A351, FIND(",",MAIN!A351) -1), "0", ""), "1", ""), "2", ""), "3", ""), "4", ""), "5", ""), "6", ""), "7", ""), "8", ""), "9", "")), PROPER(SUBSTITUTE(SUBSTITUTE(SUBSTITUTE(SUBSTITUTE(SUBSTITUTE(SUBSTITUTE(SUBSTITUTE(SUBSTITUTE(SUBSTITUTE(SUBSTITUTE(MAIN!A351, "0", ""), "1", ""), "2", ""), "3", ""), "4", ""), "5", ""), "6", ""), "7", ""), "8", ""), "9", ""))))</f>
        <v>--</v>
      </c>
      <c r="B351" t="str">
        <f>IF(ISBLANK(MAIN!B351), "--", IFERROR(PROPER(SUBSTITUTE(SUBSTITUTE(SUBSTITUTE(SUBSTITUTE(SUBSTITUTE(SUBSTITUTE(SUBSTITUTE(SUBSTITUTE(SUBSTITUTE(SUBSTITUTE(LEFT(MAIN!B351, FIND(",",MAIN!B351) -1), "0", ""), "1", ""), "2", ""), "3", ""), "4", ""), "5", ""), "6", ""), "7", ""), "8", ""), "9", "")), PROPER(SUBSTITUTE(SUBSTITUTE(SUBSTITUTE(SUBSTITUTE(SUBSTITUTE(SUBSTITUTE(SUBSTITUTE(SUBSTITUTE(SUBSTITUTE(SUBSTITUTE(MAIN!B351, "0", ""), "1", ""), "2", ""), "3", ""), "4", ""), "5", ""), "6", ""), "7", ""), "8", ""), "9", ""))))</f>
        <v>--</v>
      </c>
      <c r="C351" t="str">
        <f>IF(ISBLANK(MAIN!C351), "--", IFERROR(PROPER(SUBSTITUTE(SUBSTITUTE(SUBSTITUTE(SUBSTITUTE(SUBSTITUTE(SUBSTITUTE(SUBSTITUTE(SUBSTITUTE(SUBSTITUTE(SUBSTITUTE(LEFT(MAIN!C351, FIND(",",MAIN!C351) -1), "0", ""), "1", ""), "2", ""), "3", ""), "4", ""), "5", ""), "6", ""), "7", ""), "8", ""), "9", "")), PROPER(SUBSTITUTE(SUBSTITUTE(SUBSTITUTE(SUBSTITUTE(SUBSTITUTE(SUBSTITUTE(SUBSTITUTE(SUBSTITUTE(SUBSTITUTE(SUBSTITUTE(MAIN!C351, "0", ""), "1", ""), "2", ""), "3", ""), "4", ""), "5", ""), "6", ""), "7", ""), "8", ""), "9", ""))))</f>
        <v>--</v>
      </c>
      <c r="D351" t="str">
        <f>IF(ISBLANK(MAIN!D351), "--", IF(ISNUMBER(MATCH(SUBSTITUTE(LEFT(MAIN!D351, IFERROR(FIND(",", MAIN!D351)-1, LEN(MAIN!D351))), " ", ""), lookup_values!$B$2:$B$51, 0)), UPPER(SUBSTITUTE(LEFT(MAIN!D351, IFERROR(FIND(",", MAIN!D351)-1, LEN(MAIN!D351))), " ", "")), IF(ISNA(VLOOKUP(SUBSTITUTE(LEFT(MAIN!D351, IFERROR(FIND(",", MAIN!D351)-1, LEN(MAIN!D351))), " ", ""), lookup_values!$A$2:$B$51, 2, FALSE)), "--", VLOOKUP(SUBSTITUTE(LEFT(MAIN!D351, IFERROR(FIND(",", MAIN!D351)-1, LEN(MAIN!D351))), " ", ""), lookup_values!$A$2:$B$51, 2, FALSE))))</f>
        <v>--</v>
      </c>
      <c r="E351" t="str">
        <f>IF(CLEAN_DATA!D351&lt;&gt;"--","US",IF(ISBLANK(MAIN!E351), "--", IF(ISNUMBER(MATCH(SUBSTITUTE(LEFT(MAIN!E351, IFERROR(FIND(",", MAIN!E351)-1, LEN(MAIN!E351))), " ", ""), lookup_values!$E$2:$E$197, 0)), UPPER(SUBSTITUTE(LEFT(MAIN!E351, IFERROR(FIND(",", MAIN!E351)-1, LEN(MAIN!E351))), " ", "")), IF(ISNA(VLOOKUP(SUBSTITUTE(LEFT(MAIN!E351, IFERROR(FIND(",", MAIN!E351)-1, LEN(MAIN!E351))), " ", ""), lookup_values!$D$2:$E$197, 2, FALSE)), "--", VLOOKUP(SUBSTITUTE(LEFT(MAIN!E351, IFERROR(FIND(",", MAIN!E351)-1, LEN(MAIN!E351))), " ", ""), lookup_values!$D$2:$E$197, 2, FALSE)))))</f>
        <v>--</v>
      </c>
      <c r="F351" t="str">
        <f>IF(ISBLANK(MAIN!F351), "", IF(AND(ISNUMBER(VALUE(TRIM(MAIN!F351))), LEN(TRIM(MAIN!F351))=4), VALUE(TRIM(MAIN!F351)), ""))</f>
        <v/>
      </c>
      <c r="G351">
        <f>IF(ISBLANK(MAIN!G351), 0, IF(ISNUMBER(VALUE(TRIM(MAIN!G351))), VALUE(TRIM(MAIN!G351)), 0))</f>
        <v>0</v>
      </c>
      <c r="H351">
        <f>IF(ISBLANK(MAIN!H351), 0, IF(ISNUMBER(VALUE(TRIM(MAIN!H351))), VALUE(TRIM(MAIN!H351)), 0))</f>
        <v>0</v>
      </c>
      <c r="I351">
        <f>IF(ISBLANK(MAIN!I351), 0, IF(ISNUMBER(VALUE(TRIM(MAIN!I351))), VALUE(TRIM(MAIN!I351)), 0))</f>
        <v>0</v>
      </c>
      <c r="J351">
        <f>IF(ISBLANK(MAIN!J351), 0, IF(ISNUMBER(VALUE(TRIM(MAIN!J351))), VALUE(TRIM(MAIN!J351)), 0))</f>
        <v>0</v>
      </c>
      <c r="K351" cm="1">
        <f t="array" ref="K351">IFERROR(
    VALUE(
        IFERROR(
            UPPER(
                IF(MAX(IFERROR(SEARCH("WD",MAIN!G351:J351), 0))&gt;0, "WD",
                IF(MAX(IFERROR(SEARCH("NS",MAIN!G351:J351), 0))&gt;0, "NS",
                IF(MAX(IFERROR(SEARCH("NC",MAIN!G351:J351), 0))&gt;0, "NC",
                IF(MAX(IFERROR(SEARCH("DQ",MAIN!G351:J351), 0))&gt;0, "DQ",
                IF(ISNUMBER(SEARCH("WD",MAIN!K351)), "WD",
                IF(ISNUMBER(SEARCH("NS",MAIN!K351)), "NS",
                IF(ISNUMBER(SEARCH("NC",MAIN!K351)), "NC",
                IF(ISNUMBER(SEARCH("DQ",MAIN!K351)), "DQ",
                IF(ISNUMBER(SEARCH("A",MAIN!K351)), 0,
                IF(OR(MAIN!K351=0,MAIN!K351=""), 0, --TRIM(MAIN!K351)))))))))))),
            0
        )
    ),
    IFERROR(
        UPPER(
            IF(MAX(IFERROR(SEARCH("WD",MAIN!G351:J351), 0))&gt;0, "WD",
            IF(MAX(IFERROR(SEARCH("NS",MAIN!G351:J351), 0))&gt;0, "NS",
            IF(MAX(IFERROR(SEARCH("NC",MAIN!G351:J351), 0))&gt;0, "NC",
            IF(MAX(IFERROR(SEARCH("DQ",MAIN!G351:J351), 0))&gt;0, "DQ",
            IF(ISNUMBER(SEARCH("WD",MAIN!K351)), "WD",
            IF(ISNUMBER(SEARCH("NS",MAIN!K351)), "NS",
            IF(ISNUMBER(SEARCH("NC",MAIN!K351)), "NC",
            IF(ISNUMBER(SEARCH("DQ",MAIN!K351)), "DQ",
            IF(ISNUMBER(SEARCH("A",MAIN!K351)), 0,
            IF(OR(MAIN!K351=0,MAIN!K351=""), 0, --TRIM(MAIN!K351)))))))))))),
        0
    )
)</f>
        <v>0</v>
      </c>
    </row>
    <row r="352" spans="1:11" x14ac:dyDescent="0.25">
      <c r="A352" t="str">
        <f>IF(ISBLANK(MAIN!A352), "--", IFERROR(PROPER(SUBSTITUTE(SUBSTITUTE(SUBSTITUTE(SUBSTITUTE(SUBSTITUTE(SUBSTITUTE(SUBSTITUTE(SUBSTITUTE(SUBSTITUTE(SUBSTITUTE(LEFT(MAIN!A352, FIND(",",MAIN!A352) -1), "0", ""), "1", ""), "2", ""), "3", ""), "4", ""), "5", ""), "6", ""), "7", ""), "8", ""), "9", "")), PROPER(SUBSTITUTE(SUBSTITUTE(SUBSTITUTE(SUBSTITUTE(SUBSTITUTE(SUBSTITUTE(SUBSTITUTE(SUBSTITUTE(SUBSTITUTE(SUBSTITUTE(MAIN!A352, "0", ""), "1", ""), "2", ""), "3", ""), "4", ""), "5", ""), "6", ""), "7", ""), "8", ""), "9", ""))))</f>
        <v>--</v>
      </c>
      <c r="B352" t="str">
        <f>IF(ISBLANK(MAIN!B352), "--", IFERROR(PROPER(SUBSTITUTE(SUBSTITUTE(SUBSTITUTE(SUBSTITUTE(SUBSTITUTE(SUBSTITUTE(SUBSTITUTE(SUBSTITUTE(SUBSTITUTE(SUBSTITUTE(LEFT(MAIN!B352, FIND(",",MAIN!B352) -1), "0", ""), "1", ""), "2", ""), "3", ""), "4", ""), "5", ""), "6", ""), "7", ""), "8", ""), "9", "")), PROPER(SUBSTITUTE(SUBSTITUTE(SUBSTITUTE(SUBSTITUTE(SUBSTITUTE(SUBSTITUTE(SUBSTITUTE(SUBSTITUTE(SUBSTITUTE(SUBSTITUTE(MAIN!B352, "0", ""), "1", ""), "2", ""), "3", ""), "4", ""), "5", ""), "6", ""), "7", ""), "8", ""), "9", ""))))</f>
        <v>--</v>
      </c>
      <c r="C352" t="str">
        <f>IF(ISBLANK(MAIN!C352), "--", IFERROR(PROPER(SUBSTITUTE(SUBSTITUTE(SUBSTITUTE(SUBSTITUTE(SUBSTITUTE(SUBSTITUTE(SUBSTITUTE(SUBSTITUTE(SUBSTITUTE(SUBSTITUTE(LEFT(MAIN!C352, FIND(",",MAIN!C352) -1), "0", ""), "1", ""), "2", ""), "3", ""), "4", ""), "5", ""), "6", ""), "7", ""), "8", ""), "9", "")), PROPER(SUBSTITUTE(SUBSTITUTE(SUBSTITUTE(SUBSTITUTE(SUBSTITUTE(SUBSTITUTE(SUBSTITUTE(SUBSTITUTE(SUBSTITUTE(SUBSTITUTE(MAIN!C352, "0", ""), "1", ""), "2", ""), "3", ""), "4", ""), "5", ""), "6", ""), "7", ""), "8", ""), "9", ""))))</f>
        <v>--</v>
      </c>
      <c r="D352" t="str">
        <f>IF(ISBLANK(MAIN!D352), "--", IF(ISNUMBER(MATCH(SUBSTITUTE(LEFT(MAIN!D352, IFERROR(FIND(",", MAIN!D352)-1, LEN(MAIN!D352))), " ", ""), lookup_values!$B$2:$B$51, 0)), UPPER(SUBSTITUTE(LEFT(MAIN!D352, IFERROR(FIND(",", MAIN!D352)-1, LEN(MAIN!D352))), " ", "")), IF(ISNA(VLOOKUP(SUBSTITUTE(LEFT(MAIN!D352, IFERROR(FIND(",", MAIN!D352)-1, LEN(MAIN!D352))), " ", ""), lookup_values!$A$2:$B$51, 2, FALSE)), "--", VLOOKUP(SUBSTITUTE(LEFT(MAIN!D352, IFERROR(FIND(",", MAIN!D352)-1, LEN(MAIN!D352))), " ", ""), lookup_values!$A$2:$B$51, 2, FALSE))))</f>
        <v>--</v>
      </c>
      <c r="E352" t="str">
        <f>IF(CLEAN_DATA!D352&lt;&gt;"--","US",IF(ISBLANK(MAIN!E352), "--", IF(ISNUMBER(MATCH(SUBSTITUTE(LEFT(MAIN!E352, IFERROR(FIND(",", MAIN!E352)-1, LEN(MAIN!E352))), " ", ""), lookup_values!$E$2:$E$197, 0)), UPPER(SUBSTITUTE(LEFT(MAIN!E352, IFERROR(FIND(",", MAIN!E352)-1, LEN(MAIN!E352))), " ", "")), IF(ISNA(VLOOKUP(SUBSTITUTE(LEFT(MAIN!E352, IFERROR(FIND(",", MAIN!E352)-1, LEN(MAIN!E352))), " ", ""), lookup_values!$D$2:$E$197, 2, FALSE)), "--", VLOOKUP(SUBSTITUTE(LEFT(MAIN!E352, IFERROR(FIND(",", MAIN!E352)-1, LEN(MAIN!E352))), " ", ""), lookup_values!$D$2:$E$197, 2, FALSE)))))</f>
        <v>--</v>
      </c>
      <c r="F352" t="str">
        <f>IF(ISBLANK(MAIN!F352), "", IF(AND(ISNUMBER(VALUE(TRIM(MAIN!F352))), LEN(TRIM(MAIN!F352))=4), VALUE(TRIM(MAIN!F352)), ""))</f>
        <v/>
      </c>
      <c r="G352">
        <f>IF(ISBLANK(MAIN!G352), 0, IF(ISNUMBER(VALUE(TRIM(MAIN!G352))), VALUE(TRIM(MAIN!G352)), 0))</f>
        <v>0</v>
      </c>
      <c r="H352">
        <f>IF(ISBLANK(MAIN!H352), 0, IF(ISNUMBER(VALUE(TRIM(MAIN!H352))), VALUE(TRIM(MAIN!H352)), 0))</f>
        <v>0</v>
      </c>
      <c r="I352">
        <f>IF(ISBLANK(MAIN!I352), 0, IF(ISNUMBER(VALUE(TRIM(MAIN!I352))), VALUE(TRIM(MAIN!I352)), 0))</f>
        <v>0</v>
      </c>
      <c r="J352">
        <f>IF(ISBLANK(MAIN!J352), 0, IF(ISNUMBER(VALUE(TRIM(MAIN!J352))), VALUE(TRIM(MAIN!J352)), 0))</f>
        <v>0</v>
      </c>
      <c r="K352" cm="1">
        <f t="array" ref="K352">IFERROR(
    VALUE(
        IFERROR(
            UPPER(
                IF(MAX(IFERROR(SEARCH("WD",MAIN!G352:J352), 0))&gt;0, "WD",
                IF(MAX(IFERROR(SEARCH("NS",MAIN!G352:J352), 0))&gt;0, "NS",
                IF(MAX(IFERROR(SEARCH("NC",MAIN!G352:J352), 0))&gt;0, "NC",
                IF(MAX(IFERROR(SEARCH("DQ",MAIN!G352:J352), 0))&gt;0, "DQ",
                IF(ISNUMBER(SEARCH("WD",MAIN!K352)), "WD",
                IF(ISNUMBER(SEARCH("NS",MAIN!K352)), "NS",
                IF(ISNUMBER(SEARCH("NC",MAIN!K352)), "NC",
                IF(ISNUMBER(SEARCH("DQ",MAIN!K352)), "DQ",
                IF(ISNUMBER(SEARCH("A",MAIN!K352)), 0,
                IF(OR(MAIN!K352=0,MAIN!K352=""), 0, --TRIM(MAIN!K352)))))))))))),
            0
        )
    ),
    IFERROR(
        UPPER(
            IF(MAX(IFERROR(SEARCH("WD",MAIN!G352:J352), 0))&gt;0, "WD",
            IF(MAX(IFERROR(SEARCH("NS",MAIN!G352:J352), 0))&gt;0, "NS",
            IF(MAX(IFERROR(SEARCH("NC",MAIN!G352:J352), 0))&gt;0, "NC",
            IF(MAX(IFERROR(SEARCH("DQ",MAIN!G352:J352), 0))&gt;0, "DQ",
            IF(ISNUMBER(SEARCH("WD",MAIN!K352)), "WD",
            IF(ISNUMBER(SEARCH("NS",MAIN!K352)), "NS",
            IF(ISNUMBER(SEARCH("NC",MAIN!K352)), "NC",
            IF(ISNUMBER(SEARCH("DQ",MAIN!K352)), "DQ",
            IF(ISNUMBER(SEARCH("A",MAIN!K352)), 0,
            IF(OR(MAIN!K352=0,MAIN!K352=""), 0, --TRIM(MAIN!K352)))))))))))),
        0
    )
)</f>
        <v>0</v>
      </c>
    </row>
    <row r="353" spans="1:11" x14ac:dyDescent="0.25">
      <c r="A353" t="str">
        <f>IF(ISBLANK(MAIN!A353), "--", IFERROR(PROPER(SUBSTITUTE(SUBSTITUTE(SUBSTITUTE(SUBSTITUTE(SUBSTITUTE(SUBSTITUTE(SUBSTITUTE(SUBSTITUTE(SUBSTITUTE(SUBSTITUTE(LEFT(MAIN!A353, FIND(",",MAIN!A353) -1), "0", ""), "1", ""), "2", ""), "3", ""), "4", ""), "5", ""), "6", ""), "7", ""), "8", ""), "9", "")), PROPER(SUBSTITUTE(SUBSTITUTE(SUBSTITUTE(SUBSTITUTE(SUBSTITUTE(SUBSTITUTE(SUBSTITUTE(SUBSTITUTE(SUBSTITUTE(SUBSTITUTE(MAIN!A353, "0", ""), "1", ""), "2", ""), "3", ""), "4", ""), "5", ""), "6", ""), "7", ""), "8", ""), "9", ""))))</f>
        <v>--</v>
      </c>
      <c r="B353" t="str">
        <f>IF(ISBLANK(MAIN!B353), "--", IFERROR(PROPER(SUBSTITUTE(SUBSTITUTE(SUBSTITUTE(SUBSTITUTE(SUBSTITUTE(SUBSTITUTE(SUBSTITUTE(SUBSTITUTE(SUBSTITUTE(SUBSTITUTE(LEFT(MAIN!B353, FIND(",",MAIN!B353) -1), "0", ""), "1", ""), "2", ""), "3", ""), "4", ""), "5", ""), "6", ""), "7", ""), "8", ""), "9", "")), PROPER(SUBSTITUTE(SUBSTITUTE(SUBSTITUTE(SUBSTITUTE(SUBSTITUTE(SUBSTITUTE(SUBSTITUTE(SUBSTITUTE(SUBSTITUTE(SUBSTITUTE(MAIN!B353, "0", ""), "1", ""), "2", ""), "3", ""), "4", ""), "5", ""), "6", ""), "7", ""), "8", ""), "9", ""))))</f>
        <v>--</v>
      </c>
      <c r="C353" t="str">
        <f>IF(ISBLANK(MAIN!C353), "--", IFERROR(PROPER(SUBSTITUTE(SUBSTITUTE(SUBSTITUTE(SUBSTITUTE(SUBSTITUTE(SUBSTITUTE(SUBSTITUTE(SUBSTITUTE(SUBSTITUTE(SUBSTITUTE(LEFT(MAIN!C353, FIND(",",MAIN!C353) -1), "0", ""), "1", ""), "2", ""), "3", ""), "4", ""), "5", ""), "6", ""), "7", ""), "8", ""), "9", "")), PROPER(SUBSTITUTE(SUBSTITUTE(SUBSTITUTE(SUBSTITUTE(SUBSTITUTE(SUBSTITUTE(SUBSTITUTE(SUBSTITUTE(SUBSTITUTE(SUBSTITUTE(MAIN!C353, "0", ""), "1", ""), "2", ""), "3", ""), "4", ""), "5", ""), "6", ""), "7", ""), "8", ""), "9", ""))))</f>
        <v>--</v>
      </c>
      <c r="D353" t="str">
        <f>IF(ISBLANK(MAIN!D353), "--", IF(ISNUMBER(MATCH(SUBSTITUTE(LEFT(MAIN!D353, IFERROR(FIND(",", MAIN!D353)-1, LEN(MAIN!D353))), " ", ""), lookup_values!$B$2:$B$51, 0)), UPPER(SUBSTITUTE(LEFT(MAIN!D353, IFERROR(FIND(",", MAIN!D353)-1, LEN(MAIN!D353))), " ", "")), IF(ISNA(VLOOKUP(SUBSTITUTE(LEFT(MAIN!D353, IFERROR(FIND(",", MAIN!D353)-1, LEN(MAIN!D353))), " ", ""), lookup_values!$A$2:$B$51, 2, FALSE)), "--", VLOOKUP(SUBSTITUTE(LEFT(MAIN!D353, IFERROR(FIND(",", MAIN!D353)-1, LEN(MAIN!D353))), " ", ""), lookup_values!$A$2:$B$51, 2, FALSE))))</f>
        <v>--</v>
      </c>
      <c r="E353" t="str">
        <f>IF(CLEAN_DATA!D353&lt;&gt;"--","US",IF(ISBLANK(MAIN!E353), "--", IF(ISNUMBER(MATCH(SUBSTITUTE(LEFT(MAIN!E353, IFERROR(FIND(",", MAIN!E353)-1, LEN(MAIN!E353))), " ", ""), lookup_values!$E$2:$E$197, 0)), UPPER(SUBSTITUTE(LEFT(MAIN!E353, IFERROR(FIND(",", MAIN!E353)-1, LEN(MAIN!E353))), " ", "")), IF(ISNA(VLOOKUP(SUBSTITUTE(LEFT(MAIN!E353, IFERROR(FIND(",", MAIN!E353)-1, LEN(MAIN!E353))), " ", ""), lookup_values!$D$2:$E$197, 2, FALSE)), "--", VLOOKUP(SUBSTITUTE(LEFT(MAIN!E353, IFERROR(FIND(",", MAIN!E353)-1, LEN(MAIN!E353))), " ", ""), lookup_values!$D$2:$E$197, 2, FALSE)))))</f>
        <v>--</v>
      </c>
      <c r="F353" t="str">
        <f>IF(ISBLANK(MAIN!F353), "", IF(AND(ISNUMBER(VALUE(TRIM(MAIN!F353))), LEN(TRIM(MAIN!F353))=4), VALUE(TRIM(MAIN!F353)), ""))</f>
        <v/>
      </c>
      <c r="G353">
        <f>IF(ISBLANK(MAIN!G353), 0, IF(ISNUMBER(VALUE(TRIM(MAIN!G353))), VALUE(TRIM(MAIN!G353)), 0))</f>
        <v>0</v>
      </c>
      <c r="H353">
        <f>IF(ISBLANK(MAIN!H353), 0, IF(ISNUMBER(VALUE(TRIM(MAIN!H353))), VALUE(TRIM(MAIN!H353)), 0))</f>
        <v>0</v>
      </c>
      <c r="I353">
        <f>IF(ISBLANK(MAIN!I353), 0, IF(ISNUMBER(VALUE(TRIM(MAIN!I353))), VALUE(TRIM(MAIN!I353)), 0))</f>
        <v>0</v>
      </c>
      <c r="J353">
        <f>IF(ISBLANK(MAIN!J353), 0, IF(ISNUMBER(VALUE(TRIM(MAIN!J353))), VALUE(TRIM(MAIN!J353)), 0))</f>
        <v>0</v>
      </c>
      <c r="K353" cm="1">
        <f t="array" ref="K353">IFERROR(
    VALUE(
        IFERROR(
            UPPER(
                IF(MAX(IFERROR(SEARCH("WD",MAIN!G353:J353), 0))&gt;0, "WD",
                IF(MAX(IFERROR(SEARCH("NS",MAIN!G353:J353), 0))&gt;0, "NS",
                IF(MAX(IFERROR(SEARCH("NC",MAIN!G353:J353), 0))&gt;0, "NC",
                IF(MAX(IFERROR(SEARCH("DQ",MAIN!G353:J353), 0))&gt;0, "DQ",
                IF(ISNUMBER(SEARCH("WD",MAIN!K353)), "WD",
                IF(ISNUMBER(SEARCH("NS",MAIN!K353)), "NS",
                IF(ISNUMBER(SEARCH("NC",MAIN!K353)), "NC",
                IF(ISNUMBER(SEARCH("DQ",MAIN!K353)), "DQ",
                IF(ISNUMBER(SEARCH("A",MAIN!K353)), 0,
                IF(OR(MAIN!K353=0,MAIN!K353=""), 0, --TRIM(MAIN!K353)))))))))))),
            0
        )
    ),
    IFERROR(
        UPPER(
            IF(MAX(IFERROR(SEARCH("WD",MAIN!G353:J353), 0))&gt;0, "WD",
            IF(MAX(IFERROR(SEARCH("NS",MAIN!G353:J353), 0))&gt;0, "NS",
            IF(MAX(IFERROR(SEARCH("NC",MAIN!G353:J353), 0))&gt;0, "NC",
            IF(MAX(IFERROR(SEARCH("DQ",MAIN!G353:J353), 0))&gt;0, "DQ",
            IF(ISNUMBER(SEARCH("WD",MAIN!K353)), "WD",
            IF(ISNUMBER(SEARCH("NS",MAIN!K353)), "NS",
            IF(ISNUMBER(SEARCH("NC",MAIN!K353)), "NC",
            IF(ISNUMBER(SEARCH("DQ",MAIN!K353)), "DQ",
            IF(ISNUMBER(SEARCH("A",MAIN!K353)), 0,
            IF(OR(MAIN!K353=0,MAIN!K353=""), 0, --TRIM(MAIN!K353)))))))))))),
        0
    )
)</f>
        <v>0</v>
      </c>
    </row>
    <row r="354" spans="1:11" x14ac:dyDescent="0.25">
      <c r="A354" t="str">
        <f>IF(ISBLANK(MAIN!A354), "--", IFERROR(PROPER(SUBSTITUTE(SUBSTITUTE(SUBSTITUTE(SUBSTITUTE(SUBSTITUTE(SUBSTITUTE(SUBSTITUTE(SUBSTITUTE(SUBSTITUTE(SUBSTITUTE(LEFT(MAIN!A354, FIND(",",MAIN!A354) -1), "0", ""), "1", ""), "2", ""), "3", ""), "4", ""), "5", ""), "6", ""), "7", ""), "8", ""), "9", "")), PROPER(SUBSTITUTE(SUBSTITUTE(SUBSTITUTE(SUBSTITUTE(SUBSTITUTE(SUBSTITUTE(SUBSTITUTE(SUBSTITUTE(SUBSTITUTE(SUBSTITUTE(MAIN!A354, "0", ""), "1", ""), "2", ""), "3", ""), "4", ""), "5", ""), "6", ""), "7", ""), "8", ""), "9", ""))))</f>
        <v>--</v>
      </c>
      <c r="B354" t="str">
        <f>IF(ISBLANK(MAIN!B354), "--", IFERROR(PROPER(SUBSTITUTE(SUBSTITUTE(SUBSTITUTE(SUBSTITUTE(SUBSTITUTE(SUBSTITUTE(SUBSTITUTE(SUBSTITUTE(SUBSTITUTE(SUBSTITUTE(LEFT(MAIN!B354, FIND(",",MAIN!B354) -1), "0", ""), "1", ""), "2", ""), "3", ""), "4", ""), "5", ""), "6", ""), "7", ""), "8", ""), "9", "")), PROPER(SUBSTITUTE(SUBSTITUTE(SUBSTITUTE(SUBSTITUTE(SUBSTITUTE(SUBSTITUTE(SUBSTITUTE(SUBSTITUTE(SUBSTITUTE(SUBSTITUTE(MAIN!B354, "0", ""), "1", ""), "2", ""), "3", ""), "4", ""), "5", ""), "6", ""), "7", ""), "8", ""), "9", ""))))</f>
        <v>--</v>
      </c>
      <c r="C354" t="str">
        <f>IF(ISBLANK(MAIN!C354), "--", IFERROR(PROPER(SUBSTITUTE(SUBSTITUTE(SUBSTITUTE(SUBSTITUTE(SUBSTITUTE(SUBSTITUTE(SUBSTITUTE(SUBSTITUTE(SUBSTITUTE(SUBSTITUTE(LEFT(MAIN!C354, FIND(",",MAIN!C354) -1), "0", ""), "1", ""), "2", ""), "3", ""), "4", ""), "5", ""), "6", ""), "7", ""), "8", ""), "9", "")), PROPER(SUBSTITUTE(SUBSTITUTE(SUBSTITUTE(SUBSTITUTE(SUBSTITUTE(SUBSTITUTE(SUBSTITUTE(SUBSTITUTE(SUBSTITUTE(SUBSTITUTE(MAIN!C354, "0", ""), "1", ""), "2", ""), "3", ""), "4", ""), "5", ""), "6", ""), "7", ""), "8", ""), "9", ""))))</f>
        <v>--</v>
      </c>
      <c r="D354" t="str">
        <f>IF(ISBLANK(MAIN!D354), "--", IF(ISNUMBER(MATCH(SUBSTITUTE(LEFT(MAIN!D354, IFERROR(FIND(",", MAIN!D354)-1, LEN(MAIN!D354))), " ", ""), lookup_values!$B$2:$B$51, 0)), UPPER(SUBSTITUTE(LEFT(MAIN!D354, IFERROR(FIND(",", MAIN!D354)-1, LEN(MAIN!D354))), " ", "")), IF(ISNA(VLOOKUP(SUBSTITUTE(LEFT(MAIN!D354, IFERROR(FIND(",", MAIN!D354)-1, LEN(MAIN!D354))), " ", ""), lookup_values!$A$2:$B$51, 2, FALSE)), "--", VLOOKUP(SUBSTITUTE(LEFT(MAIN!D354, IFERROR(FIND(",", MAIN!D354)-1, LEN(MAIN!D354))), " ", ""), lookup_values!$A$2:$B$51, 2, FALSE))))</f>
        <v>--</v>
      </c>
      <c r="E354" t="str">
        <f>IF(CLEAN_DATA!D354&lt;&gt;"--","US",IF(ISBLANK(MAIN!E354), "--", IF(ISNUMBER(MATCH(SUBSTITUTE(LEFT(MAIN!E354, IFERROR(FIND(",", MAIN!E354)-1, LEN(MAIN!E354))), " ", ""), lookup_values!$E$2:$E$197, 0)), UPPER(SUBSTITUTE(LEFT(MAIN!E354, IFERROR(FIND(",", MAIN!E354)-1, LEN(MAIN!E354))), " ", "")), IF(ISNA(VLOOKUP(SUBSTITUTE(LEFT(MAIN!E354, IFERROR(FIND(",", MAIN!E354)-1, LEN(MAIN!E354))), " ", ""), lookup_values!$D$2:$E$197, 2, FALSE)), "--", VLOOKUP(SUBSTITUTE(LEFT(MAIN!E354, IFERROR(FIND(",", MAIN!E354)-1, LEN(MAIN!E354))), " ", ""), lookup_values!$D$2:$E$197, 2, FALSE)))))</f>
        <v>--</v>
      </c>
      <c r="F354" t="str">
        <f>IF(ISBLANK(MAIN!F354), "", IF(AND(ISNUMBER(VALUE(TRIM(MAIN!F354))), LEN(TRIM(MAIN!F354))=4), VALUE(TRIM(MAIN!F354)), ""))</f>
        <v/>
      </c>
      <c r="G354">
        <f>IF(ISBLANK(MAIN!G354), 0, IF(ISNUMBER(VALUE(TRIM(MAIN!G354))), VALUE(TRIM(MAIN!G354)), 0))</f>
        <v>0</v>
      </c>
      <c r="H354">
        <f>IF(ISBLANK(MAIN!H354), 0, IF(ISNUMBER(VALUE(TRIM(MAIN!H354))), VALUE(TRIM(MAIN!H354)), 0))</f>
        <v>0</v>
      </c>
      <c r="I354">
        <f>IF(ISBLANK(MAIN!I354), 0, IF(ISNUMBER(VALUE(TRIM(MAIN!I354))), VALUE(TRIM(MAIN!I354)), 0))</f>
        <v>0</v>
      </c>
      <c r="J354">
        <f>IF(ISBLANK(MAIN!J354), 0, IF(ISNUMBER(VALUE(TRIM(MAIN!J354))), VALUE(TRIM(MAIN!J354)), 0))</f>
        <v>0</v>
      </c>
      <c r="K354" cm="1">
        <f t="array" ref="K354">IFERROR(
    VALUE(
        IFERROR(
            UPPER(
                IF(MAX(IFERROR(SEARCH("WD",MAIN!G354:J354), 0))&gt;0, "WD",
                IF(MAX(IFERROR(SEARCH("NS",MAIN!G354:J354), 0))&gt;0, "NS",
                IF(MAX(IFERROR(SEARCH("NC",MAIN!G354:J354), 0))&gt;0, "NC",
                IF(MAX(IFERROR(SEARCH("DQ",MAIN!G354:J354), 0))&gt;0, "DQ",
                IF(ISNUMBER(SEARCH("WD",MAIN!K354)), "WD",
                IF(ISNUMBER(SEARCH("NS",MAIN!K354)), "NS",
                IF(ISNUMBER(SEARCH("NC",MAIN!K354)), "NC",
                IF(ISNUMBER(SEARCH("DQ",MAIN!K354)), "DQ",
                IF(ISNUMBER(SEARCH("A",MAIN!K354)), 0,
                IF(OR(MAIN!K354=0,MAIN!K354=""), 0, --TRIM(MAIN!K354)))))))))))),
            0
        )
    ),
    IFERROR(
        UPPER(
            IF(MAX(IFERROR(SEARCH("WD",MAIN!G354:J354), 0))&gt;0, "WD",
            IF(MAX(IFERROR(SEARCH("NS",MAIN!G354:J354), 0))&gt;0, "NS",
            IF(MAX(IFERROR(SEARCH("NC",MAIN!G354:J354), 0))&gt;0, "NC",
            IF(MAX(IFERROR(SEARCH("DQ",MAIN!G354:J354), 0))&gt;0, "DQ",
            IF(ISNUMBER(SEARCH("WD",MAIN!K354)), "WD",
            IF(ISNUMBER(SEARCH("NS",MAIN!K354)), "NS",
            IF(ISNUMBER(SEARCH("NC",MAIN!K354)), "NC",
            IF(ISNUMBER(SEARCH("DQ",MAIN!K354)), "DQ",
            IF(ISNUMBER(SEARCH("A",MAIN!K354)), 0,
            IF(OR(MAIN!K354=0,MAIN!K354=""), 0, --TRIM(MAIN!K354)))))))))))),
        0
    )
)</f>
        <v>0</v>
      </c>
    </row>
    <row r="355" spans="1:11" x14ac:dyDescent="0.25">
      <c r="A355" t="str">
        <f>IF(ISBLANK(MAIN!A355), "--", IFERROR(PROPER(SUBSTITUTE(SUBSTITUTE(SUBSTITUTE(SUBSTITUTE(SUBSTITUTE(SUBSTITUTE(SUBSTITUTE(SUBSTITUTE(SUBSTITUTE(SUBSTITUTE(LEFT(MAIN!A355, FIND(",",MAIN!A355) -1), "0", ""), "1", ""), "2", ""), "3", ""), "4", ""), "5", ""), "6", ""), "7", ""), "8", ""), "9", "")), PROPER(SUBSTITUTE(SUBSTITUTE(SUBSTITUTE(SUBSTITUTE(SUBSTITUTE(SUBSTITUTE(SUBSTITUTE(SUBSTITUTE(SUBSTITUTE(SUBSTITUTE(MAIN!A355, "0", ""), "1", ""), "2", ""), "3", ""), "4", ""), "5", ""), "6", ""), "7", ""), "8", ""), "9", ""))))</f>
        <v>--</v>
      </c>
      <c r="B355" t="str">
        <f>IF(ISBLANK(MAIN!B355), "--", IFERROR(PROPER(SUBSTITUTE(SUBSTITUTE(SUBSTITUTE(SUBSTITUTE(SUBSTITUTE(SUBSTITUTE(SUBSTITUTE(SUBSTITUTE(SUBSTITUTE(SUBSTITUTE(LEFT(MAIN!B355, FIND(",",MAIN!B355) -1), "0", ""), "1", ""), "2", ""), "3", ""), "4", ""), "5", ""), "6", ""), "7", ""), "8", ""), "9", "")), PROPER(SUBSTITUTE(SUBSTITUTE(SUBSTITUTE(SUBSTITUTE(SUBSTITUTE(SUBSTITUTE(SUBSTITUTE(SUBSTITUTE(SUBSTITUTE(SUBSTITUTE(MAIN!B355, "0", ""), "1", ""), "2", ""), "3", ""), "4", ""), "5", ""), "6", ""), "7", ""), "8", ""), "9", ""))))</f>
        <v>--</v>
      </c>
      <c r="C355" t="str">
        <f>IF(ISBLANK(MAIN!C355), "--", IFERROR(PROPER(SUBSTITUTE(SUBSTITUTE(SUBSTITUTE(SUBSTITUTE(SUBSTITUTE(SUBSTITUTE(SUBSTITUTE(SUBSTITUTE(SUBSTITUTE(SUBSTITUTE(LEFT(MAIN!C355, FIND(",",MAIN!C355) -1), "0", ""), "1", ""), "2", ""), "3", ""), "4", ""), "5", ""), "6", ""), "7", ""), "8", ""), "9", "")), PROPER(SUBSTITUTE(SUBSTITUTE(SUBSTITUTE(SUBSTITUTE(SUBSTITUTE(SUBSTITUTE(SUBSTITUTE(SUBSTITUTE(SUBSTITUTE(SUBSTITUTE(MAIN!C355, "0", ""), "1", ""), "2", ""), "3", ""), "4", ""), "5", ""), "6", ""), "7", ""), "8", ""), "9", ""))))</f>
        <v>--</v>
      </c>
      <c r="D355" t="str">
        <f>IF(ISBLANK(MAIN!D355), "--", IF(ISNUMBER(MATCH(SUBSTITUTE(LEFT(MAIN!D355, IFERROR(FIND(",", MAIN!D355)-1, LEN(MAIN!D355))), " ", ""), lookup_values!$B$2:$B$51, 0)), UPPER(SUBSTITUTE(LEFT(MAIN!D355, IFERROR(FIND(",", MAIN!D355)-1, LEN(MAIN!D355))), " ", "")), IF(ISNA(VLOOKUP(SUBSTITUTE(LEFT(MAIN!D355, IFERROR(FIND(",", MAIN!D355)-1, LEN(MAIN!D355))), " ", ""), lookup_values!$A$2:$B$51, 2, FALSE)), "--", VLOOKUP(SUBSTITUTE(LEFT(MAIN!D355, IFERROR(FIND(",", MAIN!D355)-1, LEN(MAIN!D355))), " ", ""), lookup_values!$A$2:$B$51, 2, FALSE))))</f>
        <v>--</v>
      </c>
      <c r="E355" t="str">
        <f>IF(CLEAN_DATA!D355&lt;&gt;"--","US",IF(ISBLANK(MAIN!E355), "--", IF(ISNUMBER(MATCH(SUBSTITUTE(LEFT(MAIN!E355, IFERROR(FIND(",", MAIN!E355)-1, LEN(MAIN!E355))), " ", ""), lookup_values!$E$2:$E$197, 0)), UPPER(SUBSTITUTE(LEFT(MAIN!E355, IFERROR(FIND(",", MAIN!E355)-1, LEN(MAIN!E355))), " ", "")), IF(ISNA(VLOOKUP(SUBSTITUTE(LEFT(MAIN!E355, IFERROR(FIND(",", MAIN!E355)-1, LEN(MAIN!E355))), " ", ""), lookup_values!$D$2:$E$197, 2, FALSE)), "--", VLOOKUP(SUBSTITUTE(LEFT(MAIN!E355, IFERROR(FIND(",", MAIN!E355)-1, LEN(MAIN!E355))), " ", ""), lookup_values!$D$2:$E$197, 2, FALSE)))))</f>
        <v>--</v>
      </c>
      <c r="F355" t="str">
        <f>IF(ISBLANK(MAIN!F355), "", IF(AND(ISNUMBER(VALUE(TRIM(MAIN!F355))), LEN(TRIM(MAIN!F355))=4), VALUE(TRIM(MAIN!F355)), ""))</f>
        <v/>
      </c>
      <c r="G355">
        <f>IF(ISBLANK(MAIN!G355), 0, IF(ISNUMBER(VALUE(TRIM(MAIN!G355))), VALUE(TRIM(MAIN!G355)), 0))</f>
        <v>0</v>
      </c>
      <c r="H355">
        <f>IF(ISBLANK(MAIN!H355), 0, IF(ISNUMBER(VALUE(TRIM(MAIN!H355))), VALUE(TRIM(MAIN!H355)), 0))</f>
        <v>0</v>
      </c>
      <c r="I355">
        <f>IF(ISBLANK(MAIN!I355), 0, IF(ISNUMBER(VALUE(TRIM(MAIN!I355))), VALUE(TRIM(MAIN!I355)), 0))</f>
        <v>0</v>
      </c>
      <c r="J355">
        <f>IF(ISBLANK(MAIN!J355), 0, IF(ISNUMBER(VALUE(TRIM(MAIN!J355))), VALUE(TRIM(MAIN!J355)), 0))</f>
        <v>0</v>
      </c>
      <c r="K355" cm="1">
        <f t="array" ref="K355">IFERROR(
    VALUE(
        IFERROR(
            UPPER(
                IF(MAX(IFERROR(SEARCH("WD",MAIN!G355:J355), 0))&gt;0, "WD",
                IF(MAX(IFERROR(SEARCH("NS",MAIN!G355:J355), 0))&gt;0, "NS",
                IF(MAX(IFERROR(SEARCH("NC",MAIN!G355:J355), 0))&gt;0, "NC",
                IF(MAX(IFERROR(SEARCH("DQ",MAIN!G355:J355), 0))&gt;0, "DQ",
                IF(ISNUMBER(SEARCH("WD",MAIN!K355)), "WD",
                IF(ISNUMBER(SEARCH("NS",MAIN!K355)), "NS",
                IF(ISNUMBER(SEARCH("NC",MAIN!K355)), "NC",
                IF(ISNUMBER(SEARCH("DQ",MAIN!K355)), "DQ",
                IF(ISNUMBER(SEARCH("A",MAIN!K355)), 0,
                IF(OR(MAIN!K355=0,MAIN!K355=""), 0, --TRIM(MAIN!K355)))))))))))),
            0
        )
    ),
    IFERROR(
        UPPER(
            IF(MAX(IFERROR(SEARCH("WD",MAIN!G355:J355), 0))&gt;0, "WD",
            IF(MAX(IFERROR(SEARCH("NS",MAIN!G355:J355), 0))&gt;0, "NS",
            IF(MAX(IFERROR(SEARCH("NC",MAIN!G355:J355), 0))&gt;0, "NC",
            IF(MAX(IFERROR(SEARCH("DQ",MAIN!G355:J355), 0))&gt;0, "DQ",
            IF(ISNUMBER(SEARCH("WD",MAIN!K355)), "WD",
            IF(ISNUMBER(SEARCH("NS",MAIN!K355)), "NS",
            IF(ISNUMBER(SEARCH("NC",MAIN!K355)), "NC",
            IF(ISNUMBER(SEARCH("DQ",MAIN!K355)), "DQ",
            IF(ISNUMBER(SEARCH("A",MAIN!K355)), 0,
            IF(OR(MAIN!K355=0,MAIN!K355=""), 0, --TRIM(MAIN!K355)))))))))))),
        0
    )
)</f>
        <v>0</v>
      </c>
    </row>
    <row r="356" spans="1:11" x14ac:dyDescent="0.25">
      <c r="A356" t="str">
        <f>IF(ISBLANK(MAIN!A356), "--", IFERROR(PROPER(SUBSTITUTE(SUBSTITUTE(SUBSTITUTE(SUBSTITUTE(SUBSTITUTE(SUBSTITUTE(SUBSTITUTE(SUBSTITUTE(SUBSTITUTE(SUBSTITUTE(LEFT(MAIN!A356, FIND(",",MAIN!A356) -1), "0", ""), "1", ""), "2", ""), "3", ""), "4", ""), "5", ""), "6", ""), "7", ""), "8", ""), "9", "")), PROPER(SUBSTITUTE(SUBSTITUTE(SUBSTITUTE(SUBSTITUTE(SUBSTITUTE(SUBSTITUTE(SUBSTITUTE(SUBSTITUTE(SUBSTITUTE(SUBSTITUTE(MAIN!A356, "0", ""), "1", ""), "2", ""), "3", ""), "4", ""), "5", ""), "6", ""), "7", ""), "8", ""), "9", ""))))</f>
        <v>--</v>
      </c>
      <c r="B356" t="str">
        <f>IF(ISBLANK(MAIN!B356), "--", IFERROR(PROPER(SUBSTITUTE(SUBSTITUTE(SUBSTITUTE(SUBSTITUTE(SUBSTITUTE(SUBSTITUTE(SUBSTITUTE(SUBSTITUTE(SUBSTITUTE(SUBSTITUTE(LEFT(MAIN!B356, FIND(",",MAIN!B356) -1), "0", ""), "1", ""), "2", ""), "3", ""), "4", ""), "5", ""), "6", ""), "7", ""), "8", ""), "9", "")), PROPER(SUBSTITUTE(SUBSTITUTE(SUBSTITUTE(SUBSTITUTE(SUBSTITUTE(SUBSTITUTE(SUBSTITUTE(SUBSTITUTE(SUBSTITUTE(SUBSTITUTE(MAIN!B356, "0", ""), "1", ""), "2", ""), "3", ""), "4", ""), "5", ""), "6", ""), "7", ""), "8", ""), "9", ""))))</f>
        <v>--</v>
      </c>
      <c r="C356" t="str">
        <f>IF(ISBLANK(MAIN!C356), "--", IFERROR(PROPER(SUBSTITUTE(SUBSTITUTE(SUBSTITUTE(SUBSTITUTE(SUBSTITUTE(SUBSTITUTE(SUBSTITUTE(SUBSTITUTE(SUBSTITUTE(SUBSTITUTE(LEFT(MAIN!C356, FIND(",",MAIN!C356) -1), "0", ""), "1", ""), "2", ""), "3", ""), "4", ""), "5", ""), "6", ""), "7", ""), "8", ""), "9", "")), PROPER(SUBSTITUTE(SUBSTITUTE(SUBSTITUTE(SUBSTITUTE(SUBSTITUTE(SUBSTITUTE(SUBSTITUTE(SUBSTITUTE(SUBSTITUTE(SUBSTITUTE(MAIN!C356, "0", ""), "1", ""), "2", ""), "3", ""), "4", ""), "5", ""), "6", ""), "7", ""), "8", ""), "9", ""))))</f>
        <v>--</v>
      </c>
      <c r="D356" t="str">
        <f>IF(ISBLANK(MAIN!D356), "--", IF(ISNUMBER(MATCH(SUBSTITUTE(LEFT(MAIN!D356, IFERROR(FIND(",", MAIN!D356)-1, LEN(MAIN!D356))), " ", ""), lookup_values!$B$2:$B$51, 0)), UPPER(SUBSTITUTE(LEFT(MAIN!D356, IFERROR(FIND(",", MAIN!D356)-1, LEN(MAIN!D356))), " ", "")), IF(ISNA(VLOOKUP(SUBSTITUTE(LEFT(MAIN!D356, IFERROR(FIND(",", MAIN!D356)-1, LEN(MAIN!D356))), " ", ""), lookup_values!$A$2:$B$51, 2, FALSE)), "--", VLOOKUP(SUBSTITUTE(LEFT(MAIN!D356, IFERROR(FIND(",", MAIN!D356)-1, LEN(MAIN!D356))), " ", ""), lookup_values!$A$2:$B$51, 2, FALSE))))</f>
        <v>--</v>
      </c>
      <c r="E356" t="str">
        <f>IF(CLEAN_DATA!D356&lt;&gt;"--","US",IF(ISBLANK(MAIN!E356), "--", IF(ISNUMBER(MATCH(SUBSTITUTE(LEFT(MAIN!E356, IFERROR(FIND(",", MAIN!E356)-1, LEN(MAIN!E356))), " ", ""), lookup_values!$E$2:$E$197, 0)), UPPER(SUBSTITUTE(LEFT(MAIN!E356, IFERROR(FIND(",", MAIN!E356)-1, LEN(MAIN!E356))), " ", "")), IF(ISNA(VLOOKUP(SUBSTITUTE(LEFT(MAIN!E356, IFERROR(FIND(",", MAIN!E356)-1, LEN(MAIN!E356))), " ", ""), lookup_values!$D$2:$E$197, 2, FALSE)), "--", VLOOKUP(SUBSTITUTE(LEFT(MAIN!E356, IFERROR(FIND(",", MAIN!E356)-1, LEN(MAIN!E356))), " ", ""), lookup_values!$D$2:$E$197, 2, FALSE)))))</f>
        <v>--</v>
      </c>
      <c r="F356" t="str">
        <f>IF(ISBLANK(MAIN!F356), "", IF(AND(ISNUMBER(VALUE(TRIM(MAIN!F356))), LEN(TRIM(MAIN!F356))=4), VALUE(TRIM(MAIN!F356)), ""))</f>
        <v/>
      </c>
      <c r="G356">
        <f>IF(ISBLANK(MAIN!G356), 0, IF(ISNUMBER(VALUE(TRIM(MAIN!G356))), VALUE(TRIM(MAIN!G356)), 0))</f>
        <v>0</v>
      </c>
      <c r="H356">
        <f>IF(ISBLANK(MAIN!H356), 0, IF(ISNUMBER(VALUE(TRIM(MAIN!H356))), VALUE(TRIM(MAIN!H356)), 0))</f>
        <v>0</v>
      </c>
      <c r="I356">
        <f>IF(ISBLANK(MAIN!I356), 0, IF(ISNUMBER(VALUE(TRIM(MAIN!I356))), VALUE(TRIM(MAIN!I356)), 0))</f>
        <v>0</v>
      </c>
      <c r="J356">
        <f>IF(ISBLANK(MAIN!J356), 0, IF(ISNUMBER(VALUE(TRIM(MAIN!J356))), VALUE(TRIM(MAIN!J356)), 0))</f>
        <v>0</v>
      </c>
      <c r="K356" cm="1">
        <f t="array" ref="K356">IFERROR(
    VALUE(
        IFERROR(
            UPPER(
                IF(MAX(IFERROR(SEARCH("WD",MAIN!G356:J356), 0))&gt;0, "WD",
                IF(MAX(IFERROR(SEARCH("NS",MAIN!G356:J356), 0))&gt;0, "NS",
                IF(MAX(IFERROR(SEARCH("NC",MAIN!G356:J356), 0))&gt;0, "NC",
                IF(MAX(IFERROR(SEARCH("DQ",MAIN!G356:J356), 0))&gt;0, "DQ",
                IF(ISNUMBER(SEARCH("WD",MAIN!K356)), "WD",
                IF(ISNUMBER(SEARCH("NS",MAIN!K356)), "NS",
                IF(ISNUMBER(SEARCH("NC",MAIN!K356)), "NC",
                IF(ISNUMBER(SEARCH("DQ",MAIN!K356)), "DQ",
                IF(ISNUMBER(SEARCH("A",MAIN!K356)), 0,
                IF(OR(MAIN!K356=0,MAIN!K356=""), 0, --TRIM(MAIN!K356)))))))))))),
            0
        )
    ),
    IFERROR(
        UPPER(
            IF(MAX(IFERROR(SEARCH("WD",MAIN!G356:J356), 0))&gt;0, "WD",
            IF(MAX(IFERROR(SEARCH("NS",MAIN!G356:J356), 0))&gt;0, "NS",
            IF(MAX(IFERROR(SEARCH("NC",MAIN!G356:J356), 0))&gt;0, "NC",
            IF(MAX(IFERROR(SEARCH("DQ",MAIN!G356:J356), 0))&gt;0, "DQ",
            IF(ISNUMBER(SEARCH("WD",MAIN!K356)), "WD",
            IF(ISNUMBER(SEARCH("NS",MAIN!K356)), "NS",
            IF(ISNUMBER(SEARCH("NC",MAIN!K356)), "NC",
            IF(ISNUMBER(SEARCH("DQ",MAIN!K356)), "DQ",
            IF(ISNUMBER(SEARCH("A",MAIN!K356)), 0,
            IF(OR(MAIN!K356=0,MAIN!K356=""), 0, --TRIM(MAIN!K356)))))))))))),
        0
    )
)</f>
        <v>0</v>
      </c>
    </row>
    <row r="357" spans="1:11" x14ac:dyDescent="0.25">
      <c r="A357" t="str">
        <f>IF(ISBLANK(MAIN!A357), "--", IFERROR(PROPER(SUBSTITUTE(SUBSTITUTE(SUBSTITUTE(SUBSTITUTE(SUBSTITUTE(SUBSTITUTE(SUBSTITUTE(SUBSTITUTE(SUBSTITUTE(SUBSTITUTE(LEFT(MAIN!A357, FIND(",",MAIN!A357) -1), "0", ""), "1", ""), "2", ""), "3", ""), "4", ""), "5", ""), "6", ""), "7", ""), "8", ""), "9", "")), PROPER(SUBSTITUTE(SUBSTITUTE(SUBSTITUTE(SUBSTITUTE(SUBSTITUTE(SUBSTITUTE(SUBSTITUTE(SUBSTITUTE(SUBSTITUTE(SUBSTITUTE(MAIN!A357, "0", ""), "1", ""), "2", ""), "3", ""), "4", ""), "5", ""), "6", ""), "7", ""), "8", ""), "9", ""))))</f>
        <v>--</v>
      </c>
      <c r="B357" t="str">
        <f>IF(ISBLANK(MAIN!B357), "--", IFERROR(PROPER(SUBSTITUTE(SUBSTITUTE(SUBSTITUTE(SUBSTITUTE(SUBSTITUTE(SUBSTITUTE(SUBSTITUTE(SUBSTITUTE(SUBSTITUTE(SUBSTITUTE(LEFT(MAIN!B357, FIND(",",MAIN!B357) -1), "0", ""), "1", ""), "2", ""), "3", ""), "4", ""), "5", ""), "6", ""), "7", ""), "8", ""), "9", "")), PROPER(SUBSTITUTE(SUBSTITUTE(SUBSTITUTE(SUBSTITUTE(SUBSTITUTE(SUBSTITUTE(SUBSTITUTE(SUBSTITUTE(SUBSTITUTE(SUBSTITUTE(MAIN!B357, "0", ""), "1", ""), "2", ""), "3", ""), "4", ""), "5", ""), "6", ""), "7", ""), "8", ""), "9", ""))))</f>
        <v>--</v>
      </c>
      <c r="C357" t="str">
        <f>IF(ISBLANK(MAIN!C357), "--", IFERROR(PROPER(SUBSTITUTE(SUBSTITUTE(SUBSTITUTE(SUBSTITUTE(SUBSTITUTE(SUBSTITUTE(SUBSTITUTE(SUBSTITUTE(SUBSTITUTE(SUBSTITUTE(LEFT(MAIN!C357, FIND(",",MAIN!C357) -1), "0", ""), "1", ""), "2", ""), "3", ""), "4", ""), "5", ""), "6", ""), "7", ""), "8", ""), "9", "")), PROPER(SUBSTITUTE(SUBSTITUTE(SUBSTITUTE(SUBSTITUTE(SUBSTITUTE(SUBSTITUTE(SUBSTITUTE(SUBSTITUTE(SUBSTITUTE(SUBSTITUTE(MAIN!C357, "0", ""), "1", ""), "2", ""), "3", ""), "4", ""), "5", ""), "6", ""), "7", ""), "8", ""), "9", ""))))</f>
        <v>--</v>
      </c>
      <c r="D357" t="str">
        <f>IF(ISBLANK(MAIN!D357), "--", IF(ISNUMBER(MATCH(SUBSTITUTE(LEFT(MAIN!D357, IFERROR(FIND(",", MAIN!D357)-1, LEN(MAIN!D357))), " ", ""), lookup_values!$B$2:$B$51, 0)), UPPER(SUBSTITUTE(LEFT(MAIN!D357, IFERROR(FIND(",", MAIN!D357)-1, LEN(MAIN!D357))), " ", "")), IF(ISNA(VLOOKUP(SUBSTITUTE(LEFT(MAIN!D357, IFERROR(FIND(",", MAIN!D357)-1, LEN(MAIN!D357))), " ", ""), lookup_values!$A$2:$B$51, 2, FALSE)), "--", VLOOKUP(SUBSTITUTE(LEFT(MAIN!D357, IFERROR(FIND(",", MAIN!D357)-1, LEN(MAIN!D357))), " ", ""), lookup_values!$A$2:$B$51, 2, FALSE))))</f>
        <v>--</v>
      </c>
      <c r="E357" t="str">
        <f>IF(CLEAN_DATA!D357&lt;&gt;"--","US",IF(ISBLANK(MAIN!E357), "--", IF(ISNUMBER(MATCH(SUBSTITUTE(LEFT(MAIN!E357, IFERROR(FIND(",", MAIN!E357)-1, LEN(MAIN!E357))), " ", ""), lookup_values!$E$2:$E$197, 0)), UPPER(SUBSTITUTE(LEFT(MAIN!E357, IFERROR(FIND(",", MAIN!E357)-1, LEN(MAIN!E357))), " ", "")), IF(ISNA(VLOOKUP(SUBSTITUTE(LEFT(MAIN!E357, IFERROR(FIND(",", MAIN!E357)-1, LEN(MAIN!E357))), " ", ""), lookup_values!$D$2:$E$197, 2, FALSE)), "--", VLOOKUP(SUBSTITUTE(LEFT(MAIN!E357, IFERROR(FIND(",", MAIN!E357)-1, LEN(MAIN!E357))), " ", ""), lookup_values!$D$2:$E$197, 2, FALSE)))))</f>
        <v>--</v>
      </c>
      <c r="F357" t="str">
        <f>IF(ISBLANK(MAIN!F357), "", IF(AND(ISNUMBER(VALUE(TRIM(MAIN!F357))), LEN(TRIM(MAIN!F357))=4), VALUE(TRIM(MAIN!F357)), ""))</f>
        <v/>
      </c>
      <c r="G357">
        <f>IF(ISBLANK(MAIN!G357), 0, IF(ISNUMBER(VALUE(TRIM(MAIN!G357))), VALUE(TRIM(MAIN!G357)), 0))</f>
        <v>0</v>
      </c>
      <c r="H357">
        <f>IF(ISBLANK(MAIN!H357), 0, IF(ISNUMBER(VALUE(TRIM(MAIN!H357))), VALUE(TRIM(MAIN!H357)), 0))</f>
        <v>0</v>
      </c>
      <c r="I357">
        <f>IF(ISBLANK(MAIN!I357), 0, IF(ISNUMBER(VALUE(TRIM(MAIN!I357))), VALUE(TRIM(MAIN!I357)), 0))</f>
        <v>0</v>
      </c>
      <c r="J357">
        <f>IF(ISBLANK(MAIN!J357), 0, IF(ISNUMBER(VALUE(TRIM(MAIN!J357))), VALUE(TRIM(MAIN!J357)), 0))</f>
        <v>0</v>
      </c>
      <c r="K357" cm="1">
        <f t="array" ref="K357">IFERROR(
    VALUE(
        IFERROR(
            UPPER(
                IF(MAX(IFERROR(SEARCH("WD",MAIN!G357:J357), 0))&gt;0, "WD",
                IF(MAX(IFERROR(SEARCH("NS",MAIN!G357:J357), 0))&gt;0, "NS",
                IF(MAX(IFERROR(SEARCH("NC",MAIN!G357:J357), 0))&gt;0, "NC",
                IF(MAX(IFERROR(SEARCH("DQ",MAIN!G357:J357), 0))&gt;0, "DQ",
                IF(ISNUMBER(SEARCH("WD",MAIN!K357)), "WD",
                IF(ISNUMBER(SEARCH("NS",MAIN!K357)), "NS",
                IF(ISNUMBER(SEARCH("NC",MAIN!K357)), "NC",
                IF(ISNUMBER(SEARCH("DQ",MAIN!K357)), "DQ",
                IF(ISNUMBER(SEARCH("A",MAIN!K357)), 0,
                IF(OR(MAIN!K357=0,MAIN!K357=""), 0, --TRIM(MAIN!K357)))))))))))),
            0
        )
    ),
    IFERROR(
        UPPER(
            IF(MAX(IFERROR(SEARCH("WD",MAIN!G357:J357), 0))&gt;0, "WD",
            IF(MAX(IFERROR(SEARCH("NS",MAIN!G357:J357), 0))&gt;0, "NS",
            IF(MAX(IFERROR(SEARCH("NC",MAIN!G357:J357), 0))&gt;0, "NC",
            IF(MAX(IFERROR(SEARCH("DQ",MAIN!G357:J357), 0))&gt;0, "DQ",
            IF(ISNUMBER(SEARCH("WD",MAIN!K357)), "WD",
            IF(ISNUMBER(SEARCH("NS",MAIN!K357)), "NS",
            IF(ISNUMBER(SEARCH("NC",MAIN!K357)), "NC",
            IF(ISNUMBER(SEARCH("DQ",MAIN!K357)), "DQ",
            IF(ISNUMBER(SEARCH("A",MAIN!K357)), 0,
            IF(OR(MAIN!K357=0,MAIN!K357=""), 0, --TRIM(MAIN!K357)))))))))))),
        0
    )
)</f>
        <v>0</v>
      </c>
    </row>
    <row r="358" spans="1:11" x14ac:dyDescent="0.25">
      <c r="A358" t="str">
        <f>IF(ISBLANK(MAIN!A358), "--", IFERROR(PROPER(SUBSTITUTE(SUBSTITUTE(SUBSTITUTE(SUBSTITUTE(SUBSTITUTE(SUBSTITUTE(SUBSTITUTE(SUBSTITUTE(SUBSTITUTE(SUBSTITUTE(LEFT(MAIN!A358, FIND(",",MAIN!A358) -1), "0", ""), "1", ""), "2", ""), "3", ""), "4", ""), "5", ""), "6", ""), "7", ""), "8", ""), "9", "")), PROPER(SUBSTITUTE(SUBSTITUTE(SUBSTITUTE(SUBSTITUTE(SUBSTITUTE(SUBSTITUTE(SUBSTITUTE(SUBSTITUTE(SUBSTITUTE(SUBSTITUTE(MAIN!A358, "0", ""), "1", ""), "2", ""), "3", ""), "4", ""), "5", ""), "6", ""), "7", ""), "8", ""), "9", ""))))</f>
        <v>--</v>
      </c>
      <c r="B358" t="str">
        <f>IF(ISBLANK(MAIN!B358), "--", IFERROR(PROPER(SUBSTITUTE(SUBSTITUTE(SUBSTITUTE(SUBSTITUTE(SUBSTITUTE(SUBSTITUTE(SUBSTITUTE(SUBSTITUTE(SUBSTITUTE(SUBSTITUTE(LEFT(MAIN!B358, FIND(",",MAIN!B358) -1), "0", ""), "1", ""), "2", ""), "3", ""), "4", ""), "5", ""), "6", ""), "7", ""), "8", ""), "9", "")), PROPER(SUBSTITUTE(SUBSTITUTE(SUBSTITUTE(SUBSTITUTE(SUBSTITUTE(SUBSTITUTE(SUBSTITUTE(SUBSTITUTE(SUBSTITUTE(SUBSTITUTE(MAIN!B358, "0", ""), "1", ""), "2", ""), "3", ""), "4", ""), "5", ""), "6", ""), "7", ""), "8", ""), "9", ""))))</f>
        <v>--</v>
      </c>
      <c r="C358" t="str">
        <f>IF(ISBLANK(MAIN!C358), "--", IFERROR(PROPER(SUBSTITUTE(SUBSTITUTE(SUBSTITUTE(SUBSTITUTE(SUBSTITUTE(SUBSTITUTE(SUBSTITUTE(SUBSTITUTE(SUBSTITUTE(SUBSTITUTE(LEFT(MAIN!C358, FIND(",",MAIN!C358) -1), "0", ""), "1", ""), "2", ""), "3", ""), "4", ""), "5", ""), "6", ""), "7", ""), "8", ""), "9", "")), PROPER(SUBSTITUTE(SUBSTITUTE(SUBSTITUTE(SUBSTITUTE(SUBSTITUTE(SUBSTITUTE(SUBSTITUTE(SUBSTITUTE(SUBSTITUTE(SUBSTITUTE(MAIN!C358, "0", ""), "1", ""), "2", ""), "3", ""), "4", ""), "5", ""), "6", ""), "7", ""), "8", ""), "9", ""))))</f>
        <v>--</v>
      </c>
      <c r="D358" t="str">
        <f>IF(ISBLANK(MAIN!D358), "--", IF(ISNUMBER(MATCH(SUBSTITUTE(LEFT(MAIN!D358, IFERROR(FIND(",", MAIN!D358)-1, LEN(MAIN!D358))), " ", ""), lookup_values!$B$2:$B$51, 0)), UPPER(SUBSTITUTE(LEFT(MAIN!D358, IFERROR(FIND(",", MAIN!D358)-1, LEN(MAIN!D358))), " ", "")), IF(ISNA(VLOOKUP(SUBSTITUTE(LEFT(MAIN!D358, IFERROR(FIND(",", MAIN!D358)-1, LEN(MAIN!D358))), " ", ""), lookup_values!$A$2:$B$51, 2, FALSE)), "--", VLOOKUP(SUBSTITUTE(LEFT(MAIN!D358, IFERROR(FIND(",", MAIN!D358)-1, LEN(MAIN!D358))), " ", ""), lookup_values!$A$2:$B$51, 2, FALSE))))</f>
        <v>--</v>
      </c>
      <c r="E358" t="str">
        <f>IF(CLEAN_DATA!D358&lt;&gt;"--","US",IF(ISBLANK(MAIN!E358), "--", IF(ISNUMBER(MATCH(SUBSTITUTE(LEFT(MAIN!E358, IFERROR(FIND(",", MAIN!E358)-1, LEN(MAIN!E358))), " ", ""), lookup_values!$E$2:$E$197, 0)), UPPER(SUBSTITUTE(LEFT(MAIN!E358, IFERROR(FIND(",", MAIN!E358)-1, LEN(MAIN!E358))), " ", "")), IF(ISNA(VLOOKUP(SUBSTITUTE(LEFT(MAIN!E358, IFERROR(FIND(",", MAIN!E358)-1, LEN(MAIN!E358))), " ", ""), lookup_values!$D$2:$E$197, 2, FALSE)), "--", VLOOKUP(SUBSTITUTE(LEFT(MAIN!E358, IFERROR(FIND(",", MAIN!E358)-1, LEN(MAIN!E358))), " ", ""), lookup_values!$D$2:$E$197, 2, FALSE)))))</f>
        <v>--</v>
      </c>
      <c r="F358" t="str">
        <f>IF(ISBLANK(MAIN!F358), "", IF(AND(ISNUMBER(VALUE(TRIM(MAIN!F358))), LEN(TRIM(MAIN!F358))=4), VALUE(TRIM(MAIN!F358)), ""))</f>
        <v/>
      </c>
      <c r="G358">
        <f>IF(ISBLANK(MAIN!G358), 0, IF(ISNUMBER(VALUE(TRIM(MAIN!G358))), VALUE(TRIM(MAIN!G358)), 0))</f>
        <v>0</v>
      </c>
      <c r="H358">
        <f>IF(ISBLANK(MAIN!H358), 0, IF(ISNUMBER(VALUE(TRIM(MAIN!H358))), VALUE(TRIM(MAIN!H358)), 0))</f>
        <v>0</v>
      </c>
      <c r="I358">
        <f>IF(ISBLANK(MAIN!I358), 0, IF(ISNUMBER(VALUE(TRIM(MAIN!I358))), VALUE(TRIM(MAIN!I358)), 0))</f>
        <v>0</v>
      </c>
      <c r="J358">
        <f>IF(ISBLANK(MAIN!J358), 0, IF(ISNUMBER(VALUE(TRIM(MAIN!J358))), VALUE(TRIM(MAIN!J358)), 0))</f>
        <v>0</v>
      </c>
      <c r="K358" cm="1">
        <f t="array" ref="K358">IFERROR(
    VALUE(
        IFERROR(
            UPPER(
                IF(MAX(IFERROR(SEARCH("WD",MAIN!G358:J358), 0))&gt;0, "WD",
                IF(MAX(IFERROR(SEARCH("NS",MAIN!G358:J358), 0))&gt;0, "NS",
                IF(MAX(IFERROR(SEARCH("NC",MAIN!G358:J358), 0))&gt;0, "NC",
                IF(MAX(IFERROR(SEARCH("DQ",MAIN!G358:J358), 0))&gt;0, "DQ",
                IF(ISNUMBER(SEARCH("WD",MAIN!K358)), "WD",
                IF(ISNUMBER(SEARCH("NS",MAIN!K358)), "NS",
                IF(ISNUMBER(SEARCH("NC",MAIN!K358)), "NC",
                IF(ISNUMBER(SEARCH("DQ",MAIN!K358)), "DQ",
                IF(ISNUMBER(SEARCH("A",MAIN!K358)), 0,
                IF(OR(MAIN!K358=0,MAIN!K358=""), 0, --TRIM(MAIN!K358)))))))))))),
            0
        )
    ),
    IFERROR(
        UPPER(
            IF(MAX(IFERROR(SEARCH("WD",MAIN!G358:J358), 0))&gt;0, "WD",
            IF(MAX(IFERROR(SEARCH("NS",MAIN!G358:J358), 0))&gt;0, "NS",
            IF(MAX(IFERROR(SEARCH("NC",MAIN!G358:J358), 0))&gt;0, "NC",
            IF(MAX(IFERROR(SEARCH("DQ",MAIN!G358:J358), 0))&gt;0, "DQ",
            IF(ISNUMBER(SEARCH("WD",MAIN!K358)), "WD",
            IF(ISNUMBER(SEARCH("NS",MAIN!K358)), "NS",
            IF(ISNUMBER(SEARCH("NC",MAIN!K358)), "NC",
            IF(ISNUMBER(SEARCH("DQ",MAIN!K358)), "DQ",
            IF(ISNUMBER(SEARCH("A",MAIN!K358)), 0,
            IF(OR(MAIN!K358=0,MAIN!K358=""), 0, --TRIM(MAIN!K358)))))))))))),
        0
    )
)</f>
        <v>0</v>
      </c>
    </row>
    <row r="359" spans="1:11" x14ac:dyDescent="0.25">
      <c r="A359" t="str">
        <f>IF(ISBLANK(MAIN!A359), "--", IFERROR(PROPER(SUBSTITUTE(SUBSTITUTE(SUBSTITUTE(SUBSTITUTE(SUBSTITUTE(SUBSTITUTE(SUBSTITUTE(SUBSTITUTE(SUBSTITUTE(SUBSTITUTE(LEFT(MAIN!A359, FIND(",",MAIN!A359) -1), "0", ""), "1", ""), "2", ""), "3", ""), "4", ""), "5", ""), "6", ""), "7", ""), "8", ""), "9", "")), PROPER(SUBSTITUTE(SUBSTITUTE(SUBSTITUTE(SUBSTITUTE(SUBSTITUTE(SUBSTITUTE(SUBSTITUTE(SUBSTITUTE(SUBSTITUTE(SUBSTITUTE(MAIN!A359, "0", ""), "1", ""), "2", ""), "3", ""), "4", ""), "5", ""), "6", ""), "7", ""), "8", ""), "9", ""))))</f>
        <v>--</v>
      </c>
      <c r="B359" t="str">
        <f>IF(ISBLANK(MAIN!B359), "--", IFERROR(PROPER(SUBSTITUTE(SUBSTITUTE(SUBSTITUTE(SUBSTITUTE(SUBSTITUTE(SUBSTITUTE(SUBSTITUTE(SUBSTITUTE(SUBSTITUTE(SUBSTITUTE(LEFT(MAIN!B359, FIND(",",MAIN!B359) -1), "0", ""), "1", ""), "2", ""), "3", ""), "4", ""), "5", ""), "6", ""), "7", ""), "8", ""), "9", "")), PROPER(SUBSTITUTE(SUBSTITUTE(SUBSTITUTE(SUBSTITUTE(SUBSTITUTE(SUBSTITUTE(SUBSTITUTE(SUBSTITUTE(SUBSTITUTE(SUBSTITUTE(MAIN!B359, "0", ""), "1", ""), "2", ""), "3", ""), "4", ""), "5", ""), "6", ""), "7", ""), "8", ""), "9", ""))))</f>
        <v>--</v>
      </c>
      <c r="C359" t="str">
        <f>IF(ISBLANK(MAIN!C359), "--", IFERROR(PROPER(SUBSTITUTE(SUBSTITUTE(SUBSTITUTE(SUBSTITUTE(SUBSTITUTE(SUBSTITUTE(SUBSTITUTE(SUBSTITUTE(SUBSTITUTE(SUBSTITUTE(LEFT(MAIN!C359, FIND(",",MAIN!C359) -1), "0", ""), "1", ""), "2", ""), "3", ""), "4", ""), "5", ""), "6", ""), "7", ""), "8", ""), "9", "")), PROPER(SUBSTITUTE(SUBSTITUTE(SUBSTITUTE(SUBSTITUTE(SUBSTITUTE(SUBSTITUTE(SUBSTITUTE(SUBSTITUTE(SUBSTITUTE(SUBSTITUTE(MAIN!C359, "0", ""), "1", ""), "2", ""), "3", ""), "4", ""), "5", ""), "6", ""), "7", ""), "8", ""), "9", ""))))</f>
        <v>--</v>
      </c>
      <c r="D359" t="str">
        <f>IF(ISBLANK(MAIN!D359), "--", IF(ISNUMBER(MATCH(SUBSTITUTE(LEFT(MAIN!D359, IFERROR(FIND(",", MAIN!D359)-1, LEN(MAIN!D359))), " ", ""), lookup_values!$B$2:$B$51, 0)), UPPER(SUBSTITUTE(LEFT(MAIN!D359, IFERROR(FIND(",", MAIN!D359)-1, LEN(MAIN!D359))), " ", "")), IF(ISNA(VLOOKUP(SUBSTITUTE(LEFT(MAIN!D359, IFERROR(FIND(",", MAIN!D359)-1, LEN(MAIN!D359))), " ", ""), lookup_values!$A$2:$B$51, 2, FALSE)), "--", VLOOKUP(SUBSTITUTE(LEFT(MAIN!D359, IFERROR(FIND(",", MAIN!D359)-1, LEN(MAIN!D359))), " ", ""), lookup_values!$A$2:$B$51, 2, FALSE))))</f>
        <v>--</v>
      </c>
      <c r="E359" t="str">
        <f>IF(CLEAN_DATA!D359&lt;&gt;"--","US",IF(ISBLANK(MAIN!E359), "--", IF(ISNUMBER(MATCH(SUBSTITUTE(LEFT(MAIN!E359, IFERROR(FIND(",", MAIN!E359)-1, LEN(MAIN!E359))), " ", ""), lookup_values!$E$2:$E$197, 0)), UPPER(SUBSTITUTE(LEFT(MAIN!E359, IFERROR(FIND(",", MAIN!E359)-1, LEN(MAIN!E359))), " ", "")), IF(ISNA(VLOOKUP(SUBSTITUTE(LEFT(MAIN!E359, IFERROR(FIND(",", MAIN!E359)-1, LEN(MAIN!E359))), " ", ""), lookup_values!$D$2:$E$197, 2, FALSE)), "--", VLOOKUP(SUBSTITUTE(LEFT(MAIN!E359, IFERROR(FIND(",", MAIN!E359)-1, LEN(MAIN!E359))), " ", ""), lookup_values!$D$2:$E$197, 2, FALSE)))))</f>
        <v>--</v>
      </c>
      <c r="F359" t="str">
        <f>IF(ISBLANK(MAIN!F359), "", IF(AND(ISNUMBER(VALUE(TRIM(MAIN!F359))), LEN(TRIM(MAIN!F359))=4), VALUE(TRIM(MAIN!F359)), ""))</f>
        <v/>
      </c>
      <c r="G359">
        <f>IF(ISBLANK(MAIN!G359), 0, IF(ISNUMBER(VALUE(TRIM(MAIN!G359))), VALUE(TRIM(MAIN!G359)), 0))</f>
        <v>0</v>
      </c>
      <c r="H359">
        <f>IF(ISBLANK(MAIN!H359), 0, IF(ISNUMBER(VALUE(TRIM(MAIN!H359))), VALUE(TRIM(MAIN!H359)), 0))</f>
        <v>0</v>
      </c>
      <c r="I359">
        <f>IF(ISBLANK(MAIN!I359), 0, IF(ISNUMBER(VALUE(TRIM(MAIN!I359))), VALUE(TRIM(MAIN!I359)), 0))</f>
        <v>0</v>
      </c>
      <c r="J359">
        <f>IF(ISBLANK(MAIN!J359), 0, IF(ISNUMBER(VALUE(TRIM(MAIN!J359))), VALUE(TRIM(MAIN!J359)), 0))</f>
        <v>0</v>
      </c>
      <c r="K359" cm="1">
        <f t="array" ref="K359">IFERROR(
    VALUE(
        IFERROR(
            UPPER(
                IF(MAX(IFERROR(SEARCH("WD",MAIN!G359:J359), 0))&gt;0, "WD",
                IF(MAX(IFERROR(SEARCH("NS",MAIN!G359:J359), 0))&gt;0, "NS",
                IF(MAX(IFERROR(SEARCH("NC",MAIN!G359:J359), 0))&gt;0, "NC",
                IF(MAX(IFERROR(SEARCH("DQ",MAIN!G359:J359), 0))&gt;0, "DQ",
                IF(ISNUMBER(SEARCH("WD",MAIN!K359)), "WD",
                IF(ISNUMBER(SEARCH("NS",MAIN!K359)), "NS",
                IF(ISNUMBER(SEARCH("NC",MAIN!K359)), "NC",
                IF(ISNUMBER(SEARCH("DQ",MAIN!K359)), "DQ",
                IF(ISNUMBER(SEARCH("A",MAIN!K359)), 0,
                IF(OR(MAIN!K359=0,MAIN!K359=""), 0, --TRIM(MAIN!K359)))))))))))),
            0
        )
    ),
    IFERROR(
        UPPER(
            IF(MAX(IFERROR(SEARCH("WD",MAIN!G359:J359), 0))&gt;0, "WD",
            IF(MAX(IFERROR(SEARCH("NS",MAIN!G359:J359), 0))&gt;0, "NS",
            IF(MAX(IFERROR(SEARCH("NC",MAIN!G359:J359), 0))&gt;0, "NC",
            IF(MAX(IFERROR(SEARCH("DQ",MAIN!G359:J359), 0))&gt;0, "DQ",
            IF(ISNUMBER(SEARCH("WD",MAIN!K359)), "WD",
            IF(ISNUMBER(SEARCH("NS",MAIN!K359)), "NS",
            IF(ISNUMBER(SEARCH("NC",MAIN!K359)), "NC",
            IF(ISNUMBER(SEARCH("DQ",MAIN!K359)), "DQ",
            IF(ISNUMBER(SEARCH("A",MAIN!K359)), 0,
            IF(OR(MAIN!K359=0,MAIN!K359=""), 0, --TRIM(MAIN!K359)))))))))))),
        0
    )
)</f>
        <v>0</v>
      </c>
    </row>
    <row r="360" spans="1:11" x14ac:dyDescent="0.25">
      <c r="A360" t="str">
        <f>IF(ISBLANK(MAIN!A360), "--", IFERROR(PROPER(SUBSTITUTE(SUBSTITUTE(SUBSTITUTE(SUBSTITUTE(SUBSTITUTE(SUBSTITUTE(SUBSTITUTE(SUBSTITUTE(SUBSTITUTE(SUBSTITUTE(LEFT(MAIN!A360, FIND(",",MAIN!A360) -1), "0", ""), "1", ""), "2", ""), "3", ""), "4", ""), "5", ""), "6", ""), "7", ""), "8", ""), "9", "")), PROPER(SUBSTITUTE(SUBSTITUTE(SUBSTITUTE(SUBSTITUTE(SUBSTITUTE(SUBSTITUTE(SUBSTITUTE(SUBSTITUTE(SUBSTITUTE(SUBSTITUTE(MAIN!A360, "0", ""), "1", ""), "2", ""), "3", ""), "4", ""), "5", ""), "6", ""), "7", ""), "8", ""), "9", ""))))</f>
        <v>--</v>
      </c>
      <c r="B360" t="str">
        <f>IF(ISBLANK(MAIN!B360), "--", IFERROR(PROPER(SUBSTITUTE(SUBSTITUTE(SUBSTITUTE(SUBSTITUTE(SUBSTITUTE(SUBSTITUTE(SUBSTITUTE(SUBSTITUTE(SUBSTITUTE(SUBSTITUTE(LEFT(MAIN!B360, FIND(",",MAIN!B360) -1), "0", ""), "1", ""), "2", ""), "3", ""), "4", ""), "5", ""), "6", ""), "7", ""), "8", ""), "9", "")), PROPER(SUBSTITUTE(SUBSTITUTE(SUBSTITUTE(SUBSTITUTE(SUBSTITUTE(SUBSTITUTE(SUBSTITUTE(SUBSTITUTE(SUBSTITUTE(SUBSTITUTE(MAIN!B360, "0", ""), "1", ""), "2", ""), "3", ""), "4", ""), "5", ""), "6", ""), "7", ""), "8", ""), "9", ""))))</f>
        <v>--</v>
      </c>
      <c r="C360" t="str">
        <f>IF(ISBLANK(MAIN!C360), "--", IFERROR(PROPER(SUBSTITUTE(SUBSTITUTE(SUBSTITUTE(SUBSTITUTE(SUBSTITUTE(SUBSTITUTE(SUBSTITUTE(SUBSTITUTE(SUBSTITUTE(SUBSTITUTE(LEFT(MAIN!C360, FIND(",",MAIN!C360) -1), "0", ""), "1", ""), "2", ""), "3", ""), "4", ""), "5", ""), "6", ""), "7", ""), "8", ""), "9", "")), PROPER(SUBSTITUTE(SUBSTITUTE(SUBSTITUTE(SUBSTITUTE(SUBSTITUTE(SUBSTITUTE(SUBSTITUTE(SUBSTITUTE(SUBSTITUTE(SUBSTITUTE(MAIN!C360, "0", ""), "1", ""), "2", ""), "3", ""), "4", ""), "5", ""), "6", ""), "7", ""), "8", ""), "9", ""))))</f>
        <v>--</v>
      </c>
      <c r="D360" t="str">
        <f>IF(ISBLANK(MAIN!D360), "--", IF(ISNUMBER(MATCH(SUBSTITUTE(LEFT(MAIN!D360, IFERROR(FIND(",", MAIN!D360)-1, LEN(MAIN!D360))), " ", ""), lookup_values!$B$2:$B$51, 0)), UPPER(SUBSTITUTE(LEFT(MAIN!D360, IFERROR(FIND(",", MAIN!D360)-1, LEN(MAIN!D360))), " ", "")), IF(ISNA(VLOOKUP(SUBSTITUTE(LEFT(MAIN!D360, IFERROR(FIND(",", MAIN!D360)-1, LEN(MAIN!D360))), " ", ""), lookup_values!$A$2:$B$51, 2, FALSE)), "--", VLOOKUP(SUBSTITUTE(LEFT(MAIN!D360, IFERROR(FIND(",", MAIN!D360)-1, LEN(MAIN!D360))), " ", ""), lookup_values!$A$2:$B$51, 2, FALSE))))</f>
        <v>--</v>
      </c>
      <c r="E360" t="str">
        <f>IF(CLEAN_DATA!D360&lt;&gt;"--","US",IF(ISBLANK(MAIN!E360), "--", IF(ISNUMBER(MATCH(SUBSTITUTE(LEFT(MAIN!E360, IFERROR(FIND(",", MAIN!E360)-1, LEN(MAIN!E360))), " ", ""), lookup_values!$E$2:$E$197, 0)), UPPER(SUBSTITUTE(LEFT(MAIN!E360, IFERROR(FIND(",", MAIN!E360)-1, LEN(MAIN!E360))), " ", "")), IF(ISNA(VLOOKUP(SUBSTITUTE(LEFT(MAIN!E360, IFERROR(FIND(",", MAIN!E360)-1, LEN(MAIN!E360))), " ", ""), lookup_values!$D$2:$E$197, 2, FALSE)), "--", VLOOKUP(SUBSTITUTE(LEFT(MAIN!E360, IFERROR(FIND(",", MAIN!E360)-1, LEN(MAIN!E360))), " ", ""), lookup_values!$D$2:$E$197, 2, FALSE)))))</f>
        <v>--</v>
      </c>
      <c r="F360" t="str">
        <f>IF(ISBLANK(MAIN!F360), "", IF(AND(ISNUMBER(VALUE(TRIM(MAIN!F360))), LEN(TRIM(MAIN!F360))=4), VALUE(TRIM(MAIN!F360)), ""))</f>
        <v/>
      </c>
      <c r="G360">
        <f>IF(ISBLANK(MAIN!G360), 0, IF(ISNUMBER(VALUE(TRIM(MAIN!G360))), VALUE(TRIM(MAIN!G360)), 0))</f>
        <v>0</v>
      </c>
      <c r="H360">
        <f>IF(ISBLANK(MAIN!H360), 0, IF(ISNUMBER(VALUE(TRIM(MAIN!H360))), VALUE(TRIM(MAIN!H360)), 0))</f>
        <v>0</v>
      </c>
      <c r="I360">
        <f>IF(ISBLANK(MAIN!I360), 0, IF(ISNUMBER(VALUE(TRIM(MAIN!I360))), VALUE(TRIM(MAIN!I360)), 0))</f>
        <v>0</v>
      </c>
      <c r="J360">
        <f>IF(ISBLANK(MAIN!J360), 0, IF(ISNUMBER(VALUE(TRIM(MAIN!J360))), VALUE(TRIM(MAIN!J360)), 0))</f>
        <v>0</v>
      </c>
      <c r="K360" cm="1">
        <f t="array" ref="K360">IFERROR(
    VALUE(
        IFERROR(
            UPPER(
                IF(MAX(IFERROR(SEARCH("WD",MAIN!G360:J360), 0))&gt;0, "WD",
                IF(MAX(IFERROR(SEARCH("NS",MAIN!G360:J360), 0))&gt;0, "NS",
                IF(MAX(IFERROR(SEARCH("NC",MAIN!G360:J360), 0))&gt;0, "NC",
                IF(MAX(IFERROR(SEARCH("DQ",MAIN!G360:J360), 0))&gt;0, "DQ",
                IF(ISNUMBER(SEARCH("WD",MAIN!K360)), "WD",
                IF(ISNUMBER(SEARCH("NS",MAIN!K360)), "NS",
                IF(ISNUMBER(SEARCH("NC",MAIN!K360)), "NC",
                IF(ISNUMBER(SEARCH("DQ",MAIN!K360)), "DQ",
                IF(ISNUMBER(SEARCH("A",MAIN!K360)), 0,
                IF(OR(MAIN!K360=0,MAIN!K360=""), 0, --TRIM(MAIN!K360)))))))))))),
            0
        )
    ),
    IFERROR(
        UPPER(
            IF(MAX(IFERROR(SEARCH("WD",MAIN!G360:J360), 0))&gt;0, "WD",
            IF(MAX(IFERROR(SEARCH("NS",MAIN!G360:J360), 0))&gt;0, "NS",
            IF(MAX(IFERROR(SEARCH("NC",MAIN!G360:J360), 0))&gt;0, "NC",
            IF(MAX(IFERROR(SEARCH("DQ",MAIN!G360:J360), 0))&gt;0, "DQ",
            IF(ISNUMBER(SEARCH("WD",MAIN!K360)), "WD",
            IF(ISNUMBER(SEARCH("NS",MAIN!K360)), "NS",
            IF(ISNUMBER(SEARCH("NC",MAIN!K360)), "NC",
            IF(ISNUMBER(SEARCH("DQ",MAIN!K360)), "DQ",
            IF(ISNUMBER(SEARCH("A",MAIN!K360)), 0,
            IF(OR(MAIN!K360=0,MAIN!K360=""), 0, --TRIM(MAIN!K360)))))))))))),
        0
    )
)</f>
        <v>0</v>
      </c>
    </row>
    <row r="361" spans="1:11" x14ac:dyDescent="0.25">
      <c r="A361" t="str">
        <f>IF(ISBLANK(MAIN!A361), "--", IFERROR(PROPER(SUBSTITUTE(SUBSTITUTE(SUBSTITUTE(SUBSTITUTE(SUBSTITUTE(SUBSTITUTE(SUBSTITUTE(SUBSTITUTE(SUBSTITUTE(SUBSTITUTE(LEFT(MAIN!A361, FIND(",",MAIN!A361) -1), "0", ""), "1", ""), "2", ""), "3", ""), "4", ""), "5", ""), "6", ""), "7", ""), "8", ""), "9", "")), PROPER(SUBSTITUTE(SUBSTITUTE(SUBSTITUTE(SUBSTITUTE(SUBSTITUTE(SUBSTITUTE(SUBSTITUTE(SUBSTITUTE(SUBSTITUTE(SUBSTITUTE(MAIN!A361, "0", ""), "1", ""), "2", ""), "3", ""), "4", ""), "5", ""), "6", ""), "7", ""), "8", ""), "9", ""))))</f>
        <v>--</v>
      </c>
      <c r="B361" t="str">
        <f>IF(ISBLANK(MAIN!B361), "--", IFERROR(PROPER(SUBSTITUTE(SUBSTITUTE(SUBSTITUTE(SUBSTITUTE(SUBSTITUTE(SUBSTITUTE(SUBSTITUTE(SUBSTITUTE(SUBSTITUTE(SUBSTITUTE(LEFT(MAIN!B361, FIND(",",MAIN!B361) -1), "0", ""), "1", ""), "2", ""), "3", ""), "4", ""), "5", ""), "6", ""), "7", ""), "8", ""), "9", "")), PROPER(SUBSTITUTE(SUBSTITUTE(SUBSTITUTE(SUBSTITUTE(SUBSTITUTE(SUBSTITUTE(SUBSTITUTE(SUBSTITUTE(SUBSTITUTE(SUBSTITUTE(MAIN!B361, "0", ""), "1", ""), "2", ""), "3", ""), "4", ""), "5", ""), "6", ""), "7", ""), "8", ""), "9", ""))))</f>
        <v>--</v>
      </c>
      <c r="C361" t="str">
        <f>IF(ISBLANK(MAIN!C361), "--", IFERROR(PROPER(SUBSTITUTE(SUBSTITUTE(SUBSTITUTE(SUBSTITUTE(SUBSTITUTE(SUBSTITUTE(SUBSTITUTE(SUBSTITUTE(SUBSTITUTE(SUBSTITUTE(LEFT(MAIN!C361, FIND(",",MAIN!C361) -1), "0", ""), "1", ""), "2", ""), "3", ""), "4", ""), "5", ""), "6", ""), "7", ""), "8", ""), "9", "")), PROPER(SUBSTITUTE(SUBSTITUTE(SUBSTITUTE(SUBSTITUTE(SUBSTITUTE(SUBSTITUTE(SUBSTITUTE(SUBSTITUTE(SUBSTITUTE(SUBSTITUTE(MAIN!C361, "0", ""), "1", ""), "2", ""), "3", ""), "4", ""), "5", ""), "6", ""), "7", ""), "8", ""), "9", ""))))</f>
        <v>--</v>
      </c>
      <c r="D361" t="str">
        <f>IF(ISBLANK(MAIN!D361), "--", IF(ISNUMBER(MATCH(SUBSTITUTE(LEFT(MAIN!D361, IFERROR(FIND(",", MAIN!D361)-1, LEN(MAIN!D361))), " ", ""), lookup_values!$B$2:$B$51, 0)), UPPER(SUBSTITUTE(LEFT(MAIN!D361, IFERROR(FIND(",", MAIN!D361)-1, LEN(MAIN!D361))), " ", "")), IF(ISNA(VLOOKUP(SUBSTITUTE(LEFT(MAIN!D361, IFERROR(FIND(",", MAIN!D361)-1, LEN(MAIN!D361))), " ", ""), lookup_values!$A$2:$B$51, 2, FALSE)), "--", VLOOKUP(SUBSTITUTE(LEFT(MAIN!D361, IFERROR(FIND(",", MAIN!D361)-1, LEN(MAIN!D361))), " ", ""), lookup_values!$A$2:$B$51, 2, FALSE))))</f>
        <v>--</v>
      </c>
      <c r="E361" t="str">
        <f>IF(CLEAN_DATA!D361&lt;&gt;"--","US",IF(ISBLANK(MAIN!E361), "--", IF(ISNUMBER(MATCH(SUBSTITUTE(LEFT(MAIN!E361, IFERROR(FIND(",", MAIN!E361)-1, LEN(MAIN!E361))), " ", ""), lookup_values!$E$2:$E$197, 0)), UPPER(SUBSTITUTE(LEFT(MAIN!E361, IFERROR(FIND(",", MAIN!E361)-1, LEN(MAIN!E361))), " ", "")), IF(ISNA(VLOOKUP(SUBSTITUTE(LEFT(MAIN!E361, IFERROR(FIND(",", MAIN!E361)-1, LEN(MAIN!E361))), " ", ""), lookup_values!$D$2:$E$197, 2, FALSE)), "--", VLOOKUP(SUBSTITUTE(LEFT(MAIN!E361, IFERROR(FIND(",", MAIN!E361)-1, LEN(MAIN!E361))), " ", ""), lookup_values!$D$2:$E$197, 2, FALSE)))))</f>
        <v>--</v>
      </c>
      <c r="F361" t="str">
        <f>IF(ISBLANK(MAIN!F361), "", IF(AND(ISNUMBER(VALUE(TRIM(MAIN!F361))), LEN(TRIM(MAIN!F361))=4), VALUE(TRIM(MAIN!F361)), ""))</f>
        <v/>
      </c>
      <c r="G361">
        <f>IF(ISBLANK(MAIN!G361), 0, IF(ISNUMBER(VALUE(TRIM(MAIN!G361))), VALUE(TRIM(MAIN!G361)), 0))</f>
        <v>0</v>
      </c>
      <c r="H361">
        <f>IF(ISBLANK(MAIN!H361), 0, IF(ISNUMBER(VALUE(TRIM(MAIN!H361))), VALUE(TRIM(MAIN!H361)), 0))</f>
        <v>0</v>
      </c>
      <c r="I361">
        <f>IF(ISBLANK(MAIN!I361), 0, IF(ISNUMBER(VALUE(TRIM(MAIN!I361))), VALUE(TRIM(MAIN!I361)), 0))</f>
        <v>0</v>
      </c>
      <c r="J361">
        <f>IF(ISBLANK(MAIN!J361), 0, IF(ISNUMBER(VALUE(TRIM(MAIN!J361))), VALUE(TRIM(MAIN!J361)), 0))</f>
        <v>0</v>
      </c>
      <c r="K361" cm="1">
        <f t="array" ref="K361">IFERROR(
    VALUE(
        IFERROR(
            UPPER(
                IF(MAX(IFERROR(SEARCH("WD",MAIN!G361:J361), 0))&gt;0, "WD",
                IF(MAX(IFERROR(SEARCH("NS",MAIN!G361:J361), 0))&gt;0, "NS",
                IF(MAX(IFERROR(SEARCH("NC",MAIN!G361:J361), 0))&gt;0, "NC",
                IF(MAX(IFERROR(SEARCH("DQ",MAIN!G361:J361), 0))&gt;0, "DQ",
                IF(ISNUMBER(SEARCH("WD",MAIN!K361)), "WD",
                IF(ISNUMBER(SEARCH("NS",MAIN!K361)), "NS",
                IF(ISNUMBER(SEARCH("NC",MAIN!K361)), "NC",
                IF(ISNUMBER(SEARCH("DQ",MAIN!K361)), "DQ",
                IF(ISNUMBER(SEARCH("A",MAIN!K361)), 0,
                IF(OR(MAIN!K361=0,MAIN!K361=""), 0, --TRIM(MAIN!K361)))))))))))),
            0
        )
    ),
    IFERROR(
        UPPER(
            IF(MAX(IFERROR(SEARCH("WD",MAIN!G361:J361), 0))&gt;0, "WD",
            IF(MAX(IFERROR(SEARCH("NS",MAIN!G361:J361), 0))&gt;0, "NS",
            IF(MAX(IFERROR(SEARCH("NC",MAIN!G361:J361), 0))&gt;0, "NC",
            IF(MAX(IFERROR(SEARCH("DQ",MAIN!G361:J361), 0))&gt;0, "DQ",
            IF(ISNUMBER(SEARCH("WD",MAIN!K361)), "WD",
            IF(ISNUMBER(SEARCH("NS",MAIN!K361)), "NS",
            IF(ISNUMBER(SEARCH("NC",MAIN!K361)), "NC",
            IF(ISNUMBER(SEARCH("DQ",MAIN!K361)), "DQ",
            IF(ISNUMBER(SEARCH("A",MAIN!K361)), 0,
            IF(OR(MAIN!K361=0,MAIN!K361=""), 0, --TRIM(MAIN!K361)))))))))))),
        0
    )
)</f>
        <v>0</v>
      </c>
    </row>
    <row r="362" spans="1:11" x14ac:dyDescent="0.25">
      <c r="A362" t="str">
        <f>IF(ISBLANK(MAIN!A362), "--", IFERROR(PROPER(SUBSTITUTE(SUBSTITUTE(SUBSTITUTE(SUBSTITUTE(SUBSTITUTE(SUBSTITUTE(SUBSTITUTE(SUBSTITUTE(SUBSTITUTE(SUBSTITUTE(LEFT(MAIN!A362, FIND(",",MAIN!A362) -1), "0", ""), "1", ""), "2", ""), "3", ""), "4", ""), "5", ""), "6", ""), "7", ""), "8", ""), "9", "")), PROPER(SUBSTITUTE(SUBSTITUTE(SUBSTITUTE(SUBSTITUTE(SUBSTITUTE(SUBSTITUTE(SUBSTITUTE(SUBSTITUTE(SUBSTITUTE(SUBSTITUTE(MAIN!A362, "0", ""), "1", ""), "2", ""), "3", ""), "4", ""), "5", ""), "6", ""), "7", ""), "8", ""), "9", ""))))</f>
        <v>--</v>
      </c>
      <c r="B362" t="str">
        <f>IF(ISBLANK(MAIN!B362), "--", IFERROR(PROPER(SUBSTITUTE(SUBSTITUTE(SUBSTITUTE(SUBSTITUTE(SUBSTITUTE(SUBSTITUTE(SUBSTITUTE(SUBSTITUTE(SUBSTITUTE(SUBSTITUTE(LEFT(MAIN!B362, FIND(",",MAIN!B362) -1), "0", ""), "1", ""), "2", ""), "3", ""), "4", ""), "5", ""), "6", ""), "7", ""), "8", ""), "9", "")), PROPER(SUBSTITUTE(SUBSTITUTE(SUBSTITUTE(SUBSTITUTE(SUBSTITUTE(SUBSTITUTE(SUBSTITUTE(SUBSTITUTE(SUBSTITUTE(SUBSTITUTE(MAIN!B362, "0", ""), "1", ""), "2", ""), "3", ""), "4", ""), "5", ""), "6", ""), "7", ""), "8", ""), "9", ""))))</f>
        <v>--</v>
      </c>
      <c r="C362" t="str">
        <f>IF(ISBLANK(MAIN!C362), "--", IFERROR(PROPER(SUBSTITUTE(SUBSTITUTE(SUBSTITUTE(SUBSTITUTE(SUBSTITUTE(SUBSTITUTE(SUBSTITUTE(SUBSTITUTE(SUBSTITUTE(SUBSTITUTE(LEFT(MAIN!C362, FIND(",",MAIN!C362) -1), "0", ""), "1", ""), "2", ""), "3", ""), "4", ""), "5", ""), "6", ""), "7", ""), "8", ""), "9", "")), PROPER(SUBSTITUTE(SUBSTITUTE(SUBSTITUTE(SUBSTITUTE(SUBSTITUTE(SUBSTITUTE(SUBSTITUTE(SUBSTITUTE(SUBSTITUTE(SUBSTITUTE(MAIN!C362, "0", ""), "1", ""), "2", ""), "3", ""), "4", ""), "5", ""), "6", ""), "7", ""), "8", ""), "9", ""))))</f>
        <v>--</v>
      </c>
      <c r="D362" t="str">
        <f>IF(ISBLANK(MAIN!D362), "--", IF(ISNUMBER(MATCH(SUBSTITUTE(LEFT(MAIN!D362, IFERROR(FIND(",", MAIN!D362)-1, LEN(MAIN!D362))), " ", ""), lookup_values!$B$2:$B$51, 0)), UPPER(SUBSTITUTE(LEFT(MAIN!D362, IFERROR(FIND(",", MAIN!D362)-1, LEN(MAIN!D362))), " ", "")), IF(ISNA(VLOOKUP(SUBSTITUTE(LEFT(MAIN!D362, IFERROR(FIND(",", MAIN!D362)-1, LEN(MAIN!D362))), " ", ""), lookup_values!$A$2:$B$51, 2, FALSE)), "--", VLOOKUP(SUBSTITUTE(LEFT(MAIN!D362, IFERROR(FIND(",", MAIN!D362)-1, LEN(MAIN!D362))), " ", ""), lookup_values!$A$2:$B$51, 2, FALSE))))</f>
        <v>--</v>
      </c>
      <c r="E362" t="str">
        <f>IF(CLEAN_DATA!D362&lt;&gt;"--","US",IF(ISBLANK(MAIN!E362), "--", IF(ISNUMBER(MATCH(SUBSTITUTE(LEFT(MAIN!E362, IFERROR(FIND(",", MAIN!E362)-1, LEN(MAIN!E362))), " ", ""), lookup_values!$E$2:$E$197, 0)), UPPER(SUBSTITUTE(LEFT(MAIN!E362, IFERROR(FIND(",", MAIN!E362)-1, LEN(MAIN!E362))), " ", "")), IF(ISNA(VLOOKUP(SUBSTITUTE(LEFT(MAIN!E362, IFERROR(FIND(",", MAIN!E362)-1, LEN(MAIN!E362))), " ", ""), lookup_values!$D$2:$E$197, 2, FALSE)), "--", VLOOKUP(SUBSTITUTE(LEFT(MAIN!E362, IFERROR(FIND(",", MAIN!E362)-1, LEN(MAIN!E362))), " ", ""), lookup_values!$D$2:$E$197, 2, FALSE)))))</f>
        <v>--</v>
      </c>
      <c r="F362" t="str">
        <f>IF(ISBLANK(MAIN!F362), "", IF(AND(ISNUMBER(VALUE(TRIM(MAIN!F362))), LEN(TRIM(MAIN!F362))=4), VALUE(TRIM(MAIN!F362)), ""))</f>
        <v/>
      </c>
      <c r="G362">
        <f>IF(ISBLANK(MAIN!G362), 0, IF(ISNUMBER(VALUE(TRIM(MAIN!G362))), VALUE(TRIM(MAIN!G362)), 0))</f>
        <v>0</v>
      </c>
      <c r="H362">
        <f>IF(ISBLANK(MAIN!H362), 0, IF(ISNUMBER(VALUE(TRIM(MAIN!H362))), VALUE(TRIM(MAIN!H362)), 0))</f>
        <v>0</v>
      </c>
      <c r="I362">
        <f>IF(ISBLANK(MAIN!I362), 0, IF(ISNUMBER(VALUE(TRIM(MAIN!I362))), VALUE(TRIM(MAIN!I362)), 0))</f>
        <v>0</v>
      </c>
      <c r="J362">
        <f>IF(ISBLANK(MAIN!J362), 0, IF(ISNUMBER(VALUE(TRIM(MAIN!J362))), VALUE(TRIM(MAIN!J362)), 0))</f>
        <v>0</v>
      </c>
      <c r="K362" cm="1">
        <f t="array" ref="K362">IFERROR(
    VALUE(
        IFERROR(
            UPPER(
                IF(MAX(IFERROR(SEARCH("WD",MAIN!G362:J362), 0))&gt;0, "WD",
                IF(MAX(IFERROR(SEARCH("NS",MAIN!G362:J362), 0))&gt;0, "NS",
                IF(MAX(IFERROR(SEARCH("NC",MAIN!G362:J362), 0))&gt;0, "NC",
                IF(MAX(IFERROR(SEARCH("DQ",MAIN!G362:J362), 0))&gt;0, "DQ",
                IF(ISNUMBER(SEARCH("WD",MAIN!K362)), "WD",
                IF(ISNUMBER(SEARCH("NS",MAIN!K362)), "NS",
                IF(ISNUMBER(SEARCH("NC",MAIN!K362)), "NC",
                IF(ISNUMBER(SEARCH("DQ",MAIN!K362)), "DQ",
                IF(ISNUMBER(SEARCH("A",MAIN!K362)), 0,
                IF(OR(MAIN!K362=0,MAIN!K362=""), 0, --TRIM(MAIN!K362)))))))))))),
            0
        )
    ),
    IFERROR(
        UPPER(
            IF(MAX(IFERROR(SEARCH("WD",MAIN!G362:J362), 0))&gt;0, "WD",
            IF(MAX(IFERROR(SEARCH("NS",MAIN!G362:J362), 0))&gt;0, "NS",
            IF(MAX(IFERROR(SEARCH("NC",MAIN!G362:J362), 0))&gt;0, "NC",
            IF(MAX(IFERROR(SEARCH("DQ",MAIN!G362:J362), 0))&gt;0, "DQ",
            IF(ISNUMBER(SEARCH("WD",MAIN!K362)), "WD",
            IF(ISNUMBER(SEARCH("NS",MAIN!K362)), "NS",
            IF(ISNUMBER(SEARCH("NC",MAIN!K362)), "NC",
            IF(ISNUMBER(SEARCH("DQ",MAIN!K362)), "DQ",
            IF(ISNUMBER(SEARCH("A",MAIN!K362)), 0,
            IF(OR(MAIN!K362=0,MAIN!K362=""), 0, --TRIM(MAIN!K362)))))))))))),
        0
    )
)</f>
        <v>0</v>
      </c>
    </row>
    <row r="363" spans="1:11" x14ac:dyDescent="0.25">
      <c r="A363" t="str">
        <f>IF(ISBLANK(MAIN!A363), "--", IFERROR(PROPER(SUBSTITUTE(SUBSTITUTE(SUBSTITUTE(SUBSTITUTE(SUBSTITUTE(SUBSTITUTE(SUBSTITUTE(SUBSTITUTE(SUBSTITUTE(SUBSTITUTE(LEFT(MAIN!A363, FIND(",",MAIN!A363) -1), "0", ""), "1", ""), "2", ""), "3", ""), "4", ""), "5", ""), "6", ""), "7", ""), "8", ""), "9", "")), PROPER(SUBSTITUTE(SUBSTITUTE(SUBSTITUTE(SUBSTITUTE(SUBSTITUTE(SUBSTITUTE(SUBSTITUTE(SUBSTITUTE(SUBSTITUTE(SUBSTITUTE(MAIN!A363, "0", ""), "1", ""), "2", ""), "3", ""), "4", ""), "5", ""), "6", ""), "7", ""), "8", ""), "9", ""))))</f>
        <v>--</v>
      </c>
      <c r="B363" t="str">
        <f>IF(ISBLANK(MAIN!B363), "--", IFERROR(PROPER(SUBSTITUTE(SUBSTITUTE(SUBSTITUTE(SUBSTITUTE(SUBSTITUTE(SUBSTITUTE(SUBSTITUTE(SUBSTITUTE(SUBSTITUTE(SUBSTITUTE(LEFT(MAIN!B363, FIND(",",MAIN!B363) -1), "0", ""), "1", ""), "2", ""), "3", ""), "4", ""), "5", ""), "6", ""), "7", ""), "8", ""), "9", "")), PROPER(SUBSTITUTE(SUBSTITUTE(SUBSTITUTE(SUBSTITUTE(SUBSTITUTE(SUBSTITUTE(SUBSTITUTE(SUBSTITUTE(SUBSTITUTE(SUBSTITUTE(MAIN!B363, "0", ""), "1", ""), "2", ""), "3", ""), "4", ""), "5", ""), "6", ""), "7", ""), "8", ""), "9", ""))))</f>
        <v>--</v>
      </c>
      <c r="C363" t="str">
        <f>IF(ISBLANK(MAIN!C363), "--", IFERROR(PROPER(SUBSTITUTE(SUBSTITUTE(SUBSTITUTE(SUBSTITUTE(SUBSTITUTE(SUBSTITUTE(SUBSTITUTE(SUBSTITUTE(SUBSTITUTE(SUBSTITUTE(LEFT(MAIN!C363, FIND(",",MAIN!C363) -1), "0", ""), "1", ""), "2", ""), "3", ""), "4", ""), "5", ""), "6", ""), "7", ""), "8", ""), "9", "")), PROPER(SUBSTITUTE(SUBSTITUTE(SUBSTITUTE(SUBSTITUTE(SUBSTITUTE(SUBSTITUTE(SUBSTITUTE(SUBSTITUTE(SUBSTITUTE(SUBSTITUTE(MAIN!C363, "0", ""), "1", ""), "2", ""), "3", ""), "4", ""), "5", ""), "6", ""), "7", ""), "8", ""), "9", ""))))</f>
        <v>--</v>
      </c>
      <c r="D363" t="str">
        <f>IF(ISBLANK(MAIN!D363), "--", IF(ISNUMBER(MATCH(SUBSTITUTE(LEFT(MAIN!D363, IFERROR(FIND(",", MAIN!D363)-1, LEN(MAIN!D363))), " ", ""), lookup_values!$B$2:$B$51, 0)), UPPER(SUBSTITUTE(LEFT(MAIN!D363, IFERROR(FIND(",", MAIN!D363)-1, LEN(MAIN!D363))), " ", "")), IF(ISNA(VLOOKUP(SUBSTITUTE(LEFT(MAIN!D363, IFERROR(FIND(",", MAIN!D363)-1, LEN(MAIN!D363))), " ", ""), lookup_values!$A$2:$B$51, 2, FALSE)), "--", VLOOKUP(SUBSTITUTE(LEFT(MAIN!D363, IFERROR(FIND(",", MAIN!D363)-1, LEN(MAIN!D363))), " ", ""), lookup_values!$A$2:$B$51, 2, FALSE))))</f>
        <v>--</v>
      </c>
      <c r="E363" t="str">
        <f>IF(CLEAN_DATA!D363&lt;&gt;"--","US",IF(ISBLANK(MAIN!E363), "--", IF(ISNUMBER(MATCH(SUBSTITUTE(LEFT(MAIN!E363, IFERROR(FIND(",", MAIN!E363)-1, LEN(MAIN!E363))), " ", ""), lookup_values!$E$2:$E$197, 0)), UPPER(SUBSTITUTE(LEFT(MAIN!E363, IFERROR(FIND(",", MAIN!E363)-1, LEN(MAIN!E363))), " ", "")), IF(ISNA(VLOOKUP(SUBSTITUTE(LEFT(MAIN!E363, IFERROR(FIND(",", MAIN!E363)-1, LEN(MAIN!E363))), " ", ""), lookup_values!$D$2:$E$197, 2, FALSE)), "--", VLOOKUP(SUBSTITUTE(LEFT(MAIN!E363, IFERROR(FIND(",", MAIN!E363)-1, LEN(MAIN!E363))), " ", ""), lookup_values!$D$2:$E$197, 2, FALSE)))))</f>
        <v>--</v>
      </c>
      <c r="F363" t="str">
        <f>IF(ISBLANK(MAIN!F363), "", IF(AND(ISNUMBER(VALUE(TRIM(MAIN!F363))), LEN(TRIM(MAIN!F363))=4), VALUE(TRIM(MAIN!F363)), ""))</f>
        <v/>
      </c>
      <c r="G363">
        <f>IF(ISBLANK(MAIN!G363), 0, IF(ISNUMBER(VALUE(TRIM(MAIN!G363))), VALUE(TRIM(MAIN!G363)), 0))</f>
        <v>0</v>
      </c>
      <c r="H363">
        <f>IF(ISBLANK(MAIN!H363), 0, IF(ISNUMBER(VALUE(TRIM(MAIN!H363))), VALUE(TRIM(MAIN!H363)), 0))</f>
        <v>0</v>
      </c>
      <c r="I363">
        <f>IF(ISBLANK(MAIN!I363), 0, IF(ISNUMBER(VALUE(TRIM(MAIN!I363))), VALUE(TRIM(MAIN!I363)), 0))</f>
        <v>0</v>
      </c>
      <c r="J363">
        <f>IF(ISBLANK(MAIN!J363), 0, IF(ISNUMBER(VALUE(TRIM(MAIN!J363))), VALUE(TRIM(MAIN!J363)), 0))</f>
        <v>0</v>
      </c>
      <c r="K363" cm="1">
        <f t="array" ref="K363">IFERROR(
    VALUE(
        IFERROR(
            UPPER(
                IF(MAX(IFERROR(SEARCH("WD",MAIN!G363:J363), 0))&gt;0, "WD",
                IF(MAX(IFERROR(SEARCH("NS",MAIN!G363:J363), 0))&gt;0, "NS",
                IF(MAX(IFERROR(SEARCH("NC",MAIN!G363:J363), 0))&gt;0, "NC",
                IF(MAX(IFERROR(SEARCH("DQ",MAIN!G363:J363), 0))&gt;0, "DQ",
                IF(ISNUMBER(SEARCH("WD",MAIN!K363)), "WD",
                IF(ISNUMBER(SEARCH("NS",MAIN!K363)), "NS",
                IF(ISNUMBER(SEARCH("NC",MAIN!K363)), "NC",
                IF(ISNUMBER(SEARCH("DQ",MAIN!K363)), "DQ",
                IF(ISNUMBER(SEARCH("A",MAIN!K363)), 0,
                IF(OR(MAIN!K363=0,MAIN!K363=""), 0, --TRIM(MAIN!K363)))))))))))),
            0
        )
    ),
    IFERROR(
        UPPER(
            IF(MAX(IFERROR(SEARCH("WD",MAIN!G363:J363), 0))&gt;0, "WD",
            IF(MAX(IFERROR(SEARCH("NS",MAIN!G363:J363), 0))&gt;0, "NS",
            IF(MAX(IFERROR(SEARCH("NC",MAIN!G363:J363), 0))&gt;0, "NC",
            IF(MAX(IFERROR(SEARCH("DQ",MAIN!G363:J363), 0))&gt;0, "DQ",
            IF(ISNUMBER(SEARCH("WD",MAIN!K363)), "WD",
            IF(ISNUMBER(SEARCH("NS",MAIN!K363)), "NS",
            IF(ISNUMBER(SEARCH("NC",MAIN!K363)), "NC",
            IF(ISNUMBER(SEARCH("DQ",MAIN!K363)), "DQ",
            IF(ISNUMBER(SEARCH("A",MAIN!K363)), 0,
            IF(OR(MAIN!K363=0,MAIN!K363=""), 0, --TRIM(MAIN!K363)))))))))))),
        0
    )
)</f>
        <v>0</v>
      </c>
    </row>
    <row r="364" spans="1:11" x14ac:dyDescent="0.25">
      <c r="A364" t="str">
        <f>IF(ISBLANK(MAIN!A364), "--", IFERROR(PROPER(SUBSTITUTE(SUBSTITUTE(SUBSTITUTE(SUBSTITUTE(SUBSTITUTE(SUBSTITUTE(SUBSTITUTE(SUBSTITUTE(SUBSTITUTE(SUBSTITUTE(LEFT(MAIN!A364, FIND(",",MAIN!A364) -1), "0", ""), "1", ""), "2", ""), "3", ""), "4", ""), "5", ""), "6", ""), "7", ""), "8", ""), "9", "")), PROPER(SUBSTITUTE(SUBSTITUTE(SUBSTITUTE(SUBSTITUTE(SUBSTITUTE(SUBSTITUTE(SUBSTITUTE(SUBSTITUTE(SUBSTITUTE(SUBSTITUTE(MAIN!A364, "0", ""), "1", ""), "2", ""), "3", ""), "4", ""), "5", ""), "6", ""), "7", ""), "8", ""), "9", ""))))</f>
        <v>--</v>
      </c>
      <c r="B364" t="str">
        <f>IF(ISBLANK(MAIN!B364), "--", IFERROR(PROPER(SUBSTITUTE(SUBSTITUTE(SUBSTITUTE(SUBSTITUTE(SUBSTITUTE(SUBSTITUTE(SUBSTITUTE(SUBSTITUTE(SUBSTITUTE(SUBSTITUTE(LEFT(MAIN!B364, FIND(",",MAIN!B364) -1), "0", ""), "1", ""), "2", ""), "3", ""), "4", ""), "5", ""), "6", ""), "7", ""), "8", ""), "9", "")), PROPER(SUBSTITUTE(SUBSTITUTE(SUBSTITUTE(SUBSTITUTE(SUBSTITUTE(SUBSTITUTE(SUBSTITUTE(SUBSTITUTE(SUBSTITUTE(SUBSTITUTE(MAIN!B364, "0", ""), "1", ""), "2", ""), "3", ""), "4", ""), "5", ""), "6", ""), "7", ""), "8", ""), "9", ""))))</f>
        <v>--</v>
      </c>
      <c r="C364" t="str">
        <f>IF(ISBLANK(MAIN!C364), "--", IFERROR(PROPER(SUBSTITUTE(SUBSTITUTE(SUBSTITUTE(SUBSTITUTE(SUBSTITUTE(SUBSTITUTE(SUBSTITUTE(SUBSTITUTE(SUBSTITUTE(SUBSTITUTE(LEFT(MAIN!C364, FIND(",",MAIN!C364) -1), "0", ""), "1", ""), "2", ""), "3", ""), "4", ""), "5", ""), "6", ""), "7", ""), "8", ""), "9", "")), PROPER(SUBSTITUTE(SUBSTITUTE(SUBSTITUTE(SUBSTITUTE(SUBSTITUTE(SUBSTITUTE(SUBSTITUTE(SUBSTITUTE(SUBSTITUTE(SUBSTITUTE(MAIN!C364, "0", ""), "1", ""), "2", ""), "3", ""), "4", ""), "5", ""), "6", ""), "7", ""), "8", ""), "9", ""))))</f>
        <v>--</v>
      </c>
      <c r="D364" t="str">
        <f>IF(ISBLANK(MAIN!D364), "--", IF(ISNUMBER(MATCH(SUBSTITUTE(LEFT(MAIN!D364, IFERROR(FIND(",", MAIN!D364)-1, LEN(MAIN!D364))), " ", ""), lookup_values!$B$2:$B$51, 0)), UPPER(SUBSTITUTE(LEFT(MAIN!D364, IFERROR(FIND(",", MAIN!D364)-1, LEN(MAIN!D364))), " ", "")), IF(ISNA(VLOOKUP(SUBSTITUTE(LEFT(MAIN!D364, IFERROR(FIND(",", MAIN!D364)-1, LEN(MAIN!D364))), " ", ""), lookup_values!$A$2:$B$51, 2, FALSE)), "--", VLOOKUP(SUBSTITUTE(LEFT(MAIN!D364, IFERROR(FIND(",", MAIN!D364)-1, LEN(MAIN!D364))), " ", ""), lookup_values!$A$2:$B$51, 2, FALSE))))</f>
        <v>--</v>
      </c>
      <c r="E364" t="str">
        <f>IF(CLEAN_DATA!D364&lt;&gt;"--","US",IF(ISBLANK(MAIN!E364), "--", IF(ISNUMBER(MATCH(SUBSTITUTE(LEFT(MAIN!E364, IFERROR(FIND(",", MAIN!E364)-1, LEN(MAIN!E364))), " ", ""), lookup_values!$E$2:$E$197, 0)), UPPER(SUBSTITUTE(LEFT(MAIN!E364, IFERROR(FIND(",", MAIN!E364)-1, LEN(MAIN!E364))), " ", "")), IF(ISNA(VLOOKUP(SUBSTITUTE(LEFT(MAIN!E364, IFERROR(FIND(",", MAIN!E364)-1, LEN(MAIN!E364))), " ", ""), lookup_values!$D$2:$E$197, 2, FALSE)), "--", VLOOKUP(SUBSTITUTE(LEFT(MAIN!E364, IFERROR(FIND(",", MAIN!E364)-1, LEN(MAIN!E364))), " ", ""), lookup_values!$D$2:$E$197, 2, FALSE)))))</f>
        <v>--</v>
      </c>
      <c r="F364" t="str">
        <f>IF(ISBLANK(MAIN!F364), "", IF(AND(ISNUMBER(VALUE(TRIM(MAIN!F364))), LEN(TRIM(MAIN!F364))=4), VALUE(TRIM(MAIN!F364)), ""))</f>
        <v/>
      </c>
      <c r="G364">
        <f>IF(ISBLANK(MAIN!G364), 0, IF(ISNUMBER(VALUE(TRIM(MAIN!G364))), VALUE(TRIM(MAIN!G364)), 0))</f>
        <v>0</v>
      </c>
      <c r="H364">
        <f>IF(ISBLANK(MAIN!H364), 0, IF(ISNUMBER(VALUE(TRIM(MAIN!H364))), VALUE(TRIM(MAIN!H364)), 0))</f>
        <v>0</v>
      </c>
      <c r="I364">
        <f>IF(ISBLANK(MAIN!I364), 0, IF(ISNUMBER(VALUE(TRIM(MAIN!I364))), VALUE(TRIM(MAIN!I364)), 0))</f>
        <v>0</v>
      </c>
      <c r="J364">
        <f>IF(ISBLANK(MAIN!J364), 0, IF(ISNUMBER(VALUE(TRIM(MAIN!J364))), VALUE(TRIM(MAIN!J364)), 0))</f>
        <v>0</v>
      </c>
      <c r="K364" cm="1">
        <f t="array" ref="K364">IFERROR(
    VALUE(
        IFERROR(
            UPPER(
                IF(MAX(IFERROR(SEARCH("WD",MAIN!G364:J364), 0))&gt;0, "WD",
                IF(MAX(IFERROR(SEARCH("NS",MAIN!G364:J364), 0))&gt;0, "NS",
                IF(MAX(IFERROR(SEARCH("NC",MAIN!G364:J364), 0))&gt;0, "NC",
                IF(MAX(IFERROR(SEARCH("DQ",MAIN!G364:J364), 0))&gt;0, "DQ",
                IF(ISNUMBER(SEARCH("WD",MAIN!K364)), "WD",
                IF(ISNUMBER(SEARCH("NS",MAIN!K364)), "NS",
                IF(ISNUMBER(SEARCH("NC",MAIN!K364)), "NC",
                IF(ISNUMBER(SEARCH("DQ",MAIN!K364)), "DQ",
                IF(ISNUMBER(SEARCH("A",MAIN!K364)), 0,
                IF(OR(MAIN!K364=0,MAIN!K364=""), 0, --TRIM(MAIN!K364)))))))))))),
            0
        )
    ),
    IFERROR(
        UPPER(
            IF(MAX(IFERROR(SEARCH("WD",MAIN!G364:J364), 0))&gt;0, "WD",
            IF(MAX(IFERROR(SEARCH("NS",MAIN!G364:J364), 0))&gt;0, "NS",
            IF(MAX(IFERROR(SEARCH("NC",MAIN!G364:J364), 0))&gt;0, "NC",
            IF(MAX(IFERROR(SEARCH("DQ",MAIN!G364:J364), 0))&gt;0, "DQ",
            IF(ISNUMBER(SEARCH("WD",MAIN!K364)), "WD",
            IF(ISNUMBER(SEARCH("NS",MAIN!K364)), "NS",
            IF(ISNUMBER(SEARCH("NC",MAIN!K364)), "NC",
            IF(ISNUMBER(SEARCH("DQ",MAIN!K364)), "DQ",
            IF(ISNUMBER(SEARCH("A",MAIN!K364)), 0,
            IF(OR(MAIN!K364=0,MAIN!K364=""), 0, --TRIM(MAIN!K364)))))))))))),
        0
    )
)</f>
        <v>0</v>
      </c>
    </row>
    <row r="365" spans="1:11" x14ac:dyDescent="0.25">
      <c r="A365" t="str">
        <f>IF(ISBLANK(MAIN!A365), "--", IFERROR(PROPER(SUBSTITUTE(SUBSTITUTE(SUBSTITUTE(SUBSTITUTE(SUBSTITUTE(SUBSTITUTE(SUBSTITUTE(SUBSTITUTE(SUBSTITUTE(SUBSTITUTE(LEFT(MAIN!A365, FIND(",",MAIN!A365) -1), "0", ""), "1", ""), "2", ""), "3", ""), "4", ""), "5", ""), "6", ""), "7", ""), "8", ""), "9", "")), PROPER(SUBSTITUTE(SUBSTITUTE(SUBSTITUTE(SUBSTITUTE(SUBSTITUTE(SUBSTITUTE(SUBSTITUTE(SUBSTITUTE(SUBSTITUTE(SUBSTITUTE(MAIN!A365, "0", ""), "1", ""), "2", ""), "3", ""), "4", ""), "5", ""), "6", ""), "7", ""), "8", ""), "9", ""))))</f>
        <v>--</v>
      </c>
      <c r="B365" t="str">
        <f>IF(ISBLANK(MAIN!B365), "--", IFERROR(PROPER(SUBSTITUTE(SUBSTITUTE(SUBSTITUTE(SUBSTITUTE(SUBSTITUTE(SUBSTITUTE(SUBSTITUTE(SUBSTITUTE(SUBSTITUTE(SUBSTITUTE(LEFT(MAIN!B365, FIND(",",MAIN!B365) -1), "0", ""), "1", ""), "2", ""), "3", ""), "4", ""), "5", ""), "6", ""), "7", ""), "8", ""), "9", "")), PROPER(SUBSTITUTE(SUBSTITUTE(SUBSTITUTE(SUBSTITUTE(SUBSTITUTE(SUBSTITUTE(SUBSTITUTE(SUBSTITUTE(SUBSTITUTE(SUBSTITUTE(MAIN!B365, "0", ""), "1", ""), "2", ""), "3", ""), "4", ""), "5", ""), "6", ""), "7", ""), "8", ""), "9", ""))))</f>
        <v>--</v>
      </c>
      <c r="C365" t="str">
        <f>IF(ISBLANK(MAIN!C365), "--", IFERROR(PROPER(SUBSTITUTE(SUBSTITUTE(SUBSTITUTE(SUBSTITUTE(SUBSTITUTE(SUBSTITUTE(SUBSTITUTE(SUBSTITUTE(SUBSTITUTE(SUBSTITUTE(LEFT(MAIN!C365, FIND(",",MAIN!C365) -1), "0", ""), "1", ""), "2", ""), "3", ""), "4", ""), "5", ""), "6", ""), "7", ""), "8", ""), "9", "")), PROPER(SUBSTITUTE(SUBSTITUTE(SUBSTITUTE(SUBSTITUTE(SUBSTITUTE(SUBSTITUTE(SUBSTITUTE(SUBSTITUTE(SUBSTITUTE(SUBSTITUTE(MAIN!C365, "0", ""), "1", ""), "2", ""), "3", ""), "4", ""), "5", ""), "6", ""), "7", ""), "8", ""), "9", ""))))</f>
        <v>--</v>
      </c>
      <c r="D365" t="str">
        <f>IF(ISBLANK(MAIN!D365), "--", IF(ISNUMBER(MATCH(SUBSTITUTE(LEFT(MAIN!D365, IFERROR(FIND(",", MAIN!D365)-1, LEN(MAIN!D365))), " ", ""), lookup_values!$B$2:$B$51, 0)), UPPER(SUBSTITUTE(LEFT(MAIN!D365, IFERROR(FIND(",", MAIN!D365)-1, LEN(MAIN!D365))), " ", "")), IF(ISNA(VLOOKUP(SUBSTITUTE(LEFT(MAIN!D365, IFERROR(FIND(",", MAIN!D365)-1, LEN(MAIN!D365))), " ", ""), lookup_values!$A$2:$B$51, 2, FALSE)), "--", VLOOKUP(SUBSTITUTE(LEFT(MAIN!D365, IFERROR(FIND(",", MAIN!D365)-1, LEN(MAIN!D365))), " ", ""), lookup_values!$A$2:$B$51, 2, FALSE))))</f>
        <v>--</v>
      </c>
      <c r="E365" t="str">
        <f>IF(CLEAN_DATA!D365&lt;&gt;"--","US",IF(ISBLANK(MAIN!E365), "--", IF(ISNUMBER(MATCH(SUBSTITUTE(LEFT(MAIN!E365, IFERROR(FIND(",", MAIN!E365)-1, LEN(MAIN!E365))), " ", ""), lookup_values!$E$2:$E$197, 0)), UPPER(SUBSTITUTE(LEFT(MAIN!E365, IFERROR(FIND(",", MAIN!E365)-1, LEN(MAIN!E365))), " ", "")), IF(ISNA(VLOOKUP(SUBSTITUTE(LEFT(MAIN!E365, IFERROR(FIND(",", MAIN!E365)-1, LEN(MAIN!E365))), " ", ""), lookup_values!$D$2:$E$197, 2, FALSE)), "--", VLOOKUP(SUBSTITUTE(LEFT(MAIN!E365, IFERROR(FIND(",", MAIN!E365)-1, LEN(MAIN!E365))), " ", ""), lookup_values!$D$2:$E$197, 2, FALSE)))))</f>
        <v>--</v>
      </c>
      <c r="F365" t="str">
        <f>IF(ISBLANK(MAIN!F365), "", IF(AND(ISNUMBER(VALUE(TRIM(MAIN!F365))), LEN(TRIM(MAIN!F365))=4), VALUE(TRIM(MAIN!F365)), ""))</f>
        <v/>
      </c>
      <c r="G365">
        <f>IF(ISBLANK(MAIN!G365), 0, IF(ISNUMBER(VALUE(TRIM(MAIN!G365))), VALUE(TRIM(MAIN!G365)), 0))</f>
        <v>0</v>
      </c>
      <c r="H365">
        <f>IF(ISBLANK(MAIN!H365), 0, IF(ISNUMBER(VALUE(TRIM(MAIN!H365))), VALUE(TRIM(MAIN!H365)), 0))</f>
        <v>0</v>
      </c>
      <c r="I365">
        <f>IF(ISBLANK(MAIN!I365), 0, IF(ISNUMBER(VALUE(TRIM(MAIN!I365))), VALUE(TRIM(MAIN!I365)), 0))</f>
        <v>0</v>
      </c>
      <c r="J365">
        <f>IF(ISBLANK(MAIN!J365), 0, IF(ISNUMBER(VALUE(TRIM(MAIN!J365))), VALUE(TRIM(MAIN!J365)), 0))</f>
        <v>0</v>
      </c>
      <c r="K365" cm="1">
        <f t="array" ref="K365">IFERROR(
    VALUE(
        IFERROR(
            UPPER(
                IF(MAX(IFERROR(SEARCH("WD",MAIN!G365:J365), 0))&gt;0, "WD",
                IF(MAX(IFERROR(SEARCH("NS",MAIN!G365:J365), 0))&gt;0, "NS",
                IF(MAX(IFERROR(SEARCH("NC",MAIN!G365:J365), 0))&gt;0, "NC",
                IF(MAX(IFERROR(SEARCH("DQ",MAIN!G365:J365), 0))&gt;0, "DQ",
                IF(ISNUMBER(SEARCH("WD",MAIN!K365)), "WD",
                IF(ISNUMBER(SEARCH("NS",MAIN!K365)), "NS",
                IF(ISNUMBER(SEARCH("NC",MAIN!K365)), "NC",
                IF(ISNUMBER(SEARCH("DQ",MAIN!K365)), "DQ",
                IF(ISNUMBER(SEARCH("A",MAIN!K365)), 0,
                IF(OR(MAIN!K365=0,MAIN!K365=""), 0, --TRIM(MAIN!K365)))))))))))),
            0
        )
    ),
    IFERROR(
        UPPER(
            IF(MAX(IFERROR(SEARCH("WD",MAIN!G365:J365), 0))&gt;0, "WD",
            IF(MAX(IFERROR(SEARCH("NS",MAIN!G365:J365), 0))&gt;0, "NS",
            IF(MAX(IFERROR(SEARCH("NC",MAIN!G365:J365), 0))&gt;0, "NC",
            IF(MAX(IFERROR(SEARCH("DQ",MAIN!G365:J365), 0))&gt;0, "DQ",
            IF(ISNUMBER(SEARCH("WD",MAIN!K365)), "WD",
            IF(ISNUMBER(SEARCH("NS",MAIN!K365)), "NS",
            IF(ISNUMBER(SEARCH("NC",MAIN!K365)), "NC",
            IF(ISNUMBER(SEARCH("DQ",MAIN!K365)), "DQ",
            IF(ISNUMBER(SEARCH("A",MAIN!K365)), 0,
            IF(OR(MAIN!K365=0,MAIN!K365=""), 0, --TRIM(MAIN!K365)))))))))))),
        0
    )
)</f>
        <v>0</v>
      </c>
    </row>
    <row r="366" spans="1:11" x14ac:dyDescent="0.25">
      <c r="A366" t="str">
        <f>IF(ISBLANK(MAIN!A366), "--", IFERROR(PROPER(SUBSTITUTE(SUBSTITUTE(SUBSTITUTE(SUBSTITUTE(SUBSTITUTE(SUBSTITUTE(SUBSTITUTE(SUBSTITUTE(SUBSTITUTE(SUBSTITUTE(LEFT(MAIN!A366, FIND(",",MAIN!A366) -1), "0", ""), "1", ""), "2", ""), "3", ""), "4", ""), "5", ""), "6", ""), "7", ""), "8", ""), "9", "")), PROPER(SUBSTITUTE(SUBSTITUTE(SUBSTITUTE(SUBSTITUTE(SUBSTITUTE(SUBSTITUTE(SUBSTITUTE(SUBSTITUTE(SUBSTITUTE(SUBSTITUTE(MAIN!A366, "0", ""), "1", ""), "2", ""), "3", ""), "4", ""), "5", ""), "6", ""), "7", ""), "8", ""), "9", ""))))</f>
        <v>--</v>
      </c>
      <c r="B366" t="str">
        <f>IF(ISBLANK(MAIN!B366), "--", IFERROR(PROPER(SUBSTITUTE(SUBSTITUTE(SUBSTITUTE(SUBSTITUTE(SUBSTITUTE(SUBSTITUTE(SUBSTITUTE(SUBSTITUTE(SUBSTITUTE(SUBSTITUTE(LEFT(MAIN!B366, FIND(",",MAIN!B366) -1), "0", ""), "1", ""), "2", ""), "3", ""), "4", ""), "5", ""), "6", ""), "7", ""), "8", ""), "9", "")), PROPER(SUBSTITUTE(SUBSTITUTE(SUBSTITUTE(SUBSTITUTE(SUBSTITUTE(SUBSTITUTE(SUBSTITUTE(SUBSTITUTE(SUBSTITUTE(SUBSTITUTE(MAIN!B366, "0", ""), "1", ""), "2", ""), "3", ""), "4", ""), "5", ""), "6", ""), "7", ""), "8", ""), "9", ""))))</f>
        <v>--</v>
      </c>
      <c r="C366" t="str">
        <f>IF(ISBLANK(MAIN!C366), "--", IFERROR(PROPER(SUBSTITUTE(SUBSTITUTE(SUBSTITUTE(SUBSTITUTE(SUBSTITUTE(SUBSTITUTE(SUBSTITUTE(SUBSTITUTE(SUBSTITUTE(SUBSTITUTE(LEFT(MAIN!C366, FIND(",",MAIN!C366) -1), "0", ""), "1", ""), "2", ""), "3", ""), "4", ""), "5", ""), "6", ""), "7", ""), "8", ""), "9", "")), PROPER(SUBSTITUTE(SUBSTITUTE(SUBSTITUTE(SUBSTITUTE(SUBSTITUTE(SUBSTITUTE(SUBSTITUTE(SUBSTITUTE(SUBSTITUTE(SUBSTITUTE(MAIN!C366, "0", ""), "1", ""), "2", ""), "3", ""), "4", ""), "5", ""), "6", ""), "7", ""), "8", ""), "9", ""))))</f>
        <v>--</v>
      </c>
      <c r="D366" t="str">
        <f>IF(ISBLANK(MAIN!D366), "--", IF(ISNUMBER(MATCH(SUBSTITUTE(LEFT(MAIN!D366, IFERROR(FIND(",", MAIN!D366)-1, LEN(MAIN!D366))), " ", ""), lookup_values!$B$2:$B$51, 0)), UPPER(SUBSTITUTE(LEFT(MAIN!D366, IFERROR(FIND(",", MAIN!D366)-1, LEN(MAIN!D366))), " ", "")), IF(ISNA(VLOOKUP(SUBSTITUTE(LEFT(MAIN!D366, IFERROR(FIND(",", MAIN!D366)-1, LEN(MAIN!D366))), " ", ""), lookup_values!$A$2:$B$51, 2, FALSE)), "--", VLOOKUP(SUBSTITUTE(LEFT(MAIN!D366, IFERROR(FIND(",", MAIN!D366)-1, LEN(MAIN!D366))), " ", ""), lookup_values!$A$2:$B$51, 2, FALSE))))</f>
        <v>--</v>
      </c>
      <c r="E366" t="str">
        <f>IF(CLEAN_DATA!D366&lt;&gt;"--","US",IF(ISBLANK(MAIN!E366), "--", IF(ISNUMBER(MATCH(SUBSTITUTE(LEFT(MAIN!E366, IFERROR(FIND(",", MAIN!E366)-1, LEN(MAIN!E366))), " ", ""), lookup_values!$E$2:$E$197, 0)), UPPER(SUBSTITUTE(LEFT(MAIN!E366, IFERROR(FIND(",", MAIN!E366)-1, LEN(MAIN!E366))), " ", "")), IF(ISNA(VLOOKUP(SUBSTITUTE(LEFT(MAIN!E366, IFERROR(FIND(",", MAIN!E366)-1, LEN(MAIN!E366))), " ", ""), lookup_values!$D$2:$E$197, 2, FALSE)), "--", VLOOKUP(SUBSTITUTE(LEFT(MAIN!E366, IFERROR(FIND(",", MAIN!E366)-1, LEN(MAIN!E366))), " ", ""), lookup_values!$D$2:$E$197, 2, FALSE)))))</f>
        <v>--</v>
      </c>
      <c r="F366" t="str">
        <f>IF(ISBLANK(MAIN!F366), "", IF(AND(ISNUMBER(VALUE(TRIM(MAIN!F366))), LEN(TRIM(MAIN!F366))=4), VALUE(TRIM(MAIN!F366)), ""))</f>
        <v/>
      </c>
      <c r="G366">
        <f>IF(ISBLANK(MAIN!G366), 0, IF(ISNUMBER(VALUE(TRIM(MAIN!G366))), VALUE(TRIM(MAIN!G366)), 0))</f>
        <v>0</v>
      </c>
      <c r="H366">
        <f>IF(ISBLANK(MAIN!H366), 0, IF(ISNUMBER(VALUE(TRIM(MAIN!H366))), VALUE(TRIM(MAIN!H366)), 0))</f>
        <v>0</v>
      </c>
      <c r="I366">
        <f>IF(ISBLANK(MAIN!I366), 0, IF(ISNUMBER(VALUE(TRIM(MAIN!I366))), VALUE(TRIM(MAIN!I366)), 0))</f>
        <v>0</v>
      </c>
      <c r="J366">
        <f>IF(ISBLANK(MAIN!J366), 0, IF(ISNUMBER(VALUE(TRIM(MAIN!J366))), VALUE(TRIM(MAIN!J366)), 0))</f>
        <v>0</v>
      </c>
      <c r="K366" cm="1">
        <f t="array" ref="K366">IFERROR(
    VALUE(
        IFERROR(
            UPPER(
                IF(MAX(IFERROR(SEARCH("WD",MAIN!G366:J366), 0))&gt;0, "WD",
                IF(MAX(IFERROR(SEARCH("NS",MAIN!G366:J366), 0))&gt;0, "NS",
                IF(MAX(IFERROR(SEARCH("NC",MAIN!G366:J366), 0))&gt;0, "NC",
                IF(MAX(IFERROR(SEARCH("DQ",MAIN!G366:J366), 0))&gt;0, "DQ",
                IF(ISNUMBER(SEARCH("WD",MAIN!K366)), "WD",
                IF(ISNUMBER(SEARCH("NS",MAIN!K366)), "NS",
                IF(ISNUMBER(SEARCH("NC",MAIN!K366)), "NC",
                IF(ISNUMBER(SEARCH("DQ",MAIN!K366)), "DQ",
                IF(ISNUMBER(SEARCH("A",MAIN!K366)), 0,
                IF(OR(MAIN!K366=0,MAIN!K366=""), 0, --TRIM(MAIN!K366)))))))))))),
            0
        )
    ),
    IFERROR(
        UPPER(
            IF(MAX(IFERROR(SEARCH("WD",MAIN!G366:J366), 0))&gt;0, "WD",
            IF(MAX(IFERROR(SEARCH("NS",MAIN!G366:J366), 0))&gt;0, "NS",
            IF(MAX(IFERROR(SEARCH("NC",MAIN!G366:J366), 0))&gt;0, "NC",
            IF(MAX(IFERROR(SEARCH("DQ",MAIN!G366:J366), 0))&gt;0, "DQ",
            IF(ISNUMBER(SEARCH("WD",MAIN!K366)), "WD",
            IF(ISNUMBER(SEARCH("NS",MAIN!K366)), "NS",
            IF(ISNUMBER(SEARCH("NC",MAIN!K366)), "NC",
            IF(ISNUMBER(SEARCH("DQ",MAIN!K366)), "DQ",
            IF(ISNUMBER(SEARCH("A",MAIN!K366)), 0,
            IF(OR(MAIN!K366=0,MAIN!K366=""), 0, --TRIM(MAIN!K366)))))))))))),
        0
    )
)</f>
        <v>0</v>
      </c>
    </row>
    <row r="367" spans="1:11" x14ac:dyDescent="0.25">
      <c r="A367" t="str">
        <f>IF(ISBLANK(MAIN!A367), "--", IFERROR(PROPER(SUBSTITUTE(SUBSTITUTE(SUBSTITUTE(SUBSTITUTE(SUBSTITUTE(SUBSTITUTE(SUBSTITUTE(SUBSTITUTE(SUBSTITUTE(SUBSTITUTE(LEFT(MAIN!A367, FIND(",",MAIN!A367) -1), "0", ""), "1", ""), "2", ""), "3", ""), "4", ""), "5", ""), "6", ""), "7", ""), "8", ""), "9", "")), PROPER(SUBSTITUTE(SUBSTITUTE(SUBSTITUTE(SUBSTITUTE(SUBSTITUTE(SUBSTITUTE(SUBSTITUTE(SUBSTITUTE(SUBSTITUTE(SUBSTITUTE(MAIN!A367, "0", ""), "1", ""), "2", ""), "3", ""), "4", ""), "5", ""), "6", ""), "7", ""), "8", ""), "9", ""))))</f>
        <v>--</v>
      </c>
      <c r="B367" t="str">
        <f>IF(ISBLANK(MAIN!B367), "--", IFERROR(PROPER(SUBSTITUTE(SUBSTITUTE(SUBSTITUTE(SUBSTITUTE(SUBSTITUTE(SUBSTITUTE(SUBSTITUTE(SUBSTITUTE(SUBSTITUTE(SUBSTITUTE(LEFT(MAIN!B367, FIND(",",MAIN!B367) -1), "0", ""), "1", ""), "2", ""), "3", ""), "4", ""), "5", ""), "6", ""), "7", ""), "8", ""), "9", "")), PROPER(SUBSTITUTE(SUBSTITUTE(SUBSTITUTE(SUBSTITUTE(SUBSTITUTE(SUBSTITUTE(SUBSTITUTE(SUBSTITUTE(SUBSTITUTE(SUBSTITUTE(MAIN!B367, "0", ""), "1", ""), "2", ""), "3", ""), "4", ""), "5", ""), "6", ""), "7", ""), "8", ""), "9", ""))))</f>
        <v>--</v>
      </c>
      <c r="C367" t="str">
        <f>IF(ISBLANK(MAIN!C367), "--", IFERROR(PROPER(SUBSTITUTE(SUBSTITUTE(SUBSTITUTE(SUBSTITUTE(SUBSTITUTE(SUBSTITUTE(SUBSTITUTE(SUBSTITUTE(SUBSTITUTE(SUBSTITUTE(LEFT(MAIN!C367, FIND(",",MAIN!C367) -1), "0", ""), "1", ""), "2", ""), "3", ""), "4", ""), "5", ""), "6", ""), "7", ""), "8", ""), "9", "")), PROPER(SUBSTITUTE(SUBSTITUTE(SUBSTITUTE(SUBSTITUTE(SUBSTITUTE(SUBSTITUTE(SUBSTITUTE(SUBSTITUTE(SUBSTITUTE(SUBSTITUTE(MAIN!C367, "0", ""), "1", ""), "2", ""), "3", ""), "4", ""), "5", ""), "6", ""), "7", ""), "8", ""), "9", ""))))</f>
        <v>--</v>
      </c>
      <c r="D367" t="str">
        <f>IF(ISBLANK(MAIN!D367), "--", IF(ISNUMBER(MATCH(SUBSTITUTE(LEFT(MAIN!D367, IFERROR(FIND(",", MAIN!D367)-1, LEN(MAIN!D367))), " ", ""), lookup_values!$B$2:$B$51, 0)), UPPER(SUBSTITUTE(LEFT(MAIN!D367, IFERROR(FIND(",", MAIN!D367)-1, LEN(MAIN!D367))), " ", "")), IF(ISNA(VLOOKUP(SUBSTITUTE(LEFT(MAIN!D367, IFERROR(FIND(",", MAIN!D367)-1, LEN(MAIN!D367))), " ", ""), lookup_values!$A$2:$B$51, 2, FALSE)), "--", VLOOKUP(SUBSTITUTE(LEFT(MAIN!D367, IFERROR(FIND(",", MAIN!D367)-1, LEN(MAIN!D367))), " ", ""), lookup_values!$A$2:$B$51, 2, FALSE))))</f>
        <v>--</v>
      </c>
      <c r="E367" t="str">
        <f>IF(CLEAN_DATA!D367&lt;&gt;"--","US",IF(ISBLANK(MAIN!E367), "--", IF(ISNUMBER(MATCH(SUBSTITUTE(LEFT(MAIN!E367, IFERROR(FIND(",", MAIN!E367)-1, LEN(MAIN!E367))), " ", ""), lookup_values!$E$2:$E$197, 0)), UPPER(SUBSTITUTE(LEFT(MAIN!E367, IFERROR(FIND(",", MAIN!E367)-1, LEN(MAIN!E367))), " ", "")), IF(ISNA(VLOOKUP(SUBSTITUTE(LEFT(MAIN!E367, IFERROR(FIND(",", MAIN!E367)-1, LEN(MAIN!E367))), " ", ""), lookup_values!$D$2:$E$197, 2, FALSE)), "--", VLOOKUP(SUBSTITUTE(LEFT(MAIN!E367, IFERROR(FIND(",", MAIN!E367)-1, LEN(MAIN!E367))), " ", ""), lookup_values!$D$2:$E$197, 2, FALSE)))))</f>
        <v>--</v>
      </c>
      <c r="F367" t="str">
        <f>IF(ISBLANK(MAIN!F367), "", IF(AND(ISNUMBER(VALUE(TRIM(MAIN!F367))), LEN(TRIM(MAIN!F367))=4), VALUE(TRIM(MAIN!F367)), ""))</f>
        <v/>
      </c>
      <c r="G367">
        <f>IF(ISBLANK(MAIN!G367), 0, IF(ISNUMBER(VALUE(TRIM(MAIN!G367))), VALUE(TRIM(MAIN!G367)), 0))</f>
        <v>0</v>
      </c>
      <c r="H367">
        <f>IF(ISBLANK(MAIN!H367), 0, IF(ISNUMBER(VALUE(TRIM(MAIN!H367))), VALUE(TRIM(MAIN!H367)), 0))</f>
        <v>0</v>
      </c>
      <c r="I367">
        <f>IF(ISBLANK(MAIN!I367), 0, IF(ISNUMBER(VALUE(TRIM(MAIN!I367))), VALUE(TRIM(MAIN!I367)), 0))</f>
        <v>0</v>
      </c>
      <c r="J367">
        <f>IF(ISBLANK(MAIN!J367), 0, IF(ISNUMBER(VALUE(TRIM(MAIN!J367))), VALUE(TRIM(MAIN!J367)), 0))</f>
        <v>0</v>
      </c>
      <c r="K367" cm="1">
        <f t="array" ref="K367">IFERROR(
    VALUE(
        IFERROR(
            UPPER(
                IF(MAX(IFERROR(SEARCH("WD",MAIN!G367:J367), 0))&gt;0, "WD",
                IF(MAX(IFERROR(SEARCH("NS",MAIN!G367:J367), 0))&gt;0, "NS",
                IF(MAX(IFERROR(SEARCH("NC",MAIN!G367:J367), 0))&gt;0, "NC",
                IF(MAX(IFERROR(SEARCH("DQ",MAIN!G367:J367), 0))&gt;0, "DQ",
                IF(ISNUMBER(SEARCH("WD",MAIN!K367)), "WD",
                IF(ISNUMBER(SEARCH("NS",MAIN!K367)), "NS",
                IF(ISNUMBER(SEARCH("NC",MAIN!K367)), "NC",
                IF(ISNUMBER(SEARCH("DQ",MAIN!K367)), "DQ",
                IF(ISNUMBER(SEARCH("A",MAIN!K367)), 0,
                IF(OR(MAIN!K367=0,MAIN!K367=""), 0, --TRIM(MAIN!K367)))))))))))),
            0
        )
    ),
    IFERROR(
        UPPER(
            IF(MAX(IFERROR(SEARCH("WD",MAIN!G367:J367), 0))&gt;0, "WD",
            IF(MAX(IFERROR(SEARCH("NS",MAIN!G367:J367), 0))&gt;0, "NS",
            IF(MAX(IFERROR(SEARCH("NC",MAIN!G367:J367), 0))&gt;0, "NC",
            IF(MAX(IFERROR(SEARCH("DQ",MAIN!G367:J367), 0))&gt;0, "DQ",
            IF(ISNUMBER(SEARCH("WD",MAIN!K367)), "WD",
            IF(ISNUMBER(SEARCH("NS",MAIN!K367)), "NS",
            IF(ISNUMBER(SEARCH("NC",MAIN!K367)), "NC",
            IF(ISNUMBER(SEARCH("DQ",MAIN!K367)), "DQ",
            IF(ISNUMBER(SEARCH("A",MAIN!K367)), 0,
            IF(OR(MAIN!K367=0,MAIN!K367=""), 0, --TRIM(MAIN!K367)))))))))))),
        0
    )
)</f>
        <v>0</v>
      </c>
    </row>
    <row r="368" spans="1:11" x14ac:dyDescent="0.25">
      <c r="A368" t="str">
        <f>IF(ISBLANK(MAIN!A368), "--", IFERROR(PROPER(SUBSTITUTE(SUBSTITUTE(SUBSTITUTE(SUBSTITUTE(SUBSTITUTE(SUBSTITUTE(SUBSTITUTE(SUBSTITUTE(SUBSTITUTE(SUBSTITUTE(LEFT(MAIN!A368, FIND(",",MAIN!A368) -1), "0", ""), "1", ""), "2", ""), "3", ""), "4", ""), "5", ""), "6", ""), "7", ""), "8", ""), "9", "")), PROPER(SUBSTITUTE(SUBSTITUTE(SUBSTITUTE(SUBSTITUTE(SUBSTITUTE(SUBSTITUTE(SUBSTITUTE(SUBSTITUTE(SUBSTITUTE(SUBSTITUTE(MAIN!A368, "0", ""), "1", ""), "2", ""), "3", ""), "4", ""), "5", ""), "6", ""), "7", ""), "8", ""), "9", ""))))</f>
        <v>--</v>
      </c>
      <c r="B368" t="str">
        <f>IF(ISBLANK(MAIN!B368), "--", IFERROR(PROPER(SUBSTITUTE(SUBSTITUTE(SUBSTITUTE(SUBSTITUTE(SUBSTITUTE(SUBSTITUTE(SUBSTITUTE(SUBSTITUTE(SUBSTITUTE(SUBSTITUTE(LEFT(MAIN!B368, FIND(",",MAIN!B368) -1), "0", ""), "1", ""), "2", ""), "3", ""), "4", ""), "5", ""), "6", ""), "7", ""), "8", ""), "9", "")), PROPER(SUBSTITUTE(SUBSTITUTE(SUBSTITUTE(SUBSTITUTE(SUBSTITUTE(SUBSTITUTE(SUBSTITUTE(SUBSTITUTE(SUBSTITUTE(SUBSTITUTE(MAIN!B368, "0", ""), "1", ""), "2", ""), "3", ""), "4", ""), "5", ""), "6", ""), "7", ""), "8", ""), "9", ""))))</f>
        <v>--</v>
      </c>
      <c r="C368" t="str">
        <f>IF(ISBLANK(MAIN!C368), "--", IFERROR(PROPER(SUBSTITUTE(SUBSTITUTE(SUBSTITUTE(SUBSTITUTE(SUBSTITUTE(SUBSTITUTE(SUBSTITUTE(SUBSTITUTE(SUBSTITUTE(SUBSTITUTE(LEFT(MAIN!C368, FIND(",",MAIN!C368) -1), "0", ""), "1", ""), "2", ""), "3", ""), "4", ""), "5", ""), "6", ""), "7", ""), "8", ""), "9", "")), PROPER(SUBSTITUTE(SUBSTITUTE(SUBSTITUTE(SUBSTITUTE(SUBSTITUTE(SUBSTITUTE(SUBSTITUTE(SUBSTITUTE(SUBSTITUTE(SUBSTITUTE(MAIN!C368, "0", ""), "1", ""), "2", ""), "3", ""), "4", ""), "5", ""), "6", ""), "7", ""), "8", ""), "9", ""))))</f>
        <v>--</v>
      </c>
      <c r="D368" t="str">
        <f>IF(ISBLANK(MAIN!D368), "--", IF(ISNUMBER(MATCH(SUBSTITUTE(LEFT(MAIN!D368, IFERROR(FIND(",", MAIN!D368)-1, LEN(MAIN!D368))), " ", ""), lookup_values!$B$2:$B$51, 0)), UPPER(SUBSTITUTE(LEFT(MAIN!D368, IFERROR(FIND(",", MAIN!D368)-1, LEN(MAIN!D368))), " ", "")), IF(ISNA(VLOOKUP(SUBSTITUTE(LEFT(MAIN!D368, IFERROR(FIND(",", MAIN!D368)-1, LEN(MAIN!D368))), " ", ""), lookup_values!$A$2:$B$51, 2, FALSE)), "--", VLOOKUP(SUBSTITUTE(LEFT(MAIN!D368, IFERROR(FIND(",", MAIN!D368)-1, LEN(MAIN!D368))), " ", ""), lookup_values!$A$2:$B$51, 2, FALSE))))</f>
        <v>--</v>
      </c>
      <c r="E368" t="str">
        <f>IF(CLEAN_DATA!D368&lt;&gt;"--","US",IF(ISBLANK(MAIN!E368), "--", IF(ISNUMBER(MATCH(SUBSTITUTE(LEFT(MAIN!E368, IFERROR(FIND(",", MAIN!E368)-1, LEN(MAIN!E368))), " ", ""), lookup_values!$E$2:$E$197, 0)), UPPER(SUBSTITUTE(LEFT(MAIN!E368, IFERROR(FIND(",", MAIN!E368)-1, LEN(MAIN!E368))), " ", "")), IF(ISNA(VLOOKUP(SUBSTITUTE(LEFT(MAIN!E368, IFERROR(FIND(",", MAIN!E368)-1, LEN(MAIN!E368))), " ", ""), lookup_values!$D$2:$E$197, 2, FALSE)), "--", VLOOKUP(SUBSTITUTE(LEFT(MAIN!E368, IFERROR(FIND(",", MAIN!E368)-1, LEN(MAIN!E368))), " ", ""), lookup_values!$D$2:$E$197, 2, FALSE)))))</f>
        <v>--</v>
      </c>
      <c r="F368" t="str">
        <f>IF(ISBLANK(MAIN!F368), "", IF(AND(ISNUMBER(VALUE(TRIM(MAIN!F368))), LEN(TRIM(MAIN!F368))=4), VALUE(TRIM(MAIN!F368)), ""))</f>
        <v/>
      </c>
      <c r="G368">
        <f>IF(ISBLANK(MAIN!G368), 0, IF(ISNUMBER(VALUE(TRIM(MAIN!G368))), VALUE(TRIM(MAIN!G368)), 0))</f>
        <v>0</v>
      </c>
      <c r="H368">
        <f>IF(ISBLANK(MAIN!H368), 0, IF(ISNUMBER(VALUE(TRIM(MAIN!H368))), VALUE(TRIM(MAIN!H368)), 0))</f>
        <v>0</v>
      </c>
      <c r="I368">
        <f>IF(ISBLANK(MAIN!I368), 0, IF(ISNUMBER(VALUE(TRIM(MAIN!I368))), VALUE(TRIM(MAIN!I368)), 0))</f>
        <v>0</v>
      </c>
      <c r="J368">
        <f>IF(ISBLANK(MAIN!J368), 0, IF(ISNUMBER(VALUE(TRIM(MAIN!J368))), VALUE(TRIM(MAIN!J368)), 0))</f>
        <v>0</v>
      </c>
      <c r="K368" cm="1">
        <f t="array" ref="K368">IFERROR(
    VALUE(
        IFERROR(
            UPPER(
                IF(MAX(IFERROR(SEARCH("WD",MAIN!G368:J368), 0))&gt;0, "WD",
                IF(MAX(IFERROR(SEARCH("NS",MAIN!G368:J368), 0))&gt;0, "NS",
                IF(MAX(IFERROR(SEARCH("NC",MAIN!G368:J368), 0))&gt;0, "NC",
                IF(MAX(IFERROR(SEARCH("DQ",MAIN!G368:J368), 0))&gt;0, "DQ",
                IF(ISNUMBER(SEARCH("WD",MAIN!K368)), "WD",
                IF(ISNUMBER(SEARCH("NS",MAIN!K368)), "NS",
                IF(ISNUMBER(SEARCH("NC",MAIN!K368)), "NC",
                IF(ISNUMBER(SEARCH("DQ",MAIN!K368)), "DQ",
                IF(ISNUMBER(SEARCH("A",MAIN!K368)), 0,
                IF(OR(MAIN!K368=0,MAIN!K368=""), 0, --TRIM(MAIN!K368)))))))))))),
            0
        )
    ),
    IFERROR(
        UPPER(
            IF(MAX(IFERROR(SEARCH("WD",MAIN!G368:J368), 0))&gt;0, "WD",
            IF(MAX(IFERROR(SEARCH("NS",MAIN!G368:J368), 0))&gt;0, "NS",
            IF(MAX(IFERROR(SEARCH("NC",MAIN!G368:J368), 0))&gt;0, "NC",
            IF(MAX(IFERROR(SEARCH("DQ",MAIN!G368:J368), 0))&gt;0, "DQ",
            IF(ISNUMBER(SEARCH("WD",MAIN!K368)), "WD",
            IF(ISNUMBER(SEARCH("NS",MAIN!K368)), "NS",
            IF(ISNUMBER(SEARCH("NC",MAIN!K368)), "NC",
            IF(ISNUMBER(SEARCH("DQ",MAIN!K368)), "DQ",
            IF(ISNUMBER(SEARCH("A",MAIN!K368)), 0,
            IF(OR(MAIN!K368=0,MAIN!K368=""), 0, --TRIM(MAIN!K368)))))))))))),
        0
    )
)</f>
        <v>0</v>
      </c>
    </row>
    <row r="369" spans="1:11" x14ac:dyDescent="0.25">
      <c r="A369" t="str">
        <f>IF(ISBLANK(MAIN!A369), "--", IFERROR(PROPER(SUBSTITUTE(SUBSTITUTE(SUBSTITUTE(SUBSTITUTE(SUBSTITUTE(SUBSTITUTE(SUBSTITUTE(SUBSTITUTE(SUBSTITUTE(SUBSTITUTE(LEFT(MAIN!A369, FIND(",",MAIN!A369) -1), "0", ""), "1", ""), "2", ""), "3", ""), "4", ""), "5", ""), "6", ""), "7", ""), "8", ""), "9", "")), PROPER(SUBSTITUTE(SUBSTITUTE(SUBSTITUTE(SUBSTITUTE(SUBSTITUTE(SUBSTITUTE(SUBSTITUTE(SUBSTITUTE(SUBSTITUTE(SUBSTITUTE(MAIN!A369, "0", ""), "1", ""), "2", ""), "3", ""), "4", ""), "5", ""), "6", ""), "7", ""), "8", ""), "9", ""))))</f>
        <v>--</v>
      </c>
      <c r="B369" t="str">
        <f>IF(ISBLANK(MAIN!B369), "--", IFERROR(PROPER(SUBSTITUTE(SUBSTITUTE(SUBSTITUTE(SUBSTITUTE(SUBSTITUTE(SUBSTITUTE(SUBSTITUTE(SUBSTITUTE(SUBSTITUTE(SUBSTITUTE(LEFT(MAIN!B369, FIND(",",MAIN!B369) -1), "0", ""), "1", ""), "2", ""), "3", ""), "4", ""), "5", ""), "6", ""), "7", ""), "8", ""), "9", "")), PROPER(SUBSTITUTE(SUBSTITUTE(SUBSTITUTE(SUBSTITUTE(SUBSTITUTE(SUBSTITUTE(SUBSTITUTE(SUBSTITUTE(SUBSTITUTE(SUBSTITUTE(MAIN!B369, "0", ""), "1", ""), "2", ""), "3", ""), "4", ""), "5", ""), "6", ""), "7", ""), "8", ""), "9", ""))))</f>
        <v>--</v>
      </c>
      <c r="C369" t="str">
        <f>IF(ISBLANK(MAIN!C369), "--", IFERROR(PROPER(SUBSTITUTE(SUBSTITUTE(SUBSTITUTE(SUBSTITUTE(SUBSTITUTE(SUBSTITUTE(SUBSTITUTE(SUBSTITUTE(SUBSTITUTE(SUBSTITUTE(LEFT(MAIN!C369, FIND(",",MAIN!C369) -1), "0", ""), "1", ""), "2", ""), "3", ""), "4", ""), "5", ""), "6", ""), "7", ""), "8", ""), "9", "")), PROPER(SUBSTITUTE(SUBSTITUTE(SUBSTITUTE(SUBSTITUTE(SUBSTITUTE(SUBSTITUTE(SUBSTITUTE(SUBSTITUTE(SUBSTITUTE(SUBSTITUTE(MAIN!C369, "0", ""), "1", ""), "2", ""), "3", ""), "4", ""), "5", ""), "6", ""), "7", ""), "8", ""), "9", ""))))</f>
        <v>--</v>
      </c>
      <c r="D369" t="str">
        <f>IF(ISBLANK(MAIN!D369), "--", IF(ISNUMBER(MATCH(SUBSTITUTE(LEFT(MAIN!D369, IFERROR(FIND(",", MAIN!D369)-1, LEN(MAIN!D369))), " ", ""), lookup_values!$B$2:$B$51, 0)), UPPER(SUBSTITUTE(LEFT(MAIN!D369, IFERROR(FIND(",", MAIN!D369)-1, LEN(MAIN!D369))), " ", "")), IF(ISNA(VLOOKUP(SUBSTITUTE(LEFT(MAIN!D369, IFERROR(FIND(",", MAIN!D369)-1, LEN(MAIN!D369))), " ", ""), lookup_values!$A$2:$B$51, 2, FALSE)), "--", VLOOKUP(SUBSTITUTE(LEFT(MAIN!D369, IFERROR(FIND(",", MAIN!D369)-1, LEN(MAIN!D369))), " ", ""), lookup_values!$A$2:$B$51, 2, FALSE))))</f>
        <v>--</v>
      </c>
      <c r="E369" t="str">
        <f>IF(CLEAN_DATA!D369&lt;&gt;"--","US",IF(ISBLANK(MAIN!E369), "--", IF(ISNUMBER(MATCH(SUBSTITUTE(LEFT(MAIN!E369, IFERROR(FIND(",", MAIN!E369)-1, LEN(MAIN!E369))), " ", ""), lookup_values!$E$2:$E$197, 0)), UPPER(SUBSTITUTE(LEFT(MAIN!E369, IFERROR(FIND(",", MAIN!E369)-1, LEN(MAIN!E369))), " ", "")), IF(ISNA(VLOOKUP(SUBSTITUTE(LEFT(MAIN!E369, IFERROR(FIND(",", MAIN!E369)-1, LEN(MAIN!E369))), " ", ""), lookup_values!$D$2:$E$197, 2, FALSE)), "--", VLOOKUP(SUBSTITUTE(LEFT(MAIN!E369, IFERROR(FIND(",", MAIN!E369)-1, LEN(MAIN!E369))), " ", ""), lookup_values!$D$2:$E$197, 2, FALSE)))))</f>
        <v>--</v>
      </c>
      <c r="F369" t="str">
        <f>IF(ISBLANK(MAIN!F369), "", IF(AND(ISNUMBER(VALUE(TRIM(MAIN!F369))), LEN(TRIM(MAIN!F369))=4), VALUE(TRIM(MAIN!F369)), ""))</f>
        <v/>
      </c>
      <c r="G369">
        <f>IF(ISBLANK(MAIN!G369), 0, IF(ISNUMBER(VALUE(TRIM(MAIN!G369))), VALUE(TRIM(MAIN!G369)), 0))</f>
        <v>0</v>
      </c>
      <c r="H369">
        <f>IF(ISBLANK(MAIN!H369), 0, IF(ISNUMBER(VALUE(TRIM(MAIN!H369))), VALUE(TRIM(MAIN!H369)), 0))</f>
        <v>0</v>
      </c>
      <c r="I369">
        <f>IF(ISBLANK(MAIN!I369), 0, IF(ISNUMBER(VALUE(TRIM(MAIN!I369))), VALUE(TRIM(MAIN!I369)), 0))</f>
        <v>0</v>
      </c>
      <c r="J369">
        <f>IF(ISBLANK(MAIN!J369), 0, IF(ISNUMBER(VALUE(TRIM(MAIN!J369))), VALUE(TRIM(MAIN!J369)), 0))</f>
        <v>0</v>
      </c>
      <c r="K369" cm="1">
        <f t="array" ref="K369">IFERROR(
    VALUE(
        IFERROR(
            UPPER(
                IF(MAX(IFERROR(SEARCH("WD",MAIN!G369:J369), 0))&gt;0, "WD",
                IF(MAX(IFERROR(SEARCH("NS",MAIN!G369:J369), 0))&gt;0, "NS",
                IF(MAX(IFERROR(SEARCH("NC",MAIN!G369:J369), 0))&gt;0, "NC",
                IF(MAX(IFERROR(SEARCH("DQ",MAIN!G369:J369), 0))&gt;0, "DQ",
                IF(ISNUMBER(SEARCH("WD",MAIN!K369)), "WD",
                IF(ISNUMBER(SEARCH("NS",MAIN!K369)), "NS",
                IF(ISNUMBER(SEARCH("NC",MAIN!K369)), "NC",
                IF(ISNUMBER(SEARCH("DQ",MAIN!K369)), "DQ",
                IF(ISNUMBER(SEARCH("A",MAIN!K369)), 0,
                IF(OR(MAIN!K369=0,MAIN!K369=""), 0, --TRIM(MAIN!K369)))))))))))),
            0
        )
    ),
    IFERROR(
        UPPER(
            IF(MAX(IFERROR(SEARCH("WD",MAIN!G369:J369), 0))&gt;0, "WD",
            IF(MAX(IFERROR(SEARCH("NS",MAIN!G369:J369), 0))&gt;0, "NS",
            IF(MAX(IFERROR(SEARCH("NC",MAIN!G369:J369), 0))&gt;0, "NC",
            IF(MAX(IFERROR(SEARCH("DQ",MAIN!G369:J369), 0))&gt;0, "DQ",
            IF(ISNUMBER(SEARCH("WD",MAIN!K369)), "WD",
            IF(ISNUMBER(SEARCH("NS",MAIN!K369)), "NS",
            IF(ISNUMBER(SEARCH("NC",MAIN!K369)), "NC",
            IF(ISNUMBER(SEARCH("DQ",MAIN!K369)), "DQ",
            IF(ISNUMBER(SEARCH("A",MAIN!K369)), 0,
            IF(OR(MAIN!K369=0,MAIN!K369=""), 0, --TRIM(MAIN!K369)))))))))))),
        0
    )
)</f>
        <v>0</v>
      </c>
    </row>
    <row r="370" spans="1:11" x14ac:dyDescent="0.25">
      <c r="A370" t="str">
        <f>IF(ISBLANK(MAIN!A370), "--", IFERROR(PROPER(SUBSTITUTE(SUBSTITUTE(SUBSTITUTE(SUBSTITUTE(SUBSTITUTE(SUBSTITUTE(SUBSTITUTE(SUBSTITUTE(SUBSTITUTE(SUBSTITUTE(LEFT(MAIN!A370, FIND(",",MAIN!A370) -1), "0", ""), "1", ""), "2", ""), "3", ""), "4", ""), "5", ""), "6", ""), "7", ""), "8", ""), "9", "")), PROPER(SUBSTITUTE(SUBSTITUTE(SUBSTITUTE(SUBSTITUTE(SUBSTITUTE(SUBSTITUTE(SUBSTITUTE(SUBSTITUTE(SUBSTITUTE(SUBSTITUTE(MAIN!A370, "0", ""), "1", ""), "2", ""), "3", ""), "4", ""), "5", ""), "6", ""), "7", ""), "8", ""), "9", ""))))</f>
        <v>--</v>
      </c>
      <c r="B370" t="str">
        <f>IF(ISBLANK(MAIN!B370), "--", IFERROR(PROPER(SUBSTITUTE(SUBSTITUTE(SUBSTITUTE(SUBSTITUTE(SUBSTITUTE(SUBSTITUTE(SUBSTITUTE(SUBSTITUTE(SUBSTITUTE(SUBSTITUTE(LEFT(MAIN!B370, FIND(",",MAIN!B370) -1), "0", ""), "1", ""), "2", ""), "3", ""), "4", ""), "5", ""), "6", ""), "7", ""), "8", ""), "9", "")), PROPER(SUBSTITUTE(SUBSTITUTE(SUBSTITUTE(SUBSTITUTE(SUBSTITUTE(SUBSTITUTE(SUBSTITUTE(SUBSTITUTE(SUBSTITUTE(SUBSTITUTE(MAIN!B370, "0", ""), "1", ""), "2", ""), "3", ""), "4", ""), "5", ""), "6", ""), "7", ""), "8", ""), "9", ""))))</f>
        <v>--</v>
      </c>
      <c r="C370" t="str">
        <f>IF(ISBLANK(MAIN!C370), "--", IFERROR(PROPER(SUBSTITUTE(SUBSTITUTE(SUBSTITUTE(SUBSTITUTE(SUBSTITUTE(SUBSTITUTE(SUBSTITUTE(SUBSTITUTE(SUBSTITUTE(SUBSTITUTE(LEFT(MAIN!C370, FIND(",",MAIN!C370) -1), "0", ""), "1", ""), "2", ""), "3", ""), "4", ""), "5", ""), "6", ""), "7", ""), "8", ""), "9", "")), PROPER(SUBSTITUTE(SUBSTITUTE(SUBSTITUTE(SUBSTITUTE(SUBSTITUTE(SUBSTITUTE(SUBSTITUTE(SUBSTITUTE(SUBSTITUTE(SUBSTITUTE(MAIN!C370, "0", ""), "1", ""), "2", ""), "3", ""), "4", ""), "5", ""), "6", ""), "7", ""), "8", ""), "9", ""))))</f>
        <v>--</v>
      </c>
      <c r="D370" t="str">
        <f>IF(ISBLANK(MAIN!D370), "--", IF(ISNUMBER(MATCH(SUBSTITUTE(LEFT(MAIN!D370, IFERROR(FIND(",", MAIN!D370)-1, LEN(MAIN!D370))), " ", ""), lookup_values!$B$2:$B$51, 0)), UPPER(SUBSTITUTE(LEFT(MAIN!D370, IFERROR(FIND(",", MAIN!D370)-1, LEN(MAIN!D370))), " ", "")), IF(ISNA(VLOOKUP(SUBSTITUTE(LEFT(MAIN!D370, IFERROR(FIND(",", MAIN!D370)-1, LEN(MAIN!D370))), " ", ""), lookup_values!$A$2:$B$51, 2, FALSE)), "--", VLOOKUP(SUBSTITUTE(LEFT(MAIN!D370, IFERROR(FIND(",", MAIN!D370)-1, LEN(MAIN!D370))), " ", ""), lookup_values!$A$2:$B$51, 2, FALSE))))</f>
        <v>--</v>
      </c>
      <c r="E370" t="str">
        <f>IF(CLEAN_DATA!D370&lt;&gt;"--","US",IF(ISBLANK(MAIN!E370), "--", IF(ISNUMBER(MATCH(SUBSTITUTE(LEFT(MAIN!E370, IFERROR(FIND(",", MAIN!E370)-1, LEN(MAIN!E370))), " ", ""), lookup_values!$E$2:$E$197, 0)), UPPER(SUBSTITUTE(LEFT(MAIN!E370, IFERROR(FIND(",", MAIN!E370)-1, LEN(MAIN!E370))), " ", "")), IF(ISNA(VLOOKUP(SUBSTITUTE(LEFT(MAIN!E370, IFERROR(FIND(",", MAIN!E370)-1, LEN(MAIN!E370))), " ", ""), lookup_values!$D$2:$E$197, 2, FALSE)), "--", VLOOKUP(SUBSTITUTE(LEFT(MAIN!E370, IFERROR(FIND(",", MAIN!E370)-1, LEN(MAIN!E370))), " ", ""), lookup_values!$D$2:$E$197, 2, FALSE)))))</f>
        <v>--</v>
      </c>
      <c r="F370" t="str">
        <f>IF(ISBLANK(MAIN!F370), "", IF(AND(ISNUMBER(VALUE(TRIM(MAIN!F370))), LEN(TRIM(MAIN!F370))=4), VALUE(TRIM(MAIN!F370)), ""))</f>
        <v/>
      </c>
      <c r="G370">
        <f>IF(ISBLANK(MAIN!G370), 0, IF(ISNUMBER(VALUE(TRIM(MAIN!G370))), VALUE(TRIM(MAIN!G370)), 0))</f>
        <v>0</v>
      </c>
      <c r="H370">
        <f>IF(ISBLANK(MAIN!H370), 0, IF(ISNUMBER(VALUE(TRIM(MAIN!H370))), VALUE(TRIM(MAIN!H370)), 0))</f>
        <v>0</v>
      </c>
      <c r="I370">
        <f>IF(ISBLANK(MAIN!I370), 0, IF(ISNUMBER(VALUE(TRIM(MAIN!I370))), VALUE(TRIM(MAIN!I370)), 0))</f>
        <v>0</v>
      </c>
      <c r="J370">
        <f>IF(ISBLANK(MAIN!J370), 0, IF(ISNUMBER(VALUE(TRIM(MAIN!J370))), VALUE(TRIM(MAIN!J370)), 0))</f>
        <v>0</v>
      </c>
      <c r="K370" cm="1">
        <f t="array" ref="K370">IFERROR(
    VALUE(
        IFERROR(
            UPPER(
                IF(MAX(IFERROR(SEARCH("WD",MAIN!G370:J370), 0))&gt;0, "WD",
                IF(MAX(IFERROR(SEARCH("NS",MAIN!G370:J370), 0))&gt;0, "NS",
                IF(MAX(IFERROR(SEARCH("NC",MAIN!G370:J370), 0))&gt;0, "NC",
                IF(MAX(IFERROR(SEARCH("DQ",MAIN!G370:J370), 0))&gt;0, "DQ",
                IF(ISNUMBER(SEARCH("WD",MAIN!K370)), "WD",
                IF(ISNUMBER(SEARCH("NS",MAIN!K370)), "NS",
                IF(ISNUMBER(SEARCH("NC",MAIN!K370)), "NC",
                IF(ISNUMBER(SEARCH("DQ",MAIN!K370)), "DQ",
                IF(ISNUMBER(SEARCH("A",MAIN!K370)), 0,
                IF(OR(MAIN!K370=0,MAIN!K370=""), 0, --TRIM(MAIN!K370)))))))))))),
            0
        )
    ),
    IFERROR(
        UPPER(
            IF(MAX(IFERROR(SEARCH("WD",MAIN!G370:J370), 0))&gt;0, "WD",
            IF(MAX(IFERROR(SEARCH("NS",MAIN!G370:J370), 0))&gt;0, "NS",
            IF(MAX(IFERROR(SEARCH("NC",MAIN!G370:J370), 0))&gt;0, "NC",
            IF(MAX(IFERROR(SEARCH("DQ",MAIN!G370:J370), 0))&gt;0, "DQ",
            IF(ISNUMBER(SEARCH("WD",MAIN!K370)), "WD",
            IF(ISNUMBER(SEARCH("NS",MAIN!K370)), "NS",
            IF(ISNUMBER(SEARCH("NC",MAIN!K370)), "NC",
            IF(ISNUMBER(SEARCH("DQ",MAIN!K370)), "DQ",
            IF(ISNUMBER(SEARCH("A",MAIN!K370)), 0,
            IF(OR(MAIN!K370=0,MAIN!K370=""), 0, --TRIM(MAIN!K370)))))))))))),
        0
    )
)</f>
        <v>0</v>
      </c>
    </row>
    <row r="371" spans="1:11" x14ac:dyDescent="0.25">
      <c r="A371" t="str">
        <f>IF(ISBLANK(MAIN!A371), "--", IFERROR(PROPER(SUBSTITUTE(SUBSTITUTE(SUBSTITUTE(SUBSTITUTE(SUBSTITUTE(SUBSTITUTE(SUBSTITUTE(SUBSTITUTE(SUBSTITUTE(SUBSTITUTE(LEFT(MAIN!A371, FIND(",",MAIN!A371) -1), "0", ""), "1", ""), "2", ""), "3", ""), "4", ""), "5", ""), "6", ""), "7", ""), "8", ""), "9", "")), PROPER(SUBSTITUTE(SUBSTITUTE(SUBSTITUTE(SUBSTITUTE(SUBSTITUTE(SUBSTITUTE(SUBSTITUTE(SUBSTITUTE(SUBSTITUTE(SUBSTITUTE(MAIN!A371, "0", ""), "1", ""), "2", ""), "3", ""), "4", ""), "5", ""), "6", ""), "7", ""), "8", ""), "9", ""))))</f>
        <v>--</v>
      </c>
      <c r="B371" t="str">
        <f>IF(ISBLANK(MAIN!B371), "--", IFERROR(PROPER(SUBSTITUTE(SUBSTITUTE(SUBSTITUTE(SUBSTITUTE(SUBSTITUTE(SUBSTITUTE(SUBSTITUTE(SUBSTITUTE(SUBSTITUTE(SUBSTITUTE(LEFT(MAIN!B371, FIND(",",MAIN!B371) -1), "0", ""), "1", ""), "2", ""), "3", ""), "4", ""), "5", ""), "6", ""), "7", ""), "8", ""), "9", "")), PROPER(SUBSTITUTE(SUBSTITUTE(SUBSTITUTE(SUBSTITUTE(SUBSTITUTE(SUBSTITUTE(SUBSTITUTE(SUBSTITUTE(SUBSTITUTE(SUBSTITUTE(MAIN!B371, "0", ""), "1", ""), "2", ""), "3", ""), "4", ""), "5", ""), "6", ""), "7", ""), "8", ""), "9", ""))))</f>
        <v>--</v>
      </c>
      <c r="C371" t="str">
        <f>IF(ISBLANK(MAIN!C371), "--", IFERROR(PROPER(SUBSTITUTE(SUBSTITUTE(SUBSTITUTE(SUBSTITUTE(SUBSTITUTE(SUBSTITUTE(SUBSTITUTE(SUBSTITUTE(SUBSTITUTE(SUBSTITUTE(LEFT(MAIN!C371, FIND(",",MAIN!C371) -1), "0", ""), "1", ""), "2", ""), "3", ""), "4", ""), "5", ""), "6", ""), "7", ""), "8", ""), "9", "")), PROPER(SUBSTITUTE(SUBSTITUTE(SUBSTITUTE(SUBSTITUTE(SUBSTITUTE(SUBSTITUTE(SUBSTITUTE(SUBSTITUTE(SUBSTITUTE(SUBSTITUTE(MAIN!C371, "0", ""), "1", ""), "2", ""), "3", ""), "4", ""), "5", ""), "6", ""), "7", ""), "8", ""), "9", ""))))</f>
        <v>--</v>
      </c>
      <c r="D371" t="str">
        <f>IF(ISBLANK(MAIN!D371), "--", IF(ISNUMBER(MATCH(SUBSTITUTE(LEFT(MAIN!D371, IFERROR(FIND(",", MAIN!D371)-1, LEN(MAIN!D371))), " ", ""), lookup_values!$B$2:$B$51, 0)), UPPER(SUBSTITUTE(LEFT(MAIN!D371, IFERROR(FIND(",", MAIN!D371)-1, LEN(MAIN!D371))), " ", "")), IF(ISNA(VLOOKUP(SUBSTITUTE(LEFT(MAIN!D371, IFERROR(FIND(",", MAIN!D371)-1, LEN(MAIN!D371))), " ", ""), lookup_values!$A$2:$B$51, 2, FALSE)), "--", VLOOKUP(SUBSTITUTE(LEFT(MAIN!D371, IFERROR(FIND(",", MAIN!D371)-1, LEN(MAIN!D371))), " ", ""), lookup_values!$A$2:$B$51, 2, FALSE))))</f>
        <v>--</v>
      </c>
      <c r="E371" t="str">
        <f>IF(CLEAN_DATA!D371&lt;&gt;"--","US",IF(ISBLANK(MAIN!E371), "--", IF(ISNUMBER(MATCH(SUBSTITUTE(LEFT(MAIN!E371, IFERROR(FIND(",", MAIN!E371)-1, LEN(MAIN!E371))), " ", ""), lookup_values!$E$2:$E$197, 0)), UPPER(SUBSTITUTE(LEFT(MAIN!E371, IFERROR(FIND(",", MAIN!E371)-1, LEN(MAIN!E371))), " ", "")), IF(ISNA(VLOOKUP(SUBSTITUTE(LEFT(MAIN!E371, IFERROR(FIND(",", MAIN!E371)-1, LEN(MAIN!E371))), " ", ""), lookup_values!$D$2:$E$197, 2, FALSE)), "--", VLOOKUP(SUBSTITUTE(LEFT(MAIN!E371, IFERROR(FIND(",", MAIN!E371)-1, LEN(MAIN!E371))), " ", ""), lookup_values!$D$2:$E$197, 2, FALSE)))))</f>
        <v>--</v>
      </c>
      <c r="F371" t="str">
        <f>IF(ISBLANK(MAIN!F371), "", IF(AND(ISNUMBER(VALUE(TRIM(MAIN!F371))), LEN(TRIM(MAIN!F371))=4), VALUE(TRIM(MAIN!F371)), ""))</f>
        <v/>
      </c>
      <c r="G371">
        <f>IF(ISBLANK(MAIN!G371), 0, IF(ISNUMBER(VALUE(TRIM(MAIN!G371))), VALUE(TRIM(MAIN!G371)), 0))</f>
        <v>0</v>
      </c>
      <c r="H371">
        <f>IF(ISBLANK(MAIN!H371), 0, IF(ISNUMBER(VALUE(TRIM(MAIN!H371))), VALUE(TRIM(MAIN!H371)), 0))</f>
        <v>0</v>
      </c>
      <c r="I371">
        <f>IF(ISBLANK(MAIN!I371), 0, IF(ISNUMBER(VALUE(TRIM(MAIN!I371))), VALUE(TRIM(MAIN!I371)), 0))</f>
        <v>0</v>
      </c>
      <c r="J371">
        <f>IF(ISBLANK(MAIN!J371), 0, IF(ISNUMBER(VALUE(TRIM(MAIN!J371))), VALUE(TRIM(MAIN!J371)), 0))</f>
        <v>0</v>
      </c>
      <c r="K371" cm="1">
        <f t="array" ref="K371">IFERROR(
    VALUE(
        IFERROR(
            UPPER(
                IF(MAX(IFERROR(SEARCH("WD",MAIN!G371:J371), 0))&gt;0, "WD",
                IF(MAX(IFERROR(SEARCH("NS",MAIN!G371:J371), 0))&gt;0, "NS",
                IF(MAX(IFERROR(SEARCH("NC",MAIN!G371:J371), 0))&gt;0, "NC",
                IF(MAX(IFERROR(SEARCH("DQ",MAIN!G371:J371), 0))&gt;0, "DQ",
                IF(ISNUMBER(SEARCH("WD",MAIN!K371)), "WD",
                IF(ISNUMBER(SEARCH("NS",MAIN!K371)), "NS",
                IF(ISNUMBER(SEARCH("NC",MAIN!K371)), "NC",
                IF(ISNUMBER(SEARCH("DQ",MAIN!K371)), "DQ",
                IF(ISNUMBER(SEARCH("A",MAIN!K371)), 0,
                IF(OR(MAIN!K371=0,MAIN!K371=""), 0, --TRIM(MAIN!K371)))))))))))),
            0
        )
    ),
    IFERROR(
        UPPER(
            IF(MAX(IFERROR(SEARCH("WD",MAIN!G371:J371), 0))&gt;0, "WD",
            IF(MAX(IFERROR(SEARCH("NS",MAIN!G371:J371), 0))&gt;0, "NS",
            IF(MAX(IFERROR(SEARCH("NC",MAIN!G371:J371), 0))&gt;0, "NC",
            IF(MAX(IFERROR(SEARCH("DQ",MAIN!G371:J371), 0))&gt;0, "DQ",
            IF(ISNUMBER(SEARCH("WD",MAIN!K371)), "WD",
            IF(ISNUMBER(SEARCH("NS",MAIN!K371)), "NS",
            IF(ISNUMBER(SEARCH("NC",MAIN!K371)), "NC",
            IF(ISNUMBER(SEARCH("DQ",MAIN!K371)), "DQ",
            IF(ISNUMBER(SEARCH("A",MAIN!K371)), 0,
            IF(OR(MAIN!K371=0,MAIN!K371=""), 0, --TRIM(MAIN!K371)))))))))))),
        0
    )
)</f>
        <v>0</v>
      </c>
    </row>
    <row r="372" spans="1:11" x14ac:dyDescent="0.25">
      <c r="A372" t="str">
        <f>IF(ISBLANK(MAIN!A372), "--", IFERROR(PROPER(SUBSTITUTE(SUBSTITUTE(SUBSTITUTE(SUBSTITUTE(SUBSTITUTE(SUBSTITUTE(SUBSTITUTE(SUBSTITUTE(SUBSTITUTE(SUBSTITUTE(LEFT(MAIN!A372, FIND(",",MAIN!A372) -1), "0", ""), "1", ""), "2", ""), "3", ""), "4", ""), "5", ""), "6", ""), "7", ""), "8", ""), "9", "")), PROPER(SUBSTITUTE(SUBSTITUTE(SUBSTITUTE(SUBSTITUTE(SUBSTITUTE(SUBSTITUTE(SUBSTITUTE(SUBSTITUTE(SUBSTITUTE(SUBSTITUTE(MAIN!A372, "0", ""), "1", ""), "2", ""), "3", ""), "4", ""), "5", ""), "6", ""), "7", ""), "8", ""), "9", ""))))</f>
        <v>--</v>
      </c>
      <c r="B372" t="str">
        <f>IF(ISBLANK(MAIN!B372), "--", IFERROR(PROPER(SUBSTITUTE(SUBSTITUTE(SUBSTITUTE(SUBSTITUTE(SUBSTITUTE(SUBSTITUTE(SUBSTITUTE(SUBSTITUTE(SUBSTITUTE(SUBSTITUTE(LEFT(MAIN!B372, FIND(",",MAIN!B372) -1), "0", ""), "1", ""), "2", ""), "3", ""), "4", ""), "5", ""), "6", ""), "7", ""), "8", ""), "9", "")), PROPER(SUBSTITUTE(SUBSTITUTE(SUBSTITUTE(SUBSTITUTE(SUBSTITUTE(SUBSTITUTE(SUBSTITUTE(SUBSTITUTE(SUBSTITUTE(SUBSTITUTE(MAIN!B372, "0", ""), "1", ""), "2", ""), "3", ""), "4", ""), "5", ""), "6", ""), "7", ""), "8", ""), "9", ""))))</f>
        <v>--</v>
      </c>
      <c r="C372" t="str">
        <f>IF(ISBLANK(MAIN!C372), "--", IFERROR(PROPER(SUBSTITUTE(SUBSTITUTE(SUBSTITUTE(SUBSTITUTE(SUBSTITUTE(SUBSTITUTE(SUBSTITUTE(SUBSTITUTE(SUBSTITUTE(SUBSTITUTE(LEFT(MAIN!C372, FIND(",",MAIN!C372) -1), "0", ""), "1", ""), "2", ""), "3", ""), "4", ""), "5", ""), "6", ""), "7", ""), "8", ""), "9", "")), PROPER(SUBSTITUTE(SUBSTITUTE(SUBSTITUTE(SUBSTITUTE(SUBSTITUTE(SUBSTITUTE(SUBSTITUTE(SUBSTITUTE(SUBSTITUTE(SUBSTITUTE(MAIN!C372, "0", ""), "1", ""), "2", ""), "3", ""), "4", ""), "5", ""), "6", ""), "7", ""), "8", ""), "9", ""))))</f>
        <v>--</v>
      </c>
      <c r="D372" t="str">
        <f>IF(ISBLANK(MAIN!D372), "--", IF(ISNUMBER(MATCH(SUBSTITUTE(LEFT(MAIN!D372, IFERROR(FIND(",", MAIN!D372)-1, LEN(MAIN!D372))), " ", ""), lookup_values!$B$2:$B$51, 0)), UPPER(SUBSTITUTE(LEFT(MAIN!D372, IFERROR(FIND(",", MAIN!D372)-1, LEN(MAIN!D372))), " ", "")), IF(ISNA(VLOOKUP(SUBSTITUTE(LEFT(MAIN!D372, IFERROR(FIND(",", MAIN!D372)-1, LEN(MAIN!D372))), " ", ""), lookup_values!$A$2:$B$51, 2, FALSE)), "--", VLOOKUP(SUBSTITUTE(LEFT(MAIN!D372, IFERROR(FIND(",", MAIN!D372)-1, LEN(MAIN!D372))), " ", ""), lookup_values!$A$2:$B$51, 2, FALSE))))</f>
        <v>--</v>
      </c>
      <c r="E372" t="str">
        <f>IF(CLEAN_DATA!D372&lt;&gt;"--","US",IF(ISBLANK(MAIN!E372), "--", IF(ISNUMBER(MATCH(SUBSTITUTE(LEFT(MAIN!E372, IFERROR(FIND(",", MAIN!E372)-1, LEN(MAIN!E372))), " ", ""), lookup_values!$E$2:$E$197, 0)), UPPER(SUBSTITUTE(LEFT(MAIN!E372, IFERROR(FIND(",", MAIN!E372)-1, LEN(MAIN!E372))), " ", "")), IF(ISNA(VLOOKUP(SUBSTITUTE(LEFT(MAIN!E372, IFERROR(FIND(",", MAIN!E372)-1, LEN(MAIN!E372))), " ", ""), lookup_values!$D$2:$E$197, 2, FALSE)), "--", VLOOKUP(SUBSTITUTE(LEFT(MAIN!E372, IFERROR(FIND(",", MAIN!E372)-1, LEN(MAIN!E372))), " ", ""), lookup_values!$D$2:$E$197, 2, FALSE)))))</f>
        <v>--</v>
      </c>
      <c r="F372" t="str">
        <f>IF(ISBLANK(MAIN!F372), "", IF(AND(ISNUMBER(VALUE(TRIM(MAIN!F372))), LEN(TRIM(MAIN!F372))=4), VALUE(TRIM(MAIN!F372)), ""))</f>
        <v/>
      </c>
      <c r="G372">
        <f>IF(ISBLANK(MAIN!G372), 0, IF(ISNUMBER(VALUE(TRIM(MAIN!G372))), VALUE(TRIM(MAIN!G372)), 0))</f>
        <v>0</v>
      </c>
      <c r="H372">
        <f>IF(ISBLANK(MAIN!H372), 0, IF(ISNUMBER(VALUE(TRIM(MAIN!H372))), VALUE(TRIM(MAIN!H372)), 0))</f>
        <v>0</v>
      </c>
      <c r="I372">
        <f>IF(ISBLANK(MAIN!I372), 0, IF(ISNUMBER(VALUE(TRIM(MAIN!I372))), VALUE(TRIM(MAIN!I372)), 0))</f>
        <v>0</v>
      </c>
      <c r="J372">
        <f>IF(ISBLANK(MAIN!J372), 0, IF(ISNUMBER(VALUE(TRIM(MAIN!J372))), VALUE(TRIM(MAIN!J372)), 0))</f>
        <v>0</v>
      </c>
      <c r="K372" cm="1">
        <f t="array" ref="K372">IFERROR(
    VALUE(
        IFERROR(
            UPPER(
                IF(MAX(IFERROR(SEARCH("WD",MAIN!G372:J372), 0))&gt;0, "WD",
                IF(MAX(IFERROR(SEARCH("NS",MAIN!G372:J372), 0))&gt;0, "NS",
                IF(MAX(IFERROR(SEARCH("NC",MAIN!G372:J372), 0))&gt;0, "NC",
                IF(MAX(IFERROR(SEARCH("DQ",MAIN!G372:J372), 0))&gt;0, "DQ",
                IF(ISNUMBER(SEARCH("WD",MAIN!K372)), "WD",
                IF(ISNUMBER(SEARCH("NS",MAIN!K372)), "NS",
                IF(ISNUMBER(SEARCH("NC",MAIN!K372)), "NC",
                IF(ISNUMBER(SEARCH("DQ",MAIN!K372)), "DQ",
                IF(ISNUMBER(SEARCH("A",MAIN!K372)), 0,
                IF(OR(MAIN!K372=0,MAIN!K372=""), 0, --TRIM(MAIN!K372)))))))))))),
            0
        )
    ),
    IFERROR(
        UPPER(
            IF(MAX(IFERROR(SEARCH("WD",MAIN!G372:J372), 0))&gt;0, "WD",
            IF(MAX(IFERROR(SEARCH("NS",MAIN!G372:J372), 0))&gt;0, "NS",
            IF(MAX(IFERROR(SEARCH("NC",MAIN!G372:J372), 0))&gt;0, "NC",
            IF(MAX(IFERROR(SEARCH("DQ",MAIN!G372:J372), 0))&gt;0, "DQ",
            IF(ISNUMBER(SEARCH("WD",MAIN!K372)), "WD",
            IF(ISNUMBER(SEARCH("NS",MAIN!K372)), "NS",
            IF(ISNUMBER(SEARCH("NC",MAIN!K372)), "NC",
            IF(ISNUMBER(SEARCH("DQ",MAIN!K372)), "DQ",
            IF(ISNUMBER(SEARCH("A",MAIN!K372)), 0,
            IF(OR(MAIN!K372=0,MAIN!K372=""), 0, --TRIM(MAIN!K372)))))))))))),
        0
    )
)</f>
        <v>0</v>
      </c>
    </row>
    <row r="373" spans="1:11" x14ac:dyDescent="0.25">
      <c r="A373" t="str">
        <f>IF(ISBLANK(MAIN!A373), "--", IFERROR(PROPER(SUBSTITUTE(SUBSTITUTE(SUBSTITUTE(SUBSTITUTE(SUBSTITUTE(SUBSTITUTE(SUBSTITUTE(SUBSTITUTE(SUBSTITUTE(SUBSTITUTE(LEFT(MAIN!A373, FIND(",",MAIN!A373) -1), "0", ""), "1", ""), "2", ""), "3", ""), "4", ""), "5", ""), "6", ""), "7", ""), "8", ""), "9", "")), PROPER(SUBSTITUTE(SUBSTITUTE(SUBSTITUTE(SUBSTITUTE(SUBSTITUTE(SUBSTITUTE(SUBSTITUTE(SUBSTITUTE(SUBSTITUTE(SUBSTITUTE(MAIN!A373, "0", ""), "1", ""), "2", ""), "3", ""), "4", ""), "5", ""), "6", ""), "7", ""), "8", ""), "9", ""))))</f>
        <v>--</v>
      </c>
      <c r="B373" t="str">
        <f>IF(ISBLANK(MAIN!B373), "--", IFERROR(PROPER(SUBSTITUTE(SUBSTITUTE(SUBSTITUTE(SUBSTITUTE(SUBSTITUTE(SUBSTITUTE(SUBSTITUTE(SUBSTITUTE(SUBSTITUTE(SUBSTITUTE(LEFT(MAIN!B373, FIND(",",MAIN!B373) -1), "0", ""), "1", ""), "2", ""), "3", ""), "4", ""), "5", ""), "6", ""), "7", ""), "8", ""), "9", "")), PROPER(SUBSTITUTE(SUBSTITUTE(SUBSTITUTE(SUBSTITUTE(SUBSTITUTE(SUBSTITUTE(SUBSTITUTE(SUBSTITUTE(SUBSTITUTE(SUBSTITUTE(MAIN!B373, "0", ""), "1", ""), "2", ""), "3", ""), "4", ""), "5", ""), "6", ""), "7", ""), "8", ""), "9", ""))))</f>
        <v>--</v>
      </c>
      <c r="C373" t="str">
        <f>IF(ISBLANK(MAIN!C373), "--", IFERROR(PROPER(SUBSTITUTE(SUBSTITUTE(SUBSTITUTE(SUBSTITUTE(SUBSTITUTE(SUBSTITUTE(SUBSTITUTE(SUBSTITUTE(SUBSTITUTE(SUBSTITUTE(LEFT(MAIN!C373, FIND(",",MAIN!C373) -1), "0", ""), "1", ""), "2", ""), "3", ""), "4", ""), "5", ""), "6", ""), "7", ""), "8", ""), "9", "")), PROPER(SUBSTITUTE(SUBSTITUTE(SUBSTITUTE(SUBSTITUTE(SUBSTITUTE(SUBSTITUTE(SUBSTITUTE(SUBSTITUTE(SUBSTITUTE(SUBSTITUTE(MAIN!C373, "0", ""), "1", ""), "2", ""), "3", ""), "4", ""), "5", ""), "6", ""), "7", ""), "8", ""), "9", ""))))</f>
        <v>--</v>
      </c>
      <c r="D373" t="str">
        <f>IF(ISBLANK(MAIN!D373), "--", IF(ISNUMBER(MATCH(SUBSTITUTE(LEFT(MAIN!D373, IFERROR(FIND(",", MAIN!D373)-1, LEN(MAIN!D373))), " ", ""), lookup_values!$B$2:$B$51, 0)), UPPER(SUBSTITUTE(LEFT(MAIN!D373, IFERROR(FIND(",", MAIN!D373)-1, LEN(MAIN!D373))), " ", "")), IF(ISNA(VLOOKUP(SUBSTITUTE(LEFT(MAIN!D373, IFERROR(FIND(",", MAIN!D373)-1, LEN(MAIN!D373))), " ", ""), lookup_values!$A$2:$B$51, 2, FALSE)), "--", VLOOKUP(SUBSTITUTE(LEFT(MAIN!D373, IFERROR(FIND(",", MAIN!D373)-1, LEN(MAIN!D373))), " ", ""), lookup_values!$A$2:$B$51, 2, FALSE))))</f>
        <v>--</v>
      </c>
      <c r="E373" t="str">
        <f>IF(CLEAN_DATA!D373&lt;&gt;"--","US",IF(ISBLANK(MAIN!E373), "--", IF(ISNUMBER(MATCH(SUBSTITUTE(LEFT(MAIN!E373, IFERROR(FIND(",", MAIN!E373)-1, LEN(MAIN!E373))), " ", ""), lookup_values!$E$2:$E$197, 0)), UPPER(SUBSTITUTE(LEFT(MAIN!E373, IFERROR(FIND(",", MAIN!E373)-1, LEN(MAIN!E373))), " ", "")), IF(ISNA(VLOOKUP(SUBSTITUTE(LEFT(MAIN!E373, IFERROR(FIND(",", MAIN!E373)-1, LEN(MAIN!E373))), " ", ""), lookup_values!$D$2:$E$197, 2, FALSE)), "--", VLOOKUP(SUBSTITUTE(LEFT(MAIN!E373, IFERROR(FIND(",", MAIN!E373)-1, LEN(MAIN!E373))), " ", ""), lookup_values!$D$2:$E$197, 2, FALSE)))))</f>
        <v>--</v>
      </c>
      <c r="F373" t="str">
        <f>IF(ISBLANK(MAIN!F373), "", IF(AND(ISNUMBER(VALUE(TRIM(MAIN!F373))), LEN(TRIM(MAIN!F373))=4), VALUE(TRIM(MAIN!F373)), ""))</f>
        <v/>
      </c>
      <c r="G373">
        <f>IF(ISBLANK(MAIN!G373), 0, IF(ISNUMBER(VALUE(TRIM(MAIN!G373))), VALUE(TRIM(MAIN!G373)), 0))</f>
        <v>0</v>
      </c>
      <c r="H373">
        <f>IF(ISBLANK(MAIN!H373), 0, IF(ISNUMBER(VALUE(TRIM(MAIN!H373))), VALUE(TRIM(MAIN!H373)), 0))</f>
        <v>0</v>
      </c>
      <c r="I373">
        <f>IF(ISBLANK(MAIN!I373), 0, IF(ISNUMBER(VALUE(TRIM(MAIN!I373))), VALUE(TRIM(MAIN!I373)), 0))</f>
        <v>0</v>
      </c>
      <c r="J373">
        <f>IF(ISBLANK(MAIN!J373), 0, IF(ISNUMBER(VALUE(TRIM(MAIN!J373))), VALUE(TRIM(MAIN!J373)), 0))</f>
        <v>0</v>
      </c>
      <c r="K373" cm="1">
        <f t="array" ref="K373">IFERROR(
    VALUE(
        IFERROR(
            UPPER(
                IF(MAX(IFERROR(SEARCH("WD",MAIN!G373:J373), 0))&gt;0, "WD",
                IF(MAX(IFERROR(SEARCH("NS",MAIN!G373:J373), 0))&gt;0, "NS",
                IF(MAX(IFERROR(SEARCH("NC",MAIN!G373:J373), 0))&gt;0, "NC",
                IF(MAX(IFERROR(SEARCH("DQ",MAIN!G373:J373), 0))&gt;0, "DQ",
                IF(ISNUMBER(SEARCH("WD",MAIN!K373)), "WD",
                IF(ISNUMBER(SEARCH("NS",MAIN!K373)), "NS",
                IF(ISNUMBER(SEARCH("NC",MAIN!K373)), "NC",
                IF(ISNUMBER(SEARCH("DQ",MAIN!K373)), "DQ",
                IF(ISNUMBER(SEARCH("A",MAIN!K373)), 0,
                IF(OR(MAIN!K373=0,MAIN!K373=""), 0, --TRIM(MAIN!K373)))))))))))),
            0
        )
    ),
    IFERROR(
        UPPER(
            IF(MAX(IFERROR(SEARCH("WD",MAIN!G373:J373), 0))&gt;0, "WD",
            IF(MAX(IFERROR(SEARCH("NS",MAIN!G373:J373), 0))&gt;0, "NS",
            IF(MAX(IFERROR(SEARCH("NC",MAIN!G373:J373), 0))&gt;0, "NC",
            IF(MAX(IFERROR(SEARCH("DQ",MAIN!G373:J373), 0))&gt;0, "DQ",
            IF(ISNUMBER(SEARCH("WD",MAIN!K373)), "WD",
            IF(ISNUMBER(SEARCH("NS",MAIN!K373)), "NS",
            IF(ISNUMBER(SEARCH("NC",MAIN!K373)), "NC",
            IF(ISNUMBER(SEARCH("DQ",MAIN!K373)), "DQ",
            IF(ISNUMBER(SEARCH("A",MAIN!K373)), 0,
            IF(OR(MAIN!K373=0,MAIN!K373=""), 0, --TRIM(MAIN!K373)))))))))))),
        0
    )
)</f>
        <v>0</v>
      </c>
    </row>
    <row r="374" spans="1:11" x14ac:dyDescent="0.25">
      <c r="A374" t="str">
        <f>IF(ISBLANK(MAIN!A374), "--", IFERROR(PROPER(SUBSTITUTE(SUBSTITUTE(SUBSTITUTE(SUBSTITUTE(SUBSTITUTE(SUBSTITUTE(SUBSTITUTE(SUBSTITUTE(SUBSTITUTE(SUBSTITUTE(LEFT(MAIN!A374, FIND(",",MAIN!A374) -1), "0", ""), "1", ""), "2", ""), "3", ""), "4", ""), "5", ""), "6", ""), "7", ""), "8", ""), "9", "")), PROPER(SUBSTITUTE(SUBSTITUTE(SUBSTITUTE(SUBSTITUTE(SUBSTITUTE(SUBSTITUTE(SUBSTITUTE(SUBSTITUTE(SUBSTITUTE(SUBSTITUTE(MAIN!A374, "0", ""), "1", ""), "2", ""), "3", ""), "4", ""), "5", ""), "6", ""), "7", ""), "8", ""), "9", ""))))</f>
        <v>--</v>
      </c>
      <c r="B374" t="str">
        <f>IF(ISBLANK(MAIN!B374), "--", IFERROR(PROPER(SUBSTITUTE(SUBSTITUTE(SUBSTITUTE(SUBSTITUTE(SUBSTITUTE(SUBSTITUTE(SUBSTITUTE(SUBSTITUTE(SUBSTITUTE(SUBSTITUTE(LEFT(MAIN!B374, FIND(",",MAIN!B374) -1), "0", ""), "1", ""), "2", ""), "3", ""), "4", ""), "5", ""), "6", ""), "7", ""), "8", ""), "9", "")), PROPER(SUBSTITUTE(SUBSTITUTE(SUBSTITUTE(SUBSTITUTE(SUBSTITUTE(SUBSTITUTE(SUBSTITUTE(SUBSTITUTE(SUBSTITUTE(SUBSTITUTE(MAIN!B374, "0", ""), "1", ""), "2", ""), "3", ""), "4", ""), "5", ""), "6", ""), "7", ""), "8", ""), "9", ""))))</f>
        <v>--</v>
      </c>
      <c r="C374" t="str">
        <f>IF(ISBLANK(MAIN!C374), "--", IFERROR(PROPER(SUBSTITUTE(SUBSTITUTE(SUBSTITUTE(SUBSTITUTE(SUBSTITUTE(SUBSTITUTE(SUBSTITUTE(SUBSTITUTE(SUBSTITUTE(SUBSTITUTE(LEFT(MAIN!C374, FIND(",",MAIN!C374) -1), "0", ""), "1", ""), "2", ""), "3", ""), "4", ""), "5", ""), "6", ""), "7", ""), "8", ""), "9", "")), PROPER(SUBSTITUTE(SUBSTITUTE(SUBSTITUTE(SUBSTITUTE(SUBSTITUTE(SUBSTITUTE(SUBSTITUTE(SUBSTITUTE(SUBSTITUTE(SUBSTITUTE(MAIN!C374, "0", ""), "1", ""), "2", ""), "3", ""), "4", ""), "5", ""), "6", ""), "7", ""), "8", ""), "9", ""))))</f>
        <v>--</v>
      </c>
      <c r="D374" t="str">
        <f>IF(ISBLANK(MAIN!D374), "--", IF(ISNUMBER(MATCH(SUBSTITUTE(LEFT(MAIN!D374, IFERROR(FIND(",", MAIN!D374)-1, LEN(MAIN!D374))), " ", ""), lookup_values!$B$2:$B$51, 0)), UPPER(SUBSTITUTE(LEFT(MAIN!D374, IFERROR(FIND(",", MAIN!D374)-1, LEN(MAIN!D374))), " ", "")), IF(ISNA(VLOOKUP(SUBSTITUTE(LEFT(MAIN!D374, IFERROR(FIND(",", MAIN!D374)-1, LEN(MAIN!D374))), " ", ""), lookup_values!$A$2:$B$51, 2, FALSE)), "--", VLOOKUP(SUBSTITUTE(LEFT(MAIN!D374, IFERROR(FIND(",", MAIN!D374)-1, LEN(MAIN!D374))), " ", ""), lookup_values!$A$2:$B$51, 2, FALSE))))</f>
        <v>--</v>
      </c>
      <c r="E374" t="str">
        <f>IF(CLEAN_DATA!D374&lt;&gt;"--","US",IF(ISBLANK(MAIN!E374), "--", IF(ISNUMBER(MATCH(SUBSTITUTE(LEFT(MAIN!E374, IFERROR(FIND(",", MAIN!E374)-1, LEN(MAIN!E374))), " ", ""), lookup_values!$E$2:$E$197, 0)), UPPER(SUBSTITUTE(LEFT(MAIN!E374, IFERROR(FIND(",", MAIN!E374)-1, LEN(MAIN!E374))), " ", "")), IF(ISNA(VLOOKUP(SUBSTITUTE(LEFT(MAIN!E374, IFERROR(FIND(",", MAIN!E374)-1, LEN(MAIN!E374))), " ", ""), lookup_values!$D$2:$E$197, 2, FALSE)), "--", VLOOKUP(SUBSTITUTE(LEFT(MAIN!E374, IFERROR(FIND(",", MAIN!E374)-1, LEN(MAIN!E374))), " ", ""), lookup_values!$D$2:$E$197, 2, FALSE)))))</f>
        <v>--</v>
      </c>
      <c r="F374" t="str">
        <f>IF(ISBLANK(MAIN!F374), "", IF(AND(ISNUMBER(VALUE(TRIM(MAIN!F374))), LEN(TRIM(MAIN!F374))=4), VALUE(TRIM(MAIN!F374)), ""))</f>
        <v/>
      </c>
      <c r="G374">
        <f>IF(ISBLANK(MAIN!G374), 0, IF(ISNUMBER(VALUE(TRIM(MAIN!G374))), VALUE(TRIM(MAIN!G374)), 0))</f>
        <v>0</v>
      </c>
      <c r="H374">
        <f>IF(ISBLANK(MAIN!H374), 0, IF(ISNUMBER(VALUE(TRIM(MAIN!H374))), VALUE(TRIM(MAIN!H374)), 0))</f>
        <v>0</v>
      </c>
      <c r="I374">
        <f>IF(ISBLANK(MAIN!I374), 0, IF(ISNUMBER(VALUE(TRIM(MAIN!I374))), VALUE(TRIM(MAIN!I374)), 0))</f>
        <v>0</v>
      </c>
      <c r="J374">
        <f>IF(ISBLANK(MAIN!J374), 0, IF(ISNUMBER(VALUE(TRIM(MAIN!J374))), VALUE(TRIM(MAIN!J374)), 0))</f>
        <v>0</v>
      </c>
      <c r="K374" cm="1">
        <f t="array" ref="K374">IFERROR(
    VALUE(
        IFERROR(
            UPPER(
                IF(MAX(IFERROR(SEARCH("WD",MAIN!G374:J374), 0))&gt;0, "WD",
                IF(MAX(IFERROR(SEARCH("NS",MAIN!G374:J374), 0))&gt;0, "NS",
                IF(MAX(IFERROR(SEARCH("NC",MAIN!G374:J374), 0))&gt;0, "NC",
                IF(MAX(IFERROR(SEARCH("DQ",MAIN!G374:J374), 0))&gt;0, "DQ",
                IF(ISNUMBER(SEARCH("WD",MAIN!K374)), "WD",
                IF(ISNUMBER(SEARCH("NS",MAIN!K374)), "NS",
                IF(ISNUMBER(SEARCH("NC",MAIN!K374)), "NC",
                IF(ISNUMBER(SEARCH("DQ",MAIN!K374)), "DQ",
                IF(ISNUMBER(SEARCH("A",MAIN!K374)), 0,
                IF(OR(MAIN!K374=0,MAIN!K374=""), 0, --TRIM(MAIN!K374)))))))))))),
            0
        )
    ),
    IFERROR(
        UPPER(
            IF(MAX(IFERROR(SEARCH("WD",MAIN!G374:J374), 0))&gt;0, "WD",
            IF(MAX(IFERROR(SEARCH("NS",MAIN!G374:J374), 0))&gt;0, "NS",
            IF(MAX(IFERROR(SEARCH("NC",MAIN!G374:J374), 0))&gt;0, "NC",
            IF(MAX(IFERROR(SEARCH("DQ",MAIN!G374:J374), 0))&gt;0, "DQ",
            IF(ISNUMBER(SEARCH("WD",MAIN!K374)), "WD",
            IF(ISNUMBER(SEARCH("NS",MAIN!K374)), "NS",
            IF(ISNUMBER(SEARCH("NC",MAIN!K374)), "NC",
            IF(ISNUMBER(SEARCH("DQ",MAIN!K374)), "DQ",
            IF(ISNUMBER(SEARCH("A",MAIN!K374)), 0,
            IF(OR(MAIN!K374=0,MAIN!K374=""), 0, --TRIM(MAIN!K374)))))))))))),
        0
    )
)</f>
        <v>0</v>
      </c>
    </row>
    <row r="375" spans="1:11" x14ac:dyDescent="0.25">
      <c r="A375" t="str">
        <f>IF(ISBLANK(MAIN!A375), "--", IFERROR(PROPER(SUBSTITUTE(SUBSTITUTE(SUBSTITUTE(SUBSTITUTE(SUBSTITUTE(SUBSTITUTE(SUBSTITUTE(SUBSTITUTE(SUBSTITUTE(SUBSTITUTE(LEFT(MAIN!A375, FIND(",",MAIN!A375) -1), "0", ""), "1", ""), "2", ""), "3", ""), "4", ""), "5", ""), "6", ""), "7", ""), "8", ""), "9", "")), PROPER(SUBSTITUTE(SUBSTITUTE(SUBSTITUTE(SUBSTITUTE(SUBSTITUTE(SUBSTITUTE(SUBSTITUTE(SUBSTITUTE(SUBSTITUTE(SUBSTITUTE(MAIN!A375, "0", ""), "1", ""), "2", ""), "3", ""), "4", ""), "5", ""), "6", ""), "7", ""), "8", ""), "9", ""))))</f>
        <v>--</v>
      </c>
      <c r="B375" t="str">
        <f>IF(ISBLANK(MAIN!B375), "--", IFERROR(PROPER(SUBSTITUTE(SUBSTITUTE(SUBSTITUTE(SUBSTITUTE(SUBSTITUTE(SUBSTITUTE(SUBSTITUTE(SUBSTITUTE(SUBSTITUTE(SUBSTITUTE(LEFT(MAIN!B375, FIND(",",MAIN!B375) -1), "0", ""), "1", ""), "2", ""), "3", ""), "4", ""), "5", ""), "6", ""), "7", ""), "8", ""), "9", "")), PROPER(SUBSTITUTE(SUBSTITUTE(SUBSTITUTE(SUBSTITUTE(SUBSTITUTE(SUBSTITUTE(SUBSTITUTE(SUBSTITUTE(SUBSTITUTE(SUBSTITUTE(MAIN!B375, "0", ""), "1", ""), "2", ""), "3", ""), "4", ""), "5", ""), "6", ""), "7", ""), "8", ""), "9", ""))))</f>
        <v>--</v>
      </c>
      <c r="C375" t="str">
        <f>IF(ISBLANK(MAIN!C375), "--", IFERROR(PROPER(SUBSTITUTE(SUBSTITUTE(SUBSTITUTE(SUBSTITUTE(SUBSTITUTE(SUBSTITUTE(SUBSTITUTE(SUBSTITUTE(SUBSTITUTE(SUBSTITUTE(LEFT(MAIN!C375, FIND(",",MAIN!C375) -1), "0", ""), "1", ""), "2", ""), "3", ""), "4", ""), "5", ""), "6", ""), "7", ""), "8", ""), "9", "")), PROPER(SUBSTITUTE(SUBSTITUTE(SUBSTITUTE(SUBSTITUTE(SUBSTITUTE(SUBSTITUTE(SUBSTITUTE(SUBSTITUTE(SUBSTITUTE(SUBSTITUTE(MAIN!C375, "0", ""), "1", ""), "2", ""), "3", ""), "4", ""), "5", ""), "6", ""), "7", ""), "8", ""), "9", ""))))</f>
        <v>--</v>
      </c>
      <c r="D375" t="str">
        <f>IF(ISBLANK(MAIN!D375), "--", IF(ISNUMBER(MATCH(SUBSTITUTE(LEFT(MAIN!D375, IFERROR(FIND(",", MAIN!D375)-1, LEN(MAIN!D375))), " ", ""), lookup_values!$B$2:$B$51, 0)), UPPER(SUBSTITUTE(LEFT(MAIN!D375, IFERROR(FIND(",", MAIN!D375)-1, LEN(MAIN!D375))), " ", "")), IF(ISNA(VLOOKUP(SUBSTITUTE(LEFT(MAIN!D375, IFERROR(FIND(",", MAIN!D375)-1, LEN(MAIN!D375))), " ", ""), lookup_values!$A$2:$B$51, 2, FALSE)), "--", VLOOKUP(SUBSTITUTE(LEFT(MAIN!D375, IFERROR(FIND(",", MAIN!D375)-1, LEN(MAIN!D375))), " ", ""), lookup_values!$A$2:$B$51, 2, FALSE))))</f>
        <v>--</v>
      </c>
      <c r="E375" t="str">
        <f>IF(CLEAN_DATA!D375&lt;&gt;"--","US",IF(ISBLANK(MAIN!E375), "--", IF(ISNUMBER(MATCH(SUBSTITUTE(LEFT(MAIN!E375, IFERROR(FIND(",", MAIN!E375)-1, LEN(MAIN!E375))), " ", ""), lookup_values!$E$2:$E$197, 0)), UPPER(SUBSTITUTE(LEFT(MAIN!E375, IFERROR(FIND(",", MAIN!E375)-1, LEN(MAIN!E375))), " ", "")), IF(ISNA(VLOOKUP(SUBSTITUTE(LEFT(MAIN!E375, IFERROR(FIND(",", MAIN!E375)-1, LEN(MAIN!E375))), " ", ""), lookup_values!$D$2:$E$197, 2, FALSE)), "--", VLOOKUP(SUBSTITUTE(LEFT(MAIN!E375, IFERROR(FIND(",", MAIN!E375)-1, LEN(MAIN!E375))), " ", ""), lookup_values!$D$2:$E$197, 2, FALSE)))))</f>
        <v>--</v>
      </c>
      <c r="F375" t="str">
        <f>IF(ISBLANK(MAIN!F375), "", IF(AND(ISNUMBER(VALUE(TRIM(MAIN!F375))), LEN(TRIM(MAIN!F375))=4), VALUE(TRIM(MAIN!F375)), ""))</f>
        <v/>
      </c>
      <c r="G375">
        <f>IF(ISBLANK(MAIN!G375), 0, IF(ISNUMBER(VALUE(TRIM(MAIN!G375))), VALUE(TRIM(MAIN!G375)), 0))</f>
        <v>0</v>
      </c>
      <c r="H375">
        <f>IF(ISBLANK(MAIN!H375), 0, IF(ISNUMBER(VALUE(TRIM(MAIN!H375))), VALUE(TRIM(MAIN!H375)), 0))</f>
        <v>0</v>
      </c>
      <c r="I375">
        <f>IF(ISBLANK(MAIN!I375), 0, IF(ISNUMBER(VALUE(TRIM(MAIN!I375))), VALUE(TRIM(MAIN!I375)), 0))</f>
        <v>0</v>
      </c>
      <c r="J375">
        <f>IF(ISBLANK(MAIN!J375), 0, IF(ISNUMBER(VALUE(TRIM(MAIN!J375))), VALUE(TRIM(MAIN!J375)), 0))</f>
        <v>0</v>
      </c>
      <c r="K375" cm="1">
        <f t="array" ref="K375">IFERROR(
    VALUE(
        IFERROR(
            UPPER(
                IF(MAX(IFERROR(SEARCH("WD",MAIN!G375:J375), 0))&gt;0, "WD",
                IF(MAX(IFERROR(SEARCH("NS",MAIN!G375:J375), 0))&gt;0, "NS",
                IF(MAX(IFERROR(SEARCH("NC",MAIN!G375:J375), 0))&gt;0, "NC",
                IF(MAX(IFERROR(SEARCH("DQ",MAIN!G375:J375), 0))&gt;0, "DQ",
                IF(ISNUMBER(SEARCH("WD",MAIN!K375)), "WD",
                IF(ISNUMBER(SEARCH("NS",MAIN!K375)), "NS",
                IF(ISNUMBER(SEARCH("NC",MAIN!K375)), "NC",
                IF(ISNUMBER(SEARCH("DQ",MAIN!K375)), "DQ",
                IF(ISNUMBER(SEARCH("A",MAIN!K375)), 0,
                IF(OR(MAIN!K375=0,MAIN!K375=""), 0, --TRIM(MAIN!K375)))))))))))),
            0
        )
    ),
    IFERROR(
        UPPER(
            IF(MAX(IFERROR(SEARCH("WD",MAIN!G375:J375), 0))&gt;0, "WD",
            IF(MAX(IFERROR(SEARCH("NS",MAIN!G375:J375), 0))&gt;0, "NS",
            IF(MAX(IFERROR(SEARCH("NC",MAIN!G375:J375), 0))&gt;0, "NC",
            IF(MAX(IFERROR(SEARCH("DQ",MAIN!G375:J375), 0))&gt;0, "DQ",
            IF(ISNUMBER(SEARCH("WD",MAIN!K375)), "WD",
            IF(ISNUMBER(SEARCH("NS",MAIN!K375)), "NS",
            IF(ISNUMBER(SEARCH("NC",MAIN!K375)), "NC",
            IF(ISNUMBER(SEARCH("DQ",MAIN!K375)), "DQ",
            IF(ISNUMBER(SEARCH("A",MAIN!K375)), 0,
            IF(OR(MAIN!K375=0,MAIN!K375=""), 0, --TRIM(MAIN!K375)))))))))))),
        0
    )
)</f>
        <v>0</v>
      </c>
    </row>
    <row r="376" spans="1:11" x14ac:dyDescent="0.25">
      <c r="A376" t="str">
        <f>IF(ISBLANK(MAIN!A376), "--", IFERROR(PROPER(SUBSTITUTE(SUBSTITUTE(SUBSTITUTE(SUBSTITUTE(SUBSTITUTE(SUBSTITUTE(SUBSTITUTE(SUBSTITUTE(SUBSTITUTE(SUBSTITUTE(LEFT(MAIN!A376, FIND(",",MAIN!A376) -1), "0", ""), "1", ""), "2", ""), "3", ""), "4", ""), "5", ""), "6", ""), "7", ""), "8", ""), "9", "")), PROPER(SUBSTITUTE(SUBSTITUTE(SUBSTITUTE(SUBSTITUTE(SUBSTITUTE(SUBSTITUTE(SUBSTITUTE(SUBSTITUTE(SUBSTITUTE(SUBSTITUTE(MAIN!A376, "0", ""), "1", ""), "2", ""), "3", ""), "4", ""), "5", ""), "6", ""), "7", ""), "8", ""), "9", ""))))</f>
        <v>--</v>
      </c>
      <c r="B376" t="str">
        <f>IF(ISBLANK(MAIN!B376), "--", IFERROR(PROPER(SUBSTITUTE(SUBSTITUTE(SUBSTITUTE(SUBSTITUTE(SUBSTITUTE(SUBSTITUTE(SUBSTITUTE(SUBSTITUTE(SUBSTITUTE(SUBSTITUTE(LEFT(MAIN!B376, FIND(",",MAIN!B376) -1), "0", ""), "1", ""), "2", ""), "3", ""), "4", ""), "5", ""), "6", ""), "7", ""), "8", ""), "9", "")), PROPER(SUBSTITUTE(SUBSTITUTE(SUBSTITUTE(SUBSTITUTE(SUBSTITUTE(SUBSTITUTE(SUBSTITUTE(SUBSTITUTE(SUBSTITUTE(SUBSTITUTE(MAIN!B376, "0", ""), "1", ""), "2", ""), "3", ""), "4", ""), "5", ""), "6", ""), "7", ""), "8", ""), "9", ""))))</f>
        <v>--</v>
      </c>
      <c r="C376" t="str">
        <f>IF(ISBLANK(MAIN!C376), "--", IFERROR(PROPER(SUBSTITUTE(SUBSTITUTE(SUBSTITUTE(SUBSTITUTE(SUBSTITUTE(SUBSTITUTE(SUBSTITUTE(SUBSTITUTE(SUBSTITUTE(SUBSTITUTE(LEFT(MAIN!C376, FIND(",",MAIN!C376) -1), "0", ""), "1", ""), "2", ""), "3", ""), "4", ""), "5", ""), "6", ""), "7", ""), "8", ""), "9", "")), PROPER(SUBSTITUTE(SUBSTITUTE(SUBSTITUTE(SUBSTITUTE(SUBSTITUTE(SUBSTITUTE(SUBSTITUTE(SUBSTITUTE(SUBSTITUTE(SUBSTITUTE(MAIN!C376, "0", ""), "1", ""), "2", ""), "3", ""), "4", ""), "5", ""), "6", ""), "7", ""), "8", ""), "9", ""))))</f>
        <v>--</v>
      </c>
      <c r="D376" t="str">
        <f>IF(ISBLANK(MAIN!D376), "--", IF(ISNUMBER(MATCH(SUBSTITUTE(LEFT(MAIN!D376, IFERROR(FIND(",", MAIN!D376)-1, LEN(MAIN!D376))), " ", ""), lookup_values!$B$2:$B$51, 0)), UPPER(SUBSTITUTE(LEFT(MAIN!D376, IFERROR(FIND(",", MAIN!D376)-1, LEN(MAIN!D376))), " ", "")), IF(ISNA(VLOOKUP(SUBSTITUTE(LEFT(MAIN!D376, IFERROR(FIND(",", MAIN!D376)-1, LEN(MAIN!D376))), " ", ""), lookup_values!$A$2:$B$51, 2, FALSE)), "--", VLOOKUP(SUBSTITUTE(LEFT(MAIN!D376, IFERROR(FIND(",", MAIN!D376)-1, LEN(MAIN!D376))), " ", ""), lookup_values!$A$2:$B$51, 2, FALSE))))</f>
        <v>--</v>
      </c>
      <c r="E376" t="str">
        <f>IF(CLEAN_DATA!D376&lt;&gt;"--","US",IF(ISBLANK(MAIN!E376), "--", IF(ISNUMBER(MATCH(SUBSTITUTE(LEFT(MAIN!E376, IFERROR(FIND(",", MAIN!E376)-1, LEN(MAIN!E376))), " ", ""), lookup_values!$E$2:$E$197, 0)), UPPER(SUBSTITUTE(LEFT(MAIN!E376, IFERROR(FIND(",", MAIN!E376)-1, LEN(MAIN!E376))), " ", "")), IF(ISNA(VLOOKUP(SUBSTITUTE(LEFT(MAIN!E376, IFERROR(FIND(",", MAIN!E376)-1, LEN(MAIN!E376))), " ", ""), lookup_values!$D$2:$E$197, 2, FALSE)), "--", VLOOKUP(SUBSTITUTE(LEFT(MAIN!E376, IFERROR(FIND(",", MAIN!E376)-1, LEN(MAIN!E376))), " ", ""), lookup_values!$D$2:$E$197, 2, FALSE)))))</f>
        <v>--</v>
      </c>
      <c r="F376" t="str">
        <f>IF(ISBLANK(MAIN!F376), "", IF(AND(ISNUMBER(VALUE(TRIM(MAIN!F376))), LEN(TRIM(MAIN!F376))=4), VALUE(TRIM(MAIN!F376)), ""))</f>
        <v/>
      </c>
      <c r="G376">
        <f>IF(ISBLANK(MAIN!G376), 0, IF(ISNUMBER(VALUE(TRIM(MAIN!G376))), VALUE(TRIM(MAIN!G376)), 0))</f>
        <v>0</v>
      </c>
      <c r="H376">
        <f>IF(ISBLANK(MAIN!H376), 0, IF(ISNUMBER(VALUE(TRIM(MAIN!H376))), VALUE(TRIM(MAIN!H376)), 0))</f>
        <v>0</v>
      </c>
      <c r="I376">
        <f>IF(ISBLANK(MAIN!I376), 0, IF(ISNUMBER(VALUE(TRIM(MAIN!I376))), VALUE(TRIM(MAIN!I376)), 0))</f>
        <v>0</v>
      </c>
      <c r="J376">
        <f>IF(ISBLANK(MAIN!J376), 0, IF(ISNUMBER(VALUE(TRIM(MAIN!J376))), VALUE(TRIM(MAIN!J376)), 0))</f>
        <v>0</v>
      </c>
      <c r="K376" cm="1">
        <f t="array" ref="K376">IFERROR(
    VALUE(
        IFERROR(
            UPPER(
                IF(MAX(IFERROR(SEARCH("WD",MAIN!G376:J376), 0))&gt;0, "WD",
                IF(MAX(IFERROR(SEARCH("NS",MAIN!G376:J376), 0))&gt;0, "NS",
                IF(MAX(IFERROR(SEARCH("NC",MAIN!G376:J376), 0))&gt;0, "NC",
                IF(MAX(IFERROR(SEARCH("DQ",MAIN!G376:J376), 0))&gt;0, "DQ",
                IF(ISNUMBER(SEARCH("WD",MAIN!K376)), "WD",
                IF(ISNUMBER(SEARCH("NS",MAIN!K376)), "NS",
                IF(ISNUMBER(SEARCH("NC",MAIN!K376)), "NC",
                IF(ISNUMBER(SEARCH("DQ",MAIN!K376)), "DQ",
                IF(ISNUMBER(SEARCH("A",MAIN!K376)), 0,
                IF(OR(MAIN!K376=0,MAIN!K376=""), 0, --TRIM(MAIN!K376)))))))))))),
            0
        )
    ),
    IFERROR(
        UPPER(
            IF(MAX(IFERROR(SEARCH("WD",MAIN!G376:J376), 0))&gt;0, "WD",
            IF(MAX(IFERROR(SEARCH("NS",MAIN!G376:J376), 0))&gt;0, "NS",
            IF(MAX(IFERROR(SEARCH("NC",MAIN!G376:J376), 0))&gt;0, "NC",
            IF(MAX(IFERROR(SEARCH("DQ",MAIN!G376:J376), 0))&gt;0, "DQ",
            IF(ISNUMBER(SEARCH("WD",MAIN!K376)), "WD",
            IF(ISNUMBER(SEARCH("NS",MAIN!K376)), "NS",
            IF(ISNUMBER(SEARCH("NC",MAIN!K376)), "NC",
            IF(ISNUMBER(SEARCH("DQ",MAIN!K376)), "DQ",
            IF(ISNUMBER(SEARCH("A",MAIN!K376)), 0,
            IF(OR(MAIN!K376=0,MAIN!K376=""), 0, --TRIM(MAIN!K376)))))))))))),
        0
    )
)</f>
        <v>0</v>
      </c>
    </row>
    <row r="377" spans="1:11" x14ac:dyDescent="0.25">
      <c r="A377" t="str">
        <f>IF(ISBLANK(MAIN!A377), "--", IFERROR(PROPER(SUBSTITUTE(SUBSTITUTE(SUBSTITUTE(SUBSTITUTE(SUBSTITUTE(SUBSTITUTE(SUBSTITUTE(SUBSTITUTE(SUBSTITUTE(SUBSTITUTE(LEFT(MAIN!A377, FIND(",",MAIN!A377) -1), "0", ""), "1", ""), "2", ""), "3", ""), "4", ""), "5", ""), "6", ""), "7", ""), "8", ""), "9", "")), PROPER(SUBSTITUTE(SUBSTITUTE(SUBSTITUTE(SUBSTITUTE(SUBSTITUTE(SUBSTITUTE(SUBSTITUTE(SUBSTITUTE(SUBSTITUTE(SUBSTITUTE(MAIN!A377, "0", ""), "1", ""), "2", ""), "3", ""), "4", ""), "5", ""), "6", ""), "7", ""), "8", ""), "9", ""))))</f>
        <v>--</v>
      </c>
      <c r="B377" t="str">
        <f>IF(ISBLANK(MAIN!B377), "--", IFERROR(PROPER(SUBSTITUTE(SUBSTITUTE(SUBSTITUTE(SUBSTITUTE(SUBSTITUTE(SUBSTITUTE(SUBSTITUTE(SUBSTITUTE(SUBSTITUTE(SUBSTITUTE(LEFT(MAIN!B377, FIND(",",MAIN!B377) -1), "0", ""), "1", ""), "2", ""), "3", ""), "4", ""), "5", ""), "6", ""), "7", ""), "8", ""), "9", "")), PROPER(SUBSTITUTE(SUBSTITUTE(SUBSTITUTE(SUBSTITUTE(SUBSTITUTE(SUBSTITUTE(SUBSTITUTE(SUBSTITUTE(SUBSTITUTE(SUBSTITUTE(MAIN!B377, "0", ""), "1", ""), "2", ""), "3", ""), "4", ""), "5", ""), "6", ""), "7", ""), "8", ""), "9", ""))))</f>
        <v>--</v>
      </c>
      <c r="C377" t="str">
        <f>IF(ISBLANK(MAIN!C377), "--", IFERROR(PROPER(SUBSTITUTE(SUBSTITUTE(SUBSTITUTE(SUBSTITUTE(SUBSTITUTE(SUBSTITUTE(SUBSTITUTE(SUBSTITUTE(SUBSTITUTE(SUBSTITUTE(LEFT(MAIN!C377, FIND(",",MAIN!C377) -1), "0", ""), "1", ""), "2", ""), "3", ""), "4", ""), "5", ""), "6", ""), "7", ""), "8", ""), "9", "")), PROPER(SUBSTITUTE(SUBSTITUTE(SUBSTITUTE(SUBSTITUTE(SUBSTITUTE(SUBSTITUTE(SUBSTITUTE(SUBSTITUTE(SUBSTITUTE(SUBSTITUTE(MAIN!C377, "0", ""), "1", ""), "2", ""), "3", ""), "4", ""), "5", ""), "6", ""), "7", ""), "8", ""), "9", ""))))</f>
        <v>--</v>
      </c>
      <c r="D377" t="str">
        <f>IF(ISBLANK(MAIN!D377), "--", IF(ISNUMBER(MATCH(SUBSTITUTE(LEFT(MAIN!D377, IFERROR(FIND(",", MAIN!D377)-1, LEN(MAIN!D377))), " ", ""), lookup_values!$B$2:$B$51, 0)), UPPER(SUBSTITUTE(LEFT(MAIN!D377, IFERROR(FIND(",", MAIN!D377)-1, LEN(MAIN!D377))), " ", "")), IF(ISNA(VLOOKUP(SUBSTITUTE(LEFT(MAIN!D377, IFERROR(FIND(",", MAIN!D377)-1, LEN(MAIN!D377))), " ", ""), lookup_values!$A$2:$B$51, 2, FALSE)), "--", VLOOKUP(SUBSTITUTE(LEFT(MAIN!D377, IFERROR(FIND(",", MAIN!D377)-1, LEN(MAIN!D377))), " ", ""), lookup_values!$A$2:$B$51, 2, FALSE))))</f>
        <v>--</v>
      </c>
      <c r="E377" t="str">
        <f>IF(CLEAN_DATA!D377&lt;&gt;"--","US",IF(ISBLANK(MAIN!E377), "--", IF(ISNUMBER(MATCH(SUBSTITUTE(LEFT(MAIN!E377, IFERROR(FIND(",", MAIN!E377)-1, LEN(MAIN!E377))), " ", ""), lookup_values!$E$2:$E$197, 0)), UPPER(SUBSTITUTE(LEFT(MAIN!E377, IFERROR(FIND(",", MAIN!E377)-1, LEN(MAIN!E377))), " ", "")), IF(ISNA(VLOOKUP(SUBSTITUTE(LEFT(MAIN!E377, IFERROR(FIND(",", MAIN!E377)-1, LEN(MAIN!E377))), " ", ""), lookup_values!$D$2:$E$197, 2, FALSE)), "--", VLOOKUP(SUBSTITUTE(LEFT(MAIN!E377, IFERROR(FIND(",", MAIN!E377)-1, LEN(MAIN!E377))), " ", ""), lookup_values!$D$2:$E$197, 2, FALSE)))))</f>
        <v>--</v>
      </c>
      <c r="F377" t="str">
        <f>IF(ISBLANK(MAIN!F377), "", IF(AND(ISNUMBER(VALUE(TRIM(MAIN!F377))), LEN(TRIM(MAIN!F377))=4), VALUE(TRIM(MAIN!F377)), ""))</f>
        <v/>
      </c>
      <c r="G377">
        <f>IF(ISBLANK(MAIN!G377), 0, IF(ISNUMBER(VALUE(TRIM(MAIN!G377))), VALUE(TRIM(MAIN!G377)), 0))</f>
        <v>0</v>
      </c>
      <c r="H377">
        <f>IF(ISBLANK(MAIN!H377), 0, IF(ISNUMBER(VALUE(TRIM(MAIN!H377))), VALUE(TRIM(MAIN!H377)), 0))</f>
        <v>0</v>
      </c>
      <c r="I377">
        <f>IF(ISBLANK(MAIN!I377), 0, IF(ISNUMBER(VALUE(TRIM(MAIN!I377))), VALUE(TRIM(MAIN!I377)), 0))</f>
        <v>0</v>
      </c>
      <c r="J377">
        <f>IF(ISBLANK(MAIN!J377), 0, IF(ISNUMBER(VALUE(TRIM(MAIN!J377))), VALUE(TRIM(MAIN!J377)), 0))</f>
        <v>0</v>
      </c>
      <c r="K377" cm="1">
        <f t="array" ref="K377">IFERROR(
    VALUE(
        IFERROR(
            UPPER(
                IF(MAX(IFERROR(SEARCH("WD",MAIN!G377:J377), 0))&gt;0, "WD",
                IF(MAX(IFERROR(SEARCH("NS",MAIN!G377:J377), 0))&gt;0, "NS",
                IF(MAX(IFERROR(SEARCH("NC",MAIN!G377:J377), 0))&gt;0, "NC",
                IF(MAX(IFERROR(SEARCH("DQ",MAIN!G377:J377), 0))&gt;0, "DQ",
                IF(ISNUMBER(SEARCH("WD",MAIN!K377)), "WD",
                IF(ISNUMBER(SEARCH("NS",MAIN!K377)), "NS",
                IF(ISNUMBER(SEARCH("NC",MAIN!K377)), "NC",
                IF(ISNUMBER(SEARCH("DQ",MAIN!K377)), "DQ",
                IF(ISNUMBER(SEARCH("A",MAIN!K377)), 0,
                IF(OR(MAIN!K377=0,MAIN!K377=""), 0, --TRIM(MAIN!K377)))))))))))),
            0
        )
    ),
    IFERROR(
        UPPER(
            IF(MAX(IFERROR(SEARCH("WD",MAIN!G377:J377), 0))&gt;0, "WD",
            IF(MAX(IFERROR(SEARCH("NS",MAIN!G377:J377), 0))&gt;0, "NS",
            IF(MAX(IFERROR(SEARCH("NC",MAIN!G377:J377), 0))&gt;0, "NC",
            IF(MAX(IFERROR(SEARCH("DQ",MAIN!G377:J377), 0))&gt;0, "DQ",
            IF(ISNUMBER(SEARCH("WD",MAIN!K377)), "WD",
            IF(ISNUMBER(SEARCH("NS",MAIN!K377)), "NS",
            IF(ISNUMBER(SEARCH("NC",MAIN!K377)), "NC",
            IF(ISNUMBER(SEARCH("DQ",MAIN!K377)), "DQ",
            IF(ISNUMBER(SEARCH("A",MAIN!K377)), 0,
            IF(OR(MAIN!K377=0,MAIN!K377=""), 0, --TRIM(MAIN!K377)))))))))))),
        0
    )
)</f>
        <v>0</v>
      </c>
    </row>
    <row r="378" spans="1:11" x14ac:dyDescent="0.25">
      <c r="A378" t="str">
        <f>IF(ISBLANK(MAIN!A378), "--", IFERROR(PROPER(SUBSTITUTE(SUBSTITUTE(SUBSTITUTE(SUBSTITUTE(SUBSTITUTE(SUBSTITUTE(SUBSTITUTE(SUBSTITUTE(SUBSTITUTE(SUBSTITUTE(LEFT(MAIN!A378, FIND(",",MAIN!A378) -1), "0", ""), "1", ""), "2", ""), "3", ""), "4", ""), "5", ""), "6", ""), "7", ""), "8", ""), "9", "")), PROPER(SUBSTITUTE(SUBSTITUTE(SUBSTITUTE(SUBSTITUTE(SUBSTITUTE(SUBSTITUTE(SUBSTITUTE(SUBSTITUTE(SUBSTITUTE(SUBSTITUTE(MAIN!A378, "0", ""), "1", ""), "2", ""), "3", ""), "4", ""), "5", ""), "6", ""), "7", ""), "8", ""), "9", ""))))</f>
        <v>--</v>
      </c>
      <c r="B378" t="str">
        <f>IF(ISBLANK(MAIN!B378), "--", IFERROR(PROPER(SUBSTITUTE(SUBSTITUTE(SUBSTITUTE(SUBSTITUTE(SUBSTITUTE(SUBSTITUTE(SUBSTITUTE(SUBSTITUTE(SUBSTITUTE(SUBSTITUTE(LEFT(MAIN!B378, FIND(",",MAIN!B378) -1), "0", ""), "1", ""), "2", ""), "3", ""), "4", ""), "5", ""), "6", ""), "7", ""), "8", ""), "9", "")), PROPER(SUBSTITUTE(SUBSTITUTE(SUBSTITUTE(SUBSTITUTE(SUBSTITUTE(SUBSTITUTE(SUBSTITUTE(SUBSTITUTE(SUBSTITUTE(SUBSTITUTE(MAIN!B378, "0", ""), "1", ""), "2", ""), "3", ""), "4", ""), "5", ""), "6", ""), "7", ""), "8", ""), "9", ""))))</f>
        <v>--</v>
      </c>
      <c r="C378" t="str">
        <f>IF(ISBLANK(MAIN!C378), "--", IFERROR(PROPER(SUBSTITUTE(SUBSTITUTE(SUBSTITUTE(SUBSTITUTE(SUBSTITUTE(SUBSTITUTE(SUBSTITUTE(SUBSTITUTE(SUBSTITUTE(SUBSTITUTE(LEFT(MAIN!C378, FIND(",",MAIN!C378) -1), "0", ""), "1", ""), "2", ""), "3", ""), "4", ""), "5", ""), "6", ""), "7", ""), "8", ""), "9", "")), PROPER(SUBSTITUTE(SUBSTITUTE(SUBSTITUTE(SUBSTITUTE(SUBSTITUTE(SUBSTITUTE(SUBSTITUTE(SUBSTITUTE(SUBSTITUTE(SUBSTITUTE(MAIN!C378, "0", ""), "1", ""), "2", ""), "3", ""), "4", ""), "5", ""), "6", ""), "7", ""), "8", ""), "9", ""))))</f>
        <v>--</v>
      </c>
      <c r="D378" t="str">
        <f>IF(ISBLANK(MAIN!D378), "--", IF(ISNUMBER(MATCH(SUBSTITUTE(LEFT(MAIN!D378, IFERROR(FIND(",", MAIN!D378)-1, LEN(MAIN!D378))), " ", ""), lookup_values!$B$2:$B$51, 0)), UPPER(SUBSTITUTE(LEFT(MAIN!D378, IFERROR(FIND(",", MAIN!D378)-1, LEN(MAIN!D378))), " ", "")), IF(ISNA(VLOOKUP(SUBSTITUTE(LEFT(MAIN!D378, IFERROR(FIND(",", MAIN!D378)-1, LEN(MAIN!D378))), " ", ""), lookup_values!$A$2:$B$51, 2, FALSE)), "--", VLOOKUP(SUBSTITUTE(LEFT(MAIN!D378, IFERROR(FIND(",", MAIN!D378)-1, LEN(MAIN!D378))), " ", ""), lookup_values!$A$2:$B$51, 2, FALSE))))</f>
        <v>--</v>
      </c>
      <c r="E378" t="str">
        <f>IF(CLEAN_DATA!D378&lt;&gt;"--","US",IF(ISBLANK(MAIN!E378), "--", IF(ISNUMBER(MATCH(SUBSTITUTE(LEFT(MAIN!E378, IFERROR(FIND(",", MAIN!E378)-1, LEN(MAIN!E378))), " ", ""), lookup_values!$E$2:$E$197, 0)), UPPER(SUBSTITUTE(LEFT(MAIN!E378, IFERROR(FIND(",", MAIN!E378)-1, LEN(MAIN!E378))), " ", "")), IF(ISNA(VLOOKUP(SUBSTITUTE(LEFT(MAIN!E378, IFERROR(FIND(",", MAIN!E378)-1, LEN(MAIN!E378))), " ", ""), lookup_values!$D$2:$E$197, 2, FALSE)), "--", VLOOKUP(SUBSTITUTE(LEFT(MAIN!E378, IFERROR(FIND(",", MAIN!E378)-1, LEN(MAIN!E378))), " ", ""), lookup_values!$D$2:$E$197, 2, FALSE)))))</f>
        <v>--</v>
      </c>
      <c r="F378" t="str">
        <f>IF(ISBLANK(MAIN!F378), "", IF(AND(ISNUMBER(VALUE(TRIM(MAIN!F378))), LEN(TRIM(MAIN!F378))=4), VALUE(TRIM(MAIN!F378)), ""))</f>
        <v/>
      </c>
      <c r="G378">
        <f>IF(ISBLANK(MAIN!G378), 0, IF(ISNUMBER(VALUE(TRIM(MAIN!G378))), VALUE(TRIM(MAIN!G378)), 0))</f>
        <v>0</v>
      </c>
      <c r="H378">
        <f>IF(ISBLANK(MAIN!H378), 0, IF(ISNUMBER(VALUE(TRIM(MAIN!H378))), VALUE(TRIM(MAIN!H378)), 0))</f>
        <v>0</v>
      </c>
      <c r="I378">
        <f>IF(ISBLANK(MAIN!I378), 0, IF(ISNUMBER(VALUE(TRIM(MAIN!I378))), VALUE(TRIM(MAIN!I378)), 0))</f>
        <v>0</v>
      </c>
      <c r="J378">
        <f>IF(ISBLANK(MAIN!J378), 0, IF(ISNUMBER(VALUE(TRIM(MAIN!J378))), VALUE(TRIM(MAIN!J378)), 0))</f>
        <v>0</v>
      </c>
      <c r="K378" cm="1">
        <f t="array" ref="K378">IFERROR(
    VALUE(
        IFERROR(
            UPPER(
                IF(MAX(IFERROR(SEARCH("WD",MAIN!G378:J378), 0))&gt;0, "WD",
                IF(MAX(IFERROR(SEARCH("NS",MAIN!G378:J378), 0))&gt;0, "NS",
                IF(MAX(IFERROR(SEARCH("NC",MAIN!G378:J378), 0))&gt;0, "NC",
                IF(MAX(IFERROR(SEARCH("DQ",MAIN!G378:J378), 0))&gt;0, "DQ",
                IF(ISNUMBER(SEARCH("WD",MAIN!K378)), "WD",
                IF(ISNUMBER(SEARCH("NS",MAIN!K378)), "NS",
                IF(ISNUMBER(SEARCH("NC",MAIN!K378)), "NC",
                IF(ISNUMBER(SEARCH("DQ",MAIN!K378)), "DQ",
                IF(ISNUMBER(SEARCH("A",MAIN!K378)), 0,
                IF(OR(MAIN!K378=0,MAIN!K378=""), 0, --TRIM(MAIN!K378)))))))))))),
            0
        )
    ),
    IFERROR(
        UPPER(
            IF(MAX(IFERROR(SEARCH("WD",MAIN!G378:J378), 0))&gt;0, "WD",
            IF(MAX(IFERROR(SEARCH("NS",MAIN!G378:J378), 0))&gt;0, "NS",
            IF(MAX(IFERROR(SEARCH("NC",MAIN!G378:J378), 0))&gt;0, "NC",
            IF(MAX(IFERROR(SEARCH("DQ",MAIN!G378:J378), 0))&gt;0, "DQ",
            IF(ISNUMBER(SEARCH("WD",MAIN!K378)), "WD",
            IF(ISNUMBER(SEARCH("NS",MAIN!K378)), "NS",
            IF(ISNUMBER(SEARCH("NC",MAIN!K378)), "NC",
            IF(ISNUMBER(SEARCH("DQ",MAIN!K378)), "DQ",
            IF(ISNUMBER(SEARCH("A",MAIN!K378)), 0,
            IF(OR(MAIN!K378=0,MAIN!K378=""), 0, --TRIM(MAIN!K378)))))))))))),
        0
    )
)</f>
        <v>0</v>
      </c>
    </row>
    <row r="379" spans="1:11" x14ac:dyDescent="0.25">
      <c r="A379" t="str">
        <f>IF(ISBLANK(MAIN!A379), "--", IFERROR(PROPER(SUBSTITUTE(SUBSTITUTE(SUBSTITUTE(SUBSTITUTE(SUBSTITUTE(SUBSTITUTE(SUBSTITUTE(SUBSTITUTE(SUBSTITUTE(SUBSTITUTE(LEFT(MAIN!A379, FIND(",",MAIN!A379) -1), "0", ""), "1", ""), "2", ""), "3", ""), "4", ""), "5", ""), "6", ""), "7", ""), "8", ""), "9", "")), PROPER(SUBSTITUTE(SUBSTITUTE(SUBSTITUTE(SUBSTITUTE(SUBSTITUTE(SUBSTITUTE(SUBSTITUTE(SUBSTITUTE(SUBSTITUTE(SUBSTITUTE(MAIN!A379, "0", ""), "1", ""), "2", ""), "3", ""), "4", ""), "5", ""), "6", ""), "7", ""), "8", ""), "9", ""))))</f>
        <v>--</v>
      </c>
      <c r="B379" t="str">
        <f>IF(ISBLANK(MAIN!B379), "--", IFERROR(PROPER(SUBSTITUTE(SUBSTITUTE(SUBSTITUTE(SUBSTITUTE(SUBSTITUTE(SUBSTITUTE(SUBSTITUTE(SUBSTITUTE(SUBSTITUTE(SUBSTITUTE(LEFT(MAIN!B379, FIND(",",MAIN!B379) -1), "0", ""), "1", ""), "2", ""), "3", ""), "4", ""), "5", ""), "6", ""), "7", ""), "8", ""), "9", "")), PROPER(SUBSTITUTE(SUBSTITUTE(SUBSTITUTE(SUBSTITUTE(SUBSTITUTE(SUBSTITUTE(SUBSTITUTE(SUBSTITUTE(SUBSTITUTE(SUBSTITUTE(MAIN!B379, "0", ""), "1", ""), "2", ""), "3", ""), "4", ""), "5", ""), "6", ""), "7", ""), "8", ""), "9", ""))))</f>
        <v>--</v>
      </c>
      <c r="C379" t="str">
        <f>IF(ISBLANK(MAIN!C379), "--", IFERROR(PROPER(SUBSTITUTE(SUBSTITUTE(SUBSTITUTE(SUBSTITUTE(SUBSTITUTE(SUBSTITUTE(SUBSTITUTE(SUBSTITUTE(SUBSTITUTE(SUBSTITUTE(LEFT(MAIN!C379, FIND(",",MAIN!C379) -1), "0", ""), "1", ""), "2", ""), "3", ""), "4", ""), "5", ""), "6", ""), "7", ""), "8", ""), "9", "")), PROPER(SUBSTITUTE(SUBSTITUTE(SUBSTITUTE(SUBSTITUTE(SUBSTITUTE(SUBSTITUTE(SUBSTITUTE(SUBSTITUTE(SUBSTITUTE(SUBSTITUTE(MAIN!C379, "0", ""), "1", ""), "2", ""), "3", ""), "4", ""), "5", ""), "6", ""), "7", ""), "8", ""), "9", ""))))</f>
        <v>--</v>
      </c>
      <c r="D379" t="str">
        <f>IF(ISBLANK(MAIN!D379), "--", IF(ISNUMBER(MATCH(SUBSTITUTE(LEFT(MAIN!D379, IFERROR(FIND(",", MAIN!D379)-1, LEN(MAIN!D379))), " ", ""), lookup_values!$B$2:$B$51, 0)), UPPER(SUBSTITUTE(LEFT(MAIN!D379, IFERROR(FIND(",", MAIN!D379)-1, LEN(MAIN!D379))), " ", "")), IF(ISNA(VLOOKUP(SUBSTITUTE(LEFT(MAIN!D379, IFERROR(FIND(",", MAIN!D379)-1, LEN(MAIN!D379))), " ", ""), lookup_values!$A$2:$B$51, 2, FALSE)), "--", VLOOKUP(SUBSTITUTE(LEFT(MAIN!D379, IFERROR(FIND(",", MAIN!D379)-1, LEN(MAIN!D379))), " ", ""), lookup_values!$A$2:$B$51, 2, FALSE))))</f>
        <v>--</v>
      </c>
      <c r="E379" t="str">
        <f>IF(CLEAN_DATA!D379&lt;&gt;"--","US",IF(ISBLANK(MAIN!E379), "--", IF(ISNUMBER(MATCH(SUBSTITUTE(LEFT(MAIN!E379, IFERROR(FIND(",", MAIN!E379)-1, LEN(MAIN!E379))), " ", ""), lookup_values!$E$2:$E$197, 0)), UPPER(SUBSTITUTE(LEFT(MAIN!E379, IFERROR(FIND(",", MAIN!E379)-1, LEN(MAIN!E379))), " ", "")), IF(ISNA(VLOOKUP(SUBSTITUTE(LEFT(MAIN!E379, IFERROR(FIND(",", MAIN!E379)-1, LEN(MAIN!E379))), " ", ""), lookup_values!$D$2:$E$197, 2, FALSE)), "--", VLOOKUP(SUBSTITUTE(LEFT(MAIN!E379, IFERROR(FIND(",", MAIN!E379)-1, LEN(MAIN!E379))), " ", ""), lookup_values!$D$2:$E$197, 2, FALSE)))))</f>
        <v>--</v>
      </c>
      <c r="F379" t="str">
        <f>IF(ISBLANK(MAIN!F379), "", IF(AND(ISNUMBER(VALUE(TRIM(MAIN!F379))), LEN(TRIM(MAIN!F379))=4), VALUE(TRIM(MAIN!F379)), ""))</f>
        <v/>
      </c>
      <c r="G379">
        <f>IF(ISBLANK(MAIN!G379), 0, IF(ISNUMBER(VALUE(TRIM(MAIN!G379))), VALUE(TRIM(MAIN!G379)), 0))</f>
        <v>0</v>
      </c>
      <c r="H379">
        <f>IF(ISBLANK(MAIN!H379), 0, IF(ISNUMBER(VALUE(TRIM(MAIN!H379))), VALUE(TRIM(MAIN!H379)), 0))</f>
        <v>0</v>
      </c>
      <c r="I379">
        <f>IF(ISBLANK(MAIN!I379), 0, IF(ISNUMBER(VALUE(TRIM(MAIN!I379))), VALUE(TRIM(MAIN!I379)), 0))</f>
        <v>0</v>
      </c>
      <c r="J379">
        <f>IF(ISBLANK(MAIN!J379), 0, IF(ISNUMBER(VALUE(TRIM(MAIN!J379))), VALUE(TRIM(MAIN!J379)), 0))</f>
        <v>0</v>
      </c>
      <c r="K379" cm="1">
        <f t="array" ref="K379">IFERROR(
    VALUE(
        IFERROR(
            UPPER(
                IF(MAX(IFERROR(SEARCH("WD",MAIN!G379:J379), 0))&gt;0, "WD",
                IF(MAX(IFERROR(SEARCH("NS",MAIN!G379:J379), 0))&gt;0, "NS",
                IF(MAX(IFERROR(SEARCH("NC",MAIN!G379:J379), 0))&gt;0, "NC",
                IF(MAX(IFERROR(SEARCH("DQ",MAIN!G379:J379), 0))&gt;0, "DQ",
                IF(ISNUMBER(SEARCH("WD",MAIN!K379)), "WD",
                IF(ISNUMBER(SEARCH("NS",MAIN!K379)), "NS",
                IF(ISNUMBER(SEARCH("NC",MAIN!K379)), "NC",
                IF(ISNUMBER(SEARCH("DQ",MAIN!K379)), "DQ",
                IF(ISNUMBER(SEARCH("A",MAIN!K379)), 0,
                IF(OR(MAIN!K379=0,MAIN!K379=""), 0, --TRIM(MAIN!K379)))))))))))),
            0
        )
    ),
    IFERROR(
        UPPER(
            IF(MAX(IFERROR(SEARCH("WD",MAIN!G379:J379), 0))&gt;0, "WD",
            IF(MAX(IFERROR(SEARCH("NS",MAIN!G379:J379), 0))&gt;0, "NS",
            IF(MAX(IFERROR(SEARCH("NC",MAIN!G379:J379), 0))&gt;0, "NC",
            IF(MAX(IFERROR(SEARCH("DQ",MAIN!G379:J379), 0))&gt;0, "DQ",
            IF(ISNUMBER(SEARCH("WD",MAIN!K379)), "WD",
            IF(ISNUMBER(SEARCH("NS",MAIN!K379)), "NS",
            IF(ISNUMBER(SEARCH("NC",MAIN!K379)), "NC",
            IF(ISNUMBER(SEARCH("DQ",MAIN!K379)), "DQ",
            IF(ISNUMBER(SEARCH("A",MAIN!K379)), 0,
            IF(OR(MAIN!K379=0,MAIN!K379=""), 0, --TRIM(MAIN!K379)))))))))))),
        0
    )
)</f>
        <v>0</v>
      </c>
    </row>
    <row r="380" spans="1:11" x14ac:dyDescent="0.25">
      <c r="A380" t="str">
        <f>IF(ISBLANK(MAIN!A380), "--", IFERROR(PROPER(SUBSTITUTE(SUBSTITUTE(SUBSTITUTE(SUBSTITUTE(SUBSTITUTE(SUBSTITUTE(SUBSTITUTE(SUBSTITUTE(SUBSTITUTE(SUBSTITUTE(LEFT(MAIN!A380, FIND(",",MAIN!A380) -1), "0", ""), "1", ""), "2", ""), "3", ""), "4", ""), "5", ""), "6", ""), "7", ""), "8", ""), "9", "")), PROPER(SUBSTITUTE(SUBSTITUTE(SUBSTITUTE(SUBSTITUTE(SUBSTITUTE(SUBSTITUTE(SUBSTITUTE(SUBSTITUTE(SUBSTITUTE(SUBSTITUTE(MAIN!A380, "0", ""), "1", ""), "2", ""), "3", ""), "4", ""), "5", ""), "6", ""), "7", ""), "8", ""), "9", ""))))</f>
        <v>--</v>
      </c>
      <c r="B380" t="str">
        <f>IF(ISBLANK(MAIN!B380), "--", IFERROR(PROPER(SUBSTITUTE(SUBSTITUTE(SUBSTITUTE(SUBSTITUTE(SUBSTITUTE(SUBSTITUTE(SUBSTITUTE(SUBSTITUTE(SUBSTITUTE(SUBSTITUTE(LEFT(MAIN!B380, FIND(",",MAIN!B380) -1), "0", ""), "1", ""), "2", ""), "3", ""), "4", ""), "5", ""), "6", ""), "7", ""), "8", ""), "9", "")), PROPER(SUBSTITUTE(SUBSTITUTE(SUBSTITUTE(SUBSTITUTE(SUBSTITUTE(SUBSTITUTE(SUBSTITUTE(SUBSTITUTE(SUBSTITUTE(SUBSTITUTE(MAIN!B380, "0", ""), "1", ""), "2", ""), "3", ""), "4", ""), "5", ""), "6", ""), "7", ""), "8", ""), "9", ""))))</f>
        <v>--</v>
      </c>
      <c r="C380" t="str">
        <f>IF(ISBLANK(MAIN!C380), "--", IFERROR(PROPER(SUBSTITUTE(SUBSTITUTE(SUBSTITUTE(SUBSTITUTE(SUBSTITUTE(SUBSTITUTE(SUBSTITUTE(SUBSTITUTE(SUBSTITUTE(SUBSTITUTE(LEFT(MAIN!C380, FIND(",",MAIN!C380) -1), "0", ""), "1", ""), "2", ""), "3", ""), "4", ""), "5", ""), "6", ""), "7", ""), "8", ""), "9", "")), PROPER(SUBSTITUTE(SUBSTITUTE(SUBSTITUTE(SUBSTITUTE(SUBSTITUTE(SUBSTITUTE(SUBSTITUTE(SUBSTITUTE(SUBSTITUTE(SUBSTITUTE(MAIN!C380, "0", ""), "1", ""), "2", ""), "3", ""), "4", ""), "5", ""), "6", ""), "7", ""), "8", ""), "9", ""))))</f>
        <v>--</v>
      </c>
      <c r="D380" t="str">
        <f>IF(ISBLANK(MAIN!D380), "--", IF(ISNUMBER(MATCH(SUBSTITUTE(LEFT(MAIN!D380, IFERROR(FIND(",", MAIN!D380)-1, LEN(MAIN!D380))), " ", ""), lookup_values!$B$2:$B$51, 0)), UPPER(SUBSTITUTE(LEFT(MAIN!D380, IFERROR(FIND(",", MAIN!D380)-1, LEN(MAIN!D380))), " ", "")), IF(ISNA(VLOOKUP(SUBSTITUTE(LEFT(MAIN!D380, IFERROR(FIND(",", MAIN!D380)-1, LEN(MAIN!D380))), " ", ""), lookup_values!$A$2:$B$51, 2, FALSE)), "--", VLOOKUP(SUBSTITUTE(LEFT(MAIN!D380, IFERROR(FIND(",", MAIN!D380)-1, LEN(MAIN!D380))), " ", ""), lookup_values!$A$2:$B$51, 2, FALSE))))</f>
        <v>--</v>
      </c>
      <c r="E380" t="str">
        <f>IF(CLEAN_DATA!D380&lt;&gt;"--","US",IF(ISBLANK(MAIN!E380), "--", IF(ISNUMBER(MATCH(SUBSTITUTE(LEFT(MAIN!E380, IFERROR(FIND(",", MAIN!E380)-1, LEN(MAIN!E380))), " ", ""), lookup_values!$E$2:$E$197, 0)), UPPER(SUBSTITUTE(LEFT(MAIN!E380, IFERROR(FIND(",", MAIN!E380)-1, LEN(MAIN!E380))), " ", "")), IF(ISNA(VLOOKUP(SUBSTITUTE(LEFT(MAIN!E380, IFERROR(FIND(",", MAIN!E380)-1, LEN(MAIN!E380))), " ", ""), lookup_values!$D$2:$E$197, 2, FALSE)), "--", VLOOKUP(SUBSTITUTE(LEFT(MAIN!E380, IFERROR(FIND(",", MAIN!E380)-1, LEN(MAIN!E380))), " ", ""), lookup_values!$D$2:$E$197, 2, FALSE)))))</f>
        <v>--</v>
      </c>
      <c r="F380" t="str">
        <f>IF(ISBLANK(MAIN!F380), "", IF(AND(ISNUMBER(VALUE(TRIM(MAIN!F380))), LEN(TRIM(MAIN!F380))=4), VALUE(TRIM(MAIN!F380)), ""))</f>
        <v/>
      </c>
      <c r="G380">
        <f>IF(ISBLANK(MAIN!G380), 0, IF(ISNUMBER(VALUE(TRIM(MAIN!G380))), VALUE(TRIM(MAIN!G380)), 0))</f>
        <v>0</v>
      </c>
      <c r="H380">
        <f>IF(ISBLANK(MAIN!H380), 0, IF(ISNUMBER(VALUE(TRIM(MAIN!H380))), VALUE(TRIM(MAIN!H380)), 0))</f>
        <v>0</v>
      </c>
      <c r="I380">
        <f>IF(ISBLANK(MAIN!I380), 0, IF(ISNUMBER(VALUE(TRIM(MAIN!I380))), VALUE(TRIM(MAIN!I380)), 0))</f>
        <v>0</v>
      </c>
      <c r="J380">
        <f>IF(ISBLANK(MAIN!J380), 0, IF(ISNUMBER(VALUE(TRIM(MAIN!J380))), VALUE(TRIM(MAIN!J380)), 0))</f>
        <v>0</v>
      </c>
      <c r="K380" cm="1">
        <f t="array" ref="K380">IFERROR(
    VALUE(
        IFERROR(
            UPPER(
                IF(MAX(IFERROR(SEARCH("WD",MAIN!G380:J380), 0))&gt;0, "WD",
                IF(MAX(IFERROR(SEARCH("NS",MAIN!G380:J380), 0))&gt;0, "NS",
                IF(MAX(IFERROR(SEARCH("NC",MAIN!G380:J380), 0))&gt;0, "NC",
                IF(MAX(IFERROR(SEARCH("DQ",MAIN!G380:J380), 0))&gt;0, "DQ",
                IF(ISNUMBER(SEARCH("WD",MAIN!K380)), "WD",
                IF(ISNUMBER(SEARCH("NS",MAIN!K380)), "NS",
                IF(ISNUMBER(SEARCH("NC",MAIN!K380)), "NC",
                IF(ISNUMBER(SEARCH("DQ",MAIN!K380)), "DQ",
                IF(ISNUMBER(SEARCH("A",MAIN!K380)), 0,
                IF(OR(MAIN!K380=0,MAIN!K380=""), 0, --TRIM(MAIN!K380)))))))))))),
            0
        )
    ),
    IFERROR(
        UPPER(
            IF(MAX(IFERROR(SEARCH("WD",MAIN!G380:J380), 0))&gt;0, "WD",
            IF(MAX(IFERROR(SEARCH("NS",MAIN!G380:J380), 0))&gt;0, "NS",
            IF(MAX(IFERROR(SEARCH("NC",MAIN!G380:J380), 0))&gt;0, "NC",
            IF(MAX(IFERROR(SEARCH("DQ",MAIN!G380:J380), 0))&gt;0, "DQ",
            IF(ISNUMBER(SEARCH("WD",MAIN!K380)), "WD",
            IF(ISNUMBER(SEARCH("NS",MAIN!K380)), "NS",
            IF(ISNUMBER(SEARCH("NC",MAIN!K380)), "NC",
            IF(ISNUMBER(SEARCH("DQ",MAIN!K380)), "DQ",
            IF(ISNUMBER(SEARCH("A",MAIN!K380)), 0,
            IF(OR(MAIN!K380=0,MAIN!K380=""), 0, --TRIM(MAIN!K380)))))))))))),
        0
    )
)</f>
        <v>0</v>
      </c>
    </row>
    <row r="381" spans="1:11" x14ac:dyDescent="0.25">
      <c r="A381" t="str">
        <f>IF(ISBLANK(MAIN!A381), "--", IFERROR(PROPER(SUBSTITUTE(SUBSTITUTE(SUBSTITUTE(SUBSTITUTE(SUBSTITUTE(SUBSTITUTE(SUBSTITUTE(SUBSTITUTE(SUBSTITUTE(SUBSTITUTE(LEFT(MAIN!A381, FIND(",",MAIN!A381) -1), "0", ""), "1", ""), "2", ""), "3", ""), "4", ""), "5", ""), "6", ""), "7", ""), "8", ""), "9", "")), PROPER(SUBSTITUTE(SUBSTITUTE(SUBSTITUTE(SUBSTITUTE(SUBSTITUTE(SUBSTITUTE(SUBSTITUTE(SUBSTITUTE(SUBSTITUTE(SUBSTITUTE(MAIN!A381, "0", ""), "1", ""), "2", ""), "3", ""), "4", ""), "5", ""), "6", ""), "7", ""), "8", ""), "9", ""))))</f>
        <v>--</v>
      </c>
      <c r="B381" t="str">
        <f>IF(ISBLANK(MAIN!B381), "--", IFERROR(PROPER(SUBSTITUTE(SUBSTITUTE(SUBSTITUTE(SUBSTITUTE(SUBSTITUTE(SUBSTITUTE(SUBSTITUTE(SUBSTITUTE(SUBSTITUTE(SUBSTITUTE(LEFT(MAIN!B381, FIND(",",MAIN!B381) -1), "0", ""), "1", ""), "2", ""), "3", ""), "4", ""), "5", ""), "6", ""), "7", ""), "8", ""), "9", "")), PROPER(SUBSTITUTE(SUBSTITUTE(SUBSTITUTE(SUBSTITUTE(SUBSTITUTE(SUBSTITUTE(SUBSTITUTE(SUBSTITUTE(SUBSTITUTE(SUBSTITUTE(MAIN!B381, "0", ""), "1", ""), "2", ""), "3", ""), "4", ""), "5", ""), "6", ""), "7", ""), "8", ""), "9", ""))))</f>
        <v>--</v>
      </c>
      <c r="C381" t="str">
        <f>IF(ISBLANK(MAIN!C381), "--", IFERROR(PROPER(SUBSTITUTE(SUBSTITUTE(SUBSTITUTE(SUBSTITUTE(SUBSTITUTE(SUBSTITUTE(SUBSTITUTE(SUBSTITUTE(SUBSTITUTE(SUBSTITUTE(LEFT(MAIN!C381, FIND(",",MAIN!C381) -1), "0", ""), "1", ""), "2", ""), "3", ""), "4", ""), "5", ""), "6", ""), "7", ""), "8", ""), "9", "")), PROPER(SUBSTITUTE(SUBSTITUTE(SUBSTITUTE(SUBSTITUTE(SUBSTITUTE(SUBSTITUTE(SUBSTITUTE(SUBSTITUTE(SUBSTITUTE(SUBSTITUTE(MAIN!C381, "0", ""), "1", ""), "2", ""), "3", ""), "4", ""), "5", ""), "6", ""), "7", ""), "8", ""), "9", ""))))</f>
        <v>--</v>
      </c>
      <c r="D381" t="str">
        <f>IF(ISBLANK(MAIN!D381), "--", IF(ISNUMBER(MATCH(SUBSTITUTE(LEFT(MAIN!D381, IFERROR(FIND(",", MAIN!D381)-1, LEN(MAIN!D381))), " ", ""), lookup_values!$B$2:$B$51, 0)), UPPER(SUBSTITUTE(LEFT(MAIN!D381, IFERROR(FIND(",", MAIN!D381)-1, LEN(MAIN!D381))), " ", "")), IF(ISNA(VLOOKUP(SUBSTITUTE(LEFT(MAIN!D381, IFERROR(FIND(",", MAIN!D381)-1, LEN(MAIN!D381))), " ", ""), lookup_values!$A$2:$B$51, 2, FALSE)), "--", VLOOKUP(SUBSTITUTE(LEFT(MAIN!D381, IFERROR(FIND(",", MAIN!D381)-1, LEN(MAIN!D381))), " ", ""), lookup_values!$A$2:$B$51, 2, FALSE))))</f>
        <v>--</v>
      </c>
      <c r="E381" t="str">
        <f>IF(CLEAN_DATA!D381&lt;&gt;"--","US",IF(ISBLANK(MAIN!E381), "--", IF(ISNUMBER(MATCH(SUBSTITUTE(LEFT(MAIN!E381, IFERROR(FIND(",", MAIN!E381)-1, LEN(MAIN!E381))), " ", ""), lookup_values!$E$2:$E$197, 0)), UPPER(SUBSTITUTE(LEFT(MAIN!E381, IFERROR(FIND(",", MAIN!E381)-1, LEN(MAIN!E381))), " ", "")), IF(ISNA(VLOOKUP(SUBSTITUTE(LEFT(MAIN!E381, IFERROR(FIND(",", MAIN!E381)-1, LEN(MAIN!E381))), " ", ""), lookup_values!$D$2:$E$197, 2, FALSE)), "--", VLOOKUP(SUBSTITUTE(LEFT(MAIN!E381, IFERROR(FIND(",", MAIN!E381)-1, LEN(MAIN!E381))), " ", ""), lookup_values!$D$2:$E$197, 2, FALSE)))))</f>
        <v>--</v>
      </c>
      <c r="F381" t="str">
        <f>IF(ISBLANK(MAIN!F381), "", IF(AND(ISNUMBER(VALUE(TRIM(MAIN!F381))), LEN(TRIM(MAIN!F381))=4), VALUE(TRIM(MAIN!F381)), ""))</f>
        <v/>
      </c>
      <c r="G381">
        <f>IF(ISBLANK(MAIN!G381), 0, IF(ISNUMBER(VALUE(TRIM(MAIN!G381))), VALUE(TRIM(MAIN!G381)), 0))</f>
        <v>0</v>
      </c>
      <c r="H381">
        <f>IF(ISBLANK(MAIN!H381), 0, IF(ISNUMBER(VALUE(TRIM(MAIN!H381))), VALUE(TRIM(MAIN!H381)), 0))</f>
        <v>0</v>
      </c>
      <c r="I381">
        <f>IF(ISBLANK(MAIN!I381), 0, IF(ISNUMBER(VALUE(TRIM(MAIN!I381))), VALUE(TRIM(MAIN!I381)), 0))</f>
        <v>0</v>
      </c>
      <c r="J381">
        <f>IF(ISBLANK(MAIN!J381), 0, IF(ISNUMBER(VALUE(TRIM(MAIN!J381))), VALUE(TRIM(MAIN!J381)), 0))</f>
        <v>0</v>
      </c>
      <c r="K381" cm="1">
        <f t="array" ref="K381">IFERROR(
    VALUE(
        IFERROR(
            UPPER(
                IF(MAX(IFERROR(SEARCH("WD",MAIN!G381:J381), 0))&gt;0, "WD",
                IF(MAX(IFERROR(SEARCH("NS",MAIN!G381:J381), 0))&gt;0, "NS",
                IF(MAX(IFERROR(SEARCH("NC",MAIN!G381:J381), 0))&gt;0, "NC",
                IF(MAX(IFERROR(SEARCH("DQ",MAIN!G381:J381), 0))&gt;0, "DQ",
                IF(ISNUMBER(SEARCH("WD",MAIN!K381)), "WD",
                IF(ISNUMBER(SEARCH("NS",MAIN!K381)), "NS",
                IF(ISNUMBER(SEARCH("NC",MAIN!K381)), "NC",
                IF(ISNUMBER(SEARCH("DQ",MAIN!K381)), "DQ",
                IF(ISNUMBER(SEARCH("A",MAIN!K381)), 0,
                IF(OR(MAIN!K381=0,MAIN!K381=""), 0, --TRIM(MAIN!K381)))))))))))),
            0
        )
    ),
    IFERROR(
        UPPER(
            IF(MAX(IFERROR(SEARCH("WD",MAIN!G381:J381), 0))&gt;0, "WD",
            IF(MAX(IFERROR(SEARCH("NS",MAIN!G381:J381), 0))&gt;0, "NS",
            IF(MAX(IFERROR(SEARCH("NC",MAIN!G381:J381), 0))&gt;0, "NC",
            IF(MAX(IFERROR(SEARCH("DQ",MAIN!G381:J381), 0))&gt;0, "DQ",
            IF(ISNUMBER(SEARCH("WD",MAIN!K381)), "WD",
            IF(ISNUMBER(SEARCH("NS",MAIN!K381)), "NS",
            IF(ISNUMBER(SEARCH("NC",MAIN!K381)), "NC",
            IF(ISNUMBER(SEARCH("DQ",MAIN!K381)), "DQ",
            IF(ISNUMBER(SEARCH("A",MAIN!K381)), 0,
            IF(OR(MAIN!K381=0,MAIN!K381=""), 0, --TRIM(MAIN!K381)))))))))))),
        0
    )
)</f>
        <v>0</v>
      </c>
    </row>
    <row r="382" spans="1:11" x14ac:dyDescent="0.25">
      <c r="A382" t="str">
        <f>IF(ISBLANK(MAIN!A382), "--", IFERROR(PROPER(SUBSTITUTE(SUBSTITUTE(SUBSTITUTE(SUBSTITUTE(SUBSTITUTE(SUBSTITUTE(SUBSTITUTE(SUBSTITUTE(SUBSTITUTE(SUBSTITUTE(LEFT(MAIN!A382, FIND(",",MAIN!A382) -1), "0", ""), "1", ""), "2", ""), "3", ""), "4", ""), "5", ""), "6", ""), "7", ""), "8", ""), "9", "")), PROPER(SUBSTITUTE(SUBSTITUTE(SUBSTITUTE(SUBSTITUTE(SUBSTITUTE(SUBSTITUTE(SUBSTITUTE(SUBSTITUTE(SUBSTITUTE(SUBSTITUTE(MAIN!A382, "0", ""), "1", ""), "2", ""), "3", ""), "4", ""), "5", ""), "6", ""), "7", ""), "8", ""), "9", ""))))</f>
        <v>--</v>
      </c>
      <c r="B382" t="str">
        <f>IF(ISBLANK(MAIN!B382), "--", IFERROR(PROPER(SUBSTITUTE(SUBSTITUTE(SUBSTITUTE(SUBSTITUTE(SUBSTITUTE(SUBSTITUTE(SUBSTITUTE(SUBSTITUTE(SUBSTITUTE(SUBSTITUTE(LEFT(MAIN!B382, FIND(",",MAIN!B382) -1), "0", ""), "1", ""), "2", ""), "3", ""), "4", ""), "5", ""), "6", ""), "7", ""), "8", ""), "9", "")), PROPER(SUBSTITUTE(SUBSTITUTE(SUBSTITUTE(SUBSTITUTE(SUBSTITUTE(SUBSTITUTE(SUBSTITUTE(SUBSTITUTE(SUBSTITUTE(SUBSTITUTE(MAIN!B382, "0", ""), "1", ""), "2", ""), "3", ""), "4", ""), "5", ""), "6", ""), "7", ""), "8", ""), "9", ""))))</f>
        <v>--</v>
      </c>
      <c r="C382" t="str">
        <f>IF(ISBLANK(MAIN!C382), "--", IFERROR(PROPER(SUBSTITUTE(SUBSTITUTE(SUBSTITUTE(SUBSTITUTE(SUBSTITUTE(SUBSTITUTE(SUBSTITUTE(SUBSTITUTE(SUBSTITUTE(SUBSTITUTE(LEFT(MAIN!C382, FIND(",",MAIN!C382) -1), "0", ""), "1", ""), "2", ""), "3", ""), "4", ""), "5", ""), "6", ""), "7", ""), "8", ""), "9", "")), PROPER(SUBSTITUTE(SUBSTITUTE(SUBSTITUTE(SUBSTITUTE(SUBSTITUTE(SUBSTITUTE(SUBSTITUTE(SUBSTITUTE(SUBSTITUTE(SUBSTITUTE(MAIN!C382, "0", ""), "1", ""), "2", ""), "3", ""), "4", ""), "5", ""), "6", ""), "7", ""), "8", ""), "9", ""))))</f>
        <v>--</v>
      </c>
      <c r="D382" t="str">
        <f>IF(ISBLANK(MAIN!D382), "--", IF(ISNUMBER(MATCH(SUBSTITUTE(LEFT(MAIN!D382, IFERROR(FIND(",", MAIN!D382)-1, LEN(MAIN!D382))), " ", ""), lookup_values!$B$2:$B$51, 0)), UPPER(SUBSTITUTE(LEFT(MAIN!D382, IFERROR(FIND(",", MAIN!D382)-1, LEN(MAIN!D382))), " ", "")), IF(ISNA(VLOOKUP(SUBSTITUTE(LEFT(MAIN!D382, IFERROR(FIND(",", MAIN!D382)-1, LEN(MAIN!D382))), " ", ""), lookup_values!$A$2:$B$51, 2, FALSE)), "--", VLOOKUP(SUBSTITUTE(LEFT(MAIN!D382, IFERROR(FIND(",", MAIN!D382)-1, LEN(MAIN!D382))), " ", ""), lookup_values!$A$2:$B$51, 2, FALSE))))</f>
        <v>--</v>
      </c>
      <c r="E382" t="str">
        <f>IF(CLEAN_DATA!D382&lt;&gt;"--","US",IF(ISBLANK(MAIN!E382), "--", IF(ISNUMBER(MATCH(SUBSTITUTE(LEFT(MAIN!E382, IFERROR(FIND(",", MAIN!E382)-1, LEN(MAIN!E382))), " ", ""), lookup_values!$E$2:$E$197, 0)), UPPER(SUBSTITUTE(LEFT(MAIN!E382, IFERROR(FIND(",", MAIN!E382)-1, LEN(MAIN!E382))), " ", "")), IF(ISNA(VLOOKUP(SUBSTITUTE(LEFT(MAIN!E382, IFERROR(FIND(",", MAIN!E382)-1, LEN(MAIN!E382))), " ", ""), lookup_values!$D$2:$E$197, 2, FALSE)), "--", VLOOKUP(SUBSTITUTE(LEFT(MAIN!E382, IFERROR(FIND(",", MAIN!E382)-1, LEN(MAIN!E382))), " ", ""), lookup_values!$D$2:$E$197, 2, FALSE)))))</f>
        <v>--</v>
      </c>
      <c r="F382" t="str">
        <f>IF(ISBLANK(MAIN!F382), "", IF(AND(ISNUMBER(VALUE(TRIM(MAIN!F382))), LEN(TRIM(MAIN!F382))=4), VALUE(TRIM(MAIN!F382)), ""))</f>
        <v/>
      </c>
      <c r="G382">
        <f>IF(ISBLANK(MAIN!G382), 0, IF(ISNUMBER(VALUE(TRIM(MAIN!G382))), VALUE(TRIM(MAIN!G382)), 0))</f>
        <v>0</v>
      </c>
      <c r="H382">
        <f>IF(ISBLANK(MAIN!H382), 0, IF(ISNUMBER(VALUE(TRIM(MAIN!H382))), VALUE(TRIM(MAIN!H382)), 0))</f>
        <v>0</v>
      </c>
      <c r="I382">
        <f>IF(ISBLANK(MAIN!I382), 0, IF(ISNUMBER(VALUE(TRIM(MAIN!I382))), VALUE(TRIM(MAIN!I382)), 0))</f>
        <v>0</v>
      </c>
      <c r="J382">
        <f>IF(ISBLANK(MAIN!J382), 0, IF(ISNUMBER(VALUE(TRIM(MAIN!J382))), VALUE(TRIM(MAIN!J382)), 0))</f>
        <v>0</v>
      </c>
      <c r="K382" cm="1">
        <f t="array" ref="K382">IFERROR(
    VALUE(
        IFERROR(
            UPPER(
                IF(MAX(IFERROR(SEARCH("WD",MAIN!G382:J382), 0))&gt;0, "WD",
                IF(MAX(IFERROR(SEARCH("NS",MAIN!G382:J382), 0))&gt;0, "NS",
                IF(MAX(IFERROR(SEARCH("NC",MAIN!G382:J382), 0))&gt;0, "NC",
                IF(MAX(IFERROR(SEARCH("DQ",MAIN!G382:J382), 0))&gt;0, "DQ",
                IF(ISNUMBER(SEARCH("WD",MAIN!K382)), "WD",
                IF(ISNUMBER(SEARCH("NS",MAIN!K382)), "NS",
                IF(ISNUMBER(SEARCH("NC",MAIN!K382)), "NC",
                IF(ISNUMBER(SEARCH("DQ",MAIN!K382)), "DQ",
                IF(ISNUMBER(SEARCH("A",MAIN!K382)), 0,
                IF(OR(MAIN!K382=0,MAIN!K382=""), 0, --TRIM(MAIN!K382)))))))))))),
            0
        )
    ),
    IFERROR(
        UPPER(
            IF(MAX(IFERROR(SEARCH("WD",MAIN!G382:J382), 0))&gt;0, "WD",
            IF(MAX(IFERROR(SEARCH("NS",MAIN!G382:J382), 0))&gt;0, "NS",
            IF(MAX(IFERROR(SEARCH("NC",MAIN!G382:J382), 0))&gt;0, "NC",
            IF(MAX(IFERROR(SEARCH("DQ",MAIN!G382:J382), 0))&gt;0, "DQ",
            IF(ISNUMBER(SEARCH("WD",MAIN!K382)), "WD",
            IF(ISNUMBER(SEARCH("NS",MAIN!K382)), "NS",
            IF(ISNUMBER(SEARCH("NC",MAIN!K382)), "NC",
            IF(ISNUMBER(SEARCH("DQ",MAIN!K382)), "DQ",
            IF(ISNUMBER(SEARCH("A",MAIN!K382)), 0,
            IF(OR(MAIN!K382=0,MAIN!K382=""), 0, --TRIM(MAIN!K382)))))))))))),
        0
    )
)</f>
        <v>0</v>
      </c>
    </row>
    <row r="383" spans="1:11" x14ac:dyDescent="0.25">
      <c r="A383" t="str">
        <f>IF(ISBLANK(MAIN!A383), "--", IFERROR(PROPER(SUBSTITUTE(SUBSTITUTE(SUBSTITUTE(SUBSTITUTE(SUBSTITUTE(SUBSTITUTE(SUBSTITUTE(SUBSTITUTE(SUBSTITUTE(SUBSTITUTE(LEFT(MAIN!A383, FIND(",",MAIN!A383) -1), "0", ""), "1", ""), "2", ""), "3", ""), "4", ""), "5", ""), "6", ""), "7", ""), "8", ""), "9", "")), PROPER(SUBSTITUTE(SUBSTITUTE(SUBSTITUTE(SUBSTITUTE(SUBSTITUTE(SUBSTITUTE(SUBSTITUTE(SUBSTITUTE(SUBSTITUTE(SUBSTITUTE(MAIN!A383, "0", ""), "1", ""), "2", ""), "3", ""), "4", ""), "5", ""), "6", ""), "7", ""), "8", ""), "9", ""))))</f>
        <v>--</v>
      </c>
      <c r="B383" t="str">
        <f>IF(ISBLANK(MAIN!B383), "--", IFERROR(PROPER(SUBSTITUTE(SUBSTITUTE(SUBSTITUTE(SUBSTITUTE(SUBSTITUTE(SUBSTITUTE(SUBSTITUTE(SUBSTITUTE(SUBSTITUTE(SUBSTITUTE(LEFT(MAIN!B383, FIND(",",MAIN!B383) -1), "0", ""), "1", ""), "2", ""), "3", ""), "4", ""), "5", ""), "6", ""), "7", ""), "8", ""), "9", "")), PROPER(SUBSTITUTE(SUBSTITUTE(SUBSTITUTE(SUBSTITUTE(SUBSTITUTE(SUBSTITUTE(SUBSTITUTE(SUBSTITUTE(SUBSTITUTE(SUBSTITUTE(MAIN!B383, "0", ""), "1", ""), "2", ""), "3", ""), "4", ""), "5", ""), "6", ""), "7", ""), "8", ""), "9", ""))))</f>
        <v>--</v>
      </c>
      <c r="C383" t="str">
        <f>IF(ISBLANK(MAIN!C383), "--", IFERROR(PROPER(SUBSTITUTE(SUBSTITUTE(SUBSTITUTE(SUBSTITUTE(SUBSTITUTE(SUBSTITUTE(SUBSTITUTE(SUBSTITUTE(SUBSTITUTE(SUBSTITUTE(LEFT(MAIN!C383, FIND(",",MAIN!C383) -1), "0", ""), "1", ""), "2", ""), "3", ""), "4", ""), "5", ""), "6", ""), "7", ""), "8", ""), "9", "")), PROPER(SUBSTITUTE(SUBSTITUTE(SUBSTITUTE(SUBSTITUTE(SUBSTITUTE(SUBSTITUTE(SUBSTITUTE(SUBSTITUTE(SUBSTITUTE(SUBSTITUTE(MAIN!C383, "0", ""), "1", ""), "2", ""), "3", ""), "4", ""), "5", ""), "6", ""), "7", ""), "8", ""), "9", ""))))</f>
        <v>--</v>
      </c>
      <c r="D383" t="str">
        <f>IF(ISBLANK(MAIN!D383), "--", IF(ISNUMBER(MATCH(SUBSTITUTE(LEFT(MAIN!D383, IFERROR(FIND(",", MAIN!D383)-1, LEN(MAIN!D383))), " ", ""), lookup_values!$B$2:$B$51, 0)), UPPER(SUBSTITUTE(LEFT(MAIN!D383, IFERROR(FIND(",", MAIN!D383)-1, LEN(MAIN!D383))), " ", "")), IF(ISNA(VLOOKUP(SUBSTITUTE(LEFT(MAIN!D383, IFERROR(FIND(",", MAIN!D383)-1, LEN(MAIN!D383))), " ", ""), lookup_values!$A$2:$B$51, 2, FALSE)), "--", VLOOKUP(SUBSTITUTE(LEFT(MAIN!D383, IFERROR(FIND(",", MAIN!D383)-1, LEN(MAIN!D383))), " ", ""), lookup_values!$A$2:$B$51, 2, FALSE))))</f>
        <v>--</v>
      </c>
      <c r="E383" t="str">
        <f>IF(CLEAN_DATA!D383&lt;&gt;"--","US",IF(ISBLANK(MAIN!E383), "--", IF(ISNUMBER(MATCH(SUBSTITUTE(LEFT(MAIN!E383, IFERROR(FIND(",", MAIN!E383)-1, LEN(MAIN!E383))), " ", ""), lookup_values!$E$2:$E$197, 0)), UPPER(SUBSTITUTE(LEFT(MAIN!E383, IFERROR(FIND(",", MAIN!E383)-1, LEN(MAIN!E383))), " ", "")), IF(ISNA(VLOOKUP(SUBSTITUTE(LEFT(MAIN!E383, IFERROR(FIND(",", MAIN!E383)-1, LEN(MAIN!E383))), " ", ""), lookup_values!$D$2:$E$197, 2, FALSE)), "--", VLOOKUP(SUBSTITUTE(LEFT(MAIN!E383, IFERROR(FIND(",", MAIN!E383)-1, LEN(MAIN!E383))), " ", ""), lookup_values!$D$2:$E$197, 2, FALSE)))))</f>
        <v>--</v>
      </c>
      <c r="F383" t="str">
        <f>IF(ISBLANK(MAIN!F383), "", IF(AND(ISNUMBER(VALUE(TRIM(MAIN!F383))), LEN(TRIM(MAIN!F383))=4), VALUE(TRIM(MAIN!F383)), ""))</f>
        <v/>
      </c>
      <c r="G383">
        <f>IF(ISBLANK(MAIN!G383), 0, IF(ISNUMBER(VALUE(TRIM(MAIN!G383))), VALUE(TRIM(MAIN!G383)), 0))</f>
        <v>0</v>
      </c>
      <c r="H383">
        <f>IF(ISBLANK(MAIN!H383), 0, IF(ISNUMBER(VALUE(TRIM(MAIN!H383))), VALUE(TRIM(MAIN!H383)), 0))</f>
        <v>0</v>
      </c>
      <c r="I383">
        <f>IF(ISBLANK(MAIN!I383), 0, IF(ISNUMBER(VALUE(TRIM(MAIN!I383))), VALUE(TRIM(MAIN!I383)), 0))</f>
        <v>0</v>
      </c>
      <c r="J383">
        <f>IF(ISBLANK(MAIN!J383), 0, IF(ISNUMBER(VALUE(TRIM(MAIN!J383))), VALUE(TRIM(MAIN!J383)), 0))</f>
        <v>0</v>
      </c>
      <c r="K383" cm="1">
        <f t="array" ref="K383">IFERROR(
    VALUE(
        IFERROR(
            UPPER(
                IF(MAX(IFERROR(SEARCH("WD",MAIN!G383:J383), 0))&gt;0, "WD",
                IF(MAX(IFERROR(SEARCH("NS",MAIN!G383:J383), 0))&gt;0, "NS",
                IF(MAX(IFERROR(SEARCH("NC",MAIN!G383:J383), 0))&gt;0, "NC",
                IF(MAX(IFERROR(SEARCH("DQ",MAIN!G383:J383), 0))&gt;0, "DQ",
                IF(ISNUMBER(SEARCH("WD",MAIN!K383)), "WD",
                IF(ISNUMBER(SEARCH("NS",MAIN!K383)), "NS",
                IF(ISNUMBER(SEARCH("NC",MAIN!K383)), "NC",
                IF(ISNUMBER(SEARCH("DQ",MAIN!K383)), "DQ",
                IF(ISNUMBER(SEARCH("A",MAIN!K383)), 0,
                IF(OR(MAIN!K383=0,MAIN!K383=""), 0, --TRIM(MAIN!K383)))))))))))),
            0
        )
    ),
    IFERROR(
        UPPER(
            IF(MAX(IFERROR(SEARCH("WD",MAIN!G383:J383), 0))&gt;0, "WD",
            IF(MAX(IFERROR(SEARCH("NS",MAIN!G383:J383), 0))&gt;0, "NS",
            IF(MAX(IFERROR(SEARCH("NC",MAIN!G383:J383), 0))&gt;0, "NC",
            IF(MAX(IFERROR(SEARCH("DQ",MAIN!G383:J383), 0))&gt;0, "DQ",
            IF(ISNUMBER(SEARCH("WD",MAIN!K383)), "WD",
            IF(ISNUMBER(SEARCH("NS",MAIN!K383)), "NS",
            IF(ISNUMBER(SEARCH("NC",MAIN!K383)), "NC",
            IF(ISNUMBER(SEARCH("DQ",MAIN!K383)), "DQ",
            IF(ISNUMBER(SEARCH("A",MAIN!K383)), 0,
            IF(OR(MAIN!K383=0,MAIN!K383=""), 0, --TRIM(MAIN!K383)))))))))))),
        0
    )
)</f>
        <v>0</v>
      </c>
    </row>
    <row r="384" spans="1:11" x14ac:dyDescent="0.25">
      <c r="A384" t="str">
        <f>IF(ISBLANK(MAIN!A384), "--", IFERROR(PROPER(SUBSTITUTE(SUBSTITUTE(SUBSTITUTE(SUBSTITUTE(SUBSTITUTE(SUBSTITUTE(SUBSTITUTE(SUBSTITUTE(SUBSTITUTE(SUBSTITUTE(LEFT(MAIN!A384, FIND(",",MAIN!A384) -1), "0", ""), "1", ""), "2", ""), "3", ""), "4", ""), "5", ""), "6", ""), "7", ""), "8", ""), "9", "")), PROPER(SUBSTITUTE(SUBSTITUTE(SUBSTITUTE(SUBSTITUTE(SUBSTITUTE(SUBSTITUTE(SUBSTITUTE(SUBSTITUTE(SUBSTITUTE(SUBSTITUTE(MAIN!A384, "0", ""), "1", ""), "2", ""), "3", ""), "4", ""), "5", ""), "6", ""), "7", ""), "8", ""), "9", ""))))</f>
        <v>--</v>
      </c>
      <c r="B384" t="str">
        <f>IF(ISBLANK(MAIN!B384), "--", IFERROR(PROPER(SUBSTITUTE(SUBSTITUTE(SUBSTITUTE(SUBSTITUTE(SUBSTITUTE(SUBSTITUTE(SUBSTITUTE(SUBSTITUTE(SUBSTITUTE(SUBSTITUTE(LEFT(MAIN!B384, FIND(",",MAIN!B384) -1), "0", ""), "1", ""), "2", ""), "3", ""), "4", ""), "5", ""), "6", ""), "7", ""), "8", ""), "9", "")), PROPER(SUBSTITUTE(SUBSTITUTE(SUBSTITUTE(SUBSTITUTE(SUBSTITUTE(SUBSTITUTE(SUBSTITUTE(SUBSTITUTE(SUBSTITUTE(SUBSTITUTE(MAIN!B384, "0", ""), "1", ""), "2", ""), "3", ""), "4", ""), "5", ""), "6", ""), "7", ""), "8", ""), "9", ""))))</f>
        <v>--</v>
      </c>
      <c r="C384" t="str">
        <f>IF(ISBLANK(MAIN!C384), "--", IFERROR(PROPER(SUBSTITUTE(SUBSTITUTE(SUBSTITUTE(SUBSTITUTE(SUBSTITUTE(SUBSTITUTE(SUBSTITUTE(SUBSTITUTE(SUBSTITUTE(SUBSTITUTE(LEFT(MAIN!C384, FIND(",",MAIN!C384) -1), "0", ""), "1", ""), "2", ""), "3", ""), "4", ""), "5", ""), "6", ""), "7", ""), "8", ""), "9", "")), PROPER(SUBSTITUTE(SUBSTITUTE(SUBSTITUTE(SUBSTITUTE(SUBSTITUTE(SUBSTITUTE(SUBSTITUTE(SUBSTITUTE(SUBSTITUTE(SUBSTITUTE(MAIN!C384, "0", ""), "1", ""), "2", ""), "3", ""), "4", ""), "5", ""), "6", ""), "7", ""), "8", ""), "9", ""))))</f>
        <v>--</v>
      </c>
      <c r="D384" t="str">
        <f>IF(ISBLANK(MAIN!D384), "--", IF(ISNUMBER(MATCH(SUBSTITUTE(LEFT(MAIN!D384, IFERROR(FIND(",", MAIN!D384)-1, LEN(MAIN!D384))), " ", ""), lookup_values!$B$2:$B$51, 0)), UPPER(SUBSTITUTE(LEFT(MAIN!D384, IFERROR(FIND(",", MAIN!D384)-1, LEN(MAIN!D384))), " ", "")), IF(ISNA(VLOOKUP(SUBSTITUTE(LEFT(MAIN!D384, IFERROR(FIND(",", MAIN!D384)-1, LEN(MAIN!D384))), " ", ""), lookup_values!$A$2:$B$51, 2, FALSE)), "--", VLOOKUP(SUBSTITUTE(LEFT(MAIN!D384, IFERROR(FIND(",", MAIN!D384)-1, LEN(MAIN!D384))), " ", ""), lookup_values!$A$2:$B$51, 2, FALSE))))</f>
        <v>--</v>
      </c>
      <c r="E384" t="str">
        <f>IF(CLEAN_DATA!D384&lt;&gt;"--","US",IF(ISBLANK(MAIN!E384), "--", IF(ISNUMBER(MATCH(SUBSTITUTE(LEFT(MAIN!E384, IFERROR(FIND(",", MAIN!E384)-1, LEN(MAIN!E384))), " ", ""), lookup_values!$E$2:$E$197, 0)), UPPER(SUBSTITUTE(LEFT(MAIN!E384, IFERROR(FIND(",", MAIN!E384)-1, LEN(MAIN!E384))), " ", "")), IF(ISNA(VLOOKUP(SUBSTITUTE(LEFT(MAIN!E384, IFERROR(FIND(",", MAIN!E384)-1, LEN(MAIN!E384))), " ", ""), lookup_values!$D$2:$E$197, 2, FALSE)), "--", VLOOKUP(SUBSTITUTE(LEFT(MAIN!E384, IFERROR(FIND(",", MAIN!E384)-1, LEN(MAIN!E384))), " ", ""), lookup_values!$D$2:$E$197, 2, FALSE)))))</f>
        <v>--</v>
      </c>
      <c r="F384" t="str">
        <f>IF(ISBLANK(MAIN!F384), "", IF(AND(ISNUMBER(VALUE(TRIM(MAIN!F384))), LEN(TRIM(MAIN!F384))=4), VALUE(TRIM(MAIN!F384)), ""))</f>
        <v/>
      </c>
      <c r="G384">
        <f>IF(ISBLANK(MAIN!G384), 0, IF(ISNUMBER(VALUE(TRIM(MAIN!G384))), VALUE(TRIM(MAIN!G384)), 0))</f>
        <v>0</v>
      </c>
      <c r="H384">
        <f>IF(ISBLANK(MAIN!H384), 0, IF(ISNUMBER(VALUE(TRIM(MAIN!H384))), VALUE(TRIM(MAIN!H384)), 0))</f>
        <v>0</v>
      </c>
      <c r="I384">
        <f>IF(ISBLANK(MAIN!I384), 0, IF(ISNUMBER(VALUE(TRIM(MAIN!I384))), VALUE(TRIM(MAIN!I384)), 0))</f>
        <v>0</v>
      </c>
      <c r="J384">
        <f>IF(ISBLANK(MAIN!J384), 0, IF(ISNUMBER(VALUE(TRIM(MAIN!J384))), VALUE(TRIM(MAIN!J384)), 0))</f>
        <v>0</v>
      </c>
      <c r="K384" cm="1">
        <f t="array" ref="K384">IFERROR(
    VALUE(
        IFERROR(
            UPPER(
                IF(MAX(IFERROR(SEARCH("WD",MAIN!G384:J384), 0))&gt;0, "WD",
                IF(MAX(IFERROR(SEARCH("NS",MAIN!G384:J384), 0))&gt;0, "NS",
                IF(MAX(IFERROR(SEARCH("NC",MAIN!G384:J384), 0))&gt;0, "NC",
                IF(MAX(IFERROR(SEARCH("DQ",MAIN!G384:J384), 0))&gt;0, "DQ",
                IF(ISNUMBER(SEARCH("WD",MAIN!K384)), "WD",
                IF(ISNUMBER(SEARCH("NS",MAIN!K384)), "NS",
                IF(ISNUMBER(SEARCH("NC",MAIN!K384)), "NC",
                IF(ISNUMBER(SEARCH("DQ",MAIN!K384)), "DQ",
                IF(ISNUMBER(SEARCH("A",MAIN!K384)), 0,
                IF(OR(MAIN!K384=0,MAIN!K384=""), 0, --TRIM(MAIN!K384)))))))))))),
            0
        )
    ),
    IFERROR(
        UPPER(
            IF(MAX(IFERROR(SEARCH("WD",MAIN!G384:J384), 0))&gt;0, "WD",
            IF(MAX(IFERROR(SEARCH("NS",MAIN!G384:J384), 0))&gt;0, "NS",
            IF(MAX(IFERROR(SEARCH("NC",MAIN!G384:J384), 0))&gt;0, "NC",
            IF(MAX(IFERROR(SEARCH("DQ",MAIN!G384:J384), 0))&gt;0, "DQ",
            IF(ISNUMBER(SEARCH("WD",MAIN!K384)), "WD",
            IF(ISNUMBER(SEARCH("NS",MAIN!K384)), "NS",
            IF(ISNUMBER(SEARCH("NC",MAIN!K384)), "NC",
            IF(ISNUMBER(SEARCH("DQ",MAIN!K384)), "DQ",
            IF(ISNUMBER(SEARCH("A",MAIN!K384)), 0,
            IF(OR(MAIN!K384=0,MAIN!K384=""), 0, --TRIM(MAIN!K384)))))))))))),
        0
    )
)</f>
        <v>0</v>
      </c>
    </row>
    <row r="385" spans="1:11" x14ac:dyDescent="0.25">
      <c r="A385" t="str">
        <f>IF(ISBLANK(MAIN!A385), "--", IFERROR(PROPER(SUBSTITUTE(SUBSTITUTE(SUBSTITUTE(SUBSTITUTE(SUBSTITUTE(SUBSTITUTE(SUBSTITUTE(SUBSTITUTE(SUBSTITUTE(SUBSTITUTE(LEFT(MAIN!A385, FIND(",",MAIN!A385) -1), "0", ""), "1", ""), "2", ""), "3", ""), "4", ""), "5", ""), "6", ""), "7", ""), "8", ""), "9", "")), PROPER(SUBSTITUTE(SUBSTITUTE(SUBSTITUTE(SUBSTITUTE(SUBSTITUTE(SUBSTITUTE(SUBSTITUTE(SUBSTITUTE(SUBSTITUTE(SUBSTITUTE(MAIN!A385, "0", ""), "1", ""), "2", ""), "3", ""), "4", ""), "5", ""), "6", ""), "7", ""), "8", ""), "9", ""))))</f>
        <v>--</v>
      </c>
      <c r="B385" t="str">
        <f>IF(ISBLANK(MAIN!B385), "--", IFERROR(PROPER(SUBSTITUTE(SUBSTITUTE(SUBSTITUTE(SUBSTITUTE(SUBSTITUTE(SUBSTITUTE(SUBSTITUTE(SUBSTITUTE(SUBSTITUTE(SUBSTITUTE(LEFT(MAIN!B385, FIND(",",MAIN!B385) -1), "0", ""), "1", ""), "2", ""), "3", ""), "4", ""), "5", ""), "6", ""), "7", ""), "8", ""), "9", "")), PROPER(SUBSTITUTE(SUBSTITUTE(SUBSTITUTE(SUBSTITUTE(SUBSTITUTE(SUBSTITUTE(SUBSTITUTE(SUBSTITUTE(SUBSTITUTE(SUBSTITUTE(MAIN!B385, "0", ""), "1", ""), "2", ""), "3", ""), "4", ""), "5", ""), "6", ""), "7", ""), "8", ""), "9", ""))))</f>
        <v>--</v>
      </c>
      <c r="C385" t="str">
        <f>IF(ISBLANK(MAIN!C385), "--", IFERROR(PROPER(SUBSTITUTE(SUBSTITUTE(SUBSTITUTE(SUBSTITUTE(SUBSTITUTE(SUBSTITUTE(SUBSTITUTE(SUBSTITUTE(SUBSTITUTE(SUBSTITUTE(LEFT(MAIN!C385, FIND(",",MAIN!C385) -1), "0", ""), "1", ""), "2", ""), "3", ""), "4", ""), "5", ""), "6", ""), "7", ""), "8", ""), "9", "")), PROPER(SUBSTITUTE(SUBSTITUTE(SUBSTITUTE(SUBSTITUTE(SUBSTITUTE(SUBSTITUTE(SUBSTITUTE(SUBSTITUTE(SUBSTITUTE(SUBSTITUTE(MAIN!C385, "0", ""), "1", ""), "2", ""), "3", ""), "4", ""), "5", ""), "6", ""), "7", ""), "8", ""), "9", ""))))</f>
        <v>--</v>
      </c>
      <c r="D385" t="str">
        <f>IF(ISBLANK(MAIN!D385), "--", IF(ISNUMBER(MATCH(SUBSTITUTE(LEFT(MAIN!D385, IFERROR(FIND(",", MAIN!D385)-1, LEN(MAIN!D385))), " ", ""), lookup_values!$B$2:$B$51, 0)), UPPER(SUBSTITUTE(LEFT(MAIN!D385, IFERROR(FIND(",", MAIN!D385)-1, LEN(MAIN!D385))), " ", "")), IF(ISNA(VLOOKUP(SUBSTITUTE(LEFT(MAIN!D385, IFERROR(FIND(",", MAIN!D385)-1, LEN(MAIN!D385))), " ", ""), lookup_values!$A$2:$B$51, 2, FALSE)), "--", VLOOKUP(SUBSTITUTE(LEFT(MAIN!D385, IFERROR(FIND(",", MAIN!D385)-1, LEN(MAIN!D385))), " ", ""), lookup_values!$A$2:$B$51, 2, FALSE))))</f>
        <v>--</v>
      </c>
      <c r="E385" t="str">
        <f>IF(CLEAN_DATA!D385&lt;&gt;"--","US",IF(ISBLANK(MAIN!E385), "--", IF(ISNUMBER(MATCH(SUBSTITUTE(LEFT(MAIN!E385, IFERROR(FIND(",", MAIN!E385)-1, LEN(MAIN!E385))), " ", ""), lookup_values!$E$2:$E$197, 0)), UPPER(SUBSTITUTE(LEFT(MAIN!E385, IFERROR(FIND(",", MAIN!E385)-1, LEN(MAIN!E385))), " ", "")), IF(ISNA(VLOOKUP(SUBSTITUTE(LEFT(MAIN!E385, IFERROR(FIND(",", MAIN!E385)-1, LEN(MAIN!E385))), " ", ""), lookup_values!$D$2:$E$197, 2, FALSE)), "--", VLOOKUP(SUBSTITUTE(LEFT(MAIN!E385, IFERROR(FIND(",", MAIN!E385)-1, LEN(MAIN!E385))), " ", ""), lookup_values!$D$2:$E$197, 2, FALSE)))))</f>
        <v>--</v>
      </c>
      <c r="F385" t="str">
        <f>IF(ISBLANK(MAIN!F385), "", IF(AND(ISNUMBER(VALUE(TRIM(MAIN!F385))), LEN(TRIM(MAIN!F385))=4), VALUE(TRIM(MAIN!F385)), ""))</f>
        <v/>
      </c>
      <c r="G385">
        <f>IF(ISBLANK(MAIN!G385), 0, IF(ISNUMBER(VALUE(TRIM(MAIN!G385))), VALUE(TRIM(MAIN!G385)), 0))</f>
        <v>0</v>
      </c>
      <c r="H385">
        <f>IF(ISBLANK(MAIN!H385), 0, IF(ISNUMBER(VALUE(TRIM(MAIN!H385))), VALUE(TRIM(MAIN!H385)), 0))</f>
        <v>0</v>
      </c>
      <c r="I385">
        <f>IF(ISBLANK(MAIN!I385), 0, IF(ISNUMBER(VALUE(TRIM(MAIN!I385))), VALUE(TRIM(MAIN!I385)), 0))</f>
        <v>0</v>
      </c>
      <c r="J385">
        <f>IF(ISBLANK(MAIN!J385), 0, IF(ISNUMBER(VALUE(TRIM(MAIN!J385))), VALUE(TRIM(MAIN!J385)), 0))</f>
        <v>0</v>
      </c>
      <c r="K385" cm="1">
        <f t="array" ref="K385">IFERROR(
    VALUE(
        IFERROR(
            UPPER(
                IF(MAX(IFERROR(SEARCH("WD",MAIN!G385:J385), 0))&gt;0, "WD",
                IF(MAX(IFERROR(SEARCH("NS",MAIN!G385:J385), 0))&gt;0, "NS",
                IF(MAX(IFERROR(SEARCH("NC",MAIN!G385:J385), 0))&gt;0, "NC",
                IF(MAX(IFERROR(SEARCH("DQ",MAIN!G385:J385), 0))&gt;0, "DQ",
                IF(ISNUMBER(SEARCH("WD",MAIN!K385)), "WD",
                IF(ISNUMBER(SEARCH("NS",MAIN!K385)), "NS",
                IF(ISNUMBER(SEARCH("NC",MAIN!K385)), "NC",
                IF(ISNUMBER(SEARCH("DQ",MAIN!K385)), "DQ",
                IF(ISNUMBER(SEARCH("A",MAIN!K385)), 0,
                IF(OR(MAIN!K385=0,MAIN!K385=""), 0, --TRIM(MAIN!K385)))))))))))),
            0
        )
    ),
    IFERROR(
        UPPER(
            IF(MAX(IFERROR(SEARCH("WD",MAIN!G385:J385), 0))&gt;0, "WD",
            IF(MAX(IFERROR(SEARCH("NS",MAIN!G385:J385), 0))&gt;0, "NS",
            IF(MAX(IFERROR(SEARCH("NC",MAIN!G385:J385), 0))&gt;0, "NC",
            IF(MAX(IFERROR(SEARCH("DQ",MAIN!G385:J385), 0))&gt;0, "DQ",
            IF(ISNUMBER(SEARCH("WD",MAIN!K385)), "WD",
            IF(ISNUMBER(SEARCH("NS",MAIN!K385)), "NS",
            IF(ISNUMBER(SEARCH("NC",MAIN!K385)), "NC",
            IF(ISNUMBER(SEARCH("DQ",MAIN!K385)), "DQ",
            IF(ISNUMBER(SEARCH("A",MAIN!K385)), 0,
            IF(OR(MAIN!K385=0,MAIN!K385=""), 0, --TRIM(MAIN!K385)))))))))))),
        0
    )
)</f>
        <v>0</v>
      </c>
    </row>
    <row r="386" spans="1:11" x14ac:dyDescent="0.25">
      <c r="A386" t="str">
        <f>IF(ISBLANK(MAIN!A386), "--", IFERROR(PROPER(SUBSTITUTE(SUBSTITUTE(SUBSTITUTE(SUBSTITUTE(SUBSTITUTE(SUBSTITUTE(SUBSTITUTE(SUBSTITUTE(SUBSTITUTE(SUBSTITUTE(LEFT(MAIN!A386, FIND(",",MAIN!A386) -1), "0", ""), "1", ""), "2", ""), "3", ""), "4", ""), "5", ""), "6", ""), "7", ""), "8", ""), "9", "")), PROPER(SUBSTITUTE(SUBSTITUTE(SUBSTITUTE(SUBSTITUTE(SUBSTITUTE(SUBSTITUTE(SUBSTITUTE(SUBSTITUTE(SUBSTITUTE(SUBSTITUTE(MAIN!A386, "0", ""), "1", ""), "2", ""), "3", ""), "4", ""), "5", ""), "6", ""), "7", ""), "8", ""), "9", ""))))</f>
        <v>--</v>
      </c>
      <c r="B386" t="str">
        <f>IF(ISBLANK(MAIN!B386), "--", IFERROR(PROPER(SUBSTITUTE(SUBSTITUTE(SUBSTITUTE(SUBSTITUTE(SUBSTITUTE(SUBSTITUTE(SUBSTITUTE(SUBSTITUTE(SUBSTITUTE(SUBSTITUTE(LEFT(MAIN!B386, FIND(",",MAIN!B386) -1), "0", ""), "1", ""), "2", ""), "3", ""), "4", ""), "5", ""), "6", ""), "7", ""), "8", ""), "9", "")), PROPER(SUBSTITUTE(SUBSTITUTE(SUBSTITUTE(SUBSTITUTE(SUBSTITUTE(SUBSTITUTE(SUBSTITUTE(SUBSTITUTE(SUBSTITUTE(SUBSTITUTE(MAIN!B386, "0", ""), "1", ""), "2", ""), "3", ""), "4", ""), "5", ""), "6", ""), "7", ""), "8", ""), "9", ""))))</f>
        <v>--</v>
      </c>
      <c r="C386" t="str">
        <f>IF(ISBLANK(MAIN!C386), "--", IFERROR(PROPER(SUBSTITUTE(SUBSTITUTE(SUBSTITUTE(SUBSTITUTE(SUBSTITUTE(SUBSTITUTE(SUBSTITUTE(SUBSTITUTE(SUBSTITUTE(SUBSTITUTE(LEFT(MAIN!C386, FIND(",",MAIN!C386) -1), "0", ""), "1", ""), "2", ""), "3", ""), "4", ""), "5", ""), "6", ""), "7", ""), "8", ""), "9", "")), PROPER(SUBSTITUTE(SUBSTITUTE(SUBSTITUTE(SUBSTITUTE(SUBSTITUTE(SUBSTITUTE(SUBSTITUTE(SUBSTITUTE(SUBSTITUTE(SUBSTITUTE(MAIN!C386, "0", ""), "1", ""), "2", ""), "3", ""), "4", ""), "5", ""), "6", ""), "7", ""), "8", ""), "9", ""))))</f>
        <v>--</v>
      </c>
      <c r="D386" t="str">
        <f>IF(ISBLANK(MAIN!D386), "--", IF(ISNUMBER(MATCH(SUBSTITUTE(LEFT(MAIN!D386, IFERROR(FIND(",", MAIN!D386)-1, LEN(MAIN!D386))), " ", ""), lookup_values!$B$2:$B$51, 0)), UPPER(SUBSTITUTE(LEFT(MAIN!D386, IFERROR(FIND(",", MAIN!D386)-1, LEN(MAIN!D386))), " ", "")), IF(ISNA(VLOOKUP(SUBSTITUTE(LEFT(MAIN!D386, IFERROR(FIND(",", MAIN!D386)-1, LEN(MAIN!D386))), " ", ""), lookup_values!$A$2:$B$51, 2, FALSE)), "--", VLOOKUP(SUBSTITUTE(LEFT(MAIN!D386, IFERROR(FIND(",", MAIN!D386)-1, LEN(MAIN!D386))), " ", ""), lookup_values!$A$2:$B$51, 2, FALSE))))</f>
        <v>--</v>
      </c>
      <c r="E386" t="str">
        <f>IF(CLEAN_DATA!D386&lt;&gt;"--","US",IF(ISBLANK(MAIN!E386), "--", IF(ISNUMBER(MATCH(SUBSTITUTE(LEFT(MAIN!E386, IFERROR(FIND(",", MAIN!E386)-1, LEN(MAIN!E386))), " ", ""), lookup_values!$E$2:$E$197, 0)), UPPER(SUBSTITUTE(LEFT(MAIN!E386, IFERROR(FIND(",", MAIN!E386)-1, LEN(MAIN!E386))), " ", "")), IF(ISNA(VLOOKUP(SUBSTITUTE(LEFT(MAIN!E386, IFERROR(FIND(",", MAIN!E386)-1, LEN(MAIN!E386))), " ", ""), lookup_values!$D$2:$E$197, 2, FALSE)), "--", VLOOKUP(SUBSTITUTE(LEFT(MAIN!E386, IFERROR(FIND(",", MAIN!E386)-1, LEN(MAIN!E386))), " ", ""), lookup_values!$D$2:$E$197, 2, FALSE)))))</f>
        <v>--</v>
      </c>
      <c r="F386" t="str">
        <f>IF(ISBLANK(MAIN!F386), "", IF(AND(ISNUMBER(VALUE(TRIM(MAIN!F386))), LEN(TRIM(MAIN!F386))=4), VALUE(TRIM(MAIN!F386)), ""))</f>
        <v/>
      </c>
      <c r="G386">
        <f>IF(ISBLANK(MAIN!G386), 0, IF(ISNUMBER(VALUE(TRIM(MAIN!G386))), VALUE(TRIM(MAIN!G386)), 0))</f>
        <v>0</v>
      </c>
      <c r="H386">
        <f>IF(ISBLANK(MAIN!H386), 0, IF(ISNUMBER(VALUE(TRIM(MAIN!H386))), VALUE(TRIM(MAIN!H386)), 0))</f>
        <v>0</v>
      </c>
      <c r="I386">
        <f>IF(ISBLANK(MAIN!I386), 0, IF(ISNUMBER(VALUE(TRIM(MAIN!I386))), VALUE(TRIM(MAIN!I386)), 0))</f>
        <v>0</v>
      </c>
      <c r="J386">
        <f>IF(ISBLANK(MAIN!J386), 0, IF(ISNUMBER(VALUE(TRIM(MAIN!J386))), VALUE(TRIM(MAIN!J386)), 0))</f>
        <v>0</v>
      </c>
      <c r="K386" cm="1">
        <f t="array" ref="K386">IFERROR(
    VALUE(
        IFERROR(
            UPPER(
                IF(MAX(IFERROR(SEARCH("WD",MAIN!G386:J386), 0))&gt;0, "WD",
                IF(MAX(IFERROR(SEARCH("NS",MAIN!G386:J386), 0))&gt;0, "NS",
                IF(MAX(IFERROR(SEARCH("NC",MAIN!G386:J386), 0))&gt;0, "NC",
                IF(MAX(IFERROR(SEARCH("DQ",MAIN!G386:J386), 0))&gt;0, "DQ",
                IF(ISNUMBER(SEARCH("WD",MAIN!K386)), "WD",
                IF(ISNUMBER(SEARCH("NS",MAIN!K386)), "NS",
                IF(ISNUMBER(SEARCH("NC",MAIN!K386)), "NC",
                IF(ISNUMBER(SEARCH("DQ",MAIN!K386)), "DQ",
                IF(ISNUMBER(SEARCH("A",MAIN!K386)), 0,
                IF(OR(MAIN!K386=0,MAIN!K386=""), 0, --TRIM(MAIN!K386)))))))))))),
            0
        )
    ),
    IFERROR(
        UPPER(
            IF(MAX(IFERROR(SEARCH("WD",MAIN!G386:J386), 0))&gt;0, "WD",
            IF(MAX(IFERROR(SEARCH("NS",MAIN!G386:J386), 0))&gt;0, "NS",
            IF(MAX(IFERROR(SEARCH("NC",MAIN!G386:J386), 0))&gt;0, "NC",
            IF(MAX(IFERROR(SEARCH("DQ",MAIN!G386:J386), 0))&gt;0, "DQ",
            IF(ISNUMBER(SEARCH("WD",MAIN!K386)), "WD",
            IF(ISNUMBER(SEARCH("NS",MAIN!K386)), "NS",
            IF(ISNUMBER(SEARCH("NC",MAIN!K386)), "NC",
            IF(ISNUMBER(SEARCH("DQ",MAIN!K386)), "DQ",
            IF(ISNUMBER(SEARCH("A",MAIN!K386)), 0,
            IF(OR(MAIN!K386=0,MAIN!K386=""), 0, --TRIM(MAIN!K386)))))))))))),
        0
    )
)</f>
        <v>0</v>
      </c>
    </row>
    <row r="387" spans="1:11" x14ac:dyDescent="0.25">
      <c r="A387" t="str">
        <f>IF(ISBLANK(MAIN!A387), "--", IFERROR(PROPER(SUBSTITUTE(SUBSTITUTE(SUBSTITUTE(SUBSTITUTE(SUBSTITUTE(SUBSTITUTE(SUBSTITUTE(SUBSTITUTE(SUBSTITUTE(SUBSTITUTE(LEFT(MAIN!A387, FIND(",",MAIN!A387) -1), "0", ""), "1", ""), "2", ""), "3", ""), "4", ""), "5", ""), "6", ""), "7", ""), "8", ""), "9", "")), PROPER(SUBSTITUTE(SUBSTITUTE(SUBSTITUTE(SUBSTITUTE(SUBSTITUTE(SUBSTITUTE(SUBSTITUTE(SUBSTITUTE(SUBSTITUTE(SUBSTITUTE(MAIN!A387, "0", ""), "1", ""), "2", ""), "3", ""), "4", ""), "5", ""), "6", ""), "7", ""), "8", ""), "9", ""))))</f>
        <v>--</v>
      </c>
      <c r="B387" t="str">
        <f>IF(ISBLANK(MAIN!B387), "--", IFERROR(PROPER(SUBSTITUTE(SUBSTITUTE(SUBSTITUTE(SUBSTITUTE(SUBSTITUTE(SUBSTITUTE(SUBSTITUTE(SUBSTITUTE(SUBSTITUTE(SUBSTITUTE(LEFT(MAIN!B387, FIND(",",MAIN!B387) -1), "0", ""), "1", ""), "2", ""), "3", ""), "4", ""), "5", ""), "6", ""), "7", ""), "8", ""), "9", "")), PROPER(SUBSTITUTE(SUBSTITUTE(SUBSTITUTE(SUBSTITUTE(SUBSTITUTE(SUBSTITUTE(SUBSTITUTE(SUBSTITUTE(SUBSTITUTE(SUBSTITUTE(MAIN!B387, "0", ""), "1", ""), "2", ""), "3", ""), "4", ""), "5", ""), "6", ""), "7", ""), "8", ""), "9", ""))))</f>
        <v>--</v>
      </c>
      <c r="C387" t="str">
        <f>IF(ISBLANK(MAIN!C387), "--", IFERROR(PROPER(SUBSTITUTE(SUBSTITUTE(SUBSTITUTE(SUBSTITUTE(SUBSTITUTE(SUBSTITUTE(SUBSTITUTE(SUBSTITUTE(SUBSTITUTE(SUBSTITUTE(LEFT(MAIN!C387, FIND(",",MAIN!C387) -1), "0", ""), "1", ""), "2", ""), "3", ""), "4", ""), "5", ""), "6", ""), "7", ""), "8", ""), "9", "")), PROPER(SUBSTITUTE(SUBSTITUTE(SUBSTITUTE(SUBSTITUTE(SUBSTITUTE(SUBSTITUTE(SUBSTITUTE(SUBSTITUTE(SUBSTITUTE(SUBSTITUTE(MAIN!C387, "0", ""), "1", ""), "2", ""), "3", ""), "4", ""), "5", ""), "6", ""), "7", ""), "8", ""), "9", ""))))</f>
        <v>--</v>
      </c>
      <c r="D387" t="str">
        <f>IF(ISBLANK(MAIN!D387), "--", IF(ISNUMBER(MATCH(SUBSTITUTE(LEFT(MAIN!D387, IFERROR(FIND(",", MAIN!D387)-1, LEN(MAIN!D387))), " ", ""), lookup_values!$B$2:$B$51, 0)), UPPER(SUBSTITUTE(LEFT(MAIN!D387, IFERROR(FIND(",", MAIN!D387)-1, LEN(MAIN!D387))), " ", "")), IF(ISNA(VLOOKUP(SUBSTITUTE(LEFT(MAIN!D387, IFERROR(FIND(",", MAIN!D387)-1, LEN(MAIN!D387))), " ", ""), lookup_values!$A$2:$B$51, 2, FALSE)), "--", VLOOKUP(SUBSTITUTE(LEFT(MAIN!D387, IFERROR(FIND(",", MAIN!D387)-1, LEN(MAIN!D387))), " ", ""), lookup_values!$A$2:$B$51, 2, FALSE))))</f>
        <v>--</v>
      </c>
      <c r="E387" t="str">
        <f>IF(CLEAN_DATA!D387&lt;&gt;"--","US",IF(ISBLANK(MAIN!E387), "--", IF(ISNUMBER(MATCH(SUBSTITUTE(LEFT(MAIN!E387, IFERROR(FIND(",", MAIN!E387)-1, LEN(MAIN!E387))), " ", ""), lookup_values!$E$2:$E$197, 0)), UPPER(SUBSTITUTE(LEFT(MAIN!E387, IFERROR(FIND(",", MAIN!E387)-1, LEN(MAIN!E387))), " ", "")), IF(ISNA(VLOOKUP(SUBSTITUTE(LEFT(MAIN!E387, IFERROR(FIND(",", MAIN!E387)-1, LEN(MAIN!E387))), " ", ""), lookup_values!$D$2:$E$197, 2, FALSE)), "--", VLOOKUP(SUBSTITUTE(LEFT(MAIN!E387, IFERROR(FIND(",", MAIN!E387)-1, LEN(MAIN!E387))), " ", ""), lookup_values!$D$2:$E$197, 2, FALSE)))))</f>
        <v>--</v>
      </c>
      <c r="F387" t="str">
        <f>IF(ISBLANK(MAIN!F387), "", IF(AND(ISNUMBER(VALUE(TRIM(MAIN!F387))), LEN(TRIM(MAIN!F387))=4), VALUE(TRIM(MAIN!F387)), ""))</f>
        <v/>
      </c>
      <c r="G387">
        <f>IF(ISBLANK(MAIN!G387), 0, IF(ISNUMBER(VALUE(TRIM(MAIN!G387))), VALUE(TRIM(MAIN!G387)), 0))</f>
        <v>0</v>
      </c>
      <c r="H387">
        <f>IF(ISBLANK(MAIN!H387), 0, IF(ISNUMBER(VALUE(TRIM(MAIN!H387))), VALUE(TRIM(MAIN!H387)), 0))</f>
        <v>0</v>
      </c>
      <c r="I387">
        <f>IF(ISBLANK(MAIN!I387), 0, IF(ISNUMBER(VALUE(TRIM(MAIN!I387))), VALUE(TRIM(MAIN!I387)), 0))</f>
        <v>0</v>
      </c>
      <c r="J387">
        <f>IF(ISBLANK(MAIN!J387), 0, IF(ISNUMBER(VALUE(TRIM(MAIN!J387))), VALUE(TRIM(MAIN!J387)), 0))</f>
        <v>0</v>
      </c>
      <c r="K387" cm="1">
        <f t="array" ref="K387">IFERROR(
    VALUE(
        IFERROR(
            UPPER(
                IF(MAX(IFERROR(SEARCH("WD",MAIN!G387:J387), 0))&gt;0, "WD",
                IF(MAX(IFERROR(SEARCH("NS",MAIN!G387:J387), 0))&gt;0, "NS",
                IF(MAX(IFERROR(SEARCH("NC",MAIN!G387:J387), 0))&gt;0, "NC",
                IF(MAX(IFERROR(SEARCH("DQ",MAIN!G387:J387), 0))&gt;0, "DQ",
                IF(ISNUMBER(SEARCH("WD",MAIN!K387)), "WD",
                IF(ISNUMBER(SEARCH("NS",MAIN!K387)), "NS",
                IF(ISNUMBER(SEARCH("NC",MAIN!K387)), "NC",
                IF(ISNUMBER(SEARCH("DQ",MAIN!K387)), "DQ",
                IF(ISNUMBER(SEARCH("A",MAIN!K387)), 0,
                IF(OR(MAIN!K387=0,MAIN!K387=""), 0, --TRIM(MAIN!K387)))))))))))),
            0
        )
    ),
    IFERROR(
        UPPER(
            IF(MAX(IFERROR(SEARCH("WD",MAIN!G387:J387), 0))&gt;0, "WD",
            IF(MAX(IFERROR(SEARCH("NS",MAIN!G387:J387), 0))&gt;0, "NS",
            IF(MAX(IFERROR(SEARCH("NC",MAIN!G387:J387), 0))&gt;0, "NC",
            IF(MAX(IFERROR(SEARCH("DQ",MAIN!G387:J387), 0))&gt;0, "DQ",
            IF(ISNUMBER(SEARCH("WD",MAIN!K387)), "WD",
            IF(ISNUMBER(SEARCH("NS",MAIN!K387)), "NS",
            IF(ISNUMBER(SEARCH("NC",MAIN!K387)), "NC",
            IF(ISNUMBER(SEARCH("DQ",MAIN!K387)), "DQ",
            IF(ISNUMBER(SEARCH("A",MAIN!K387)), 0,
            IF(OR(MAIN!K387=0,MAIN!K387=""), 0, --TRIM(MAIN!K387)))))))))))),
        0
    )
)</f>
        <v>0</v>
      </c>
    </row>
    <row r="388" spans="1:11" x14ac:dyDescent="0.25">
      <c r="A388" t="str">
        <f>IF(ISBLANK(MAIN!A388), "--", IFERROR(PROPER(SUBSTITUTE(SUBSTITUTE(SUBSTITUTE(SUBSTITUTE(SUBSTITUTE(SUBSTITUTE(SUBSTITUTE(SUBSTITUTE(SUBSTITUTE(SUBSTITUTE(LEFT(MAIN!A388, FIND(",",MAIN!A388) -1), "0", ""), "1", ""), "2", ""), "3", ""), "4", ""), "5", ""), "6", ""), "7", ""), "8", ""), "9", "")), PROPER(SUBSTITUTE(SUBSTITUTE(SUBSTITUTE(SUBSTITUTE(SUBSTITUTE(SUBSTITUTE(SUBSTITUTE(SUBSTITUTE(SUBSTITUTE(SUBSTITUTE(MAIN!A388, "0", ""), "1", ""), "2", ""), "3", ""), "4", ""), "5", ""), "6", ""), "7", ""), "8", ""), "9", ""))))</f>
        <v>--</v>
      </c>
      <c r="B388" t="str">
        <f>IF(ISBLANK(MAIN!B388), "--", IFERROR(PROPER(SUBSTITUTE(SUBSTITUTE(SUBSTITUTE(SUBSTITUTE(SUBSTITUTE(SUBSTITUTE(SUBSTITUTE(SUBSTITUTE(SUBSTITUTE(SUBSTITUTE(LEFT(MAIN!B388, FIND(",",MAIN!B388) -1), "0", ""), "1", ""), "2", ""), "3", ""), "4", ""), "5", ""), "6", ""), "7", ""), "8", ""), "9", "")), PROPER(SUBSTITUTE(SUBSTITUTE(SUBSTITUTE(SUBSTITUTE(SUBSTITUTE(SUBSTITUTE(SUBSTITUTE(SUBSTITUTE(SUBSTITUTE(SUBSTITUTE(MAIN!B388, "0", ""), "1", ""), "2", ""), "3", ""), "4", ""), "5", ""), "6", ""), "7", ""), "8", ""), "9", ""))))</f>
        <v>--</v>
      </c>
      <c r="C388" t="str">
        <f>IF(ISBLANK(MAIN!C388), "--", IFERROR(PROPER(SUBSTITUTE(SUBSTITUTE(SUBSTITUTE(SUBSTITUTE(SUBSTITUTE(SUBSTITUTE(SUBSTITUTE(SUBSTITUTE(SUBSTITUTE(SUBSTITUTE(LEFT(MAIN!C388, FIND(",",MAIN!C388) -1), "0", ""), "1", ""), "2", ""), "3", ""), "4", ""), "5", ""), "6", ""), "7", ""), "8", ""), "9", "")), PROPER(SUBSTITUTE(SUBSTITUTE(SUBSTITUTE(SUBSTITUTE(SUBSTITUTE(SUBSTITUTE(SUBSTITUTE(SUBSTITUTE(SUBSTITUTE(SUBSTITUTE(MAIN!C388, "0", ""), "1", ""), "2", ""), "3", ""), "4", ""), "5", ""), "6", ""), "7", ""), "8", ""), "9", ""))))</f>
        <v>--</v>
      </c>
      <c r="D388" t="str">
        <f>IF(ISBLANK(MAIN!D388), "--", IF(ISNUMBER(MATCH(SUBSTITUTE(LEFT(MAIN!D388, IFERROR(FIND(",", MAIN!D388)-1, LEN(MAIN!D388))), " ", ""), lookup_values!$B$2:$B$51, 0)), UPPER(SUBSTITUTE(LEFT(MAIN!D388, IFERROR(FIND(",", MAIN!D388)-1, LEN(MAIN!D388))), " ", "")), IF(ISNA(VLOOKUP(SUBSTITUTE(LEFT(MAIN!D388, IFERROR(FIND(",", MAIN!D388)-1, LEN(MAIN!D388))), " ", ""), lookup_values!$A$2:$B$51, 2, FALSE)), "--", VLOOKUP(SUBSTITUTE(LEFT(MAIN!D388, IFERROR(FIND(",", MAIN!D388)-1, LEN(MAIN!D388))), " ", ""), lookup_values!$A$2:$B$51, 2, FALSE))))</f>
        <v>--</v>
      </c>
      <c r="E388" t="str">
        <f>IF(CLEAN_DATA!D388&lt;&gt;"--","US",IF(ISBLANK(MAIN!E388), "--", IF(ISNUMBER(MATCH(SUBSTITUTE(LEFT(MAIN!E388, IFERROR(FIND(",", MAIN!E388)-1, LEN(MAIN!E388))), " ", ""), lookup_values!$E$2:$E$197, 0)), UPPER(SUBSTITUTE(LEFT(MAIN!E388, IFERROR(FIND(",", MAIN!E388)-1, LEN(MAIN!E388))), " ", "")), IF(ISNA(VLOOKUP(SUBSTITUTE(LEFT(MAIN!E388, IFERROR(FIND(",", MAIN!E388)-1, LEN(MAIN!E388))), " ", ""), lookup_values!$D$2:$E$197, 2, FALSE)), "--", VLOOKUP(SUBSTITUTE(LEFT(MAIN!E388, IFERROR(FIND(",", MAIN!E388)-1, LEN(MAIN!E388))), " ", ""), lookup_values!$D$2:$E$197, 2, FALSE)))))</f>
        <v>--</v>
      </c>
      <c r="F388" t="str">
        <f>IF(ISBLANK(MAIN!F388), "", IF(AND(ISNUMBER(VALUE(TRIM(MAIN!F388))), LEN(TRIM(MAIN!F388))=4), VALUE(TRIM(MAIN!F388)), ""))</f>
        <v/>
      </c>
      <c r="G388">
        <f>IF(ISBLANK(MAIN!G388), 0, IF(ISNUMBER(VALUE(TRIM(MAIN!G388))), VALUE(TRIM(MAIN!G388)), 0))</f>
        <v>0</v>
      </c>
      <c r="H388">
        <f>IF(ISBLANK(MAIN!H388), 0, IF(ISNUMBER(VALUE(TRIM(MAIN!H388))), VALUE(TRIM(MAIN!H388)), 0))</f>
        <v>0</v>
      </c>
      <c r="I388">
        <f>IF(ISBLANK(MAIN!I388), 0, IF(ISNUMBER(VALUE(TRIM(MAIN!I388))), VALUE(TRIM(MAIN!I388)), 0))</f>
        <v>0</v>
      </c>
      <c r="J388">
        <f>IF(ISBLANK(MAIN!J388), 0, IF(ISNUMBER(VALUE(TRIM(MAIN!J388))), VALUE(TRIM(MAIN!J388)), 0))</f>
        <v>0</v>
      </c>
      <c r="K388" cm="1">
        <f t="array" ref="K388">IFERROR(
    VALUE(
        IFERROR(
            UPPER(
                IF(MAX(IFERROR(SEARCH("WD",MAIN!G388:J388), 0))&gt;0, "WD",
                IF(MAX(IFERROR(SEARCH("NS",MAIN!G388:J388), 0))&gt;0, "NS",
                IF(MAX(IFERROR(SEARCH("NC",MAIN!G388:J388), 0))&gt;0, "NC",
                IF(MAX(IFERROR(SEARCH("DQ",MAIN!G388:J388), 0))&gt;0, "DQ",
                IF(ISNUMBER(SEARCH("WD",MAIN!K388)), "WD",
                IF(ISNUMBER(SEARCH("NS",MAIN!K388)), "NS",
                IF(ISNUMBER(SEARCH("NC",MAIN!K388)), "NC",
                IF(ISNUMBER(SEARCH("DQ",MAIN!K388)), "DQ",
                IF(ISNUMBER(SEARCH("A",MAIN!K388)), 0,
                IF(OR(MAIN!K388=0,MAIN!K388=""), 0, --TRIM(MAIN!K388)))))))))))),
            0
        )
    ),
    IFERROR(
        UPPER(
            IF(MAX(IFERROR(SEARCH("WD",MAIN!G388:J388), 0))&gt;0, "WD",
            IF(MAX(IFERROR(SEARCH("NS",MAIN!G388:J388), 0))&gt;0, "NS",
            IF(MAX(IFERROR(SEARCH("NC",MAIN!G388:J388), 0))&gt;0, "NC",
            IF(MAX(IFERROR(SEARCH("DQ",MAIN!G388:J388), 0))&gt;0, "DQ",
            IF(ISNUMBER(SEARCH("WD",MAIN!K388)), "WD",
            IF(ISNUMBER(SEARCH("NS",MAIN!K388)), "NS",
            IF(ISNUMBER(SEARCH("NC",MAIN!K388)), "NC",
            IF(ISNUMBER(SEARCH("DQ",MAIN!K388)), "DQ",
            IF(ISNUMBER(SEARCH("A",MAIN!K388)), 0,
            IF(OR(MAIN!K388=0,MAIN!K388=""), 0, --TRIM(MAIN!K388)))))))))))),
        0
    )
)</f>
        <v>0</v>
      </c>
    </row>
    <row r="389" spans="1:11" x14ac:dyDescent="0.25">
      <c r="A389" t="str">
        <f>IF(ISBLANK(MAIN!A389), "--", IFERROR(PROPER(SUBSTITUTE(SUBSTITUTE(SUBSTITUTE(SUBSTITUTE(SUBSTITUTE(SUBSTITUTE(SUBSTITUTE(SUBSTITUTE(SUBSTITUTE(SUBSTITUTE(LEFT(MAIN!A389, FIND(",",MAIN!A389) -1), "0", ""), "1", ""), "2", ""), "3", ""), "4", ""), "5", ""), "6", ""), "7", ""), "8", ""), "9", "")), PROPER(SUBSTITUTE(SUBSTITUTE(SUBSTITUTE(SUBSTITUTE(SUBSTITUTE(SUBSTITUTE(SUBSTITUTE(SUBSTITUTE(SUBSTITUTE(SUBSTITUTE(MAIN!A389, "0", ""), "1", ""), "2", ""), "3", ""), "4", ""), "5", ""), "6", ""), "7", ""), "8", ""), "9", ""))))</f>
        <v>--</v>
      </c>
      <c r="B389" t="str">
        <f>IF(ISBLANK(MAIN!B389), "--", IFERROR(PROPER(SUBSTITUTE(SUBSTITUTE(SUBSTITUTE(SUBSTITUTE(SUBSTITUTE(SUBSTITUTE(SUBSTITUTE(SUBSTITUTE(SUBSTITUTE(SUBSTITUTE(LEFT(MAIN!B389, FIND(",",MAIN!B389) -1), "0", ""), "1", ""), "2", ""), "3", ""), "4", ""), "5", ""), "6", ""), "7", ""), "8", ""), "9", "")), PROPER(SUBSTITUTE(SUBSTITUTE(SUBSTITUTE(SUBSTITUTE(SUBSTITUTE(SUBSTITUTE(SUBSTITUTE(SUBSTITUTE(SUBSTITUTE(SUBSTITUTE(MAIN!B389, "0", ""), "1", ""), "2", ""), "3", ""), "4", ""), "5", ""), "6", ""), "7", ""), "8", ""), "9", ""))))</f>
        <v>--</v>
      </c>
      <c r="C389" t="str">
        <f>IF(ISBLANK(MAIN!C389), "--", IFERROR(PROPER(SUBSTITUTE(SUBSTITUTE(SUBSTITUTE(SUBSTITUTE(SUBSTITUTE(SUBSTITUTE(SUBSTITUTE(SUBSTITUTE(SUBSTITUTE(SUBSTITUTE(LEFT(MAIN!C389, FIND(",",MAIN!C389) -1), "0", ""), "1", ""), "2", ""), "3", ""), "4", ""), "5", ""), "6", ""), "7", ""), "8", ""), "9", "")), PROPER(SUBSTITUTE(SUBSTITUTE(SUBSTITUTE(SUBSTITUTE(SUBSTITUTE(SUBSTITUTE(SUBSTITUTE(SUBSTITUTE(SUBSTITUTE(SUBSTITUTE(MAIN!C389, "0", ""), "1", ""), "2", ""), "3", ""), "4", ""), "5", ""), "6", ""), "7", ""), "8", ""), "9", ""))))</f>
        <v>--</v>
      </c>
      <c r="D389" t="str">
        <f>IF(ISBLANK(MAIN!D389), "--", IF(ISNUMBER(MATCH(SUBSTITUTE(LEFT(MAIN!D389, IFERROR(FIND(",", MAIN!D389)-1, LEN(MAIN!D389))), " ", ""), lookup_values!$B$2:$B$51, 0)), UPPER(SUBSTITUTE(LEFT(MAIN!D389, IFERROR(FIND(",", MAIN!D389)-1, LEN(MAIN!D389))), " ", "")), IF(ISNA(VLOOKUP(SUBSTITUTE(LEFT(MAIN!D389, IFERROR(FIND(",", MAIN!D389)-1, LEN(MAIN!D389))), " ", ""), lookup_values!$A$2:$B$51, 2, FALSE)), "--", VLOOKUP(SUBSTITUTE(LEFT(MAIN!D389, IFERROR(FIND(",", MAIN!D389)-1, LEN(MAIN!D389))), " ", ""), lookup_values!$A$2:$B$51, 2, FALSE))))</f>
        <v>--</v>
      </c>
      <c r="E389" t="str">
        <f>IF(CLEAN_DATA!D389&lt;&gt;"--","US",IF(ISBLANK(MAIN!E389), "--", IF(ISNUMBER(MATCH(SUBSTITUTE(LEFT(MAIN!E389, IFERROR(FIND(",", MAIN!E389)-1, LEN(MAIN!E389))), " ", ""), lookup_values!$E$2:$E$197, 0)), UPPER(SUBSTITUTE(LEFT(MAIN!E389, IFERROR(FIND(",", MAIN!E389)-1, LEN(MAIN!E389))), " ", "")), IF(ISNA(VLOOKUP(SUBSTITUTE(LEFT(MAIN!E389, IFERROR(FIND(",", MAIN!E389)-1, LEN(MAIN!E389))), " ", ""), lookup_values!$D$2:$E$197, 2, FALSE)), "--", VLOOKUP(SUBSTITUTE(LEFT(MAIN!E389, IFERROR(FIND(",", MAIN!E389)-1, LEN(MAIN!E389))), " ", ""), lookup_values!$D$2:$E$197, 2, FALSE)))))</f>
        <v>--</v>
      </c>
      <c r="F389" t="str">
        <f>IF(ISBLANK(MAIN!F389), "", IF(AND(ISNUMBER(VALUE(TRIM(MAIN!F389))), LEN(TRIM(MAIN!F389))=4), VALUE(TRIM(MAIN!F389)), ""))</f>
        <v/>
      </c>
      <c r="G389">
        <f>IF(ISBLANK(MAIN!G389), 0, IF(ISNUMBER(VALUE(TRIM(MAIN!G389))), VALUE(TRIM(MAIN!G389)), 0))</f>
        <v>0</v>
      </c>
      <c r="H389">
        <f>IF(ISBLANK(MAIN!H389), 0, IF(ISNUMBER(VALUE(TRIM(MAIN!H389))), VALUE(TRIM(MAIN!H389)), 0))</f>
        <v>0</v>
      </c>
      <c r="I389">
        <f>IF(ISBLANK(MAIN!I389), 0, IF(ISNUMBER(VALUE(TRIM(MAIN!I389))), VALUE(TRIM(MAIN!I389)), 0))</f>
        <v>0</v>
      </c>
      <c r="J389">
        <f>IF(ISBLANK(MAIN!J389), 0, IF(ISNUMBER(VALUE(TRIM(MAIN!J389))), VALUE(TRIM(MAIN!J389)), 0))</f>
        <v>0</v>
      </c>
      <c r="K389" cm="1">
        <f t="array" ref="K389">IFERROR(
    VALUE(
        IFERROR(
            UPPER(
                IF(MAX(IFERROR(SEARCH("WD",MAIN!G389:J389), 0))&gt;0, "WD",
                IF(MAX(IFERROR(SEARCH("NS",MAIN!G389:J389), 0))&gt;0, "NS",
                IF(MAX(IFERROR(SEARCH("NC",MAIN!G389:J389), 0))&gt;0, "NC",
                IF(MAX(IFERROR(SEARCH("DQ",MAIN!G389:J389), 0))&gt;0, "DQ",
                IF(ISNUMBER(SEARCH("WD",MAIN!K389)), "WD",
                IF(ISNUMBER(SEARCH("NS",MAIN!K389)), "NS",
                IF(ISNUMBER(SEARCH("NC",MAIN!K389)), "NC",
                IF(ISNUMBER(SEARCH("DQ",MAIN!K389)), "DQ",
                IF(ISNUMBER(SEARCH("A",MAIN!K389)), 0,
                IF(OR(MAIN!K389=0,MAIN!K389=""), 0, --TRIM(MAIN!K389)))))))))))),
            0
        )
    ),
    IFERROR(
        UPPER(
            IF(MAX(IFERROR(SEARCH("WD",MAIN!G389:J389), 0))&gt;0, "WD",
            IF(MAX(IFERROR(SEARCH("NS",MAIN!G389:J389), 0))&gt;0, "NS",
            IF(MAX(IFERROR(SEARCH("NC",MAIN!G389:J389), 0))&gt;0, "NC",
            IF(MAX(IFERROR(SEARCH("DQ",MAIN!G389:J389), 0))&gt;0, "DQ",
            IF(ISNUMBER(SEARCH("WD",MAIN!K389)), "WD",
            IF(ISNUMBER(SEARCH("NS",MAIN!K389)), "NS",
            IF(ISNUMBER(SEARCH("NC",MAIN!K389)), "NC",
            IF(ISNUMBER(SEARCH("DQ",MAIN!K389)), "DQ",
            IF(ISNUMBER(SEARCH("A",MAIN!K389)), 0,
            IF(OR(MAIN!K389=0,MAIN!K389=""), 0, --TRIM(MAIN!K389)))))))))))),
        0
    )
)</f>
        <v>0</v>
      </c>
    </row>
    <row r="390" spans="1:11" x14ac:dyDescent="0.25">
      <c r="A390" t="str">
        <f>IF(ISBLANK(MAIN!A390), "--", IFERROR(PROPER(SUBSTITUTE(SUBSTITUTE(SUBSTITUTE(SUBSTITUTE(SUBSTITUTE(SUBSTITUTE(SUBSTITUTE(SUBSTITUTE(SUBSTITUTE(SUBSTITUTE(LEFT(MAIN!A390, FIND(",",MAIN!A390) -1), "0", ""), "1", ""), "2", ""), "3", ""), "4", ""), "5", ""), "6", ""), "7", ""), "8", ""), "9", "")), PROPER(SUBSTITUTE(SUBSTITUTE(SUBSTITUTE(SUBSTITUTE(SUBSTITUTE(SUBSTITUTE(SUBSTITUTE(SUBSTITUTE(SUBSTITUTE(SUBSTITUTE(MAIN!A390, "0", ""), "1", ""), "2", ""), "3", ""), "4", ""), "5", ""), "6", ""), "7", ""), "8", ""), "9", ""))))</f>
        <v>--</v>
      </c>
      <c r="B390" t="str">
        <f>IF(ISBLANK(MAIN!B390), "--", IFERROR(PROPER(SUBSTITUTE(SUBSTITUTE(SUBSTITUTE(SUBSTITUTE(SUBSTITUTE(SUBSTITUTE(SUBSTITUTE(SUBSTITUTE(SUBSTITUTE(SUBSTITUTE(LEFT(MAIN!B390, FIND(",",MAIN!B390) -1), "0", ""), "1", ""), "2", ""), "3", ""), "4", ""), "5", ""), "6", ""), "7", ""), "8", ""), "9", "")), PROPER(SUBSTITUTE(SUBSTITUTE(SUBSTITUTE(SUBSTITUTE(SUBSTITUTE(SUBSTITUTE(SUBSTITUTE(SUBSTITUTE(SUBSTITUTE(SUBSTITUTE(MAIN!B390, "0", ""), "1", ""), "2", ""), "3", ""), "4", ""), "5", ""), "6", ""), "7", ""), "8", ""), "9", ""))))</f>
        <v>--</v>
      </c>
      <c r="C390" t="str">
        <f>IF(ISBLANK(MAIN!C390), "--", IFERROR(PROPER(SUBSTITUTE(SUBSTITUTE(SUBSTITUTE(SUBSTITUTE(SUBSTITUTE(SUBSTITUTE(SUBSTITUTE(SUBSTITUTE(SUBSTITUTE(SUBSTITUTE(LEFT(MAIN!C390, FIND(",",MAIN!C390) -1), "0", ""), "1", ""), "2", ""), "3", ""), "4", ""), "5", ""), "6", ""), "7", ""), "8", ""), "9", "")), PROPER(SUBSTITUTE(SUBSTITUTE(SUBSTITUTE(SUBSTITUTE(SUBSTITUTE(SUBSTITUTE(SUBSTITUTE(SUBSTITUTE(SUBSTITUTE(SUBSTITUTE(MAIN!C390, "0", ""), "1", ""), "2", ""), "3", ""), "4", ""), "5", ""), "6", ""), "7", ""), "8", ""), "9", ""))))</f>
        <v>--</v>
      </c>
      <c r="D390" t="str">
        <f>IF(ISBLANK(MAIN!D390), "--", IF(ISNUMBER(MATCH(SUBSTITUTE(LEFT(MAIN!D390, IFERROR(FIND(",", MAIN!D390)-1, LEN(MAIN!D390))), " ", ""), lookup_values!$B$2:$B$51, 0)), UPPER(SUBSTITUTE(LEFT(MAIN!D390, IFERROR(FIND(",", MAIN!D390)-1, LEN(MAIN!D390))), " ", "")), IF(ISNA(VLOOKUP(SUBSTITUTE(LEFT(MAIN!D390, IFERROR(FIND(",", MAIN!D390)-1, LEN(MAIN!D390))), " ", ""), lookup_values!$A$2:$B$51, 2, FALSE)), "--", VLOOKUP(SUBSTITUTE(LEFT(MAIN!D390, IFERROR(FIND(",", MAIN!D390)-1, LEN(MAIN!D390))), " ", ""), lookup_values!$A$2:$B$51, 2, FALSE))))</f>
        <v>--</v>
      </c>
      <c r="E390" t="str">
        <f>IF(CLEAN_DATA!D390&lt;&gt;"--","US",IF(ISBLANK(MAIN!E390), "--", IF(ISNUMBER(MATCH(SUBSTITUTE(LEFT(MAIN!E390, IFERROR(FIND(",", MAIN!E390)-1, LEN(MAIN!E390))), " ", ""), lookup_values!$E$2:$E$197, 0)), UPPER(SUBSTITUTE(LEFT(MAIN!E390, IFERROR(FIND(",", MAIN!E390)-1, LEN(MAIN!E390))), " ", "")), IF(ISNA(VLOOKUP(SUBSTITUTE(LEFT(MAIN!E390, IFERROR(FIND(",", MAIN!E390)-1, LEN(MAIN!E390))), " ", ""), lookup_values!$D$2:$E$197, 2, FALSE)), "--", VLOOKUP(SUBSTITUTE(LEFT(MAIN!E390, IFERROR(FIND(",", MAIN!E390)-1, LEN(MAIN!E390))), " ", ""), lookup_values!$D$2:$E$197, 2, FALSE)))))</f>
        <v>--</v>
      </c>
      <c r="F390" t="str">
        <f>IF(ISBLANK(MAIN!F390), "", IF(AND(ISNUMBER(VALUE(TRIM(MAIN!F390))), LEN(TRIM(MAIN!F390))=4), VALUE(TRIM(MAIN!F390)), ""))</f>
        <v/>
      </c>
      <c r="G390">
        <f>IF(ISBLANK(MAIN!G390), 0, IF(ISNUMBER(VALUE(TRIM(MAIN!G390))), VALUE(TRIM(MAIN!G390)), 0))</f>
        <v>0</v>
      </c>
      <c r="H390">
        <f>IF(ISBLANK(MAIN!H390), 0, IF(ISNUMBER(VALUE(TRIM(MAIN!H390))), VALUE(TRIM(MAIN!H390)), 0))</f>
        <v>0</v>
      </c>
      <c r="I390">
        <f>IF(ISBLANK(MAIN!I390), 0, IF(ISNUMBER(VALUE(TRIM(MAIN!I390))), VALUE(TRIM(MAIN!I390)), 0))</f>
        <v>0</v>
      </c>
      <c r="J390">
        <f>IF(ISBLANK(MAIN!J390), 0, IF(ISNUMBER(VALUE(TRIM(MAIN!J390))), VALUE(TRIM(MAIN!J390)), 0))</f>
        <v>0</v>
      </c>
      <c r="K390" cm="1">
        <f t="array" ref="K390">IFERROR(
    VALUE(
        IFERROR(
            UPPER(
                IF(MAX(IFERROR(SEARCH("WD",MAIN!G390:J390), 0))&gt;0, "WD",
                IF(MAX(IFERROR(SEARCH("NS",MAIN!G390:J390), 0))&gt;0, "NS",
                IF(MAX(IFERROR(SEARCH("NC",MAIN!G390:J390), 0))&gt;0, "NC",
                IF(MAX(IFERROR(SEARCH("DQ",MAIN!G390:J390), 0))&gt;0, "DQ",
                IF(ISNUMBER(SEARCH("WD",MAIN!K390)), "WD",
                IF(ISNUMBER(SEARCH("NS",MAIN!K390)), "NS",
                IF(ISNUMBER(SEARCH("NC",MAIN!K390)), "NC",
                IF(ISNUMBER(SEARCH("DQ",MAIN!K390)), "DQ",
                IF(ISNUMBER(SEARCH("A",MAIN!K390)), 0,
                IF(OR(MAIN!K390=0,MAIN!K390=""), 0, --TRIM(MAIN!K390)))))))))))),
            0
        )
    ),
    IFERROR(
        UPPER(
            IF(MAX(IFERROR(SEARCH("WD",MAIN!G390:J390), 0))&gt;0, "WD",
            IF(MAX(IFERROR(SEARCH("NS",MAIN!G390:J390), 0))&gt;0, "NS",
            IF(MAX(IFERROR(SEARCH("NC",MAIN!G390:J390), 0))&gt;0, "NC",
            IF(MAX(IFERROR(SEARCH("DQ",MAIN!G390:J390), 0))&gt;0, "DQ",
            IF(ISNUMBER(SEARCH("WD",MAIN!K390)), "WD",
            IF(ISNUMBER(SEARCH("NS",MAIN!K390)), "NS",
            IF(ISNUMBER(SEARCH("NC",MAIN!K390)), "NC",
            IF(ISNUMBER(SEARCH("DQ",MAIN!K390)), "DQ",
            IF(ISNUMBER(SEARCH("A",MAIN!K390)), 0,
            IF(OR(MAIN!K390=0,MAIN!K390=""), 0, --TRIM(MAIN!K390)))))))))))),
        0
    )
)</f>
        <v>0</v>
      </c>
    </row>
    <row r="391" spans="1:11" x14ac:dyDescent="0.25">
      <c r="A391" t="str">
        <f>IF(ISBLANK(MAIN!A391), "--", IFERROR(PROPER(SUBSTITUTE(SUBSTITUTE(SUBSTITUTE(SUBSTITUTE(SUBSTITUTE(SUBSTITUTE(SUBSTITUTE(SUBSTITUTE(SUBSTITUTE(SUBSTITUTE(LEFT(MAIN!A391, FIND(",",MAIN!A391) -1), "0", ""), "1", ""), "2", ""), "3", ""), "4", ""), "5", ""), "6", ""), "7", ""), "8", ""), "9", "")), PROPER(SUBSTITUTE(SUBSTITUTE(SUBSTITUTE(SUBSTITUTE(SUBSTITUTE(SUBSTITUTE(SUBSTITUTE(SUBSTITUTE(SUBSTITUTE(SUBSTITUTE(MAIN!A391, "0", ""), "1", ""), "2", ""), "3", ""), "4", ""), "5", ""), "6", ""), "7", ""), "8", ""), "9", ""))))</f>
        <v>--</v>
      </c>
      <c r="B391" t="str">
        <f>IF(ISBLANK(MAIN!B391), "--", IFERROR(PROPER(SUBSTITUTE(SUBSTITUTE(SUBSTITUTE(SUBSTITUTE(SUBSTITUTE(SUBSTITUTE(SUBSTITUTE(SUBSTITUTE(SUBSTITUTE(SUBSTITUTE(LEFT(MAIN!B391, FIND(",",MAIN!B391) -1), "0", ""), "1", ""), "2", ""), "3", ""), "4", ""), "5", ""), "6", ""), "7", ""), "8", ""), "9", "")), PROPER(SUBSTITUTE(SUBSTITUTE(SUBSTITUTE(SUBSTITUTE(SUBSTITUTE(SUBSTITUTE(SUBSTITUTE(SUBSTITUTE(SUBSTITUTE(SUBSTITUTE(MAIN!B391, "0", ""), "1", ""), "2", ""), "3", ""), "4", ""), "5", ""), "6", ""), "7", ""), "8", ""), "9", ""))))</f>
        <v>--</v>
      </c>
      <c r="C391" t="str">
        <f>IF(ISBLANK(MAIN!C391), "--", IFERROR(PROPER(SUBSTITUTE(SUBSTITUTE(SUBSTITUTE(SUBSTITUTE(SUBSTITUTE(SUBSTITUTE(SUBSTITUTE(SUBSTITUTE(SUBSTITUTE(SUBSTITUTE(LEFT(MAIN!C391, FIND(",",MAIN!C391) -1), "0", ""), "1", ""), "2", ""), "3", ""), "4", ""), "5", ""), "6", ""), "7", ""), "8", ""), "9", "")), PROPER(SUBSTITUTE(SUBSTITUTE(SUBSTITUTE(SUBSTITUTE(SUBSTITUTE(SUBSTITUTE(SUBSTITUTE(SUBSTITUTE(SUBSTITUTE(SUBSTITUTE(MAIN!C391, "0", ""), "1", ""), "2", ""), "3", ""), "4", ""), "5", ""), "6", ""), "7", ""), "8", ""), "9", ""))))</f>
        <v>--</v>
      </c>
      <c r="D391" t="str">
        <f>IF(ISBLANK(MAIN!D391), "--", IF(ISNUMBER(MATCH(SUBSTITUTE(LEFT(MAIN!D391, IFERROR(FIND(",", MAIN!D391)-1, LEN(MAIN!D391))), " ", ""), lookup_values!$B$2:$B$51, 0)), UPPER(SUBSTITUTE(LEFT(MAIN!D391, IFERROR(FIND(",", MAIN!D391)-1, LEN(MAIN!D391))), " ", "")), IF(ISNA(VLOOKUP(SUBSTITUTE(LEFT(MAIN!D391, IFERROR(FIND(",", MAIN!D391)-1, LEN(MAIN!D391))), " ", ""), lookup_values!$A$2:$B$51, 2, FALSE)), "--", VLOOKUP(SUBSTITUTE(LEFT(MAIN!D391, IFERROR(FIND(",", MAIN!D391)-1, LEN(MAIN!D391))), " ", ""), lookup_values!$A$2:$B$51, 2, FALSE))))</f>
        <v>--</v>
      </c>
      <c r="E391" t="str">
        <f>IF(CLEAN_DATA!D391&lt;&gt;"--","US",IF(ISBLANK(MAIN!E391), "--", IF(ISNUMBER(MATCH(SUBSTITUTE(LEFT(MAIN!E391, IFERROR(FIND(",", MAIN!E391)-1, LEN(MAIN!E391))), " ", ""), lookup_values!$E$2:$E$197, 0)), UPPER(SUBSTITUTE(LEFT(MAIN!E391, IFERROR(FIND(",", MAIN!E391)-1, LEN(MAIN!E391))), " ", "")), IF(ISNA(VLOOKUP(SUBSTITUTE(LEFT(MAIN!E391, IFERROR(FIND(",", MAIN!E391)-1, LEN(MAIN!E391))), " ", ""), lookup_values!$D$2:$E$197, 2, FALSE)), "--", VLOOKUP(SUBSTITUTE(LEFT(MAIN!E391, IFERROR(FIND(",", MAIN!E391)-1, LEN(MAIN!E391))), " ", ""), lookup_values!$D$2:$E$197, 2, FALSE)))))</f>
        <v>--</v>
      </c>
      <c r="F391" t="str">
        <f>IF(ISBLANK(MAIN!F391), "", IF(AND(ISNUMBER(VALUE(TRIM(MAIN!F391))), LEN(TRIM(MAIN!F391))=4), VALUE(TRIM(MAIN!F391)), ""))</f>
        <v/>
      </c>
      <c r="G391">
        <f>IF(ISBLANK(MAIN!G391), 0, IF(ISNUMBER(VALUE(TRIM(MAIN!G391))), VALUE(TRIM(MAIN!G391)), 0))</f>
        <v>0</v>
      </c>
      <c r="H391">
        <f>IF(ISBLANK(MAIN!H391), 0, IF(ISNUMBER(VALUE(TRIM(MAIN!H391))), VALUE(TRIM(MAIN!H391)), 0))</f>
        <v>0</v>
      </c>
      <c r="I391">
        <f>IF(ISBLANK(MAIN!I391), 0, IF(ISNUMBER(VALUE(TRIM(MAIN!I391))), VALUE(TRIM(MAIN!I391)), 0))</f>
        <v>0</v>
      </c>
      <c r="J391">
        <f>IF(ISBLANK(MAIN!J391), 0, IF(ISNUMBER(VALUE(TRIM(MAIN!J391))), VALUE(TRIM(MAIN!J391)), 0))</f>
        <v>0</v>
      </c>
      <c r="K391" cm="1">
        <f t="array" ref="K391">IFERROR(
    VALUE(
        IFERROR(
            UPPER(
                IF(MAX(IFERROR(SEARCH("WD",MAIN!G391:J391), 0))&gt;0, "WD",
                IF(MAX(IFERROR(SEARCH("NS",MAIN!G391:J391), 0))&gt;0, "NS",
                IF(MAX(IFERROR(SEARCH("NC",MAIN!G391:J391), 0))&gt;0, "NC",
                IF(MAX(IFERROR(SEARCH("DQ",MAIN!G391:J391), 0))&gt;0, "DQ",
                IF(ISNUMBER(SEARCH("WD",MAIN!K391)), "WD",
                IF(ISNUMBER(SEARCH("NS",MAIN!K391)), "NS",
                IF(ISNUMBER(SEARCH("NC",MAIN!K391)), "NC",
                IF(ISNUMBER(SEARCH("DQ",MAIN!K391)), "DQ",
                IF(ISNUMBER(SEARCH("A",MAIN!K391)), 0,
                IF(OR(MAIN!K391=0,MAIN!K391=""), 0, --TRIM(MAIN!K391)))))))))))),
            0
        )
    ),
    IFERROR(
        UPPER(
            IF(MAX(IFERROR(SEARCH("WD",MAIN!G391:J391), 0))&gt;0, "WD",
            IF(MAX(IFERROR(SEARCH("NS",MAIN!G391:J391), 0))&gt;0, "NS",
            IF(MAX(IFERROR(SEARCH("NC",MAIN!G391:J391), 0))&gt;0, "NC",
            IF(MAX(IFERROR(SEARCH("DQ",MAIN!G391:J391), 0))&gt;0, "DQ",
            IF(ISNUMBER(SEARCH("WD",MAIN!K391)), "WD",
            IF(ISNUMBER(SEARCH("NS",MAIN!K391)), "NS",
            IF(ISNUMBER(SEARCH("NC",MAIN!K391)), "NC",
            IF(ISNUMBER(SEARCH("DQ",MAIN!K391)), "DQ",
            IF(ISNUMBER(SEARCH("A",MAIN!K391)), 0,
            IF(OR(MAIN!K391=0,MAIN!K391=""), 0, --TRIM(MAIN!K391)))))))))))),
        0
    )
)</f>
        <v>0</v>
      </c>
    </row>
    <row r="392" spans="1:11" x14ac:dyDescent="0.25">
      <c r="A392" t="str">
        <f>IF(ISBLANK(MAIN!A392), "--", IFERROR(PROPER(SUBSTITUTE(SUBSTITUTE(SUBSTITUTE(SUBSTITUTE(SUBSTITUTE(SUBSTITUTE(SUBSTITUTE(SUBSTITUTE(SUBSTITUTE(SUBSTITUTE(LEFT(MAIN!A392, FIND(",",MAIN!A392) -1), "0", ""), "1", ""), "2", ""), "3", ""), "4", ""), "5", ""), "6", ""), "7", ""), "8", ""), "9", "")), PROPER(SUBSTITUTE(SUBSTITUTE(SUBSTITUTE(SUBSTITUTE(SUBSTITUTE(SUBSTITUTE(SUBSTITUTE(SUBSTITUTE(SUBSTITUTE(SUBSTITUTE(MAIN!A392, "0", ""), "1", ""), "2", ""), "3", ""), "4", ""), "5", ""), "6", ""), "7", ""), "8", ""), "9", ""))))</f>
        <v>--</v>
      </c>
      <c r="B392" t="str">
        <f>IF(ISBLANK(MAIN!B392), "--", IFERROR(PROPER(SUBSTITUTE(SUBSTITUTE(SUBSTITUTE(SUBSTITUTE(SUBSTITUTE(SUBSTITUTE(SUBSTITUTE(SUBSTITUTE(SUBSTITUTE(SUBSTITUTE(LEFT(MAIN!B392, FIND(",",MAIN!B392) -1), "0", ""), "1", ""), "2", ""), "3", ""), "4", ""), "5", ""), "6", ""), "7", ""), "8", ""), "9", "")), PROPER(SUBSTITUTE(SUBSTITUTE(SUBSTITUTE(SUBSTITUTE(SUBSTITUTE(SUBSTITUTE(SUBSTITUTE(SUBSTITUTE(SUBSTITUTE(SUBSTITUTE(MAIN!B392, "0", ""), "1", ""), "2", ""), "3", ""), "4", ""), "5", ""), "6", ""), "7", ""), "8", ""), "9", ""))))</f>
        <v>--</v>
      </c>
      <c r="C392" t="str">
        <f>IF(ISBLANK(MAIN!C392), "--", IFERROR(PROPER(SUBSTITUTE(SUBSTITUTE(SUBSTITUTE(SUBSTITUTE(SUBSTITUTE(SUBSTITUTE(SUBSTITUTE(SUBSTITUTE(SUBSTITUTE(SUBSTITUTE(LEFT(MAIN!C392, FIND(",",MAIN!C392) -1), "0", ""), "1", ""), "2", ""), "3", ""), "4", ""), "5", ""), "6", ""), "7", ""), "8", ""), "9", "")), PROPER(SUBSTITUTE(SUBSTITUTE(SUBSTITUTE(SUBSTITUTE(SUBSTITUTE(SUBSTITUTE(SUBSTITUTE(SUBSTITUTE(SUBSTITUTE(SUBSTITUTE(MAIN!C392, "0", ""), "1", ""), "2", ""), "3", ""), "4", ""), "5", ""), "6", ""), "7", ""), "8", ""), "9", ""))))</f>
        <v>--</v>
      </c>
      <c r="D392" t="str">
        <f>IF(ISBLANK(MAIN!D392), "--", IF(ISNUMBER(MATCH(SUBSTITUTE(LEFT(MAIN!D392, IFERROR(FIND(",", MAIN!D392)-1, LEN(MAIN!D392))), " ", ""), lookup_values!$B$2:$B$51, 0)), UPPER(SUBSTITUTE(LEFT(MAIN!D392, IFERROR(FIND(",", MAIN!D392)-1, LEN(MAIN!D392))), " ", "")), IF(ISNA(VLOOKUP(SUBSTITUTE(LEFT(MAIN!D392, IFERROR(FIND(",", MAIN!D392)-1, LEN(MAIN!D392))), " ", ""), lookup_values!$A$2:$B$51, 2, FALSE)), "--", VLOOKUP(SUBSTITUTE(LEFT(MAIN!D392, IFERROR(FIND(",", MAIN!D392)-1, LEN(MAIN!D392))), " ", ""), lookup_values!$A$2:$B$51, 2, FALSE))))</f>
        <v>--</v>
      </c>
      <c r="E392" t="str">
        <f>IF(CLEAN_DATA!D392&lt;&gt;"--","US",IF(ISBLANK(MAIN!E392), "--", IF(ISNUMBER(MATCH(SUBSTITUTE(LEFT(MAIN!E392, IFERROR(FIND(",", MAIN!E392)-1, LEN(MAIN!E392))), " ", ""), lookup_values!$E$2:$E$197, 0)), UPPER(SUBSTITUTE(LEFT(MAIN!E392, IFERROR(FIND(",", MAIN!E392)-1, LEN(MAIN!E392))), " ", "")), IF(ISNA(VLOOKUP(SUBSTITUTE(LEFT(MAIN!E392, IFERROR(FIND(",", MAIN!E392)-1, LEN(MAIN!E392))), " ", ""), lookup_values!$D$2:$E$197, 2, FALSE)), "--", VLOOKUP(SUBSTITUTE(LEFT(MAIN!E392, IFERROR(FIND(",", MAIN!E392)-1, LEN(MAIN!E392))), " ", ""), lookup_values!$D$2:$E$197, 2, FALSE)))))</f>
        <v>--</v>
      </c>
      <c r="F392" t="str">
        <f>IF(ISBLANK(MAIN!F392), "", IF(AND(ISNUMBER(VALUE(TRIM(MAIN!F392))), LEN(TRIM(MAIN!F392))=4), VALUE(TRIM(MAIN!F392)), ""))</f>
        <v/>
      </c>
      <c r="G392">
        <f>IF(ISBLANK(MAIN!G392), 0, IF(ISNUMBER(VALUE(TRIM(MAIN!G392))), VALUE(TRIM(MAIN!G392)), 0))</f>
        <v>0</v>
      </c>
      <c r="H392">
        <f>IF(ISBLANK(MAIN!H392), 0, IF(ISNUMBER(VALUE(TRIM(MAIN!H392))), VALUE(TRIM(MAIN!H392)), 0))</f>
        <v>0</v>
      </c>
      <c r="I392">
        <f>IF(ISBLANK(MAIN!I392), 0, IF(ISNUMBER(VALUE(TRIM(MAIN!I392))), VALUE(TRIM(MAIN!I392)), 0))</f>
        <v>0</v>
      </c>
      <c r="J392">
        <f>IF(ISBLANK(MAIN!J392), 0, IF(ISNUMBER(VALUE(TRIM(MAIN!J392))), VALUE(TRIM(MAIN!J392)), 0))</f>
        <v>0</v>
      </c>
      <c r="K392" cm="1">
        <f t="array" ref="K392">IFERROR(
    VALUE(
        IFERROR(
            UPPER(
                IF(MAX(IFERROR(SEARCH("WD",MAIN!G392:J392), 0))&gt;0, "WD",
                IF(MAX(IFERROR(SEARCH("NS",MAIN!G392:J392), 0))&gt;0, "NS",
                IF(MAX(IFERROR(SEARCH("NC",MAIN!G392:J392), 0))&gt;0, "NC",
                IF(MAX(IFERROR(SEARCH("DQ",MAIN!G392:J392), 0))&gt;0, "DQ",
                IF(ISNUMBER(SEARCH("WD",MAIN!K392)), "WD",
                IF(ISNUMBER(SEARCH("NS",MAIN!K392)), "NS",
                IF(ISNUMBER(SEARCH("NC",MAIN!K392)), "NC",
                IF(ISNUMBER(SEARCH("DQ",MAIN!K392)), "DQ",
                IF(ISNUMBER(SEARCH("A",MAIN!K392)), 0,
                IF(OR(MAIN!K392=0,MAIN!K392=""), 0, --TRIM(MAIN!K392)))))))))))),
            0
        )
    ),
    IFERROR(
        UPPER(
            IF(MAX(IFERROR(SEARCH("WD",MAIN!G392:J392), 0))&gt;0, "WD",
            IF(MAX(IFERROR(SEARCH("NS",MAIN!G392:J392), 0))&gt;0, "NS",
            IF(MAX(IFERROR(SEARCH("NC",MAIN!G392:J392), 0))&gt;0, "NC",
            IF(MAX(IFERROR(SEARCH("DQ",MAIN!G392:J392), 0))&gt;0, "DQ",
            IF(ISNUMBER(SEARCH("WD",MAIN!K392)), "WD",
            IF(ISNUMBER(SEARCH("NS",MAIN!K392)), "NS",
            IF(ISNUMBER(SEARCH("NC",MAIN!K392)), "NC",
            IF(ISNUMBER(SEARCH("DQ",MAIN!K392)), "DQ",
            IF(ISNUMBER(SEARCH("A",MAIN!K392)), 0,
            IF(OR(MAIN!K392=0,MAIN!K392=""), 0, --TRIM(MAIN!K392)))))))))))),
        0
    )
)</f>
        <v>0</v>
      </c>
    </row>
    <row r="393" spans="1:11" x14ac:dyDescent="0.25">
      <c r="A393" t="str">
        <f>IF(ISBLANK(MAIN!A393), "--", IFERROR(PROPER(SUBSTITUTE(SUBSTITUTE(SUBSTITUTE(SUBSTITUTE(SUBSTITUTE(SUBSTITUTE(SUBSTITUTE(SUBSTITUTE(SUBSTITUTE(SUBSTITUTE(LEFT(MAIN!A393, FIND(",",MAIN!A393) -1), "0", ""), "1", ""), "2", ""), "3", ""), "4", ""), "5", ""), "6", ""), "7", ""), "8", ""), "9", "")), PROPER(SUBSTITUTE(SUBSTITUTE(SUBSTITUTE(SUBSTITUTE(SUBSTITUTE(SUBSTITUTE(SUBSTITUTE(SUBSTITUTE(SUBSTITUTE(SUBSTITUTE(MAIN!A393, "0", ""), "1", ""), "2", ""), "3", ""), "4", ""), "5", ""), "6", ""), "7", ""), "8", ""), "9", ""))))</f>
        <v>--</v>
      </c>
      <c r="B393" t="str">
        <f>IF(ISBLANK(MAIN!B393), "--", IFERROR(PROPER(SUBSTITUTE(SUBSTITUTE(SUBSTITUTE(SUBSTITUTE(SUBSTITUTE(SUBSTITUTE(SUBSTITUTE(SUBSTITUTE(SUBSTITUTE(SUBSTITUTE(LEFT(MAIN!B393, FIND(",",MAIN!B393) -1), "0", ""), "1", ""), "2", ""), "3", ""), "4", ""), "5", ""), "6", ""), "7", ""), "8", ""), "9", "")), PROPER(SUBSTITUTE(SUBSTITUTE(SUBSTITUTE(SUBSTITUTE(SUBSTITUTE(SUBSTITUTE(SUBSTITUTE(SUBSTITUTE(SUBSTITUTE(SUBSTITUTE(MAIN!B393, "0", ""), "1", ""), "2", ""), "3", ""), "4", ""), "5", ""), "6", ""), "7", ""), "8", ""), "9", ""))))</f>
        <v>--</v>
      </c>
      <c r="C393" t="str">
        <f>IF(ISBLANK(MAIN!C393), "--", IFERROR(PROPER(SUBSTITUTE(SUBSTITUTE(SUBSTITUTE(SUBSTITUTE(SUBSTITUTE(SUBSTITUTE(SUBSTITUTE(SUBSTITUTE(SUBSTITUTE(SUBSTITUTE(LEFT(MAIN!C393, FIND(",",MAIN!C393) -1), "0", ""), "1", ""), "2", ""), "3", ""), "4", ""), "5", ""), "6", ""), "7", ""), "8", ""), "9", "")), PROPER(SUBSTITUTE(SUBSTITUTE(SUBSTITUTE(SUBSTITUTE(SUBSTITUTE(SUBSTITUTE(SUBSTITUTE(SUBSTITUTE(SUBSTITUTE(SUBSTITUTE(MAIN!C393, "0", ""), "1", ""), "2", ""), "3", ""), "4", ""), "5", ""), "6", ""), "7", ""), "8", ""), "9", ""))))</f>
        <v>--</v>
      </c>
      <c r="D393" t="str">
        <f>IF(ISBLANK(MAIN!D393), "--", IF(ISNUMBER(MATCH(SUBSTITUTE(LEFT(MAIN!D393, IFERROR(FIND(",", MAIN!D393)-1, LEN(MAIN!D393))), " ", ""), lookup_values!$B$2:$B$51, 0)), UPPER(SUBSTITUTE(LEFT(MAIN!D393, IFERROR(FIND(",", MAIN!D393)-1, LEN(MAIN!D393))), " ", "")), IF(ISNA(VLOOKUP(SUBSTITUTE(LEFT(MAIN!D393, IFERROR(FIND(",", MAIN!D393)-1, LEN(MAIN!D393))), " ", ""), lookup_values!$A$2:$B$51, 2, FALSE)), "--", VLOOKUP(SUBSTITUTE(LEFT(MAIN!D393, IFERROR(FIND(",", MAIN!D393)-1, LEN(MAIN!D393))), " ", ""), lookup_values!$A$2:$B$51, 2, FALSE))))</f>
        <v>--</v>
      </c>
      <c r="E393" t="str">
        <f>IF(CLEAN_DATA!D393&lt;&gt;"--","US",IF(ISBLANK(MAIN!E393), "--", IF(ISNUMBER(MATCH(SUBSTITUTE(LEFT(MAIN!E393, IFERROR(FIND(",", MAIN!E393)-1, LEN(MAIN!E393))), " ", ""), lookup_values!$E$2:$E$197, 0)), UPPER(SUBSTITUTE(LEFT(MAIN!E393, IFERROR(FIND(",", MAIN!E393)-1, LEN(MAIN!E393))), " ", "")), IF(ISNA(VLOOKUP(SUBSTITUTE(LEFT(MAIN!E393, IFERROR(FIND(",", MAIN!E393)-1, LEN(MAIN!E393))), " ", ""), lookup_values!$D$2:$E$197, 2, FALSE)), "--", VLOOKUP(SUBSTITUTE(LEFT(MAIN!E393, IFERROR(FIND(",", MAIN!E393)-1, LEN(MAIN!E393))), " ", ""), lookup_values!$D$2:$E$197, 2, FALSE)))))</f>
        <v>--</v>
      </c>
      <c r="F393" t="str">
        <f>IF(ISBLANK(MAIN!F393), "", IF(AND(ISNUMBER(VALUE(TRIM(MAIN!F393))), LEN(TRIM(MAIN!F393))=4), VALUE(TRIM(MAIN!F393)), ""))</f>
        <v/>
      </c>
      <c r="G393">
        <f>IF(ISBLANK(MAIN!G393), 0, IF(ISNUMBER(VALUE(TRIM(MAIN!G393))), VALUE(TRIM(MAIN!G393)), 0))</f>
        <v>0</v>
      </c>
      <c r="H393">
        <f>IF(ISBLANK(MAIN!H393), 0, IF(ISNUMBER(VALUE(TRIM(MAIN!H393))), VALUE(TRIM(MAIN!H393)), 0))</f>
        <v>0</v>
      </c>
      <c r="I393">
        <f>IF(ISBLANK(MAIN!I393), 0, IF(ISNUMBER(VALUE(TRIM(MAIN!I393))), VALUE(TRIM(MAIN!I393)), 0))</f>
        <v>0</v>
      </c>
      <c r="J393">
        <f>IF(ISBLANK(MAIN!J393), 0, IF(ISNUMBER(VALUE(TRIM(MAIN!J393))), VALUE(TRIM(MAIN!J393)), 0))</f>
        <v>0</v>
      </c>
      <c r="K393" cm="1">
        <f t="array" ref="K393">IFERROR(
    VALUE(
        IFERROR(
            UPPER(
                IF(MAX(IFERROR(SEARCH("WD",MAIN!G393:J393), 0))&gt;0, "WD",
                IF(MAX(IFERROR(SEARCH("NS",MAIN!G393:J393), 0))&gt;0, "NS",
                IF(MAX(IFERROR(SEARCH("NC",MAIN!G393:J393), 0))&gt;0, "NC",
                IF(MAX(IFERROR(SEARCH("DQ",MAIN!G393:J393), 0))&gt;0, "DQ",
                IF(ISNUMBER(SEARCH("WD",MAIN!K393)), "WD",
                IF(ISNUMBER(SEARCH("NS",MAIN!K393)), "NS",
                IF(ISNUMBER(SEARCH("NC",MAIN!K393)), "NC",
                IF(ISNUMBER(SEARCH("DQ",MAIN!K393)), "DQ",
                IF(ISNUMBER(SEARCH("A",MAIN!K393)), 0,
                IF(OR(MAIN!K393=0,MAIN!K393=""), 0, --TRIM(MAIN!K393)))))))))))),
            0
        )
    ),
    IFERROR(
        UPPER(
            IF(MAX(IFERROR(SEARCH("WD",MAIN!G393:J393), 0))&gt;0, "WD",
            IF(MAX(IFERROR(SEARCH("NS",MAIN!G393:J393), 0))&gt;0, "NS",
            IF(MAX(IFERROR(SEARCH("NC",MAIN!G393:J393), 0))&gt;0, "NC",
            IF(MAX(IFERROR(SEARCH("DQ",MAIN!G393:J393), 0))&gt;0, "DQ",
            IF(ISNUMBER(SEARCH("WD",MAIN!K393)), "WD",
            IF(ISNUMBER(SEARCH("NS",MAIN!K393)), "NS",
            IF(ISNUMBER(SEARCH("NC",MAIN!K393)), "NC",
            IF(ISNUMBER(SEARCH("DQ",MAIN!K393)), "DQ",
            IF(ISNUMBER(SEARCH("A",MAIN!K393)), 0,
            IF(OR(MAIN!K393=0,MAIN!K393=""), 0, --TRIM(MAIN!K393)))))))))))),
        0
    )
)</f>
        <v>0</v>
      </c>
    </row>
    <row r="394" spans="1:11" x14ac:dyDescent="0.25">
      <c r="A394" t="str">
        <f>IF(ISBLANK(MAIN!A394), "--", IFERROR(PROPER(SUBSTITUTE(SUBSTITUTE(SUBSTITUTE(SUBSTITUTE(SUBSTITUTE(SUBSTITUTE(SUBSTITUTE(SUBSTITUTE(SUBSTITUTE(SUBSTITUTE(LEFT(MAIN!A394, FIND(",",MAIN!A394) -1), "0", ""), "1", ""), "2", ""), "3", ""), "4", ""), "5", ""), "6", ""), "7", ""), "8", ""), "9", "")), PROPER(SUBSTITUTE(SUBSTITUTE(SUBSTITUTE(SUBSTITUTE(SUBSTITUTE(SUBSTITUTE(SUBSTITUTE(SUBSTITUTE(SUBSTITUTE(SUBSTITUTE(MAIN!A394, "0", ""), "1", ""), "2", ""), "3", ""), "4", ""), "5", ""), "6", ""), "7", ""), "8", ""), "9", ""))))</f>
        <v>--</v>
      </c>
      <c r="B394" t="str">
        <f>IF(ISBLANK(MAIN!B394), "--", IFERROR(PROPER(SUBSTITUTE(SUBSTITUTE(SUBSTITUTE(SUBSTITUTE(SUBSTITUTE(SUBSTITUTE(SUBSTITUTE(SUBSTITUTE(SUBSTITUTE(SUBSTITUTE(LEFT(MAIN!B394, FIND(",",MAIN!B394) -1), "0", ""), "1", ""), "2", ""), "3", ""), "4", ""), "5", ""), "6", ""), "7", ""), "8", ""), "9", "")), PROPER(SUBSTITUTE(SUBSTITUTE(SUBSTITUTE(SUBSTITUTE(SUBSTITUTE(SUBSTITUTE(SUBSTITUTE(SUBSTITUTE(SUBSTITUTE(SUBSTITUTE(MAIN!B394, "0", ""), "1", ""), "2", ""), "3", ""), "4", ""), "5", ""), "6", ""), "7", ""), "8", ""), "9", ""))))</f>
        <v>--</v>
      </c>
      <c r="C394" t="str">
        <f>IF(ISBLANK(MAIN!C394), "--", IFERROR(PROPER(SUBSTITUTE(SUBSTITUTE(SUBSTITUTE(SUBSTITUTE(SUBSTITUTE(SUBSTITUTE(SUBSTITUTE(SUBSTITUTE(SUBSTITUTE(SUBSTITUTE(LEFT(MAIN!C394, FIND(",",MAIN!C394) -1), "0", ""), "1", ""), "2", ""), "3", ""), "4", ""), "5", ""), "6", ""), "7", ""), "8", ""), "9", "")), PROPER(SUBSTITUTE(SUBSTITUTE(SUBSTITUTE(SUBSTITUTE(SUBSTITUTE(SUBSTITUTE(SUBSTITUTE(SUBSTITUTE(SUBSTITUTE(SUBSTITUTE(MAIN!C394, "0", ""), "1", ""), "2", ""), "3", ""), "4", ""), "5", ""), "6", ""), "7", ""), "8", ""), "9", ""))))</f>
        <v>--</v>
      </c>
      <c r="D394" t="str">
        <f>IF(ISBLANK(MAIN!D394), "--", IF(ISNUMBER(MATCH(SUBSTITUTE(LEFT(MAIN!D394, IFERROR(FIND(",", MAIN!D394)-1, LEN(MAIN!D394))), " ", ""), lookup_values!$B$2:$B$51, 0)), UPPER(SUBSTITUTE(LEFT(MAIN!D394, IFERROR(FIND(",", MAIN!D394)-1, LEN(MAIN!D394))), " ", "")), IF(ISNA(VLOOKUP(SUBSTITUTE(LEFT(MAIN!D394, IFERROR(FIND(",", MAIN!D394)-1, LEN(MAIN!D394))), " ", ""), lookup_values!$A$2:$B$51, 2, FALSE)), "--", VLOOKUP(SUBSTITUTE(LEFT(MAIN!D394, IFERROR(FIND(",", MAIN!D394)-1, LEN(MAIN!D394))), " ", ""), lookup_values!$A$2:$B$51, 2, FALSE))))</f>
        <v>--</v>
      </c>
      <c r="E394" t="str">
        <f>IF(CLEAN_DATA!D394&lt;&gt;"--","US",IF(ISBLANK(MAIN!E394), "--", IF(ISNUMBER(MATCH(SUBSTITUTE(LEFT(MAIN!E394, IFERROR(FIND(",", MAIN!E394)-1, LEN(MAIN!E394))), " ", ""), lookup_values!$E$2:$E$197, 0)), UPPER(SUBSTITUTE(LEFT(MAIN!E394, IFERROR(FIND(",", MAIN!E394)-1, LEN(MAIN!E394))), " ", "")), IF(ISNA(VLOOKUP(SUBSTITUTE(LEFT(MAIN!E394, IFERROR(FIND(",", MAIN!E394)-1, LEN(MAIN!E394))), " ", ""), lookup_values!$D$2:$E$197, 2, FALSE)), "--", VLOOKUP(SUBSTITUTE(LEFT(MAIN!E394, IFERROR(FIND(",", MAIN!E394)-1, LEN(MAIN!E394))), " ", ""), lookup_values!$D$2:$E$197, 2, FALSE)))))</f>
        <v>--</v>
      </c>
      <c r="F394" t="str">
        <f>IF(ISBLANK(MAIN!F394), "", IF(AND(ISNUMBER(VALUE(TRIM(MAIN!F394))), LEN(TRIM(MAIN!F394))=4), VALUE(TRIM(MAIN!F394)), ""))</f>
        <v/>
      </c>
      <c r="G394">
        <f>IF(ISBLANK(MAIN!G394), 0, IF(ISNUMBER(VALUE(TRIM(MAIN!G394))), VALUE(TRIM(MAIN!G394)), 0))</f>
        <v>0</v>
      </c>
      <c r="H394">
        <f>IF(ISBLANK(MAIN!H394), 0, IF(ISNUMBER(VALUE(TRIM(MAIN!H394))), VALUE(TRIM(MAIN!H394)), 0))</f>
        <v>0</v>
      </c>
      <c r="I394">
        <f>IF(ISBLANK(MAIN!I394), 0, IF(ISNUMBER(VALUE(TRIM(MAIN!I394))), VALUE(TRIM(MAIN!I394)), 0))</f>
        <v>0</v>
      </c>
      <c r="J394">
        <f>IF(ISBLANK(MAIN!J394), 0, IF(ISNUMBER(VALUE(TRIM(MAIN!J394))), VALUE(TRIM(MAIN!J394)), 0))</f>
        <v>0</v>
      </c>
      <c r="K394" cm="1">
        <f t="array" ref="K394">IFERROR(
    VALUE(
        IFERROR(
            UPPER(
                IF(MAX(IFERROR(SEARCH("WD",MAIN!G394:J394), 0))&gt;0, "WD",
                IF(MAX(IFERROR(SEARCH("NS",MAIN!G394:J394), 0))&gt;0, "NS",
                IF(MAX(IFERROR(SEARCH("NC",MAIN!G394:J394), 0))&gt;0, "NC",
                IF(MAX(IFERROR(SEARCH("DQ",MAIN!G394:J394), 0))&gt;0, "DQ",
                IF(ISNUMBER(SEARCH("WD",MAIN!K394)), "WD",
                IF(ISNUMBER(SEARCH("NS",MAIN!K394)), "NS",
                IF(ISNUMBER(SEARCH("NC",MAIN!K394)), "NC",
                IF(ISNUMBER(SEARCH("DQ",MAIN!K394)), "DQ",
                IF(ISNUMBER(SEARCH("A",MAIN!K394)), 0,
                IF(OR(MAIN!K394=0,MAIN!K394=""), 0, --TRIM(MAIN!K394)))))))))))),
            0
        )
    ),
    IFERROR(
        UPPER(
            IF(MAX(IFERROR(SEARCH("WD",MAIN!G394:J394), 0))&gt;0, "WD",
            IF(MAX(IFERROR(SEARCH("NS",MAIN!G394:J394), 0))&gt;0, "NS",
            IF(MAX(IFERROR(SEARCH("NC",MAIN!G394:J394), 0))&gt;0, "NC",
            IF(MAX(IFERROR(SEARCH("DQ",MAIN!G394:J394), 0))&gt;0, "DQ",
            IF(ISNUMBER(SEARCH("WD",MAIN!K394)), "WD",
            IF(ISNUMBER(SEARCH("NS",MAIN!K394)), "NS",
            IF(ISNUMBER(SEARCH("NC",MAIN!K394)), "NC",
            IF(ISNUMBER(SEARCH("DQ",MAIN!K394)), "DQ",
            IF(ISNUMBER(SEARCH("A",MAIN!K394)), 0,
            IF(OR(MAIN!K394=0,MAIN!K394=""), 0, --TRIM(MAIN!K394)))))))))))),
        0
    )
)</f>
        <v>0</v>
      </c>
    </row>
    <row r="395" spans="1:11" x14ac:dyDescent="0.25">
      <c r="A395" t="str">
        <f>IF(ISBLANK(MAIN!A395), "--", IFERROR(PROPER(SUBSTITUTE(SUBSTITUTE(SUBSTITUTE(SUBSTITUTE(SUBSTITUTE(SUBSTITUTE(SUBSTITUTE(SUBSTITUTE(SUBSTITUTE(SUBSTITUTE(LEFT(MAIN!A395, FIND(",",MAIN!A395) -1), "0", ""), "1", ""), "2", ""), "3", ""), "4", ""), "5", ""), "6", ""), "7", ""), "8", ""), "9", "")), PROPER(SUBSTITUTE(SUBSTITUTE(SUBSTITUTE(SUBSTITUTE(SUBSTITUTE(SUBSTITUTE(SUBSTITUTE(SUBSTITUTE(SUBSTITUTE(SUBSTITUTE(MAIN!A395, "0", ""), "1", ""), "2", ""), "3", ""), "4", ""), "5", ""), "6", ""), "7", ""), "8", ""), "9", ""))))</f>
        <v>--</v>
      </c>
      <c r="B395" t="str">
        <f>IF(ISBLANK(MAIN!B395), "--", IFERROR(PROPER(SUBSTITUTE(SUBSTITUTE(SUBSTITUTE(SUBSTITUTE(SUBSTITUTE(SUBSTITUTE(SUBSTITUTE(SUBSTITUTE(SUBSTITUTE(SUBSTITUTE(LEFT(MAIN!B395, FIND(",",MAIN!B395) -1), "0", ""), "1", ""), "2", ""), "3", ""), "4", ""), "5", ""), "6", ""), "7", ""), "8", ""), "9", "")), PROPER(SUBSTITUTE(SUBSTITUTE(SUBSTITUTE(SUBSTITUTE(SUBSTITUTE(SUBSTITUTE(SUBSTITUTE(SUBSTITUTE(SUBSTITUTE(SUBSTITUTE(MAIN!B395, "0", ""), "1", ""), "2", ""), "3", ""), "4", ""), "5", ""), "6", ""), "7", ""), "8", ""), "9", ""))))</f>
        <v>--</v>
      </c>
      <c r="C395" t="str">
        <f>IF(ISBLANK(MAIN!C395), "--", IFERROR(PROPER(SUBSTITUTE(SUBSTITUTE(SUBSTITUTE(SUBSTITUTE(SUBSTITUTE(SUBSTITUTE(SUBSTITUTE(SUBSTITUTE(SUBSTITUTE(SUBSTITUTE(LEFT(MAIN!C395, FIND(",",MAIN!C395) -1), "0", ""), "1", ""), "2", ""), "3", ""), "4", ""), "5", ""), "6", ""), "7", ""), "8", ""), "9", "")), PROPER(SUBSTITUTE(SUBSTITUTE(SUBSTITUTE(SUBSTITUTE(SUBSTITUTE(SUBSTITUTE(SUBSTITUTE(SUBSTITUTE(SUBSTITUTE(SUBSTITUTE(MAIN!C395, "0", ""), "1", ""), "2", ""), "3", ""), "4", ""), "5", ""), "6", ""), "7", ""), "8", ""), "9", ""))))</f>
        <v>--</v>
      </c>
      <c r="D395" t="str">
        <f>IF(ISBLANK(MAIN!D395), "--", IF(ISNUMBER(MATCH(SUBSTITUTE(LEFT(MAIN!D395, IFERROR(FIND(",", MAIN!D395)-1, LEN(MAIN!D395))), " ", ""), lookup_values!$B$2:$B$51, 0)), UPPER(SUBSTITUTE(LEFT(MAIN!D395, IFERROR(FIND(",", MAIN!D395)-1, LEN(MAIN!D395))), " ", "")), IF(ISNA(VLOOKUP(SUBSTITUTE(LEFT(MAIN!D395, IFERROR(FIND(",", MAIN!D395)-1, LEN(MAIN!D395))), " ", ""), lookup_values!$A$2:$B$51, 2, FALSE)), "--", VLOOKUP(SUBSTITUTE(LEFT(MAIN!D395, IFERROR(FIND(",", MAIN!D395)-1, LEN(MAIN!D395))), " ", ""), lookup_values!$A$2:$B$51, 2, FALSE))))</f>
        <v>--</v>
      </c>
      <c r="E395" t="str">
        <f>IF(CLEAN_DATA!D395&lt;&gt;"--","US",IF(ISBLANK(MAIN!E395), "--", IF(ISNUMBER(MATCH(SUBSTITUTE(LEFT(MAIN!E395, IFERROR(FIND(",", MAIN!E395)-1, LEN(MAIN!E395))), " ", ""), lookup_values!$E$2:$E$197, 0)), UPPER(SUBSTITUTE(LEFT(MAIN!E395, IFERROR(FIND(",", MAIN!E395)-1, LEN(MAIN!E395))), " ", "")), IF(ISNA(VLOOKUP(SUBSTITUTE(LEFT(MAIN!E395, IFERROR(FIND(",", MAIN!E395)-1, LEN(MAIN!E395))), " ", ""), lookup_values!$D$2:$E$197, 2, FALSE)), "--", VLOOKUP(SUBSTITUTE(LEFT(MAIN!E395, IFERROR(FIND(",", MAIN!E395)-1, LEN(MAIN!E395))), " ", ""), lookup_values!$D$2:$E$197, 2, FALSE)))))</f>
        <v>--</v>
      </c>
      <c r="F395" t="str">
        <f>IF(ISBLANK(MAIN!F395), "", IF(AND(ISNUMBER(VALUE(TRIM(MAIN!F395))), LEN(TRIM(MAIN!F395))=4), VALUE(TRIM(MAIN!F395)), ""))</f>
        <v/>
      </c>
      <c r="G395">
        <f>IF(ISBLANK(MAIN!G395), 0, IF(ISNUMBER(VALUE(TRIM(MAIN!G395))), VALUE(TRIM(MAIN!G395)), 0))</f>
        <v>0</v>
      </c>
      <c r="H395">
        <f>IF(ISBLANK(MAIN!H395), 0, IF(ISNUMBER(VALUE(TRIM(MAIN!H395))), VALUE(TRIM(MAIN!H395)), 0))</f>
        <v>0</v>
      </c>
      <c r="I395">
        <f>IF(ISBLANK(MAIN!I395), 0, IF(ISNUMBER(VALUE(TRIM(MAIN!I395))), VALUE(TRIM(MAIN!I395)), 0))</f>
        <v>0</v>
      </c>
      <c r="J395">
        <f>IF(ISBLANK(MAIN!J395), 0, IF(ISNUMBER(VALUE(TRIM(MAIN!J395))), VALUE(TRIM(MAIN!J395)), 0))</f>
        <v>0</v>
      </c>
      <c r="K395" cm="1">
        <f t="array" ref="K395">IFERROR(
    VALUE(
        IFERROR(
            UPPER(
                IF(MAX(IFERROR(SEARCH("WD",MAIN!G395:J395), 0))&gt;0, "WD",
                IF(MAX(IFERROR(SEARCH("NS",MAIN!G395:J395), 0))&gt;0, "NS",
                IF(MAX(IFERROR(SEARCH("NC",MAIN!G395:J395), 0))&gt;0, "NC",
                IF(MAX(IFERROR(SEARCH("DQ",MAIN!G395:J395), 0))&gt;0, "DQ",
                IF(ISNUMBER(SEARCH("WD",MAIN!K395)), "WD",
                IF(ISNUMBER(SEARCH("NS",MAIN!K395)), "NS",
                IF(ISNUMBER(SEARCH("NC",MAIN!K395)), "NC",
                IF(ISNUMBER(SEARCH("DQ",MAIN!K395)), "DQ",
                IF(ISNUMBER(SEARCH("A",MAIN!K395)), 0,
                IF(OR(MAIN!K395=0,MAIN!K395=""), 0, --TRIM(MAIN!K395)))))))))))),
            0
        )
    ),
    IFERROR(
        UPPER(
            IF(MAX(IFERROR(SEARCH("WD",MAIN!G395:J395), 0))&gt;0, "WD",
            IF(MAX(IFERROR(SEARCH("NS",MAIN!G395:J395), 0))&gt;0, "NS",
            IF(MAX(IFERROR(SEARCH("NC",MAIN!G395:J395), 0))&gt;0, "NC",
            IF(MAX(IFERROR(SEARCH("DQ",MAIN!G395:J395), 0))&gt;0, "DQ",
            IF(ISNUMBER(SEARCH("WD",MAIN!K395)), "WD",
            IF(ISNUMBER(SEARCH("NS",MAIN!K395)), "NS",
            IF(ISNUMBER(SEARCH("NC",MAIN!K395)), "NC",
            IF(ISNUMBER(SEARCH("DQ",MAIN!K395)), "DQ",
            IF(ISNUMBER(SEARCH("A",MAIN!K395)), 0,
            IF(OR(MAIN!K395=0,MAIN!K395=""), 0, --TRIM(MAIN!K395)))))))))))),
        0
    )
)</f>
        <v>0</v>
      </c>
    </row>
    <row r="396" spans="1:11" x14ac:dyDescent="0.25">
      <c r="A396" t="str">
        <f>IF(ISBLANK(MAIN!A396), "--", IFERROR(PROPER(SUBSTITUTE(SUBSTITUTE(SUBSTITUTE(SUBSTITUTE(SUBSTITUTE(SUBSTITUTE(SUBSTITUTE(SUBSTITUTE(SUBSTITUTE(SUBSTITUTE(LEFT(MAIN!A396, FIND(",",MAIN!A396) -1), "0", ""), "1", ""), "2", ""), "3", ""), "4", ""), "5", ""), "6", ""), "7", ""), "8", ""), "9", "")), PROPER(SUBSTITUTE(SUBSTITUTE(SUBSTITUTE(SUBSTITUTE(SUBSTITUTE(SUBSTITUTE(SUBSTITUTE(SUBSTITUTE(SUBSTITUTE(SUBSTITUTE(MAIN!A396, "0", ""), "1", ""), "2", ""), "3", ""), "4", ""), "5", ""), "6", ""), "7", ""), "8", ""), "9", ""))))</f>
        <v>--</v>
      </c>
      <c r="B396" t="str">
        <f>IF(ISBLANK(MAIN!B396), "--", IFERROR(PROPER(SUBSTITUTE(SUBSTITUTE(SUBSTITUTE(SUBSTITUTE(SUBSTITUTE(SUBSTITUTE(SUBSTITUTE(SUBSTITUTE(SUBSTITUTE(SUBSTITUTE(LEFT(MAIN!B396, FIND(",",MAIN!B396) -1), "0", ""), "1", ""), "2", ""), "3", ""), "4", ""), "5", ""), "6", ""), "7", ""), "8", ""), "9", "")), PROPER(SUBSTITUTE(SUBSTITUTE(SUBSTITUTE(SUBSTITUTE(SUBSTITUTE(SUBSTITUTE(SUBSTITUTE(SUBSTITUTE(SUBSTITUTE(SUBSTITUTE(MAIN!B396, "0", ""), "1", ""), "2", ""), "3", ""), "4", ""), "5", ""), "6", ""), "7", ""), "8", ""), "9", ""))))</f>
        <v>--</v>
      </c>
      <c r="C396" t="str">
        <f>IF(ISBLANK(MAIN!C396), "--", IFERROR(PROPER(SUBSTITUTE(SUBSTITUTE(SUBSTITUTE(SUBSTITUTE(SUBSTITUTE(SUBSTITUTE(SUBSTITUTE(SUBSTITUTE(SUBSTITUTE(SUBSTITUTE(LEFT(MAIN!C396, FIND(",",MAIN!C396) -1), "0", ""), "1", ""), "2", ""), "3", ""), "4", ""), "5", ""), "6", ""), "7", ""), "8", ""), "9", "")), PROPER(SUBSTITUTE(SUBSTITUTE(SUBSTITUTE(SUBSTITUTE(SUBSTITUTE(SUBSTITUTE(SUBSTITUTE(SUBSTITUTE(SUBSTITUTE(SUBSTITUTE(MAIN!C396, "0", ""), "1", ""), "2", ""), "3", ""), "4", ""), "5", ""), "6", ""), "7", ""), "8", ""), "9", ""))))</f>
        <v>--</v>
      </c>
      <c r="D396" t="str">
        <f>IF(ISBLANK(MAIN!D396), "--", IF(ISNUMBER(MATCH(SUBSTITUTE(LEFT(MAIN!D396, IFERROR(FIND(",", MAIN!D396)-1, LEN(MAIN!D396))), " ", ""), lookup_values!$B$2:$B$51, 0)), UPPER(SUBSTITUTE(LEFT(MAIN!D396, IFERROR(FIND(",", MAIN!D396)-1, LEN(MAIN!D396))), " ", "")), IF(ISNA(VLOOKUP(SUBSTITUTE(LEFT(MAIN!D396, IFERROR(FIND(",", MAIN!D396)-1, LEN(MAIN!D396))), " ", ""), lookup_values!$A$2:$B$51, 2, FALSE)), "--", VLOOKUP(SUBSTITUTE(LEFT(MAIN!D396, IFERROR(FIND(",", MAIN!D396)-1, LEN(MAIN!D396))), " ", ""), lookup_values!$A$2:$B$51, 2, FALSE))))</f>
        <v>--</v>
      </c>
      <c r="E396" t="str">
        <f>IF(CLEAN_DATA!D396&lt;&gt;"--","US",IF(ISBLANK(MAIN!E396), "--", IF(ISNUMBER(MATCH(SUBSTITUTE(LEFT(MAIN!E396, IFERROR(FIND(",", MAIN!E396)-1, LEN(MAIN!E396))), " ", ""), lookup_values!$E$2:$E$197, 0)), UPPER(SUBSTITUTE(LEFT(MAIN!E396, IFERROR(FIND(",", MAIN!E396)-1, LEN(MAIN!E396))), " ", "")), IF(ISNA(VLOOKUP(SUBSTITUTE(LEFT(MAIN!E396, IFERROR(FIND(",", MAIN!E396)-1, LEN(MAIN!E396))), " ", ""), lookup_values!$D$2:$E$197, 2, FALSE)), "--", VLOOKUP(SUBSTITUTE(LEFT(MAIN!E396, IFERROR(FIND(",", MAIN!E396)-1, LEN(MAIN!E396))), " ", ""), lookup_values!$D$2:$E$197, 2, FALSE)))))</f>
        <v>--</v>
      </c>
      <c r="F396" t="str">
        <f>IF(ISBLANK(MAIN!F396), "", IF(AND(ISNUMBER(VALUE(TRIM(MAIN!F396))), LEN(TRIM(MAIN!F396))=4), VALUE(TRIM(MAIN!F396)), ""))</f>
        <v/>
      </c>
      <c r="G396">
        <f>IF(ISBLANK(MAIN!G396), 0, IF(ISNUMBER(VALUE(TRIM(MAIN!G396))), VALUE(TRIM(MAIN!G396)), 0))</f>
        <v>0</v>
      </c>
      <c r="H396">
        <f>IF(ISBLANK(MAIN!H396), 0, IF(ISNUMBER(VALUE(TRIM(MAIN!H396))), VALUE(TRIM(MAIN!H396)), 0))</f>
        <v>0</v>
      </c>
      <c r="I396">
        <f>IF(ISBLANK(MAIN!I396), 0, IF(ISNUMBER(VALUE(TRIM(MAIN!I396))), VALUE(TRIM(MAIN!I396)), 0))</f>
        <v>0</v>
      </c>
      <c r="J396">
        <f>IF(ISBLANK(MAIN!J396), 0, IF(ISNUMBER(VALUE(TRIM(MAIN!J396))), VALUE(TRIM(MAIN!J396)), 0))</f>
        <v>0</v>
      </c>
      <c r="K396" cm="1">
        <f t="array" ref="K396">IFERROR(
    VALUE(
        IFERROR(
            UPPER(
                IF(MAX(IFERROR(SEARCH("WD",MAIN!G396:J396), 0))&gt;0, "WD",
                IF(MAX(IFERROR(SEARCH("NS",MAIN!G396:J396), 0))&gt;0, "NS",
                IF(MAX(IFERROR(SEARCH("NC",MAIN!G396:J396), 0))&gt;0, "NC",
                IF(MAX(IFERROR(SEARCH("DQ",MAIN!G396:J396), 0))&gt;0, "DQ",
                IF(ISNUMBER(SEARCH("WD",MAIN!K396)), "WD",
                IF(ISNUMBER(SEARCH("NS",MAIN!K396)), "NS",
                IF(ISNUMBER(SEARCH("NC",MAIN!K396)), "NC",
                IF(ISNUMBER(SEARCH("DQ",MAIN!K396)), "DQ",
                IF(ISNUMBER(SEARCH("A",MAIN!K396)), 0,
                IF(OR(MAIN!K396=0,MAIN!K396=""), 0, --TRIM(MAIN!K396)))))))))))),
            0
        )
    ),
    IFERROR(
        UPPER(
            IF(MAX(IFERROR(SEARCH("WD",MAIN!G396:J396), 0))&gt;0, "WD",
            IF(MAX(IFERROR(SEARCH("NS",MAIN!G396:J396), 0))&gt;0, "NS",
            IF(MAX(IFERROR(SEARCH("NC",MAIN!G396:J396), 0))&gt;0, "NC",
            IF(MAX(IFERROR(SEARCH("DQ",MAIN!G396:J396), 0))&gt;0, "DQ",
            IF(ISNUMBER(SEARCH("WD",MAIN!K396)), "WD",
            IF(ISNUMBER(SEARCH("NS",MAIN!K396)), "NS",
            IF(ISNUMBER(SEARCH("NC",MAIN!K396)), "NC",
            IF(ISNUMBER(SEARCH("DQ",MAIN!K396)), "DQ",
            IF(ISNUMBER(SEARCH("A",MAIN!K396)), 0,
            IF(OR(MAIN!K396=0,MAIN!K396=""), 0, --TRIM(MAIN!K396)))))))))))),
        0
    )
)</f>
        <v>0</v>
      </c>
    </row>
    <row r="397" spans="1:11" x14ac:dyDescent="0.25">
      <c r="A397" t="str">
        <f>IF(ISBLANK(MAIN!A397), "--", IFERROR(PROPER(SUBSTITUTE(SUBSTITUTE(SUBSTITUTE(SUBSTITUTE(SUBSTITUTE(SUBSTITUTE(SUBSTITUTE(SUBSTITUTE(SUBSTITUTE(SUBSTITUTE(LEFT(MAIN!A397, FIND(",",MAIN!A397) -1), "0", ""), "1", ""), "2", ""), "3", ""), "4", ""), "5", ""), "6", ""), "7", ""), "8", ""), "9", "")), PROPER(SUBSTITUTE(SUBSTITUTE(SUBSTITUTE(SUBSTITUTE(SUBSTITUTE(SUBSTITUTE(SUBSTITUTE(SUBSTITUTE(SUBSTITUTE(SUBSTITUTE(MAIN!A397, "0", ""), "1", ""), "2", ""), "3", ""), "4", ""), "5", ""), "6", ""), "7", ""), "8", ""), "9", ""))))</f>
        <v>--</v>
      </c>
      <c r="B397" t="str">
        <f>IF(ISBLANK(MAIN!B397), "--", IFERROR(PROPER(SUBSTITUTE(SUBSTITUTE(SUBSTITUTE(SUBSTITUTE(SUBSTITUTE(SUBSTITUTE(SUBSTITUTE(SUBSTITUTE(SUBSTITUTE(SUBSTITUTE(LEFT(MAIN!B397, FIND(",",MAIN!B397) -1), "0", ""), "1", ""), "2", ""), "3", ""), "4", ""), "5", ""), "6", ""), "7", ""), "8", ""), "9", "")), PROPER(SUBSTITUTE(SUBSTITUTE(SUBSTITUTE(SUBSTITUTE(SUBSTITUTE(SUBSTITUTE(SUBSTITUTE(SUBSTITUTE(SUBSTITUTE(SUBSTITUTE(MAIN!B397, "0", ""), "1", ""), "2", ""), "3", ""), "4", ""), "5", ""), "6", ""), "7", ""), "8", ""), "9", ""))))</f>
        <v>--</v>
      </c>
      <c r="C397" t="str">
        <f>IF(ISBLANK(MAIN!C397), "--", IFERROR(PROPER(SUBSTITUTE(SUBSTITUTE(SUBSTITUTE(SUBSTITUTE(SUBSTITUTE(SUBSTITUTE(SUBSTITUTE(SUBSTITUTE(SUBSTITUTE(SUBSTITUTE(LEFT(MAIN!C397, FIND(",",MAIN!C397) -1), "0", ""), "1", ""), "2", ""), "3", ""), "4", ""), "5", ""), "6", ""), "7", ""), "8", ""), "9", "")), PROPER(SUBSTITUTE(SUBSTITUTE(SUBSTITUTE(SUBSTITUTE(SUBSTITUTE(SUBSTITUTE(SUBSTITUTE(SUBSTITUTE(SUBSTITUTE(SUBSTITUTE(MAIN!C397, "0", ""), "1", ""), "2", ""), "3", ""), "4", ""), "5", ""), "6", ""), "7", ""), "8", ""), "9", ""))))</f>
        <v>--</v>
      </c>
      <c r="D397" t="str">
        <f>IF(ISBLANK(MAIN!D397), "--", IF(ISNUMBER(MATCH(SUBSTITUTE(LEFT(MAIN!D397, IFERROR(FIND(",", MAIN!D397)-1, LEN(MAIN!D397))), " ", ""), lookup_values!$B$2:$B$51, 0)), UPPER(SUBSTITUTE(LEFT(MAIN!D397, IFERROR(FIND(",", MAIN!D397)-1, LEN(MAIN!D397))), " ", "")), IF(ISNA(VLOOKUP(SUBSTITUTE(LEFT(MAIN!D397, IFERROR(FIND(",", MAIN!D397)-1, LEN(MAIN!D397))), " ", ""), lookup_values!$A$2:$B$51, 2, FALSE)), "--", VLOOKUP(SUBSTITUTE(LEFT(MAIN!D397, IFERROR(FIND(",", MAIN!D397)-1, LEN(MAIN!D397))), " ", ""), lookup_values!$A$2:$B$51, 2, FALSE))))</f>
        <v>--</v>
      </c>
      <c r="E397" t="str">
        <f>IF(CLEAN_DATA!D397&lt;&gt;"--","US",IF(ISBLANK(MAIN!E397), "--", IF(ISNUMBER(MATCH(SUBSTITUTE(LEFT(MAIN!E397, IFERROR(FIND(",", MAIN!E397)-1, LEN(MAIN!E397))), " ", ""), lookup_values!$E$2:$E$197, 0)), UPPER(SUBSTITUTE(LEFT(MAIN!E397, IFERROR(FIND(",", MAIN!E397)-1, LEN(MAIN!E397))), " ", "")), IF(ISNA(VLOOKUP(SUBSTITUTE(LEFT(MAIN!E397, IFERROR(FIND(",", MAIN!E397)-1, LEN(MAIN!E397))), " ", ""), lookup_values!$D$2:$E$197, 2, FALSE)), "--", VLOOKUP(SUBSTITUTE(LEFT(MAIN!E397, IFERROR(FIND(",", MAIN!E397)-1, LEN(MAIN!E397))), " ", ""), lookup_values!$D$2:$E$197, 2, FALSE)))))</f>
        <v>--</v>
      </c>
      <c r="F397" t="str">
        <f>IF(ISBLANK(MAIN!F397), "", IF(AND(ISNUMBER(VALUE(TRIM(MAIN!F397))), LEN(TRIM(MAIN!F397))=4), VALUE(TRIM(MAIN!F397)), ""))</f>
        <v/>
      </c>
      <c r="G397">
        <f>IF(ISBLANK(MAIN!G397), 0, IF(ISNUMBER(VALUE(TRIM(MAIN!G397))), VALUE(TRIM(MAIN!G397)), 0))</f>
        <v>0</v>
      </c>
      <c r="H397">
        <f>IF(ISBLANK(MAIN!H397), 0, IF(ISNUMBER(VALUE(TRIM(MAIN!H397))), VALUE(TRIM(MAIN!H397)), 0))</f>
        <v>0</v>
      </c>
      <c r="I397">
        <f>IF(ISBLANK(MAIN!I397), 0, IF(ISNUMBER(VALUE(TRIM(MAIN!I397))), VALUE(TRIM(MAIN!I397)), 0))</f>
        <v>0</v>
      </c>
      <c r="J397">
        <f>IF(ISBLANK(MAIN!J397), 0, IF(ISNUMBER(VALUE(TRIM(MAIN!J397))), VALUE(TRIM(MAIN!J397)), 0))</f>
        <v>0</v>
      </c>
      <c r="K397" cm="1">
        <f t="array" ref="K397">IFERROR(
    VALUE(
        IFERROR(
            UPPER(
                IF(MAX(IFERROR(SEARCH("WD",MAIN!G397:J397), 0))&gt;0, "WD",
                IF(MAX(IFERROR(SEARCH("NS",MAIN!G397:J397), 0))&gt;0, "NS",
                IF(MAX(IFERROR(SEARCH("NC",MAIN!G397:J397), 0))&gt;0, "NC",
                IF(MAX(IFERROR(SEARCH("DQ",MAIN!G397:J397), 0))&gt;0, "DQ",
                IF(ISNUMBER(SEARCH("WD",MAIN!K397)), "WD",
                IF(ISNUMBER(SEARCH("NS",MAIN!K397)), "NS",
                IF(ISNUMBER(SEARCH("NC",MAIN!K397)), "NC",
                IF(ISNUMBER(SEARCH("DQ",MAIN!K397)), "DQ",
                IF(ISNUMBER(SEARCH("A",MAIN!K397)), 0,
                IF(OR(MAIN!K397=0,MAIN!K397=""), 0, --TRIM(MAIN!K397)))))))))))),
            0
        )
    ),
    IFERROR(
        UPPER(
            IF(MAX(IFERROR(SEARCH("WD",MAIN!G397:J397), 0))&gt;0, "WD",
            IF(MAX(IFERROR(SEARCH("NS",MAIN!G397:J397), 0))&gt;0, "NS",
            IF(MAX(IFERROR(SEARCH("NC",MAIN!G397:J397), 0))&gt;0, "NC",
            IF(MAX(IFERROR(SEARCH("DQ",MAIN!G397:J397), 0))&gt;0, "DQ",
            IF(ISNUMBER(SEARCH("WD",MAIN!K397)), "WD",
            IF(ISNUMBER(SEARCH("NS",MAIN!K397)), "NS",
            IF(ISNUMBER(SEARCH("NC",MAIN!K397)), "NC",
            IF(ISNUMBER(SEARCH("DQ",MAIN!K397)), "DQ",
            IF(ISNUMBER(SEARCH("A",MAIN!K397)), 0,
            IF(OR(MAIN!K397=0,MAIN!K397=""), 0, --TRIM(MAIN!K397)))))))))))),
        0
    )
)</f>
        <v>0</v>
      </c>
    </row>
    <row r="398" spans="1:11" x14ac:dyDescent="0.25">
      <c r="A398" t="str">
        <f>IF(ISBLANK(MAIN!A398), "--", IFERROR(PROPER(SUBSTITUTE(SUBSTITUTE(SUBSTITUTE(SUBSTITUTE(SUBSTITUTE(SUBSTITUTE(SUBSTITUTE(SUBSTITUTE(SUBSTITUTE(SUBSTITUTE(LEFT(MAIN!A398, FIND(",",MAIN!A398) -1), "0", ""), "1", ""), "2", ""), "3", ""), "4", ""), "5", ""), "6", ""), "7", ""), "8", ""), "9", "")), PROPER(SUBSTITUTE(SUBSTITUTE(SUBSTITUTE(SUBSTITUTE(SUBSTITUTE(SUBSTITUTE(SUBSTITUTE(SUBSTITUTE(SUBSTITUTE(SUBSTITUTE(MAIN!A398, "0", ""), "1", ""), "2", ""), "3", ""), "4", ""), "5", ""), "6", ""), "7", ""), "8", ""), "9", ""))))</f>
        <v>--</v>
      </c>
      <c r="B398" t="str">
        <f>IF(ISBLANK(MAIN!B398), "--", IFERROR(PROPER(SUBSTITUTE(SUBSTITUTE(SUBSTITUTE(SUBSTITUTE(SUBSTITUTE(SUBSTITUTE(SUBSTITUTE(SUBSTITUTE(SUBSTITUTE(SUBSTITUTE(LEFT(MAIN!B398, FIND(",",MAIN!B398) -1), "0", ""), "1", ""), "2", ""), "3", ""), "4", ""), "5", ""), "6", ""), "7", ""), "8", ""), "9", "")), PROPER(SUBSTITUTE(SUBSTITUTE(SUBSTITUTE(SUBSTITUTE(SUBSTITUTE(SUBSTITUTE(SUBSTITUTE(SUBSTITUTE(SUBSTITUTE(SUBSTITUTE(MAIN!B398, "0", ""), "1", ""), "2", ""), "3", ""), "4", ""), "5", ""), "6", ""), "7", ""), "8", ""), "9", ""))))</f>
        <v>--</v>
      </c>
      <c r="C398" t="str">
        <f>IF(ISBLANK(MAIN!C398), "--", IFERROR(PROPER(SUBSTITUTE(SUBSTITUTE(SUBSTITUTE(SUBSTITUTE(SUBSTITUTE(SUBSTITUTE(SUBSTITUTE(SUBSTITUTE(SUBSTITUTE(SUBSTITUTE(LEFT(MAIN!C398, FIND(",",MAIN!C398) -1), "0", ""), "1", ""), "2", ""), "3", ""), "4", ""), "5", ""), "6", ""), "7", ""), "8", ""), "9", "")), PROPER(SUBSTITUTE(SUBSTITUTE(SUBSTITUTE(SUBSTITUTE(SUBSTITUTE(SUBSTITUTE(SUBSTITUTE(SUBSTITUTE(SUBSTITUTE(SUBSTITUTE(MAIN!C398, "0", ""), "1", ""), "2", ""), "3", ""), "4", ""), "5", ""), "6", ""), "7", ""), "8", ""), "9", ""))))</f>
        <v>--</v>
      </c>
      <c r="D398" t="str">
        <f>IF(ISBLANK(MAIN!D398), "--", IF(ISNUMBER(MATCH(SUBSTITUTE(LEFT(MAIN!D398, IFERROR(FIND(",", MAIN!D398)-1, LEN(MAIN!D398))), " ", ""), lookup_values!$B$2:$B$51, 0)), UPPER(SUBSTITUTE(LEFT(MAIN!D398, IFERROR(FIND(",", MAIN!D398)-1, LEN(MAIN!D398))), " ", "")), IF(ISNA(VLOOKUP(SUBSTITUTE(LEFT(MAIN!D398, IFERROR(FIND(",", MAIN!D398)-1, LEN(MAIN!D398))), " ", ""), lookup_values!$A$2:$B$51, 2, FALSE)), "--", VLOOKUP(SUBSTITUTE(LEFT(MAIN!D398, IFERROR(FIND(",", MAIN!D398)-1, LEN(MAIN!D398))), " ", ""), lookup_values!$A$2:$B$51, 2, FALSE))))</f>
        <v>--</v>
      </c>
      <c r="E398" t="str">
        <f>IF(CLEAN_DATA!D398&lt;&gt;"--","US",IF(ISBLANK(MAIN!E398), "--", IF(ISNUMBER(MATCH(SUBSTITUTE(LEFT(MAIN!E398, IFERROR(FIND(",", MAIN!E398)-1, LEN(MAIN!E398))), " ", ""), lookup_values!$E$2:$E$197, 0)), UPPER(SUBSTITUTE(LEFT(MAIN!E398, IFERROR(FIND(",", MAIN!E398)-1, LEN(MAIN!E398))), " ", "")), IF(ISNA(VLOOKUP(SUBSTITUTE(LEFT(MAIN!E398, IFERROR(FIND(",", MAIN!E398)-1, LEN(MAIN!E398))), " ", ""), lookup_values!$D$2:$E$197, 2, FALSE)), "--", VLOOKUP(SUBSTITUTE(LEFT(MAIN!E398, IFERROR(FIND(",", MAIN!E398)-1, LEN(MAIN!E398))), " ", ""), lookup_values!$D$2:$E$197, 2, FALSE)))))</f>
        <v>--</v>
      </c>
      <c r="F398" t="str">
        <f>IF(ISBLANK(MAIN!F398), "", IF(AND(ISNUMBER(VALUE(TRIM(MAIN!F398))), LEN(TRIM(MAIN!F398))=4), VALUE(TRIM(MAIN!F398)), ""))</f>
        <v/>
      </c>
      <c r="G398">
        <f>IF(ISBLANK(MAIN!G398), 0, IF(ISNUMBER(VALUE(TRIM(MAIN!G398))), VALUE(TRIM(MAIN!G398)), 0))</f>
        <v>0</v>
      </c>
      <c r="H398">
        <f>IF(ISBLANK(MAIN!H398), 0, IF(ISNUMBER(VALUE(TRIM(MAIN!H398))), VALUE(TRIM(MAIN!H398)), 0))</f>
        <v>0</v>
      </c>
      <c r="I398">
        <f>IF(ISBLANK(MAIN!I398), 0, IF(ISNUMBER(VALUE(TRIM(MAIN!I398))), VALUE(TRIM(MAIN!I398)), 0))</f>
        <v>0</v>
      </c>
      <c r="J398">
        <f>IF(ISBLANK(MAIN!J398), 0, IF(ISNUMBER(VALUE(TRIM(MAIN!J398))), VALUE(TRIM(MAIN!J398)), 0))</f>
        <v>0</v>
      </c>
      <c r="K398" cm="1">
        <f t="array" ref="K398">IFERROR(
    VALUE(
        IFERROR(
            UPPER(
                IF(MAX(IFERROR(SEARCH("WD",MAIN!G398:J398), 0))&gt;0, "WD",
                IF(MAX(IFERROR(SEARCH("NS",MAIN!G398:J398), 0))&gt;0, "NS",
                IF(MAX(IFERROR(SEARCH("NC",MAIN!G398:J398), 0))&gt;0, "NC",
                IF(MAX(IFERROR(SEARCH("DQ",MAIN!G398:J398), 0))&gt;0, "DQ",
                IF(ISNUMBER(SEARCH("WD",MAIN!K398)), "WD",
                IF(ISNUMBER(SEARCH("NS",MAIN!K398)), "NS",
                IF(ISNUMBER(SEARCH("NC",MAIN!K398)), "NC",
                IF(ISNUMBER(SEARCH("DQ",MAIN!K398)), "DQ",
                IF(ISNUMBER(SEARCH("A",MAIN!K398)), 0,
                IF(OR(MAIN!K398=0,MAIN!K398=""), 0, --TRIM(MAIN!K398)))))))))))),
            0
        )
    ),
    IFERROR(
        UPPER(
            IF(MAX(IFERROR(SEARCH("WD",MAIN!G398:J398), 0))&gt;0, "WD",
            IF(MAX(IFERROR(SEARCH("NS",MAIN!G398:J398), 0))&gt;0, "NS",
            IF(MAX(IFERROR(SEARCH("NC",MAIN!G398:J398), 0))&gt;0, "NC",
            IF(MAX(IFERROR(SEARCH("DQ",MAIN!G398:J398), 0))&gt;0, "DQ",
            IF(ISNUMBER(SEARCH("WD",MAIN!K398)), "WD",
            IF(ISNUMBER(SEARCH("NS",MAIN!K398)), "NS",
            IF(ISNUMBER(SEARCH("NC",MAIN!K398)), "NC",
            IF(ISNUMBER(SEARCH("DQ",MAIN!K398)), "DQ",
            IF(ISNUMBER(SEARCH("A",MAIN!K398)), 0,
            IF(OR(MAIN!K398=0,MAIN!K398=""), 0, --TRIM(MAIN!K398)))))))))))),
        0
    )
)</f>
        <v>0</v>
      </c>
    </row>
    <row r="399" spans="1:11" x14ac:dyDescent="0.25">
      <c r="A399" t="str">
        <f>IF(ISBLANK(MAIN!A399), "--", IFERROR(PROPER(SUBSTITUTE(SUBSTITUTE(SUBSTITUTE(SUBSTITUTE(SUBSTITUTE(SUBSTITUTE(SUBSTITUTE(SUBSTITUTE(SUBSTITUTE(SUBSTITUTE(LEFT(MAIN!A399, FIND(",",MAIN!A399) -1), "0", ""), "1", ""), "2", ""), "3", ""), "4", ""), "5", ""), "6", ""), "7", ""), "8", ""), "9", "")), PROPER(SUBSTITUTE(SUBSTITUTE(SUBSTITUTE(SUBSTITUTE(SUBSTITUTE(SUBSTITUTE(SUBSTITUTE(SUBSTITUTE(SUBSTITUTE(SUBSTITUTE(MAIN!A399, "0", ""), "1", ""), "2", ""), "3", ""), "4", ""), "5", ""), "6", ""), "7", ""), "8", ""), "9", ""))))</f>
        <v>--</v>
      </c>
      <c r="B399" t="str">
        <f>IF(ISBLANK(MAIN!B399), "--", IFERROR(PROPER(SUBSTITUTE(SUBSTITUTE(SUBSTITUTE(SUBSTITUTE(SUBSTITUTE(SUBSTITUTE(SUBSTITUTE(SUBSTITUTE(SUBSTITUTE(SUBSTITUTE(LEFT(MAIN!B399, FIND(",",MAIN!B399) -1), "0", ""), "1", ""), "2", ""), "3", ""), "4", ""), "5", ""), "6", ""), "7", ""), "8", ""), "9", "")), PROPER(SUBSTITUTE(SUBSTITUTE(SUBSTITUTE(SUBSTITUTE(SUBSTITUTE(SUBSTITUTE(SUBSTITUTE(SUBSTITUTE(SUBSTITUTE(SUBSTITUTE(MAIN!B399, "0", ""), "1", ""), "2", ""), "3", ""), "4", ""), "5", ""), "6", ""), "7", ""), "8", ""), "9", ""))))</f>
        <v>--</v>
      </c>
      <c r="C399" t="str">
        <f>IF(ISBLANK(MAIN!C399), "--", IFERROR(PROPER(SUBSTITUTE(SUBSTITUTE(SUBSTITUTE(SUBSTITUTE(SUBSTITUTE(SUBSTITUTE(SUBSTITUTE(SUBSTITUTE(SUBSTITUTE(SUBSTITUTE(LEFT(MAIN!C399, FIND(",",MAIN!C399) -1), "0", ""), "1", ""), "2", ""), "3", ""), "4", ""), "5", ""), "6", ""), "7", ""), "8", ""), "9", "")), PROPER(SUBSTITUTE(SUBSTITUTE(SUBSTITUTE(SUBSTITUTE(SUBSTITUTE(SUBSTITUTE(SUBSTITUTE(SUBSTITUTE(SUBSTITUTE(SUBSTITUTE(MAIN!C399, "0", ""), "1", ""), "2", ""), "3", ""), "4", ""), "5", ""), "6", ""), "7", ""), "8", ""), "9", ""))))</f>
        <v>--</v>
      </c>
      <c r="D399" t="str">
        <f>IF(ISBLANK(MAIN!D399), "--", IF(ISNUMBER(MATCH(SUBSTITUTE(LEFT(MAIN!D399, IFERROR(FIND(",", MAIN!D399)-1, LEN(MAIN!D399))), " ", ""), lookup_values!$B$2:$B$51, 0)), UPPER(SUBSTITUTE(LEFT(MAIN!D399, IFERROR(FIND(",", MAIN!D399)-1, LEN(MAIN!D399))), " ", "")), IF(ISNA(VLOOKUP(SUBSTITUTE(LEFT(MAIN!D399, IFERROR(FIND(",", MAIN!D399)-1, LEN(MAIN!D399))), " ", ""), lookup_values!$A$2:$B$51, 2, FALSE)), "--", VLOOKUP(SUBSTITUTE(LEFT(MAIN!D399, IFERROR(FIND(",", MAIN!D399)-1, LEN(MAIN!D399))), " ", ""), lookup_values!$A$2:$B$51, 2, FALSE))))</f>
        <v>--</v>
      </c>
      <c r="E399" t="str">
        <f>IF(CLEAN_DATA!D399&lt;&gt;"--","US",IF(ISBLANK(MAIN!E399), "--", IF(ISNUMBER(MATCH(SUBSTITUTE(LEFT(MAIN!E399, IFERROR(FIND(",", MAIN!E399)-1, LEN(MAIN!E399))), " ", ""), lookup_values!$E$2:$E$197, 0)), UPPER(SUBSTITUTE(LEFT(MAIN!E399, IFERROR(FIND(",", MAIN!E399)-1, LEN(MAIN!E399))), " ", "")), IF(ISNA(VLOOKUP(SUBSTITUTE(LEFT(MAIN!E399, IFERROR(FIND(",", MAIN!E399)-1, LEN(MAIN!E399))), " ", ""), lookup_values!$D$2:$E$197, 2, FALSE)), "--", VLOOKUP(SUBSTITUTE(LEFT(MAIN!E399, IFERROR(FIND(",", MAIN!E399)-1, LEN(MAIN!E399))), " ", ""), lookup_values!$D$2:$E$197, 2, FALSE)))))</f>
        <v>--</v>
      </c>
      <c r="F399" t="str">
        <f>IF(ISBLANK(MAIN!F399), "", IF(AND(ISNUMBER(VALUE(TRIM(MAIN!F399))), LEN(TRIM(MAIN!F399))=4), VALUE(TRIM(MAIN!F399)), ""))</f>
        <v/>
      </c>
      <c r="G399">
        <f>IF(ISBLANK(MAIN!G399), 0, IF(ISNUMBER(VALUE(TRIM(MAIN!G399))), VALUE(TRIM(MAIN!G399)), 0))</f>
        <v>0</v>
      </c>
      <c r="H399">
        <f>IF(ISBLANK(MAIN!H399), 0, IF(ISNUMBER(VALUE(TRIM(MAIN!H399))), VALUE(TRIM(MAIN!H399)), 0))</f>
        <v>0</v>
      </c>
      <c r="I399">
        <f>IF(ISBLANK(MAIN!I399), 0, IF(ISNUMBER(VALUE(TRIM(MAIN!I399))), VALUE(TRIM(MAIN!I399)), 0))</f>
        <v>0</v>
      </c>
      <c r="J399">
        <f>IF(ISBLANK(MAIN!J399), 0, IF(ISNUMBER(VALUE(TRIM(MAIN!J399))), VALUE(TRIM(MAIN!J399)), 0))</f>
        <v>0</v>
      </c>
      <c r="K399" cm="1">
        <f t="array" ref="K399">IFERROR(
    VALUE(
        IFERROR(
            UPPER(
                IF(MAX(IFERROR(SEARCH("WD",MAIN!G399:J399), 0))&gt;0, "WD",
                IF(MAX(IFERROR(SEARCH("NS",MAIN!G399:J399), 0))&gt;0, "NS",
                IF(MAX(IFERROR(SEARCH("NC",MAIN!G399:J399), 0))&gt;0, "NC",
                IF(MAX(IFERROR(SEARCH("DQ",MAIN!G399:J399), 0))&gt;0, "DQ",
                IF(ISNUMBER(SEARCH("WD",MAIN!K399)), "WD",
                IF(ISNUMBER(SEARCH("NS",MAIN!K399)), "NS",
                IF(ISNUMBER(SEARCH("NC",MAIN!K399)), "NC",
                IF(ISNUMBER(SEARCH("DQ",MAIN!K399)), "DQ",
                IF(ISNUMBER(SEARCH("A",MAIN!K399)), 0,
                IF(OR(MAIN!K399=0,MAIN!K399=""), 0, --TRIM(MAIN!K399)))))))))))),
            0
        )
    ),
    IFERROR(
        UPPER(
            IF(MAX(IFERROR(SEARCH("WD",MAIN!G399:J399), 0))&gt;0, "WD",
            IF(MAX(IFERROR(SEARCH("NS",MAIN!G399:J399), 0))&gt;0, "NS",
            IF(MAX(IFERROR(SEARCH("NC",MAIN!G399:J399), 0))&gt;0, "NC",
            IF(MAX(IFERROR(SEARCH("DQ",MAIN!G399:J399), 0))&gt;0, "DQ",
            IF(ISNUMBER(SEARCH("WD",MAIN!K399)), "WD",
            IF(ISNUMBER(SEARCH("NS",MAIN!K399)), "NS",
            IF(ISNUMBER(SEARCH("NC",MAIN!K399)), "NC",
            IF(ISNUMBER(SEARCH("DQ",MAIN!K399)), "DQ",
            IF(ISNUMBER(SEARCH("A",MAIN!K399)), 0,
            IF(OR(MAIN!K399=0,MAIN!K399=""), 0, --TRIM(MAIN!K399)))))))))))),
        0
    )
)</f>
        <v>0</v>
      </c>
    </row>
    <row r="400" spans="1:11" x14ac:dyDescent="0.25">
      <c r="A400" t="str">
        <f>IF(ISBLANK(MAIN!A400), "--", IFERROR(PROPER(SUBSTITUTE(SUBSTITUTE(SUBSTITUTE(SUBSTITUTE(SUBSTITUTE(SUBSTITUTE(SUBSTITUTE(SUBSTITUTE(SUBSTITUTE(SUBSTITUTE(LEFT(MAIN!A400, FIND(",",MAIN!A400) -1), "0", ""), "1", ""), "2", ""), "3", ""), "4", ""), "5", ""), "6", ""), "7", ""), "8", ""), "9", "")), PROPER(SUBSTITUTE(SUBSTITUTE(SUBSTITUTE(SUBSTITUTE(SUBSTITUTE(SUBSTITUTE(SUBSTITUTE(SUBSTITUTE(SUBSTITUTE(SUBSTITUTE(MAIN!A400, "0", ""), "1", ""), "2", ""), "3", ""), "4", ""), "5", ""), "6", ""), "7", ""), "8", ""), "9", ""))))</f>
        <v>--</v>
      </c>
      <c r="B400" t="str">
        <f>IF(ISBLANK(MAIN!B400), "--", IFERROR(PROPER(SUBSTITUTE(SUBSTITUTE(SUBSTITUTE(SUBSTITUTE(SUBSTITUTE(SUBSTITUTE(SUBSTITUTE(SUBSTITUTE(SUBSTITUTE(SUBSTITUTE(LEFT(MAIN!B400, FIND(",",MAIN!B400) -1), "0", ""), "1", ""), "2", ""), "3", ""), "4", ""), "5", ""), "6", ""), "7", ""), "8", ""), "9", "")), PROPER(SUBSTITUTE(SUBSTITUTE(SUBSTITUTE(SUBSTITUTE(SUBSTITUTE(SUBSTITUTE(SUBSTITUTE(SUBSTITUTE(SUBSTITUTE(SUBSTITUTE(MAIN!B400, "0", ""), "1", ""), "2", ""), "3", ""), "4", ""), "5", ""), "6", ""), "7", ""), "8", ""), "9", ""))))</f>
        <v>--</v>
      </c>
      <c r="C400" t="str">
        <f>IF(ISBLANK(MAIN!C400), "--", IFERROR(PROPER(SUBSTITUTE(SUBSTITUTE(SUBSTITUTE(SUBSTITUTE(SUBSTITUTE(SUBSTITUTE(SUBSTITUTE(SUBSTITUTE(SUBSTITUTE(SUBSTITUTE(LEFT(MAIN!C400, FIND(",",MAIN!C400) -1), "0", ""), "1", ""), "2", ""), "3", ""), "4", ""), "5", ""), "6", ""), "7", ""), "8", ""), "9", "")), PROPER(SUBSTITUTE(SUBSTITUTE(SUBSTITUTE(SUBSTITUTE(SUBSTITUTE(SUBSTITUTE(SUBSTITUTE(SUBSTITUTE(SUBSTITUTE(SUBSTITUTE(MAIN!C400, "0", ""), "1", ""), "2", ""), "3", ""), "4", ""), "5", ""), "6", ""), "7", ""), "8", ""), "9", ""))))</f>
        <v>--</v>
      </c>
      <c r="D400" t="str">
        <f>IF(ISBLANK(MAIN!D400), "--", IF(ISNUMBER(MATCH(SUBSTITUTE(LEFT(MAIN!D400, IFERROR(FIND(",", MAIN!D400)-1, LEN(MAIN!D400))), " ", ""), lookup_values!$B$2:$B$51, 0)), UPPER(SUBSTITUTE(LEFT(MAIN!D400, IFERROR(FIND(",", MAIN!D400)-1, LEN(MAIN!D400))), " ", "")), IF(ISNA(VLOOKUP(SUBSTITUTE(LEFT(MAIN!D400, IFERROR(FIND(",", MAIN!D400)-1, LEN(MAIN!D400))), " ", ""), lookup_values!$A$2:$B$51, 2, FALSE)), "--", VLOOKUP(SUBSTITUTE(LEFT(MAIN!D400, IFERROR(FIND(",", MAIN!D400)-1, LEN(MAIN!D400))), " ", ""), lookup_values!$A$2:$B$51, 2, FALSE))))</f>
        <v>--</v>
      </c>
      <c r="E400" t="str">
        <f>IF(CLEAN_DATA!D400&lt;&gt;"--","US",IF(ISBLANK(MAIN!E400), "--", IF(ISNUMBER(MATCH(SUBSTITUTE(LEFT(MAIN!E400, IFERROR(FIND(",", MAIN!E400)-1, LEN(MAIN!E400))), " ", ""), lookup_values!$E$2:$E$197, 0)), UPPER(SUBSTITUTE(LEFT(MAIN!E400, IFERROR(FIND(",", MAIN!E400)-1, LEN(MAIN!E400))), " ", "")), IF(ISNA(VLOOKUP(SUBSTITUTE(LEFT(MAIN!E400, IFERROR(FIND(",", MAIN!E400)-1, LEN(MAIN!E400))), " ", ""), lookup_values!$D$2:$E$197, 2, FALSE)), "--", VLOOKUP(SUBSTITUTE(LEFT(MAIN!E400, IFERROR(FIND(",", MAIN!E400)-1, LEN(MAIN!E400))), " ", ""), lookup_values!$D$2:$E$197, 2, FALSE)))))</f>
        <v>--</v>
      </c>
      <c r="F400" t="str">
        <f>IF(ISBLANK(MAIN!F400), "", IF(AND(ISNUMBER(VALUE(TRIM(MAIN!F400))), LEN(TRIM(MAIN!F400))=4), VALUE(TRIM(MAIN!F400)), ""))</f>
        <v/>
      </c>
      <c r="G400">
        <f>IF(ISBLANK(MAIN!G400), 0, IF(ISNUMBER(VALUE(TRIM(MAIN!G400))), VALUE(TRIM(MAIN!G400)), 0))</f>
        <v>0</v>
      </c>
      <c r="H400">
        <f>IF(ISBLANK(MAIN!H400), 0, IF(ISNUMBER(VALUE(TRIM(MAIN!H400))), VALUE(TRIM(MAIN!H400)), 0))</f>
        <v>0</v>
      </c>
      <c r="I400">
        <f>IF(ISBLANK(MAIN!I400), 0, IF(ISNUMBER(VALUE(TRIM(MAIN!I400))), VALUE(TRIM(MAIN!I400)), 0))</f>
        <v>0</v>
      </c>
      <c r="J400">
        <f>IF(ISBLANK(MAIN!J400), 0, IF(ISNUMBER(VALUE(TRIM(MAIN!J400))), VALUE(TRIM(MAIN!J400)), 0))</f>
        <v>0</v>
      </c>
      <c r="K400" cm="1">
        <f t="array" ref="K400">IFERROR(
    VALUE(
        IFERROR(
            UPPER(
                IF(MAX(IFERROR(SEARCH("WD",MAIN!G400:J400), 0))&gt;0, "WD",
                IF(MAX(IFERROR(SEARCH("NS",MAIN!G400:J400), 0))&gt;0, "NS",
                IF(MAX(IFERROR(SEARCH("NC",MAIN!G400:J400), 0))&gt;0, "NC",
                IF(MAX(IFERROR(SEARCH("DQ",MAIN!G400:J400), 0))&gt;0, "DQ",
                IF(ISNUMBER(SEARCH("WD",MAIN!K400)), "WD",
                IF(ISNUMBER(SEARCH("NS",MAIN!K400)), "NS",
                IF(ISNUMBER(SEARCH("NC",MAIN!K400)), "NC",
                IF(ISNUMBER(SEARCH("DQ",MAIN!K400)), "DQ",
                IF(ISNUMBER(SEARCH("A",MAIN!K400)), 0,
                IF(OR(MAIN!K400=0,MAIN!K400=""), 0, --TRIM(MAIN!K400)))))))))))),
            0
        )
    ),
    IFERROR(
        UPPER(
            IF(MAX(IFERROR(SEARCH("WD",MAIN!G400:J400), 0))&gt;0, "WD",
            IF(MAX(IFERROR(SEARCH("NS",MAIN!G400:J400), 0))&gt;0, "NS",
            IF(MAX(IFERROR(SEARCH("NC",MAIN!G400:J400), 0))&gt;0, "NC",
            IF(MAX(IFERROR(SEARCH("DQ",MAIN!G400:J400), 0))&gt;0, "DQ",
            IF(ISNUMBER(SEARCH("WD",MAIN!K400)), "WD",
            IF(ISNUMBER(SEARCH("NS",MAIN!K400)), "NS",
            IF(ISNUMBER(SEARCH("NC",MAIN!K400)), "NC",
            IF(ISNUMBER(SEARCH("DQ",MAIN!K400)), "DQ",
            IF(ISNUMBER(SEARCH("A",MAIN!K400)), 0,
            IF(OR(MAIN!K400=0,MAIN!K400=""), 0, --TRIM(MAIN!K400)))))))))))),
        0
    )
)</f>
        <v>0</v>
      </c>
    </row>
    <row r="401" spans="1:11" x14ac:dyDescent="0.25">
      <c r="A401" t="str">
        <f>IF(ISBLANK(MAIN!A401), "--", IFERROR(PROPER(SUBSTITUTE(SUBSTITUTE(SUBSTITUTE(SUBSTITUTE(SUBSTITUTE(SUBSTITUTE(SUBSTITUTE(SUBSTITUTE(SUBSTITUTE(SUBSTITUTE(LEFT(MAIN!A401, FIND(",",MAIN!A401) -1), "0", ""), "1", ""), "2", ""), "3", ""), "4", ""), "5", ""), "6", ""), "7", ""), "8", ""), "9", "")), PROPER(SUBSTITUTE(SUBSTITUTE(SUBSTITUTE(SUBSTITUTE(SUBSTITUTE(SUBSTITUTE(SUBSTITUTE(SUBSTITUTE(SUBSTITUTE(SUBSTITUTE(MAIN!A401, "0", ""), "1", ""), "2", ""), "3", ""), "4", ""), "5", ""), "6", ""), "7", ""), "8", ""), "9", ""))))</f>
        <v>--</v>
      </c>
      <c r="B401" t="str">
        <f>IF(ISBLANK(MAIN!B401), "--", IFERROR(PROPER(SUBSTITUTE(SUBSTITUTE(SUBSTITUTE(SUBSTITUTE(SUBSTITUTE(SUBSTITUTE(SUBSTITUTE(SUBSTITUTE(SUBSTITUTE(SUBSTITUTE(LEFT(MAIN!B401, FIND(",",MAIN!B401) -1), "0", ""), "1", ""), "2", ""), "3", ""), "4", ""), "5", ""), "6", ""), "7", ""), "8", ""), "9", "")), PROPER(SUBSTITUTE(SUBSTITUTE(SUBSTITUTE(SUBSTITUTE(SUBSTITUTE(SUBSTITUTE(SUBSTITUTE(SUBSTITUTE(SUBSTITUTE(SUBSTITUTE(MAIN!B401, "0", ""), "1", ""), "2", ""), "3", ""), "4", ""), "5", ""), "6", ""), "7", ""), "8", ""), "9", ""))))</f>
        <v>--</v>
      </c>
      <c r="C401" t="str">
        <f>IF(ISBLANK(MAIN!C401), "--", IFERROR(PROPER(SUBSTITUTE(SUBSTITUTE(SUBSTITUTE(SUBSTITUTE(SUBSTITUTE(SUBSTITUTE(SUBSTITUTE(SUBSTITUTE(SUBSTITUTE(SUBSTITUTE(LEFT(MAIN!C401, FIND(",",MAIN!C401) -1), "0", ""), "1", ""), "2", ""), "3", ""), "4", ""), "5", ""), "6", ""), "7", ""), "8", ""), "9", "")), PROPER(SUBSTITUTE(SUBSTITUTE(SUBSTITUTE(SUBSTITUTE(SUBSTITUTE(SUBSTITUTE(SUBSTITUTE(SUBSTITUTE(SUBSTITUTE(SUBSTITUTE(MAIN!C401, "0", ""), "1", ""), "2", ""), "3", ""), "4", ""), "5", ""), "6", ""), "7", ""), "8", ""), "9", ""))))</f>
        <v>--</v>
      </c>
      <c r="D401" t="str">
        <f>IF(ISBLANK(MAIN!D401), "--", IF(ISNUMBER(MATCH(SUBSTITUTE(LEFT(MAIN!D401, IFERROR(FIND(",", MAIN!D401)-1, LEN(MAIN!D401))), " ", ""), lookup_values!$B$2:$B$51, 0)), UPPER(SUBSTITUTE(LEFT(MAIN!D401, IFERROR(FIND(",", MAIN!D401)-1, LEN(MAIN!D401))), " ", "")), IF(ISNA(VLOOKUP(SUBSTITUTE(LEFT(MAIN!D401, IFERROR(FIND(",", MAIN!D401)-1, LEN(MAIN!D401))), " ", ""), lookup_values!$A$2:$B$51, 2, FALSE)), "--", VLOOKUP(SUBSTITUTE(LEFT(MAIN!D401, IFERROR(FIND(",", MAIN!D401)-1, LEN(MAIN!D401))), " ", ""), lookup_values!$A$2:$B$51, 2, FALSE))))</f>
        <v>--</v>
      </c>
      <c r="E401" t="str">
        <f>IF(CLEAN_DATA!D401&lt;&gt;"--","US",IF(ISBLANK(MAIN!E401), "--", IF(ISNUMBER(MATCH(SUBSTITUTE(LEFT(MAIN!E401, IFERROR(FIND(",", MAIN!E401)-1, LEN(MAIN!E401))), " ", ""), lookup_values!$E$2:$E$197, 0)), UPPER(SUBSTITUTE(LEFT(MAIN!E401, IFERROR(FIND(",", MAIN!E401)-1, LEN(MAIN!E401))), " ", "")), IF(ISNA(VLOOKUP(SUBSTITUTE(LEFT(MAIN!E401, IFERROR(FIND(",", MAIN!E401)-1, LEN(MAIN!E401))), " ", ""), lookup_values!$D$2:$E$197, 2, FALSE)), "--", VLOOKUP(SUBSTITUTE(LEFT(MAIN!E401, IFERROR(FIND(",", MAIN!E401)-1, LEN(MAIN!E401))), " ", ""), lookup_values!$D$2:$E$197, 2, FALSE)))))</f>
        <v>--</v>
      </c>
      <c r="F401" t="str">
        <f>IF(ISBLANK(MAIN!F401), "", IF(AND(ISNUMBER(VALUE(TRIM(MAIN!F401))), LEN(TRIM(MAIN!F401))=4), VALUE(TRIM(MAIN!F401)), ""))</f>
        <v/>
      </c>
      <c r="G401">
        <f>IF(ISBLANK(MAIN!G401), 0, IF(ISNUMBER(VALUE(TRIM(MAIN!G401))), VALUE(TRIM(MAIN!G401)), 0))</f>
        <v>0</v>
      </c>
      <c r="H401">
        <f>IF(ISBLANK(MAIN!H401), 0, IF(ISNUMBER(VALUE(TRIM(MAIN!H401))), VALUE(TRIM(MAIN!H401)), 0))</f>
        <v>0</v>
      </c>
      <c r="I401">
        <f>IF(ISBLANK(MAIN!I401), 0, IF(ISNUMBER(VALUE(TRIM(MAIN!I401))), VALUE(TRIM(MAIN!I401)), 0))</f>
        <v>0</v>
      </c>
      <c r="J401">
        <f>IF(ISBLANK(MAIN!J401), 0, IF(ISNUMBER(VALUE(TRIM(MAIN!J401))), VALUE(TRIM(MAIN!J401)), 0))</f>
        <v>0</v>
      </c>
      <c r="K401" cm="1">
        <f t="array" ref="K401">IFERROR(
    VALUE(
        IFERROR(
            UPPER(
                IF(MAX(IFERROR(SEARCH("WD",MAIN!G401:J401), 0))&gt;0, "WD",
                IF(MAX(IFERROR(SEARCH("NS",MAIN!G401:J401), 0))&gt;0, "NS",
                IF(MAX(IFERROR(SEARCH("NC",MAIN!G401:J401), 0))&gt;0, "NC",
                IF(MAX(IFERROR(SEARCH("DQ",MAIN!G401:J401), 0))&gt;0, "DQ",
                IF(ISNUMBER(SEARCH("WD",MAIN!K401)), "WD",
                IF(ISNUMBER(SEARCH("NS",MAIN!K401)), "NS",
                IF(ISNUMBER(SEARCH("NC",MAIN!K401)), "NC",
                IF(ISNUMBER(SEARCH("DQ",MAIN!K401)), "DQ",
                IF(ISNUMBER(SEARCH("A",MAIN!K401)), 0,
                IF(OR(MAIN!K401=0,MAIN!K401=""), 0, --TRIM(MAIN!K401)))))))))))),
            0
        )
    ),
    IFERROR(
        UPPER(
            IF(MAX(IFERROR(SEARCH("WD",MAIN!G401:J401), 0))&gt;0, "WD",
            IF(MAX(IFERROR(SEARCH("NS",MAIN!G401:J401), 0))&gt;0, "NS",
            IF(MAX(IFERROR(SEARCH("NC",MAIN!G401:J401), 0))&gt;0, "NC",
            IF(MAX(IFERROR(SEARCH("DQ",MAIN!G401:J401), 0))&gt;0, "DQ",
            IF(ISNUMBER(SEARCH("WD",MAIN!K401)), "WD",
            IF(ISNUMBER(SEARCH("NS",MAIN!K401)), "NS",
            IF(ISNUMBER(SEARCH("NC",MAIN!K401)), "NC",
            IF(ISNUMBER(SEARCH("DQ",MAIN!K401)), "DQ",
            IF(ISNUMBER(SEARCH("A",MAIN!K401)), 0,
            IF(OR(MAIN!K401=0,MAIN!K401=""), 0, --TRIM(MAIN!K401)))))))))))),
        0
    )
)</f>
        <v>0</v>
      </c>
    </row>
    <row r="402" spans="1:11" x14ac:dyDescent="0.25">
      <c r="A402" t="str">
        <f>IF(ISBLANK(MAIN!A402), "--", IFERROR(PROPER(SUBSTITUTE(SUBSTITUTE(SUBSTITUTE(SUBSTITUTE(SUBSTITUTE(SUBSTITUTE(SUBSTITUTE(SUBSTITUTE(SUBSTITUTE(SUBSTITUTE(LEFT(MAIN!A402, FIND(",",MAIN!A402) -1), "0", ""), "1", ""), "2", ""), "3", ""), "4", ""), "5", ""), "6", ""), "7", ""), "8", ""), "9", "")), PROPER(SUBSTITUTE(SUBSTITUTE(SUBSTITUTE(SUBSTITUTE(SUBSTITUTE(SUBSTITUTE(SUBSTITUTE(SUBSTITUTE(SUBSTITUTE(SUBSTITUTE(MAIN!A402, "0", ""), "1", ""), "2", ""), "3", ""), "4", ""), "5", ""), "6", ""), "7", ""), "8", ""), "9", ""))))</f>
        <v>--</v>
      </c>
      <c r="B402" t="str">
        <f>IF(ISBLANK(MAIN!B402), "--", IFERROR(PROPER(SUBSTITUTE(SUBSTITUTE(SUBSTITUTE(SUBSTITUTE(SUBSTITUTE(SUBSTITUTE(SUBSTITUTE(SUBSTITUTE(SUBSTITUTE(SUBSTITUTE(LEFT(MAIN!B402, FIND(",",MAIN!B402) -1), "0", ""), "1", ""), "2", ""), "3", ""), "4", ""), "5", ""), "6", ""), "7", ""), "8", ""), "9", "")), PROPER(SUBSTITUTE(SUBSTITUTE(SUBSTITUTE(SUBSTITUTE(SUBSTITUTE(SUBSTITUTE(SUBSTITUTE(SUBSTITUTE(SUBSTITUTE(SUBSTITUTE(MAIN!B402, "0", ""), "1", ""), "2", ""), "3", ""), "4", ""), "5", ""), "6", ""), "7", ""), "8", ""), "9", ""))))</f>
        <v>--</v>
      </c>
      <c r="C402" t="str">
        <f>IF(ISBLANK(MAIN!C402), "--", IFERROR(PROPER(SUBSTITUTE(SUBSTITUTE(SUBSTITUTE(SUBSTITUTE(SUBSTITUTE(SUBSTITUTE(SUBSTITUTE(SUBSTITUTE(SUBSTITUTE(SUBSTITUTE(LEFT(MAIN!C402, FIND(",",MAIN!C402) -1), "0", ""), "1", ""), "2", ""), "3", ""), "4", ""), "5", ""), "6", ""), "7", ""), "8", ""), "9", "")), PROPER(SUBSTITUTE(SUBSTITUTE(SUBSTITUTE(SUBSTITUTE(SUBSTITUTE(SUBSTITUTE(SUBSTITUTE(SUBSTITUTE(SUBSTITUTE(SUBSTITUTE(MAIN!C402, "0", ""), "1", ""), "2", ""), "3", ""), "4", ""), "5", ""), "6", ""), "7", ""), "8", ""), "9", ""))))</f>
        <v>--</v>
      </c>
      <c r="D402" t="str">
        <f>IF(ISBLANK(MAIN!D402), "--", IF(ISNUMBER(MATCH(SUBSTITUTE(LEFT(MAIN!D402, IFERROR(FIND(",", MAIN!D402)-1, LEN(MAIN!D402))), " ", ""), lookup_values!$B$2:$B$51, 0)), UPPER(SUBSTITUTE(LEFT(MAIN!D402, IFERROR(FIND(",", MAIN!D402)-1, LEN(MAIN!D402))), " ", "")), IF(ISNA(VLOOKUP(SUBSTITUTE(LEFT(MAIN!D402, IFERROR(FIND(",", MAIN!D402)-1, LEN(MAIN!D402))), " ", ""), lookup_values!$A$2:$B$51, 2, FALSE)), "--", VLOOKUP(SUBSTITUTE(LEFT(MAIN!D402, IFERROR(FIND(",", MAIN!D402)-1, LEN(MAIN!D402))), " ", ""), lookup_values!$A$2:$B$51, 2, FALSE))))</f>
        <v>--</v>
      </c>
      <c r="E402" t="str">
        <f>IF(CLEAN_DATA!D402&lt;&gt;"--","US",IF(ISBLANK(MAIN!E402), "--", IF(ISNUMBER(MATCH(SUBSTITUTE(LEFT(MAIN!E402, IFERROR(FIND(",", MAIN!E402)-1, LEN(MAIN!E402))), " ", ""), lookup_values!$E$2:$E$197, 0)), UPPER(SUBSTITUTE(LEFT(MAIN!E402, IFERROR(FIND(",", MAIN!E402)-1, LEN(MAIN!E402))), " ", "")), IF(ISNA(VLOOKUP(SUBSTITUTE(LEFT(MAIN!E402, IFERROR(FIND(",", MAIN!E402)-1, LEN(MAIN!E402))), " ", ""), lookup_values!$D$2:$E$197, 2, FALSE)), "--", VLOOKUP(SUBSTITUTE(LEFT(MAIN!E402, IFERROR(FIND(",", MAIN!E402)-1, LEN(MAIN!E402))), " ", ""), lookup_values!$D$2:$E$197, 2, FALSE)))))</f>
        <v>--</v>
      </c>
      <c r="F402" t="str">
        <f>IF(ISBLANK(MAIN!F402), "", IF(AND(ISNUMBER(VALUE(TRIM(MAIN!F402))), LEN(TRIM(MAIN!F402))=4), VALUE(TRIM(MAIN!F402)), ""))</f>
        <v/>
      </c>
      <c r="G402">
        <f>IF(ISBLANK(MAIN!G402), 0, IF(ISNUMBER(VALUE(TRIM(MAIN!G402))), VALUE(TRIM(MAIN!G402)), 0))</f>
        <v>0</v>
      </c>
      <c r="H402">
        <f>IF(ISBLANK(MAIN!H402), 0, IF(ISNUMBER(VALUE(TRIM(MAIN!H402))), VALUE(TRIM(MAIN!H402)), 0))</f>
        <v>0</v>
      </c>
      <c r="I402">
        <f>IF(ISBLANK(MAIN!I402), 0, IF(ISNUMBER(VALUE(TRIM(MAIN!I402))), VALUE(TRIM(MAIN!I402)), 0))</f>
        <v>0</v>
      </c>
      <c r="J402">
        <f>IF(ISBLANK(MAIN!J402), 0, IF(ISNUMBER(VALUE(TRIM(MAIN!J402))), VALUE(TRIM(MAIN!J402)), 0))</f>
        <v>0</v>
      </c>
      <c r="K402" cm="1">
        <f t="array" ref="K402">IFERROR(
    VALUE(
        IFERROR(
            UPPER(
                IF(MAX(IFERROR(SEARCH("WD",MAIN!G402:J402), 0))&gt;0, "WD",
                IF(MAX(IFERROR(SEARCH("NS",MAIN!G402:J402), 0))&gt;0, "NS",
                IF(MAX(IFERROR(SEARCH("NC",MAIN!G402:J402), 0))&gt;0, "NC",
                IF(MAX(IFERROR(SEARCH("DQ",MAIN!G402:J402), 0))&gt;0, "DQ",
                IF(ISNUMBER(SEARCH("WD",MAIN!K402)), "WD",
                IF(ISNUMBER(SEARCH("NS",MAIN!K402)), "NS",
                IF(ISNUMBER(SEARCH("NC",MAIN!K402)), "NC",
                IF(ISNUMBER(SEARCH("DQ",MAIN!K402)), "DQ",
                IF(ISNUMBER(SEARCH("A",MAIN!K402)), 0,
                IF(OR(MAIN!K402=0,MAIN!K402=""), 0, --TRIM(MAIN!K402)))))))))))),
            0
        )
    ),
    IFERROR(
        UPPER(
            IF(MAX(IFERROR(SEARCH("WD",MAIN!G402:J402), 0))&gt;0, "WD",
            IF(MAX(IFERROR(SEARCH("NS",MAIN!G402:J402), 0))&gt;0, "NS",
            IF(MAX(IFERROR(SEARCH("NC",MAIN!G402:J402), 0))&gt;0, "NC",
            IF(MAX(IFERROR(SEARCH("DQ",MAIN!G402:J402), 0))&gt;0, "DQ",
            IF(ISNUMBER(SEARCH("WD",MAIN!K402)), "WD",
            IF(ISNUMBER(SEARCH("NS",MAIN!K402)), "NS",
            IF(ISNUMBER(SEARCH("NC",MAIN!K402)), "NC",
            IF(ISNUMBER(SEARCH("DQ",MAIN!K402)), "DQ",
            IF(ISNUMBER(SEARCH("A",MAIN!K402)), 0,
            IF(OR(MAIN!K402=0,MAIN!K402=""), 0, --TRIM(MAIN!K402)))))))))))),
        0
    )
)</f>
        <v>0</v>
      </c>
    </row>
    <row r="403" spans="1:11" x14ac:dyDescent="0.25">
      <c r="A403" t="str">
        <f>IF(ISBLANK(MAIN!A403), "--", IFERROR(PROPER(SUBSTITUTE(SUBSTITUTE(SUBSTITUTE(SUBSTITUTE(SUBSTITUTE(SUBSTITUTE(SUBSTITUTE(SUBSTITUTE(SUBSTITUTE(SUBSTITUTE(LEFT(MAIN!A403, FIND(",",MAIN!A403) -1), "0", ""), "1", ""), "2", ""), "3", ""), "4", ""), "5", ""), "6", ""), "7", ""), "8", ""), "9", "")), PROPER(SUBSTITUTE(SUBSTITUTE(SUBSTITUTE(SUBSTITUTE(SUBSTITUTE(SUBSTITUTE(SUBSTITUTE(SUBSTITUTE(SUBSTITUTE(SUBSTITUTE(MAIN!A403, "0", ""), "1", ""), "2", ""), "3", ""), "4", ""), "5", ""), "6", ""), "7", ""), "8", ""), "9", ""))))</f>
        <v>--</v>
      </c>
      <c r="B403" t="str">
        <f>IF(ISBLANK(MAIN!B403), "--", IFERROR(PROPER(SUBSTITUTE(SUBSTITUTE(SUBSTITUTE(SUBSTITUTE(SUBSTITUTE(SUBSTITUTE(SUBSTITUTE(SUBSTITUTE(SUBSTITUTE(SUBSTITUTE(LEFT(MAIN!B403, FIND(",",MAIN!B403) -1), "0", ""), "1", ""), "2", ""), "3", ""), "4", ""), "5", ""), "6", ""), "7", ""), "8", ""), "9", "")), PROPER(SUBSTITUTE(SUBSTITUTE(SUBSTITUTE(SUBSTITUTE(SUBSTITUTE(SUBSTITUTE(SUBSTITUTE(SUBSTITUTE(SUBSTITUTE(SUBSTITUTE(MAIN!B403, "0", ""), "1", ""), "2", ""), "3", ""), "4", ""), "5", ""), "6", ""), "7", ""), "8", ""), "9", ""))))</f>
        <v>--</v>
      </c>
      <c r="C403" t="str">
        <f>IF(ISBLANK(MAIN!C403), "--", IFERROR(PROPER(SUBSTITUTE(SUBSTITUTE(SUBSTITUTE(SUBSTITUTE(SUBSTITUTE(SUBSTITUTE(SUBSTITUTE(SUBSTITUTE(SUBSTITUTE(SUBSTITUTE(LEFT(MAIN!C403, FIND(",",MAIN!C403) -1), "0", ""), "1", ""), "2", ""), "3", ""), "4", ""), "5", ""), "6", ""), "7", ""), "8", ""), "9", "")), PROPER(SUBSTITUTE(SUBSTITUTE(SUBSTITUTE(SUBSTITUTE(SUBSTITUTE(SUBSTITUTE(SUBSTITUTE(SUBSTITUTE(SUBSTITUTE(SUBSTITUTE(MAIN!C403, "0", ""), "1", ""), "2", ""), "3", ""), "4", ""), "5", ""), "6", ""), "7", ""), "8", ""), "9", ""))))</f>
        <v>--</v>
      </c>
      <c r="D403" t="str">
        <f>IF(ISBLANK(MAIN!D403), "--", IF(ISNUMBER(MATCH(SUBSTITUTE(LEFT(MAIN!D403, IFERROR(FIND(",", MAIN!D403)-1, LEN(MAIN!D403))), " ", ""), lookup_values!$B$2:$B$51, 0)), UPPER(SUBSTITUTE(LEFT(MAIN!D403, IFERROR(FIND(",", MAIN!D403)-1, LEN(MAIN!D403))), " ", "")), IF(ISNA(VLOOKUP(SUBSTITUTE(LEFT(MAIN!D403, IFERROR(FIND(",", MAIN!D403)-1, LEN(MAIN!D403))), " ", ""), lookup_values!$A$2:$B$51, 2, FALSE)), "--", VLOOKUP(SUBSTITUTE(LEFT(MAIN!D403, IFERROR(FIND(",", MAIN!D403)-1, LEN(MAIN!D403))), " ", ""), lookup_values!$A$2:$B$51, 2, FALSE))))</f>
        <v>--</v>
      </c>
      <c r="E403" t="str">
        <f>IF(CLEAN_DATA!D403&lt;&gt;"--","US",IF(ISBLANK(MAIN!E403), "--", IF(ISNUMBER(MATCH(SUBSTITUTE(LEFT(MAIN!E403, IFERROR(FIND(",", MAIN!E403)-1, LEN(MAIN!E403))), " ", ""), lookup_values!$E$2:$E$197, 0)), UPPER(SUBSTITUTE(LEFT(MAIN!E403, IFERROR(FIND(",", MAIN!E403)-1, LEN(MAIN!E403))), " ", "")), IF(ISNA(VLOOKUP(SUBSTITUTE(LEFT(MAIN!E403, IFERROR(FIND(",", MAIN!E403)-1, LEN(MAIN!E403))), " ", ""), lookup_values!$D$2:$E$197, 2, FALSE)), "--", VLOOKUP(SUBSTITUTE(LEFT(MAIN!E403, IFERROR(FIND(",", MAIN!E403)-1, LEN(MAIN!E403))), " ", ""), lookup_values!$D$2:$E$197, 2, FALSE)))))</f>
        <v>--</v>
      </c>
      <c r="F403" t="str">
        <f>IF(ISBLANK(MAIN!F403), "", IF(AND(ISNUMBER(VALUE(TRIM(MAIN!F403))), LEN(TRIM(MAIN!F403))=4), VALUE(TRIM(MAIN!F403)), ""))</f>
        <v/>
      </c>
      <c r="G403">
        <f>IF(ISBLANK(MAIN!G403), 0, IF(ISNUMBER(VALUE(TRIM(MAIN!G403))), VALUE(TRIM(MAIN!G403)), 0))</f>
        <v>0</v>
      </c>
      <c r="H403">
        <f>IF(ISBLANK(MAIN!H403), 0, IF(ISNUMBER(VALUE(TRIM(MAIN!H403))), VALUE(TRIM(MAIN!H403)), 0))</f>
        <v>0</v>
      </c>
      <c r="I403">
        <f>IF(ISBLANK(MAIN!I403), 0, IF(ISNUMBER(VALUE(TRIM(MAIN!I403))), VALUE(TRIM(MAIN!I403)), 0))</f>
        <v>0</v>
      </c>
      <c r="J403">
        <f>IF(ISBLANK(MAIN!J403), 0, IF(ISNUMBER(VALUE(TRIM(MAIN!J403))), VALUE(TRIM(MAIN!J403)), 0))</f>
        <v>0</v>
      </c>
      <c r="K403" cm="1">
        <f t="array" ref="K403">IFERROR(
    VALUE(
        IFERROR(
            UPPER(
                IF(MAX(IFERROR(SEARCH("WD",MAIN!G403:J403), 0))&gt;0, "WD",
                IF(MAX(IFERROR(SEARCH("NS",MAIN!G403:J403), 0))&gt;0, "NS",
                IF(MAX(IFERROR(SEARCH("NC",MAIN!G403:J403), 0))&gt;0, "NC",
                IF(MAX(IFERROR(SEARCH("DQ",MAIN!G403:J403), 0))&gt;0, "DQ",
                IF(ISNUMBER(SEARCH("WD",MAIN!K403)), "WD",
                IF(ISNUMBER(SEARCH("NS",MAIN!K403)), "NS",
                IF(ISNUMBER(SEARCH("NC",MAIN!K403)), "NC",
                IF(ISNUMBER(SEARCH("DQ",MAIN!K403)), "DQ",
                IF(ISNUMBER(SEARCH("A",MAIN!K403)), 0,
                IF(OR(MAIN!K403=0,MAIN!K403=""), 0, --TRIM(MAIN!K403)))))))))))),
            0
        )
    ),
    IFERROR(
        UPPER(
            IF(MAX(IFERROR(SEARCH("WD",MAIN!G403:J403), 0))&gt;0, "WD",
            IF(MAX(IFERROR(SEARCH("NS",MAIN!G403:J403), 0))&gt;0, "NS",
            IF(MAX(IFERROR(SEARCH("NC",MAIN!G403:J403), 0))&gt;0, "NC",
            IF(MAX(IFERROR(SEARCH("DQ",MAIN!G403:J403), 0))&gt;0, "DQ",
            IF(ISNUMBER(SEARCH("WD",MAIN!K403)), "WD",
            IF(ISNUMBER(SEARCH("NS",MAIN!K403)), "NS",
            IF(ISNUMBER(SEARCH("NC",MAIN!K403)), "NC",
            IF(ISNUMBER(SEARCH("DQ",MAIN!K403)), "DQ",
            IF(ISNUMBER(SEARCH("A",MAIN!K403)), 0,
            IF(OR(MAIN!K403=0,MAIN!K403=""), 0, --TRIM(MAIN!K403)))))))))))),
        0
    )
)</f>
        <v>0</v>
      </c>
    </row>
    <row r="404" spans="1:11" x14ac:dyDescent="0.25">
      <c r="A404" t="str">
        <f>IF(ISBLANK(MAIN!A404), "--", IFERROR(PROPER(SUBSTITUTE(SUBSTITUTE(SUBSTITUTE(SUBSTITUTE(SUBSTITUTE(SUBSTITUTE(SUBSTITUTE(SUBSTITUTE(SUBSTITUTE(SUBSTITUTE(LEFT(MAIN!A404, FIND(",",MAIN!A404) -1), "0", ""), "1", ""), "2", ""), "3", ""), "4", ""), "5", ""), "6", ""), "7", ""), "8", ""), "9", "")), PROPER(SUBSTITUTE(SUBSTITUTE(SUBSTITUTE(SUBSTITUTE(SUBSTITUTE(SUBSTITUTE(SUBSTITUTE(SUBSTITUTE(SUBSTITUTE(SUBSTITUTE(MAIN!A404, "0", ""), "1", ""), "2", ""), "3", ""), "4", ""), "5", ""), "6", ""), "7", ""), "8", ""), "9", ""))))</f>
        <v>--</v>
      </c>
      <c r="B404" t="str">
        <f>IF(ISBLANK(MAIN!B404), "--", IFERROR(PROPER(SUBSTITUTE(SUBSTITUTE(SUBSTITUTE(SUBSTITUTE(SUBSTITUTE(SUBSTITUTE(SUBSTITUTE(SUBSTITUTE(SUBSTITUTE(SUBSTITUTE(LEFT(MAIN!B404, FIND(",",MAIN!B404) -1), "0", ""), "1", ""), "2", ""), "3", ""), "4", ""), "5", ""), "6", ""), "7", ""), "8", ""), "9", "")), PROPER(SUBSTITUTE(SUBSTITUTE(SUBSTITUTE(SUBSTITUTE(SUBSTITUTE(SUBSTITUTE(SUBSTITUTE(SUBSTITUTE(SUBSTITUTE(SUBSTITUTE(MAIN!B404, "0", ""), "1", ""), "2", ""), "3", ""), "4", ""), "5", ""), "6", ""), "7", ""), "8", ""), "9", ""))))</f>
        <v>--</v>
      </c>
      <c r="C404" t="str">
        <f>IF(ISBLANK(MAIN!C404), "--", IFERROR(PROPER(SUBSTITUTE(SUBSTITUTE(SUBSTITUTE(SUBSTITUTE(SUBSTITUTE(SUBSTITUTE(SUBSTITUTE(SUBSTITUTE(SUBSTITUTE(SUBSTITUTE(LEFT(MAIN!C404, FIND(",",MAIN!C404) -1), "0", ""), "1", ""), "2", ""), "3", ""), "4", ""), "5", ""), "6", ""), "7", ""), "8", ""), "9", "")), PROPER(SUBSTITUTE(SUBSTITUTE(SUBSTITUTE(SUBSTITUTE(SUBSTITUTE(SUBSTITUTE(SUBSTITUTE(SUBSTITUTE(SUBSTITUTE(SUBSTITUTE(MAIN!C404, "0", ""), "1", ""), "2", ""), "3", ""), "4", ""), "5", ""), "6", ""), "7", ""), "8", ""), "9", ""))))</f>
        <v>--</v>
      </c>
      <c r="D404" t="str">
        <f>IF(ISBLANK(MAIN!D404), "--", IF(ISNUMBER(MATCH(SUBSTITUTE(LEFT(MAIN!D404, IFERROR(FIND(",", MAIN!D404)-1, LEN(MAIN!D404))), " ", ""), lookup_values!$B$2:$B$51, 0)), UPPER(SUBSTITUTE(LEFT(MAIN!D404, IFERROR(FIND(",", MAIN!D404)-1, LEN(MAIN!D404))), " ", "")), IF(ISNA(VLOOKUP(SUBSTITUTE(LEFT(MAIN!D404, IFERROR(FIND(",", MAIN!D404)-1, LEN(MAIN!D404))), " ", ""), lookup_values!$A$2:$B$51, 2, FALSE)), "--", VLOOKUP(SUBSTITUTE(LEFT(MAIN!D404, IFERROR(FIND(",", MAIN!D404)-1, LEN(MAIN!D404))), " ", ""), lookup_values!$A$2:$B$51, 2, FALSE))))</f>
        <v>--</v>
      </c>
      <c r="E404" t="str">
        <f>IF(CLEAN_DATA!D404&lt;&gt;"--","US",IF(ISBLANK(MAIN!E404), "--", IF(ISNUMBER(MATCH(SUBSTITUTE(LEFT(MAIN!E404, IFERROR(FIND(",", MAIN!E404)-1, LEN(MAIN!E404))), " ", ""), lookup_values!$E$2:$E$197, 0)), UPPER(SUBSTITUTE(LEFT(MAIN!E404, IFERROR(FIND(",", MAIN!E404)-1, LEN(MAIN!E404))), " ", "")), IF(ISNA(VLOOKUP(SUBSTITUTE(LEFT(MAIN!E404, IFERROR(FIND(",", MAIN!E404)-1, LEN(MAIN!E404))), " ", ""), lookup_values!$D$2:$E$197, 2, FALSE)), "--", VLOOKUP(SUBSTITUTE(LEFT(MAIN!E404, IFERROR(FIND(",", MAIN!E404)-1, LEN(MAIN!E404))), " ", ""), lookup_values!$D$2:$E$197, 2, FALSE)))))</f>
        <v>--</v>
      </c>
      <c r="F404" t="str">
        <f>IF(ISBLANK(MAIN!F404), "", IF(AND(ISNUMBER(VALUE(TRIM(MAIN!F404))), LEN(TRIM(MAIN!F404))=4), VALUE(TRIM(MAIN!F404)), ""))</f>
        <v/>
      </c>
      <c r="G404">
        <f>IF(ISBLANK(MAIN!G404), 0, IF(ISNUMBER(VALUE(TRIM(MAIN!G404))), VALUE(TRIM(MAIN!G404)), 0))</f>
        <v>0</v>
      </c>
      <c r="H404">
        <f>IF(ISBLANK(MAIN!H404), 0, IF(ISNUMBER(VALUE(TRIM(MAIN!H404))), VALUE(TRIM(MAIN!H404)), 0))</f>
        <v>0</v>
      </c>
      <c r="I404">
        <f>IF(ISBLANK(MAIN!I404), 0, IF(ISNUMBER(VALUE(TRIM(MAIN!I404))), VALUE(TRIM(MAIN!I404)), 0))</f>
        <v>0</v>
      </c>
      <c r="J404">
        <f>IF(ISBLANK(MAIN!J404), 0, IF(ISNUMBER(VALUE(TRIM(MAIN!J404))), VALUE(TRIM(MAIN!J404)), 0))</f>
        <v>0</v>
      </c>
      <c r="K404" cm="1">
        <f t="array" ref="K404">IFERROR(
    VALUE(
        IFERROR(
            UPPER(
                IF(MAX(IFERROR(SEARCH("WD",MAIN!G404:J404), 0))&gt;0, "WD",
                IF(MAX(IFERROR(SEARCH("NS",MAIN!G404:J404), 0))&gt;0, "NS",
                IF(MAX(IFERROR(SEARCH("NC",MAIN!G404:J404), 0))&gt;0, "NC",
                IF(MAX(IFERROR(SEARCH("DQ",MAIN!G404:J404), 0))&gt;0, "DQ",
                IF(ISNUMBER(SEARCH("WD",MAIN!K404)), "WD",
                IF(ISNUMBER(SEARCH("NS",MAIN!K404)), "NS",
                IF(ISNUMBER(SEARCH("NC",MAIN!K404)), "NC",
                IF(ISNUMBER(SEARCH("DQ",MAIN!K404)), "DQ",
                IF(ISNUMBER(SEARCH("A",MAIN!K404)), 0,
                IF(OR(MAIN!K404=0,MAIN!K404=""), 0, --TRIM(MAIN!K404)))))))))))),
            0
        )
    ),
    IFERROR(
        UPPER(
            IF(MAX(IFERROR(SEARCH("WD",MAIN!G404:J404), 0))&gt;0, "WD",
            IF(MAX(IFERROR(SEARCH("NS",MAIN!G404:J404), 0))&gt;0, "NS",
            IF(MAX(IFERROR(SEARCH("NC",MAIN!G404:J404), 0))&gt;0, "NC",
            IF(MAX(IFERROR(SEARCH("DQ",MAIN!G404:J404), 0))&gt;0, "DQ",
            IF(ISNUMBER(SEARCH("WD",MAIN!K404)), "WD",
            IF(ISNUMBER(SEARCH("NS",MAIN!K404)), "NS",
            IF(ISNUMBER(SEARCH("NC",MAIN!K404)), "NC",
            IF(ISNUMBER(SEARCH("DQ",MAIN!K404)), "DQ",
            IF(ISNUMBER(SEARCH("A",MAIN!K404)), 0,
            IF(OR(MAIN!K404=0,MAIN!K404=""), 0, --TRIM(MAIN!K404)))))))))))),
        0
    )
)</f>
        <v>0</v>
      </c>
    </row>
    <row r="405" spans="1:11" x14ac:dyDescent="0.25">
      <c r="A405" t="str">
        <f>IF(ISBLANK(MAIN!A405), "--", IFERROR(PROPER(SUBSTITUTE(SUBSTITUTE(SUBSTITUTE(SUBSTITUTE(SUBSTITUTE(SUBSTITUTE(SUBSTITUTE(SUBSTITUTE(SUBSTITUTE(SUBSTITUTE(LEFT(MAIN!A405, FIND(",",MAIN!A405) -1), "0", ""), "1", ""), "2", ""), "3", ""), "4", ""), "5", ""), "6", ""), "7", ""), "8", ""), "9", "")), PROPER(SUBSTITUTE(SUBSTITUTE(SUBSTITUTE(SUBSTITUTE(SUBSTITUTE(SUBSTITUTE(SUBSTITUTE(SUBSTITUTE(SUBSTITUTE(SUBSTITUTE(MAIN!A405, "0", ""), "1", ""), "2", ""), "3", ""), "4", ""), "5", ""), "6", ""), "7", ""), "8", ""), "9", ""))))</f>
        <v>--</v>
      </c>
      <c r="B405" t="str">
        <f>IF(ISBLANK(MAIN!B405), "--", IFERROR(PROPER(SUBSTITUTE(SUBSTITUTE(SUBSTITUTE(SUBSTITUTE(SUBSTITUTE(SUBSTITUTE(SUBSTITUTE(SUBSTITUTE(SUBSTITUTE(SUBSTITUTE(LEFT(MAIN!B405, FIND(",",MAIN!B405) -1), "0", ""), "1", ""), "2", ""), "3", ""), "4", ""), "5", ""), "6", ""), "7", ""), "8", ""), "9", "")), PROPER(SUBSTITUTE(SUBSTITUTE(SUBSTITUTE(SUBSTITUTE(SUBSTITUTE(SUBSTITUTE(SUBSTITUTE(SUBSTITUTE(SUBSTITUTE(SUBSTITUTE(MAIN!B405, "0", ""), "1", ""), "2", ""), "3", ""), "4", ""), "5", ""), "6", ""), "7", ""), "8", ""), "9", ""))))</f>
        <v>--</v>
      </c>
      <c r="C405" t="str">
        <f>IF(ISBLANK(MAIN!C405), "--", IFERROR(PROPER(SUBSTITUTE(SUBSTITUTE(SUBSTITUTE(SUBSTITUTE(SUBSTITUTE(SUBSTITUTE(SUBSTITUTE(SUBSTITUTE(SUBSTITUTE(SUBSTITUTE(LEFT(MAIN!C405, FIND(",",MAIN!C405) -1), "0", ""), "1", ""), "2", ""), "3", ""), "4", ""), "5", ""), "6", ""), "7", ""), "8", ""), "9", "")), PROPER(SUBSTITUTE(SUBSTITUTE(SUBSTITUTE(SUBSTITUTE(SUBSTITUTE(SUBSTITUTE(SUBSTITUTE(SUBSTITUTE(SUBSTITUTE(SUBSTITUTE(MAIN!C405, "0", ""), "1", ""), "2", ""), "3", ""), "4", ""), "5", ""), "6", ""), "7", ""), "8", ""), "9", ""))))</f>
        <v>--</v>
      </c>
      <c r="D405" t="str">
        <f>IF(ISBLANK(MAIN!D405), "--", IF(ISNUMBER(MATCH(SUBSTITUTE(LEFT(MAIN!D405, IFERROR(FIND(",", MAIN!D405)-1, LEN(MAIN!D405))), " ", ""), lookup_values!$B$2:$B$51, 0)), UPPER(SUBSTITUTE(LEFT(MAIN!D405, IFERROR(FIND(",", MAIN!D405)-1, LEN(MAIN!D405))), " ", "")), IF(ISNA(VLOOKUP(SUBSTITUTE(LEFT(MAIN!D405, IFERROR(FIND(",", MAIN!D405)-1, LEN(MAIN!D405))), " ", ""), lookup_values!$A$2:$B$51, 2, FALSE)), "--", VLOOKUP(SUBSTITUTE(LEFT(MAIN!D405, IFERROR(FIND(",", MAIN!D405)-1, LEN(MAIN!D405))), " ", ""), lookup_values!$A$2:$B$51, 2, FALSE))))</f>
        <v>--</v>
      </c>
      <c r="E405" t="str">
        <f>IF(CLEAN_DATA!D405&lt;&gt;"--","US",IF(ISBLANK(MAIN!E405), "--", IF(ISNUMBER(MATCH(SUBSTITUTE(LEFT(MAIN!E405, IFERROR(FIND(",", MAIN!E405)-1, LEN(MAIN!E405))), " ", ""), lookup_values!$E$2:$E$197, 0)), UPPER(SUBSTITUTE(LEFT(MAIN!E405, IFERROR(FIND(",", MAIN!E405)-1, LEN(MAIN!E405))), " ", "")), IF(ISNA(VLOOKUP(SUBSTITUTE(LEFT(MAIN!E405, IFERROR(FIND(",", MAIN!E405)-1, LEN(MAIN!E405))), " ", ""), lookup_values!$D$2:$E$197, 2, FALSE)), "--", VLOOKUP(SUBSTITUTE(LEFT(MAIN!E405, IFERROR(FIND(",", MAIN!E405)-1, LEN(MAIN!E405))), " ", ""), lookup_values!$D$2:$E$197, 2, FALSE)))))</f>
        <v>--</v>
      </c>
      <c r="F405" t="str">
        <f>IF(ISBLANK(MAIN!F405), "", IF(AND(ISNUMBER(VALUE(TRIM(MAIN!F405))), LEN(TRIM(MAIN!F405))=4), VALUE(TRIM(MAIN!F405)), ""))</f>
        <v/>
      </c>
      <c r="G405">
        <f>IF(ISBLANK(MAIN!G405), 0, IF(ISNUMBER(VALUE(TRIM(MAIN!G405))), VALUE(TRIM(MAIN!G405)), 0))</f>
        <v>0</v>
      </c>
      <c r="H405">
        <f>IF(ISBLANK(MAIN!H405), 0, IF(ISNUMBER(VALUE(TRIM(MAIN!H405))), VALUE(TRIM(MAIN!H405)), 0))</f>
        <v>0</v>
      </c>
      <c r="I405">
        <f>IF(ISBLANK(MAIN!I405), 0, IF(ISNUMBER(VALUE(TRIM(MAIN!I405))), VALUE(TRIM(MAIN!I405)), 0))</f>
        <v>0</v>
      </c>
      <c r="J405">
        <f>IF(ISBLANK(MAIN!J405), 0, IF(ISNUMBER(VALUE(TRIM(MAIN!J405))), VALUE(TRIM(MAIN!J405)), 0))</f>
        <v>0</v>
      </c>
      <c r="K405" cm="1">
        <f t="array" ref="K405">IFERROR(
    VALUE(
        IFERROR(
            UPPER(
                IF(MAX(IFERROR(SEARCH("WD",MAIN!G405:J405), 0))&gt;0, "WD",
                IF(MAX(IFERROR(SEARCH("NS",MAIN!G405:J405), 0))&gt;0, "NS",
                IF(MAX(IFERROR(SEARCH("NC",MAIN!G405:J405), 0))&gt;0, "NC",
                IF(MAX(IFERROR(SEARCH("DQ",MAIN!G405:J405), 0))&gt;0, "DQ",
                IF(ISNUMBER(SEARCH("WD",MAIN!K405)), "WD",
                IF(ISNUMBER(SEARCH("NS",MAIN!K405)), "NS",
                IF(ISNUMBER(SEARCH("NC",MAIN!K405)), "NC",
                IF(ISNUMBER(SEARCH("DQ",MAIN!K405)), "DQ",
                IF(ISNUMBER(SEARCH("A",MAIN!K405)), 0,
                IF(OR(MAIN!K405=0,MAIN!K405=""), 0, --TRIM(MAIN!K405)))))))))))),
            0
        )
    ),
    IFERROR(
        UPPER(
            IF(MAX(IFERROR(SEARCH("WD",MAIN!G405:J405), 0))&gt;0, "WD",
            IF(MAX(IFERROR(SEARCH("NS",MAIN!G405:J405), 0))&gt;0, "NS",
            IF(MAX(IFERROR(SEARCH("NC",MAIN!G405:J405), 0))&gt;0, "NC",
            IF(MAX(IFERROR(SEARCH("DQ",MAIN!G405:J405), 0))&gt;0, "DQ",
            IF(ISNUMBER(SEARCH("WD",MAIN!K405)), "WD",
            IF(ISNUMBER(SEARCH("NS",MAIN!K405)), "NS",
            IF(ISNUMBER(SEARCH("NC",MAIN!K405)), "NC",
            IF(ISNUMBER(SEARCH("DQ",MAIN!K405)), "DQ",
            IF(ISNUMBER(SEARCH("A",MAIN!K405)), 0,
            IF(OR(MAIN!K405=0,MAIN!K405=""), 0, --TRIM(MAIN!K405)))))))))))),
        0
    )
)</f>
        <v>0</v>
      </c>
    </row>
    <row r="406" spans="1:11" x14ac:dyDescent="0.25">
      <c r="A406" t="str">
        <f>IF(ISBLANK(MAIN!A406), "--", IFERROR(PROPER(SUBSTITUTE(SUBSTITUTE(SUBSTITUTE(SUBSTITUTE(SUBSTITUTE(SUBSTITUTE(SUBSTITUTE(SUBSTITUTE(SUBSTITUTE(SUBSTITUTE(LEFT(MAIN!A406, FIND(",",MAIN!A406) -1), "0", ""), "1", ""), "2", ""), "3", ""), "4", ""), "5", ""), "6", ""), "7", ""), "8", ""), "9", "")), PROPER(SUBSTITUTE(SUBSTITUTE(SUBSTITUTE(SUBSTITUTE(SUBSTITUTE(SUBSTITUTE(SUBSTITUTE(SUBSTITUTE(SUBSTITUTE(SUBSTITUTE(MAIN!A406, "0", ""), "1", ""), "2", ""), "3", ""), "4", ""), "5", ""), "6", ""), "7", ""), "8", ""), "9", ""))))</f>
        <v>--</v>
      </c>
      <c r="B406" t="str">
        <f>IF(ISBLANK(MAIN!B406), "--", IFERROR(PROPER(SUBSTITUTE(SUBSTITUTE(SUBSTITUTE(SUBSTITUTE(SUBSTITUTE(SUBSTITUTE(SUBSTITUTE(SUBSTITUTE(SUBSTITUTE(SUBSTITUTE(LEFT(MAIN!B406, FIND(",",MAIN!B406) -1), "0", ""), "1", ""), "2", ""), "3", ""), "4", ""), "5", ""), "6", ""), "7", ""), "8", ""), "9", "")), PROPER(SUBSTITUTE(SUBSTITUTE(SUBSTITUTE(SUBSTITUTE(SUBSTITUTE(SUBSTITUTE(SUBSTITUTE(SUBSTITUTE(SUBSTITUTE(SUBSTITUTE(MAIN!B406, "0", ""), "1", ""), "2", ""), "3", ""), "4", ""), "5", ""), "6", ""), "7", ""), "8", ""), "9", ""))))</f>
        <v>--</v>
      </c>
      <c r="C406" t="str">
        <f>IF(ISBLANK(MAIN!C406), "--", IFERROR(PROPER(SUBSTITUTE(SUBSTITUTE(SUBSTITUTE(SUBSTITUTE(SUBSTITUTE(SUBSTITUTE(SUBSTITUTE(SUBSTITUTE(SUBSTITUTE(SUBSTITUTE(LEFT(MAIN!C406, FIND(",",MAIN!C406) -1), "0", ""), "1", ""), "2", ""), "3", ""), "4", ""), "5", ""), "6", ""), "7", ""), "8", ""), "9", "")), PROPER(SUBSTITUTE(SUBSTITUTE(SUBSTITUTE(SUBSTITUTE(SUBSTITUTE(SUBSTITUTE(SUBSTITUTE(SUBSTITUTE(SUBSTITUTE(SUBSTITUTE(MAIN!C406, "0", ""), "1", ""), "2", ""), "3", ""), "4", ""), "5", ""), "6", ""), "7", ""), "8", ""), "9", ""))))</f>
        <v>--</v>
      </c>
      <c r="D406" t="str">
        <f>IF(ISBLANK(MAIN!D406), "--", IF(ISNUMBER(MATCH(SUBSTITUTE(LEFT(MAIN!D406, IFERROR(FIND(",", MAIN!D406)-1, LEN(MAIN!D406))), " ", ""), lookup_values!$B$2:$B$51, 0)), UPPER(SUBSTITUTE(LEFT(MAIN!D406, IFERROR(FIND(",", MAIN!D406)-1, LEN(MAIN!D406))), " ", "")), IF(ISNA(VLOOKUP(SUBSTITUTE(LEFT(MAIN!D406, IFERROR(FIND(",", MAIN!D406)-1, LEN(MAIN!D406))), " ", ""), lookup_values!$A$2:$B$51, 2, FALSE)), "--", VLOOKUP(SUBSTITUTE(LEFT(MAIN!D406, IFERROR(FIND(",", MAIN!D406)-1, LEN(MAIN!D406))), " ", ""), lookup_values!$A$2:$B$51, 2, FALSE))))</f>
        <v>--</v>
      </c>
      <c r="E406" t="str">
        <f>IF(CLEAN_DATA!D406&lt;&gt;"--","US",IF(ISBLANK(MAIN!E406), "--", IF(ISNUMBER(MATCH(SUBSTITUTE(LEFT(MAIN!E406, IFERROR(FIND(",", MAIN!E406)-1, LEN(MAIN!E406))), " ", ""), lookup_values!$E$2:$E$197, 0)), UPPER(SUBSTITUTE(LEFT(MAIN!E406, IFERROR(FIND(",", MAIN!E406)-1, LEN(MAIN!E406))), " ", "")), IF(ISNA(VLOOKUP(SUBSTITUTE(LEFT(MAIN!E406, IFERROR(FIND(",", MAIN!E406)-1, LEN(MAIN!E406))), " ", ""), lookup_values!$D$2:$E$197, 2, FALSE)), "--", VLOOKUP(SUBSTITUTE(LEFT(MAIN!E406, IFERROR(FIND(",", MAIN!E406)-1, LEN(MAIN!E406))), " ", ""), lookup_values!$D$2:$E$197, 2, FALSE)))))</f>
        <v>--</v>
      </c>
      <c r="F406" t="str">
        <f>IF(ISBLANK(MAIN!F406), "", IF(AND(ISNUMBER(VALUE(TRIM(MAIN!F406))), LEN(TRIM(MAIN!F406))=4), VALUE(TRIM(MAIN!F406)), ""))</f>
        <v/>
      </c>
      <c r="G406">
        <f>IF(ISBLANK(MAIN!G406), 0, IF(ISNUMBER(VALUE(TRIM(MAIN!G406))), VALUE(TRIM(MAIN!G406)), 0))</f>
        <v>0</v>
      </c>
      <c r="H406">
        <f>IF(ISBLANK(MAIN!H406), 0, IF(ISNUMBER(VALUE(TRIM(MAIN!H406))), VALUE(TRIM(MAIN!H406)), 0))</f>
        <v>0</v>
      </c>
      <c r="I406">
        <f>IF(ISBLANK(MAIN!I406), 0, IF(ISNUMBER(VALUE(TRIM(MAIN!I406))), VALUE(TRIM(MAIN!I406)), 0))</f>
        <v>0</v>
      </c>
      <c r="J406">
        <f>IF(ISBLANK(MAIN!J406), 0, IF(ISNUMBER(VALUE(TRIM(MAIN!J406))), VALUE(TRIM(MAIN!J406)), 0))</f>
        <v>0</v>
      </c>
      <c r="K406" cm="1">
        <f t="array" ref="K406">IFERROR(
    VALUE(
        IFERROR(
            UPPER(
                IF(MAX(IFERROR(SEARCH("WD",MAIN!G406:J406), 0))&gt;0, "WD",
                IF(MAX(IFERROR(SEARCH("NS",MAIN!G406:J406), 0))&gt;0, "NS",
                IF(MAX(IFERROR(SEARCH("NC",MAIN!G406:J406), 0))&gt;0, "NC",
                IF(MAX(IFERROR(SEARCH("DQ",MAIN!G406:J406), 0))&gt;0, "DQ",
                IF(ISNUMBER(SEARCH("WD",MAIN!K406)), "WD",
                IF(ISNUMBER(SEARCH("NS",MAIN!K406)), "NS",
                IF(ISNUMBER(SEARCH("NC",MAIN!K406)), "NC",
                IF(ISNUMBER(SEARCH("DQ",MAIN!K406)), "DQ",
                IF(ISNUMBER(SEARCH("A",MAIN!K406)), 0,
                IF(OR(MAIN!K406=0,MAIN!K406=""), 0, --TRIM(MAIN!K406)))))))))))),
            0
        )
    ),
    IFERROR(
        UPPER(
            IF(MAX(IFERROR(SEARCH("WD",MAIN!G406:J406), 0))&gt;0, "WD",
            IF(MAX(IFERROR(SEARCH("NS",MAIN!G406:J406), 0))&gt;0, "NS",
            IF(MAX(IFERROR(SEARCH("NC",MAIN!G406:J406), 0))&gt;0, "NC",
            IF(MAX(IFERROR(SEARCH("DQ",MAIN!G406:J406), 0))&gt;0, "DQ",
            IF(ISNUMBER(SEARCH("WD",MAIN!K406)), "WD",
            IF(ISNUMBER(SEARCH("NS",MAIN!K406)), "NS",
            IF(ISNUMBER(SEARCH("NC",MAIN!K406)), "NC",
            IF(ISNUMBER(SEARCH("DQ",MAIN!K406)), "DQ",
            IF(ISNUMBER(SEARCH("A",MAIN!K406)), 0,
            IF(OR(MAIN!K406=0,MAIN!K406=""), 0, --TRIM(MAIN!K406)))))))))))),
        0
    )
)</f>
        <v>0</v>
      </c>
    </row>
    <row r="407" spans="1:11" x14ac:dyDescent="0.25">
      <c r="A407" t="str">
        <f>IF(ISBLANK(MAIN!A407), "--", IFERROR(PROPER(SUBSTITUTE(SUBSTITUTE(SUBSTITUTE(SUBSTITUTE(SUBSTITUTE(SUBSTITUTE(SUBSTITUTE(SUBSTITUTE(SUBSTITUTE(SUBSTITUTE(LEFT(MAIN!A407, FIND(",",MAIN!A407) -1), "0", ""), "1", ""), "2", ""), "3", ""), "4", ""), "5", ""), "6", ""), "7", ""), "8", ""), "9", "")), PROPER(SUBSTITUTE(SUBSTITUTE(SUBSTITUTE(SUBSTITUTE(SUBSTITUTE(SUBSTITUTE(SUBSTITUTE(SUBSTITUTE(SUBSTITUTE(SUBSTITUTE(MAIN!A407, "0", ""), "1", ""), "2", ""), "3", ""), "4", ""), "5", ""), "6", ""), "7", ""), "8", ""), "9", ""))))</f>
        <v>--</v>
      </c>
      <c r="B407" t="str">
        <f>IF(ISBLANK(MAIN!B407), "--", IFERROR(PROPER(SUBSTITUTE(SUBSTITUTE(SUBSTITUTE(SUBSTITUTE(SUBSTITUTE(SUBSTITUTE(SUBSTITUTE(SUBSTITUTE(SUBSTITUTE(SUBSTITUTE(LEFT(MAIN!B407, FIND(",",MAIN!B407) -1), "0", ""), "1", ""), "2", ""), "3", ""), "4", ""), "5", ""), "6", ""), "7", ""), "8", ""), "9", "")), PROPER(SUBSTITUTE(SUBSTITUTE(SUBSTITUTE(SUBSTITUTE(SUBSTITUTE(SUBSTITUTE(SUBSTITUTE(SUBSTITUTE(SUBSTITUTE(SUBSTITUTE(MAIN!B407, "0", ""), "1", ""), "2", ""), "3", ""), "4", ""), "5", ""), "6", ""), "7", ""), "8", ""), "9", ""))))</f>
        <v>--</v>
      </c>
      <c r="C407" t="str">
        <f>IF(ISBLANK(MAIN!C407), "--", IFERROR(PROPER(SUBSTITUTE(SUBSTITUTE(SUBSTITUTE(SUBSTITUTE(SUBSTITUTE(SUBSTITUTE(SUBSTITUTE(SUBSTITUTE(SUBSTITUTE(SUBSTITUTE(LEFT(MAIN!C407, FIND(",",MAIN!C407) -1), "0", ""), "1", ""), "2", ""), "3", ""), "4", ""), "5", ""), "6", ""), "7", ""), "8", ""), "9", "")), PROPER(SUBSTITUTE(SUBSTITUTE(SUBSTITUTE(SUBSTITUTE(SUBSTITUTE(SUBSTITUTE(SUBSTITUTE(SUBSTITUTE(SUBSTITUTE(SUBSTITUTE(MAIN!C407, "0", ""), "1", ""), "2", ""), "3", ""), "4", ""), "5", ""), "6", ""), "7", ""), "8", ""), "9", ""))))</f>
        <v>--</v>
      </c>
      <c r="D407" t="str">
        <f>IF(ISBLANK(MAIN!D407), "--", IF(ISNUMBER(MATCH(SUBSTITUTE(LEFT(MAIN!D407, IFERROR(FIND(",", MAIN!D407)-1, LEN(MAIN!D407))), " ", ""), lookup_values!$B$2:$B$51, 0)), UPPER(SUBSTITUTE(LEFT(MAIN!D407, IFERROR(FIND(",", MAIN!D407)-1, LEN(MAIN!D407))), " ", "")), IF(ISNA(VLOOKUP(SUBSTITUTE(LEFT(MAIN!D407, IFERROR(FIND(",", MAIN!D407)-1, LEN(MAIN!D407))), " ", ""), lookup_values!$A$2:$B$51, 2, FALSE)), "--", VLOOKUP(SUBSTITUTE(LEFT(MAIN!D407, IFERROR(FIND(",", MAIN!D407)-1, LEN(MAIN!D407))), " ", ""), lookup_values!$A$2:$B$51, 2, FALSE))))</f>
        <v>--</v>
      </c>
      <c r="E407" t="str">
        <f>IF(CLEAN_DATA!D407&lt;&gt;"--","US",IF(ISBLANK(MAIN!E407), "--", IF(ISNUMBER(MATCH(SUBSTITUTE(LEFT(MAIN!E407, IFERROR(FIND(",", MAIN!E407)-1, LEN(MAIN!E407))), " ", ""), lookup_values!$E$2:$E$197, 0)), UPPER(SUBSTITUTE(LEFT(MAIN!E407, IFERROR(FIND(",", MAIN!E407)-1, LEN(MAIN!E407))), " ", "")), IF(ISNA(VLOOKUP(SUBSTITUTE(LEFT(MAIN!E407, IFERROR(FIND(",", MAIN!E407)-1, LEN(MAIN!E407))), " ", ""), lookup_values!$D$2:$E$197, 2, FALSE)), "--", VLOOKUP(SUBSTITUTE(LEFT(MAIN!E407, IFERROR(FIND(",", MAIN!E407)-1, LEN(MAIN!E407))), " ", ""), lookup_values!$D$2:$E$197, 2, FALSE)))))</f>
        <v>--</v>
      </c>
      <c r="F407" t="str">
        <f>IF(ISBLANK(MAIN!F407), "", IF(AND(ISNUMBER(VALUE(TRIM(MAIN!F407))), LEN(TRIM(MAIN!F407))=4), VALUE(TRIM(MAIN!F407)), ""))</f>
        <v/>
      </c>
      <c r="G407">
        <f>IF(ISBLANK(MAIN!G407), 0, IF(ISNUMBER(VALUE(TRIM(MAIN!G407))), VALUE(TRIM(MAIN!G407)), 0))</f>
        <v>0</v>
      </c>
      <c r="H407">
        <f>IF(ISBLANK(MAIN!H407), 0, IF(ISNUMBER(VALUE(TRIM(MAIN!H407))), VALUE(TRIM(MAIN!H407)), 0))</f>
        <v>0</v>
      </c>
      <c r="I407">
        <f>IF(ISBLANK(MAIN!I407), 0, IF(ISNUMBER(VALUE(TRIM(MAIN!I407))), VALUE(TRIM(MAIN!I407)), 0))</f>
        <v>0</v>
      </c>
      <c r="J407">
        <f>IF(ISBLANK(MAIN!J407), 0, IF(ISNUMBER(VALUE(TRIM(MAIN!J407))), VALUE(TRIM(MAIN!J407)), 0))</f>
        <v>0</v>
      </c>
      <c r="K407" cm="1">
        <f t="array" ref="K407">IFERROR(
    VALUE(
        IFERROR(
            UPPER(
                IF(MAX(IFERROR(SEARCH("WD",MAIN!G407:J407), 0))&gt;0, "WD",
                IF(MAX(IFERROR(SEARCH("NS",MAIN!G407:J407), 0))&gt;0, "NS",
                IF(MAX(IFERROR(SEARCH("NC",MAIN!G407:J407), 0))&gt;0, "NC",
                IF(MAX(IFERROR(SEARCH("DQ",MAIN!G407:J407), 0))&gt;0, "DQ",
                IF(ISNUMBER(SEARCH("WD",MAIN!K407)), "WD",
                IF(ISNUMBER(SEARCH("NS",MAIN!K407)), "NS",
                IF(ISNUMBER(SEARCH("NC",MAIN!K407)), "NC",
                IF(ISNUMBER(SEARCH("DQ",MAIN!K407)), "DQ",
                IF(ISNUMBER(SEARCH("A",MAIN!K407)), 0,
                IF(OR(MAIN!K407=0,MAIN!K407=""), 0, --TRIM(MAIN!K407)))))))))))),
            0
        )
    ),
    IFERROR(
        UPPER(
            IF(MAX(IFERROR(SEARCH("WD",MAIN!G407:J407), 0))&gt;0, "WD",
            IF(MAX(IFERROR(SEARCH("NS",MAIN!G407:J407), 0))&gt;0, "NS",
            IF(MAX(IFERROR(SEARCH("NC",MAIN!G407:J407), 0))&gt;0, "NC",
            IF(MAX(IFERROR(SEARCH("DQ",MAIN!G407:J407), 0))&gt;0, "DQ",
            IF(ISNUMBER(SEARCH("WD",MAIN!K407)), "WD",
            IF(ISNUMBER(SEARCH("NS",MAIN!K407)), "NS",
            IF(ISNUMBER(SEARCH("NC",MAIN!K407)), "NC",
            IF(ISNUMBER(SEARCH("DQ",MAIN!K407)), "DQ",
            IF(ISNUMBER(SEARCH("A",MAIN!K407)), 0,
            IF(OR(MAIN!K407=0,MAIN!K407=""), 0, --TRIM(MAIN!K407)))))))))))),
        0
    )
)</f>
        <v>0</v>
      </c>
    </row>
    <row r="408" spans="1:11" x14ac:dyDescent="0.25">
      <c r="A408" t="str">
        <f>IF(ISBLANK(MAIN!A408), "--", IFERROR(PROPER(SUBSTITUTE(SUBSTITUTE(SUBSTITUTE(SUBSTITUTE(SUBSTITUTE(SUBSTITUTE(SUBSTITUTE(SUBSTITUTE(SUBSTITUTE(SUBSTITUTE(LEFT(MAIN!A408, FIND(",",MAIN!A408) -1), "0", ""), "1", ""), "2", ""), "3", ""), "4", ""), "5", ""), "6", ""), "7", ""), "8", ""), "9", "")), PROPER(SUBSTITUTE(SUBSTITUTE(SUBSTITUTE(SUBSTITUTE(SUBSTITUTE(SUBSTITUTE(SUBSTITUTE(SUBSTITUTE(SUBSTITUTE(SUBSTITUTE(MAIN!A408, "0", ""), "1", ""), "2", ""), "3", ""), "4", ""), "5", ""), "6", ""), "7", ""), "8", ""), "9", ""))))</f>
        <v>--</v>
      </c>
      <c r="B408" t="str">
        <f>IF(ISBLANK(MAIN!B408), "--", IFERROR(PROPER(SUBSTITUTE(SUBSTITUTE(SUBSTITUTE(SUBSTITUTE(SUBSTITUTE(SUBSTITUTE(SUBSTITUTE(SUBSTITUTE(SUBSTITUTE(SUBSTITUTE(LEFT(MAIN!B408, FIND(",",MAIN!B408) -1), "0", ""), "1", ""), "2", ""), "3", ""), "4", ""), "5", ""), "6", ""), "7", ""), "8", ""), "9", "")), PROPER(SUBSTITUTE(SUBSTITUTE(SUBSTITUTE(SUBSTITUTE(SUBSTITUTE(SUBSTITUTE(SUBSTITUTE(SUBSTITUTE(SUBSTITUTE(SUBSTITUTE(MAIN!B408, "0", ""), "1", ""), "2", ""), "3", ""), "4", ""), "5", ""), "6", ""), "7", ""), "8", ""), "9", ""))))</f>
        <v>--</v>
      </c>
      <c r="C408" t="str">
        <f>IF(ISBLANK(MAIN!C408), "--", IFERROR(PROPER(SUBSTITUTE(SUBSTITUTE(SUBSTITUTE(SUBSTITUTE(SUBSTITUTE(SUBSTITUTE(SUBSTITUTE(SUBSTITUTE(SUBSTITUTE(SUBSTITUTE(LEFT(MAIN!C408, FIND(",",MAIN!C408) -1), "0", ""), "1", ""), "2", ""), "3", ""), "4", ""), "5", ""), "6", ""), "7", ""), "8", ""), "9", "")), PROPER(SUBSTITUTE(SUBSTITUTE(SUBSTITUTE(SUBSTITUTE(SUBSTITUTE(SUBSTITUTE(SUBSTITUTE(SUBSTITUTE(SUBSTITUTE(SUBSTITUTE(MAIN!C408, "0", ""), "1", ""), "2", ""), "3", ""), "4", ""), "5", ""), "6", ""), "7", ""), "8", ""), "9", ""))))</f>
        <v>--</v>
      </c>
      <c r="D408" t="str">
        <f>IF(ISBLANK(MAIN!D408), "--", IF(ISNUMBER(MATCH(SUBSTITUTE(LEFT(MAIN!D408, IFERROR(FIND(",", MAIN!D408)-1, LEN(MAIN!D408))), " ", ""), lookup_values!$B$2:$B$51, 0)), UPPER(SUBSTITUTE(LEFT(MAIN!D408, IFERROR(FIND(",", MAIN!D408)-1, LEN(MAIN!D408))), " ", "")), IF(ISNA(VLOOKUP(SUBSTITUTE(LEFT(MAIN!D408, IFERROR(FIND(",", MAIN!D408)-1, LEN(MAIN!D408))), " ", ""), lookup_values!$A$2:$B$51, 2, FALSE)), "--", VLOOKUP(SUBSTITUTE(LEFT(MAIN!D408, IFERROR(FIND(",", MAIN!D408)-1, LEN(MAIN!D408))), " ", ""), lookup_values!$A$2:$B$51, 2, FALSE))))</f>
        <v>--</v>
      </c>
      <c r="E408" t="str">
        <f>IF(CLEAN_DATA!D408&lt;&gt;"--","US",IF(ISBLANK(MAIN!E408), "--", IF(ISNUMBER(MATCH(SUBSTITUTE(LEFT(MAIN!E408, IFERROR(FIND(",", MAIN!E408)-1, LEN(MAIN!E408))), " ", ""), lookup_values!$E$2:$E$197, 0)), UPPER(SUBSTITUTE(LEFT(MAIN!E408, IFERROR(FIND(",", MAIN!E408)-1, LEN(MAIN!E408))), " ", "")), IF(ISNA(VLOOKUP(SUBSTITUTE(LEFT(MAIN!E408, IFERROR(FIND(",", MAIN!E408)-1, LEN(MAIN!E408))), " ", ""), lookup_values!$D$2:$E$197, 2, FALSE)), "--", VLOOKUP(SUBSTITUTE(LEFT(MAIN!E408, IFERROR(FIND(",", MAIN!E408)-1, LEN(MAIN!E408))), " ", ""), lookup_values!$D$2:$E$197, 2, FALSE)))))</f>
        <v>--</v>
      </c>
      <c r="F408" t="str">
        <f>IF(ISBLANK(MAIN!F408), "", IF(AND(ISNUMBER(VALUE(TRIM(MAIN!F408))), LEN(TRIM(MAIN!F408))=4), VALUE(TRIM(MAIN!F408)), ""))</f>
        <v/>
      </c>
      <c r="G408">
        <f>IF(ISBLANK(MAIN!G408), 0, IF(ISNUMBER(VALUE(TRIM(MAIN!G408))), VALUE(TRIM(MAIN!G408)), 0))</f>
        <v>0</v>
      </c>
      <c r="H408">
        <f>IF(ISBLANK(MAIN!H408), 0, IF(ISNUMBER(VALUE(TRIM(MAIN!H408))), VALUE(TRIM(MAIN!H408)), 0))</f>
        <v>0</v>
      </c>
      <c r="I408">
        <f>IF(ISBLANK(MAIN!I408), 0, IF(ISNUMBER(VALUE(TRIM(MAIN!I408))), VALUE(TRIM(MAIN!I408)), 0))</f>
        <v>0</v>
      </c>
      <c r="J408">
        <f>IF(ISBLANK(MAIN!J408), 0, IF(ISNUMBER(VALUE(TRIM(MAIN!J408))), VALUE(TRIM(MAIN!J408)), 0))</f>
        <v>0</v>
      </c>
      <c r="K408" cm="1">
        <f t="array" ref="K408">IFERROR(
    VALUE(
        IFERROR(
            UPPER(
                IF(MAX(IFERROR(SEARCH("WD",MAIN!G408:J408), 0))&gt;0, "WD",
                IF(MAX(IFERROR(SEARCH("NS",MAIN!G408:J408), 0))&gt;0, "NS",
                IF(MAX(IFERROR(SEARCH("NC",MAIN!G408:J408), 0))&gt;0, "NC",
                IF(MAX(IFERROR(SEARCH("DQ",MAIN!G408:J408), 0))&gt;0, "DQ",
                IF(ISNUMBER(SEARCH("WD",MAIN!K408)), "WD",
                IF(ISNUMBER(SEARCH("NS",MAIN!K408)), "NS",
                IF(ISNUMBER(SEARCH("NC",MAIN!K408)), "NC",
                IF(ISNUMBER(SEARCH("DQ",MAIN!K408)), "DQ",
                IF(ISNUMBER(SEARCH("A",MAIN!K408)), 0,
                IF(OR(MAIN!K408=0,MAIN!K408=""), 0, --TRIM(MAIN!K408)))))))))))),
            0
        )
    ),
    IFERROR(
        UPPER(
            IF(MAX(IFERROR(SEARCH("WD",MAIN!G408:J408), 0))&gt;0, "WD",
            IF(MAX(IFERROR(SEARCH("NS",MAIN!G408:J408), 0))&gt;0, "NS",
            IF(MAX(IFERROR(SEARCH("NC",MAIN!G408:J408), 0))&gt;0, "NC",
            IF(MAX(IFERROR(SEARCH("DQ",MAIN!G408:J408), 0))&gt;0, "DQ",
            IF(ISNUMBER(SEARCH("WD",MAIN!K408)), "WD",
            IF(ISNUMBER(SEARCH("NS",MAIN!K408)), "NS",
            IF(ISNUMBER(SEARCH("NC",MAIN!K408)), "NC",
            IF(ISNUMBER(SEARCH("DQ",MAIN!K408)), "DQ",
            IF(ISNUMBER(SEARCH("A",MAIN!K408)), 0,
            IF(OR(MAIN!K408=0,MAIN!K408=""), 0, --TRIM(MAIN!K408)))))))))))),
        0
    )
)</f>
        <v>0</v>
      </c>
    </row>
    <row r="409" spans="1:11" x14ac:dyDescent="0.25">
      <c r="A409" t="str">
        <f>IF(ISBLANK(MAIN!A409), "--", IFERROR(PROPER(SUBSTITUTE(SUBSTITUTE(SUBSTITUTE(SUBSTITUTE(SUBSTITUTE(SUBSTITUTE(SUBSTITUTE(SUBSTITUTE(SUBSTITUTE(SUBSTITUTE(LEFT(MAIN!A409, FIND(",",MAIN!A409) -1), "0", ""), "1", ""), "2", ""), "3", ""), "4", ""), "5", ""), "6", ""), "7", ""), "8", ""), "9", "")), PROPER(SUBSTITUTE(SUBSTITUTE(SUBSTITUTE(SUBSTITUTE(SUBSTITUTE(SUBSTITUTE(SUBSTITUTE(SUBSTITUTE(SUBSTITUTE(SUBSTITUTE(MAIN!A409, "0", ""), "1", ""), "2", ""), "3", ""), "4", ""), "5", ""), "6", ""), "7", ""), "8", ""), "9", ""))))</f>
        <v>--</v>
      </c>
      <c r="B409" t="str">
        <f>IF(ISBLANK(MAIN!B409), "--", IFERROR(PROPER(SUBSTITUTE(SUBSTITUTE(SUBSTITUTE(SUBSTITUTE(SUBSTITUTE(SUBSTITUTE(SUBSTITUTE(SUBSTITUTE(SUBSTITUTE(SUBSTITUTE(LEFT(MAIN!B409, FIND(",",MAIN!B409) -1), "0", ""), "1", ""), "2", ""), "3", ""), "4", ""), "5", ""), "6", ""), "7", ""), "8", ""), "9", "")), PROPER(SUBSTITUTE(SUBSTITUTE(SUBSTITUTE(SUBSTITUTE(SUBSTITUTE(SUBSTITUTE(SUBSTITUTE(SUBSTITUTE(SUBSTITUTE(SUBSTITUTE(MAIN!B409, "0", ""), "1", ""), "2", ""), "3", ""), "4", ""), "5", ""), "6", ""), "7", ""), "8", ""), "9", ""))))</f>
        <v>--</v>
      </c>
      <c r="C409" t="str">
        <f>IF(ISBLANK(MAIN!C409), "--", IFERROR(PROPER(SUBSTITUTE(SUBSTITUTE(SUBSTITUTE(SUBSTITUTE(SUBSTITUTE(SUBSTITUTE(SUBSTITUTE(SUBSTITUTE(SUBSTITUTE(SUBSTITUTE(LEFT(MAIN!C409, FIND(",",MAIN!C409) -1), "0", ""), "1", ""), "2", ""), "3", ""), "4", ""), "5", ""), "6", ""), "7", ""), "8", ""), "9", "")), PROPER(SUBSTITUTE(SUBSTITUTE(SUBSTITUTE(SUBSTITUTE(SUBSTITUTE(SUBSTITUTE(SUBSTITUTE(SUBSTITUTE(SUBSTITUTE(SUBSTITUTE(MAIN!C409, "0", ""), "1", ""), "2", ""), "3", ""), "4", ""), "5", ""), "6", ""), "7", ""), "8", ""), "9", ""))))</f>
        <v>--</v>
      </c>
      <c r="D409" t="str">
        <f>IF(ISBLANK(MAIN!D409), "--", IF(ISNUMBER(MATCH(SUBSTITUTE(LEFT(MAIN!D409, IFERROR(FIND(",", MAIN!D409)-1, LEN(MAIN!D409))), " ", ""), lookup_values!$B$2:$B$51, 0)), UPPER(SUBSTITUTE(LEFT(MAIN!D409, IFERROR(FIND(",", MAIN!D409)-1, LEN(MAIN!D409))), " ", "")), IF(ISNA(VLOOKUP(SUBSTITUTE(LEFT(MAIN!D409, IFERROR(FIND(",", MAIN!D409)-1, LEN(MAIN!D409))), " ", ""), lookup_values!$A$2:$B$51, 2, FALSE)), "--", VLOOKUP(SUBSTITUTE(LEFT(MAIN!D409, IFERROR(FIND(",", MAIN!D409)-1, LEN(MAIN!D409))), " ", ""), lookup_values!$A$2:$B$51, 2, FALSE))))</f>
        <v>--</v>
      </c>
      <c r="E409" t="str">
        <f>IF(CLEAN_DATA!D409&lt;&gt;"--","US",IF(ISBLANK(MAIN!E409), "--", IF(ISNUMBER(MATCH(SUBSTITUTE(LEFT(MAIN!E409, IFERROR(FIND(",", MAIN!E409)-1, LEN(MAIN!E409))), " ", ""), lookup_values!$E$2:$E$197, 0)), UPPER(SUBSTITUTE(LEFT(MAIN!E409, IFERROR(FIND(",", MAIN!E409)-1, LEN(MAIN!E409))), " ", "")), IF(ISNA(VLOOKUP(SUBSTITUTE(LEFT(MAIN!E409, IFERROR(FIND(",", MAIN!E409)-1, LEN(MAIN!E409))), " ", ""), lookup_values!$D$2:$E$197, 2, FALSE)), "--", VLOOKUP(SUBSTITUTE(LEFT(MAIN!E409, IFERROR(FIND(",", MAIN!E409)-1, LEN(MAIN!E409))), " ", ""), lookup_values!$D$2:$E$197, 2, FALSE)))))</f>
        <v>--</v>
      </c>
      <c r="F409" t="str">
        <f>IF(ISBLANK(MAIN!F409), "", IF(AND(ISNUMBER(VALUE(TRIM(MAIN!F409))), LEN(TRIM(MAIN!F409))=4), VALUE(TRIM(MAIN!F409)), ""))</f>
        <v/>
      </c>
      <c r="G409">
        <f>IF(ISBLANK(MAIN!G409), 0, IF(ISNUMBER(VALUE(TRIM(MAIN!G409))), VALUE(TRIM(MAIN!G409)), 0))</f>
        <v>0</v>
      </c>
      <c r="H409">
        <f>IF(ISBLANK(MAIN!H409), 0, IF(ISNUMBER(VALUE(TRIM(MAIN!H409))), VALUE(TRIM(MAIN!H409)), 0))</f>
        <v>0</v>
      </c>
      <c r="I409">
        <f>IF(ISBLANK(MAIN!I409), 0, IF(ISNUMBER(VALUE(TRIM(MAIN!I409))), VALUE(TRIM(MAIN!I409)), 0))</f>
        <v>0</v>
      </c>
      <c r="J409">
        <f>IF(ISBLANK(MAIN!J409), 0, IF(ISNUMBER(VALUE(TRIM(MAIN!J409))), VALUE(TRIM(MAIN!J409)), 0))</f>
        <v>0</v>
      </c>
      <c r="K409" cm="1">
        <f t="array" ref="K409">IFERROR(
    VALUE(
        IFERROR(
            UPPER(
                IF(MAX(IFERROR(SEARCH("WD",MAIN!G409:J409), 0))&gt;0, "WD",
                IF(MAX(IFERROR(SEARCH("NS",MAIN!G409:J409), 0))&gt;0, "NS",
                IF(MAX(IFERROR(SEARCH("NC",MAIN!G409:J409), 0))&gt;0, "NC",
                IF(MAX(IFERROR(SEARCH("DQ",MAIN!G409:J409), 0))&gt;0, "DQ",
                IF(ISNUMBER(SEARCH("WD",MAIN!K409)), "WD",
                IF(ISNUMBER(SEARCH("NS",MAIN!K409)), "NS",
                IF(ISNUMBER(SEARCH("NC",MAIN!K409)), "NC",
                IF(ISNUMBER(SEARCH("DQ",MAIN!K409)), "DQ",
                IF(ISNUMBER(SEARCH("A",MAIN!K409)), 0,
                IF(OR(MAIN!K409=0,MAIN!K409=""), 0, --TRIM(MAIN!K409)))))))))))),
            0
        )
    ),
    IFERROR(
        UPPER(
            IF(MAX(IFERROR(SEARCH("WD",MAIN!G409:J409), 0))&gt;0, "WD",
            IF(MAX(IFERROR(SEARCH("NS",MAIN!G409:J409), 0))&gt;0, "NS",
            IF(MAX(IFERROR(SEARCH("NC",MAIN!G409:J409), 0))&gt;0, "NC",
            IF(MAX(IFERROR(SEARCH("DQ",MAIN!G409:J409), 0))&gt;0, "DQ",
            IF(ISNUMBER(SEARCH("WD",MAIN!K409)), "WD",
            IF(ISNUMBER(SEARCH("NS",MAIN!K409)), "NS",
            IF(ISNUMBER(SEARCH("NC",MAIN!K409)), "NC",
            IF(ISNUMBER(SEARCH("DQ",MAIN!K409)), "DQ",
            IF(ISNUMBER(SEARCH("A",MAIN!K409)), 0,
            IF(OR(MAIN!K409=0,MAIN!K409=""), 0, --TRIM(MAIN!K409)))))))))))),
        0
    )
)</f>
        <v>0</v>
      </c>
    </row>
    <row r="410" spans="1:11" x14ac:dyDescent="0.25">
      <c r="A410" t="str">
        <f>IF(ISBLANK(MAIN!A410), "--", IFERROR(PROPER(SUBSTITUTE(SUBSTITUTE(SUBSTITUTE(SUBSTITUTE(SUBSTITUTE(SUBSTITUTE(SUBSTITUTE(SUBSTITUTE(SUBSTITUTE(SUBSTITUTE(LEFT(MAIN!A410, FIND(",",MAIN!A410) -1), "0", ""), "1", ""), "2", ""), "3", ""), "4", ""), "5", ""), "6", ""), "7", ""), "8", ""), "9", "")), PROPER(SUBSTITUTE(SUBSTITUTE(SUBSTITUTE(SUBSTITUTE(SUBSTITUTE(SUBSTITUTE(SUBSTITUTE(SUBSTITUTE(SUBSTITUTE(SUBSTITUTE(MAIN!A410, "0", ""), "1", ""), "2", ""), "3", ""), "4", ""), "5", ""), "6", ""), "7", ""), "8", ""), "9", ""))))</f>
        <v>--</v>
      </c>
      <c r="B410" t="str">
        <f>IF(ISBLANK(MAIN!B410), "--", IFERROR(PROPER(SUBSTITUTE(SUBSTITUTE(SUBSTITUTE(SUBSTITUTE(SUBSTITUTE(SUBSTITUTE(SUBSTITUTE(SUBSTITUTE(SUBSTITUTE(SUBSTITUTE(LEFT(MAIN!B410, FIND(",",MAIN!B410) -1), "0", ""), "1", ""), "2", ""), "3", ""), "4", ""), "5", ""), "6", ""), "7", ""), "8", ""), "9", "")), PROPER(SUBSTITUTE(SUBSTITUTE(SUBSTITUTE(SUBSTITUTE(SUBSTITUTE(SUBSTITUTE(SUBSTITUTE(SUBSTITUTE(SUBSTITUTE(SUBSTITUTE(MAIN!B410, "0", ""), "1", ""), "2", ""), "3", ""), "4", ""), "5", ""), "6", ""), "7", ""), "8", ""), "9", ""))))</f>
        <v>--</v>
      </c>
      <c r="C410" t="str">
        <f>IF(ISBLANK(MAIN!C410), "--", IFERROR(PROPER(SUBSTITUTE(SUBSTITUTE(SUBSTITUTE(SUBSTITUTE(SUBSTITUTE(SUBSTITUTE(SUBSTITUTE(SUBSTITUTE(SUBSTITUTE(SUBSTITUTE(LEFT(MAIN!C410, FIND(",",MAIN!C410) -1), "0", ""), "1", ""), "2", ""), "3", ""), "4", ""), "5", ""), "6", ""), "7", ""), "8", ""), "9", "")), PROPER(SUBSTITUTE(SUBSTITUTE(SUBSTITUTE(SUBSTITUTE(SUBSTITUTE(SUBSTITUTE(SUBSTITUTE(SUBSTITUTE(SUBSTITUTE(SUBSTITUTE(MAIN!C410, "0", ""), "1", ""), "2", ""), "3", ""), "4", ""), "5", ""), "6", ""), "7", ""), "8", ""), "9", ""))))</f>
        <v>--</v>
      </c>
      <c r="D410" t="str">
        <f>IF(ISBLANK(MAIN!D410), "--", IF(ISNUMBER(MATCH(SUBSTITUTE(LEFT(MAIN!D410, IFERROR(FIND(",", MAIN!D410)-1, LEN(MAIN!D410))), " ", ""), lookup_values!$B$2:$B$51, 0)), UPPER(SUBSTITUTE(LEFT(MAIN!D410, IFERROR(FIND(",", MAIN!D410)-1, LEN(MAIN!D410))), " ", "")), IF(ISNA(VLOOKUP(SUBSTITUTE(LEFT(MAIN!D410, IFERROR(FIND(",", MAIN!D410)-1, LEN(MAIN!D410))), " ", ""), lookup_values!$A$2:$B$51, 2, FALSE)), "--", VLOOKUP(SUBSTITUTE(LEFT(MAIN!D410, IFERROR(FIND(",", MAIN!D410)-1, LEN(MAIN!D410))), " ", ""), lookup_values!$A$2:$B$51, 2, FALSE))))</f>
        <v>--</v>
      </c>
      <c r="E410" t="str">
        <f>IF(CLEAN_DATA!D410&lt;&gt;"--","US",IF(ISBLANK(MAIN!E410), "--", IF(ISNUMBER(MATCH(SUBSTITUTE(LEFT(MAIN!E410, IFERROR(FIND(",", MAIN!E410)-1, LEN(MAIN!E410))), " ", ""), lookup_values!$E$2:$E$197, 0)), UPPER(SUBSTITUTE(LEFT(MAIN!E410, IFERROR(FIND(",", MAIN!E410)-1, LEN(MAIN!E410))), " ", "")), IF(ISNA(VLOOKUP(SUBSTITUTE(LEFT(MAIN!E410, IFERROR(FIND(",", MAIN!E410)-1, LEN(MAIN!E410))), " ", ""), lookup_values!$D$2:$E$197, 2, FALSE)), "--", VLOOKUP(SUBSTITUTE(LEFT(MAIN!E410, IFERROR(FIND(",", MAIN!E410)-1, LEN(MAIN!E410))), " ", ""), lookup_values!$D$2:$E$197, 2, FALSE)))))</f>
        <v>--</v>
      </c>
      <c r="F410" t="str">
        <f>IF(ISBLANK(MAIN!F410), "", IF(AND(ISNUMBER(VALUE(TRIM(MAIN!F410))), LEN(TRIM(MAIN!F410))=4), VALUE(TRIM(MAIN!F410)), ""))</f>
        <v/>
      </c>
      <c r="G410">
        <f>IF(ISBLANK(MAIN!G410), 0, IF(ISNUMBER(VALUE(TRIM(MAIN!G410))), VALUE(TRIM(MAIN!G410)), 0))</f>
        <v>0</v>
      </c>
      <c r="H410">
        <f>IF(ISBLANK(MAIN!H410), 0, IF(ISNUMBER(VALUE(TRIM(MAIN!H410))), VALUE(TRIM(MAIN!H410)), 0))</f>
        <v>0</v>
      </c>
      <c r="I410">
        <f>IF(ISBLANK(MAIN!I410), 0, IF(ISNUMBER(VALUE(TRIM(MAIN!I410))), VALUE(TRIM(MAIN!I410)), 0))</f>
        <v>0</v>
      </c>
      <c r="J410">
        <f>IF(ISBLANK(MAIN!J410), 0, IF(ISNUMBER(VALUE(TRIM(MAIN!J410))), VALUE(TRIM(MAIN!J410)), 0))</f>
        <v>0</v>
      </c>
      <c r="K410" cm="1">
        <f t="array" ref="K410">IFERROR(
    VALUE(
        IFERROR(
            UPPER(
                IF(MAX(IFERROR(SEARCH("WD",MAIN!G410:J410), 0))&gt;0, "WD",
                IF(MAX(IFERROR(SEARCH("NS",MAIN!G410:J410), 0))&gt;0, "NS",
                IF(MAX(IFERROR(SEARCH("NC",MAIN!G410:J410), 0))&gt;0, "NC",
                IF(MAX(IFERROR(SEARCH("DQ",MAIN!G410:J410), 0))&gt;0, "DQ",
                IF(ISNUMBER(SEARCH("WD",MAIN!K410)), "WD",
                IF(ISNUMBER(SEARCH("NS",MAIN!K410)), "NS",
                IF(ISNUMBER(SEARCH("NC",MAIN!K410)), "NC",
                IF(ISNUMBER(SEARCH("DQ",MAIN!K410)), "DQ",
                IF(ISNUMBER(SEARCH("A",MAIN!K410)), 0,
                IF(OR(MAIN!K410=0,MAIN!K410=""), 0, --TRIM(MAIN!K410)))))))))))),
            0
        )
    ),
    IFERROR(
        UPPER(
            IF(MAX(IFERROR(SEARCH("WD",MAIN!G410:J410), 0))&gt;0, "WD",
            IF(MAX(IFERROR(SEARCH("NS",MAIN!G410:J410), 0))&gt;0, "NS",
            IF(MAX(IFERROR(SEARCH("NC",MAIN!G410:J410), 0))&gt;0, "NC",
            IF(MAX(IFERROR(SEARCH("DQ",MAIN!G410:J410), 0))&gt;0, "DQ",
            IF(ISNUMBER(SEARCH("WD",MAIN!K410)), "WD",
            IF(ISNUMBER(SEARCH("NS",MAIN!K410)), "NS",
            IF(ISNUMBER(SEARCH("NC",MAIN!K410)), "NC",
            IF(ISNUMBER(SEARCH("DQ",MAIN!K410)), "DQ",
            IF(ISNUMBER(SEARCH("A",MAIN!K410)), 0,
            IF(OR(MAIN!K410=0,MAIN!K410=""), 0, --TRIM(MAIN!K410)))))))))))),
        0
    )
)</f>
        <v>0</v>
      </c>
    </row>
    <row r="411" spans="1:11" x14ac:dyDescent="0.25">
      <c r="A411" t="str">
        <f>IF(ISBLANK(MAIN!A411), "--", IFERROR(PROPER(SUBSTITUTE(SUBSTITUTE(SUBSTITUTE(SUBSTITUTE(SUBSTITUTE(SUBSTITUTE(SUBSTITUTE(SUBSTITUTE(SUBSTITUTE(SUBSTITUTE(LEFT(MAIN!A411, FIND(",",MAIN!A411) -1), "0", ""), "1", ""), "2", ""), "3", ""), "4", ""), "5", ""), "6", ""), "7", ""), "8", ""), "9", "")), PROPER(SUBSTITUTE(SUBSTITUTE(SUBSTITUTE(SUBSTITUTE(SUBSTITUTE(SUBSTITUTE(SUBSTITUTE(SUBSTITUTE(SUBSTITUTE(SUBSTITUTE(MAIN!A411, "0", ""), "1", ""), "2", ""), "3", ""), "4", ""), "5", ""), "6", ""), "7", ""), "8", ""), "9", ""))))</f>
        <v>--</v>
      </c>
      <c r="B411" t="str">
        <f>IF(ISBLANK(MAIN!B411), "--", IFERROR(PROPER(SUBSTITUTE(SUBSTITUTE(SUBSTITUTE(SUBSTITUTE(SUBSTITUTE(SUBSTITUTE(SUBSTITUTE(SUBSTITUTE(SUBSTITUTE(SUBSTITUTE(LEFT(MAIN!B411, FIND(",",MAIN!B411) -1), "0", ""), "1", ""), "2", ""), "3", ""), "4", ""), "5", ""), "6", ""), "7", ""), "8", ""), "9", "")), PROPER(SUBSTITUTE(SUBSTITUTE(SUBSTITUTE(SUBSTITUTE(SUBSTITUTE(SUBSTITUTE(SUBSTITUTE(SUBSTITUTE(SUBSTITUTE(SUBSTITUTE(MAIN!B411, "0", ""), "1", ""), "2", ""), "3", ""), "4", ""), "5", ""), "6", ""), "7", ""), "8", ""), "9", ""))))</f>
        <v>--</v>
      </c>
      <c r="C411" t="str">
        <f>IF(ISBLANK(MAIN!C411), "--", IFERROR(PROPER(SUBSTITUTE(SUBSTITUTE(SUBSTITUTE(SUBSTITUTE(SUBSTITUTE(SUBSTITUTE(SUBSTITUTE(SUBSTITUTE(SUBSTITUTE(SUBSTITUTE(LEFT(MAIN!C411, FIND(",",MAIN!C411) -1), "0", ""), "1", ""), "2", ""), "3", ""), "4", ""), "5", ""), "6", ""), "7", ""), "8", ""), "9", "")), PROPER(SUBSTITUTE(SUBSTITUTE(SUBSTITUTE(SUBSTITUTE(SUBSTITUTE(SUBSTITUTE(SUBSTITUTE(SUBSTITUTE(SUBSTITUTE(SUBSTITUTE(MAIN!C411, "0", ""), "1", ""), "2", ""), "3", ""), "4", ""), "5", ""), "6", ""), "7", ""), "8", ""), "9", ""))))</f>
        <v>--</v>
      </c>
      <c r="D411" t="str">
        <f>IF(ISBLANK(MAIN!D411), "--", IF(ISNUMBER(MATCH(SUBSTITUTE(LEFT(MAIN!D411, IFERROR(FIND(",", MAIN!D411)-1, LEN(MAIN!D411))), " ", ""), lookup_values!$B$2:$B$51, 0)), UPPER(SUBSTITUTE(LEFT(MAIN!D411, IFERROR(FIND(",", MAIN!D411)-1, LEN(MAIN!D411))), " ", "")), IF(ISNA(VLOOKUP(SUBSTITUTE(LEFT(MAIN!D411, IFERROR(FIND(",", MAIN!D411)-1, LEN(MAIN!D411))), " ", ""), lookup_values!$A$2:$B$51, 2, FALSE)), "--", VLOOKUP(SUBSTITUTE(LEFT(MAIN!D411, IFERROR(FIND(",", MAIN!D411)-1, LEN(MAIN!D411))), " ", ""), lookup_values!$A$2:$B$51, 2, FALSE))))</f>
        <v>--</v>
      </c>
      <c r="E411" t="str">
        <f>IF(CLEAN_DATA!D411&lt;&gt;"--","US",IF(ISBLANK(MAIN!E411), "--", IF(ISNUMBER(MATCH(SUBSTITUTE(LEFT(MAIN!E411, IFERROR(FIND(",", MAIN!E411)-1, LEN(MAIN!E411))), " ", ""), lookup_values!$E$2:$E$197, 0)), UPPER(SUBSTITUTE(LEFT(MAIN!E411, IFERROR(FIND(",", MAIN!E411)-1, LEN(MAIN!E411))), " ", "")), IF(ISNA(VLOOKUP(SUBSTITUTE(LEFT(MAIN!E411, IFERROR(FIND(",", MAIN!E411)-1, LEN(MAIN!E411))), " ", ""), lookup_values!$D$2:$E$197, 2, FALSE)), "--", VLOOKUP(SUBSTITUTE(LEFT(MAIN!E411, IFERROR(FIND(",", MAIN!E411)-1, LEN(MAIN!E411))), " ", ""), lookup_values!$D$2:$E$197, 2, FALSE)))))</f>
        <v>--</v>
      </c>
      <c r="F411" t="str">
        <f>IF(ISBLANK(MAIN!F411), "", IF(AND(ISNUMBER(VALUE(TRIM(MAIN!F411))), LEN(TRIM(MAIN!F411))=4), VALUE(TRIM(MAIN!F411)), ""))</f>
        <v/>
      </c>
      <c r="G411">
        <f>IF(ISBLANK(MAIN!G411), 0, IF(ISNUMBER(VALUE(TRIM(MAIN!G411))), VALUE(TRIM(MAIN!G411)), 0))</f>
        <v>0</v>
      </c>
      <c r="H411">
        <f>IF(ISBLANK(MAIN!H411), 0, IF(ISNUMBER(VALUE(TRIM(MAIN!H411))), VALUE(TRIM(MAIN!H411)), 0))</f>
        <v>0</v>
      </c>
      <c r="I411">
        <f>IF(ISBLANK(MAIN!I411), 0, IF(ISNUMBER(VALUE(TRIM(MAIN!I411))), VALUE(TRIM(MAIN!I411)), 0))</f>
        <v>0</v>
      </c>
      <c r="J411">
        <f>IF(ISBLANK(MAIN!J411), 0, IF(ISNUMBER(VALUE(TRIM(MAIN!J411))), VALUE(TRIM(MAIN!J411)), 0))</f>
        <v>0</v>
      </c>
      <c r="K411" cm="1">
        <f t="array" ref="K411">IFERROR(
    VALUE(
        IFERROR(
            UPPER(
                IF(MAX(IFERROR(SEARCH("WD",MAIN!G411:J411), 0))&gt;0, "WD",
                IF(MAX(IFERROR(SEARCH("NS",MAIN!G411:J411), 0))&gt;0, "NS",
                IF(MAX(IFERROR(SEARCH("NC",MAIN!G411:J411), 0))&gt;0, "NC",
                IF(MAX(IFERROR(SEARCH("DQ",MAIN!G411:J411), 0))&gt;0, "DQ",
                IF(ISNUMBER(SEARCH("WD",MAIN!K411)), "WD",
                IF(ISNUMBER(SEARCH("NS",MAIN!K411)), "NS",
                IF(ISNUMBER(SEARCH("NC",MAIN!K411)), "NC",
                IF(ISNUMBER(SEARCH("DQ",MAIN!K411)), "DQ",
                IF(ISNUMBER(SEARCH("A",MAIN!K411)), 0,
                IF(OR(MAIN!K411=0,MAIN!K411=""), 0, --TRIM(MAIN!K411)))))))))))),
            0
        )
    ),
    IFERROR(
        UPPER(
            IF(MAX(IFERROR(SEARCH("WD",MAIN!G411:J411), 0))&gt;0, "WD",
            IF(MAX(IFERROR(SEARCH("NS",MAIN!G411:J411), 0))&gt;0, "NS",
            IF(MAX(IFERROR(SEARCH("NC",MAIN!G411:J411), 0))&gt;0, "NC",
            IF(MAX(IFERROR(SEARCH("DQ",MAIN!G411:J411), 0))&gt;0, "DQ",
            IF(ISNUMBER(SEARCH("WD",MAIN!K411)), "WD",
            IF(ISNUMBER(SEARCH("NS",MAIN!K411)), "NS",
            IF(ISNUMBER(SEARCH("NC",MAIN!K411)), "NC",
            IF(ISNUMBER(SEARCH("DQ",MAIN!K411)), "DQ",
            IF(ISNUMBER(SEARCH("A",MAIN!K411)), 0,
            IF(OR(MAIN!K411=0,MAIN!K411=""), 0, --TRIM(MAIN!K411)))))))))))),
        0
    )
)</f>
        <v>0</v>
      </c>
    </row>
    <row r="412" spans="1:11" x14ac:dyDescent="0.25">
      <c r="A412" t="str">
        <f>IF(ISBLANK(MAIN!A412), "--", IFERROR(PROPER(SUBSTITUTE(SUBSTITUTE(SUBSTITUTE(SUBSTITUTE(SUBSTITUTE(SUBSTITUTE(SUBSTITUTE(SUBSTITUTE(SUBSTITUTE(SUBSTITUTE(LEFT(MAIN!A412, FIND(",",MAIN!A412) -1), "0", ""), "1", ""), "2", ""), "3", ""), "4", ""), "5", ""), "6", ""), "7", ""), "8", ""), "9", "")), PROPER(SUBSTITUTE(SUBSTITUTE(SUBSTITUTE(SUBSTITUTE(SUBSTITUTE(SUBSTITUTE(SUBSTITUTE(SUBSTITUTE(SUBSTITUTE(SUBSTITUTE(MAIN!A412, "0", ""), "1", ""), "2", ""), "3", ""), "4", ""), "5", ""), "6", ""), "7", ""), "8", ""), "9", ""))))</f>
        <v>--</v>
      </c>
      <c r="B412" t="str">
        <f>IF(ISBLANK(MAIN!B412), "--", IFERROR(PROPER(SUBSTITUTE(SUBSTITUTE(SUBSTITUTE(SUBSTITUTE(SUBSTITUTE(SUBSTITUTE(SUBSTITUTE(SUBSTITUTE(SUBSTITUTE(SUBSTITUTE(LEFT(MAIN!B412, FIND(",",MAIN!B412) -1), "0", ""), "1", ""), "2", ""), "3", ""), "4", ""), "5", ""), "6", ""), "7", ""), "8", ""), "9", "")), PROPER(SUBSTITUTE(SUBSTITUTE(SUBSTITUTE(SUBSTITUTE(SUBSTITUTE(SUBSTITUTE(SUBSTITUTE(SUBSTITUTE(SUBSTITUTE(SUBSTITUTE(MAIN!B412, "0", ""), "1", ""), "2", ""), "3", ""), "4", ""), "5", ""), "6", ""), "7", ""), "8", ""), "9", ""))))</f>
        <v>--</v>
      </c>
      <c r="C412" t="str">
        <f>IF(ISBLANK(MAIN!C412), "--", IFERROR(PROPER(SUBSTITUTE(SUBSTITUTE(SUBSTITUTE(SUBSTITUTE(SUBSTITUTE(SUBSTITUTE(SUBSTITUTE(SUBSTITUTE(SUBSTITUTE(SUBSTITUTE(LEFT(MAIN!C412, FIND(",",MAIN!C412) -1), "0", ""), "1", ""), "2", ""), "3", ""), "4", ""), "5", ""), "6", ""), "7", ""), "8", ""), "9", "")), PROPER(SUBSTITUTE(SUBSTITUTE(SUBSTITUTE(SUBSTITUTE(SUBSTITUTE(SUBSTITUTE(SUBSTITUTE(SUBSTITUTE(SUBSTITUTE(SUBSTITUTE(MAIN!C412, "0", ""), "1", ""), "2", ""), "3", ""), "4", ""), "5", ""), "6", ""), "7", ""), "8", ""), "9", ""))))</f>
        <v>--</v>
      </c>
      <c r="D412" t="str">
        <f>IF(ISBLANK(MAIN!D412), "--", IF(ISNUMBER(MATCH(SUBSTITUTE(LEFT(MAIN!D412, IFERROR(FIND(",", MAIN!D412)-1, LEN(MAIN!D412))), " ", ""), lookup_values!$B$2:$B$51, 0)), UPPER(SUBSTITUTE(LEFT(MAIN!D412, IFERROR(FIND(",", MAIN!D412)-1, LEN(MAIN!D412))), " ", "")), IF(ISNA(VLOOKUP(SUBSTITUTE(LEFT(MAIN!D412, IFERROR(FIND(",", MAIN!D412)-1, LEN(MAIN!D412))), " ", ""), lookup_values!$A$2:$B$51, 2, FALSE)), "--", VLOOKUP(SUBSTITUTE(LEFT(MAIN!D412, IFERROR(FIND(",", MAIN!D412)-1, LEN(MAIN!D412))), " ", ""), lookup_values!$A$2:$B$51, 2, FALSE))))</f>
        <v>--</v>
      </c>
      <c r="E412" t="str">
        <f>IF(CLEAN_DATA!D412&lt;&gt;"--","US",IF(ISBLANK(MAIN!E412), "--", IF(ISNUMBER(MATCH(SUBSTITUTE(LEFT(MAIN!E412, IFERROR(FIND(",", MAIN!E412)-1, LEN(MAIN!E412))), " ", ""), lookup_values!$E$2:$E$197, 0)), UPPER(SUBSTITUTE(LEFT(MAIN!E412, IFERROR(FIND(",", MAIN!E412)-1, LEN(MAIN!E412))), " ", "")), IF(ISNA(VLOOKUP(SUBSTITUTE(LEFT(MAIN!E412, IFERROR(FIND(",", MAIN!E412)-1, LEN(MAIN!E412))), " ", ""), lookup_values!$D$2:$E$197, 2, FALSE)), "--", VLOOKUP(SUBSTITUTE(LEFT(MAIN!E412, IFERROR(FIND(",", MAIN!E412)-1, LEN(MAIN!E412))), " ", ""), lookup_values!$D$2:$E$197, 2, FALSE)))))</f>
        <v>--</v>
      </c>
      <c r="F412" t="str">
        <f>IF(ISBLANK(MAIN!F412), "", IF(AND(ISNUMBER(VALUE(TRIM(MAIN!F412))), LEN(TRIM(MAIN!F412))=4), VALUE(TRIM(MAIN!F412)), ""))</f>
        <v/>
      </c>
      <c r="G412">
        <f>IF(ISBLANK(MAIN!G412), 0, IF(ISNUMBER(VALUE(TRIM(MAIN!G412))), VALUE(TRIM(MAIN!G412)), 0))</f>
        <v>0</v>
      </c>
      <c r="H412">
        <f>IF(ISBLANK(MAIN!H412), 0, IF(ISNUMBER(VALUE(TRIM(MAIN!H412))), VALUE(TRIM(MAIN!H412)), 0))</f>
        <v>0</v>
      </c>
      <c r="I412">
        <f>IF(ISBLANK(MAIN!I412), 0, IF(ISNUMBER(VALUE(TRIM(MAIN!I412))), VALUE(TRIM(MAIN!I412)), 0))</f>
        <v>0</v>
      </c>
      <c r="J412">
        <f>IF(ISBLANK(MAIN!J412), 0, IF(ISNUMBER(VALUE(TRIM(MAIN!J412))), VALUE(TRIM(MAIN!J412)), 0))</f>
        <v>0</v>
      </c>
      <c r="K412" cm="1">
        <f t="array" ref="K412">IFERROR(
    VALUE(
        IFERROR(
            UPPER(
                IF(MAX(IFERROR(SEARCH("WD",MAIN!G412:J412), 0))&gt;0, "WD",
                IF(MAX(IFERROR(SEARCH("NS",MAIN!G412:J412), 0))&gt;0, "NS",
                IF(MAX(IFERROR(SEARCH("NC",MAIN!G412:J412), 0))&gt;0, "NC",
                IF(MAX(IFERROR(SEARCH("DQ",MAIN!G412:J412), 0))&gt;0, "DQ",
                IF(ISNUMBER(SEARCH("WD",MAIN!K412)), "WD",
                IF(ISNUMBER(SEARCH("NS",MAIN!K412)), "NS",
                IF(ISNUMBER(SEARCH("NC",MAIN!K412)), "NC",
                IF(ISNUMBER(SEARCH("DQ",MAIN!K412)), "DQ",
                IF(ISNUMBER(SEARCH("A",MAIN!K412)), 0,
                IF(OR(MAIN!K412=0,MAIN!K412=""), 0, --TRIM(MAIN!K412)))))))))))),
            0
        )
    ),
    IFERROR(
        UPPER(
            IF(MAX(IFERROR(SEARCH("WD",MAIN!G412:J412), 0))&gt;0, "WD",
            IF(MAX(IFERROR(SEARCH("NS",MAIN!G412:J412), 0))&gt;0, "NS",
            IF(MAX(IFERROR(SEARCH("NC",MAIN!G412:J412), 0))&gt;0, "NC",
            IF(MAX(IFERROR(SEARCH("DQ",MAIN!G412:J412), 0))&gt;0, "DQ",
            IF(ISNUMBER(SEARCH("WD",MAIN!K412)), "WD",
            IF(ISNUMBER(SEARCH("NS",MAIN!K412)), "NS",
            IF(ISNUMBER(SEARCH("NC",MAIN!K412)), "NC",
            IF(ISNUMBER(SEARCH("DQ",MAIN!K412)), "DQ",
            IF(ISNUMBER(SEARCH("A",MAIN!K412)), 0,
            IF(OR(MAIN!K412=0,MAIN!K412=""), 0, --TRIM(MAIN!K412)))))))))))),
        0
    )
)</f>
        <v>0</v>
      </c>
    </row>
    <row r="413" spans="1:11" x14ac:dyDescent="0.25">
      <c r="A413" t="str">
        <f>IF(ISBLANK(MAIN!A413), "--", IFERROR(PROPER(SUBSTITUTE(SUBSTITUTE(SUBSTITUTE(SUBSTITUTE(SUBSTITUTE(SUBSTITUTE(SUBSTITUTE(SUBSTITUTE(SUBSTITUTE(SUBSTITUTE(LEFT(MAIN!A413, FIND(",",MAIN!A413) -1), "0", ""), "1", ""), "2", ""), "3", ""), "4", ""), "5", ""), "6", ""), "7", ""), "8", ""), "9", "")), PROPER(SUBSTITUTE(SUBSTITUTE(SUBSTITUTE(SUBSTITUTE(SUBSTITUTE(SUBSTITUTE(SUBSTITUTE(SUBSTITUTE(SUBSTITUTE(SUBSTITUTE(MAIN!A413, "0", ""), "1", ""), "2", ""), "3", ""), "4", ""), "5", ""), "6", ""), "7", ""), "8", ""), "9", ""))))</f>
        <v>--</v>
      </c>
      <c r="B413" t="str">
        <f>IF(ISBLANK(MAIN!B413), "--", IFERROR(PROPER(SUBSTITUTE(SUBSTITUTE(SUBSTITUTE(SUBSTITUTE(SUBSTITUTE(SUBSTITUTE(SUBSTITUTE(SUBSTITUTE(SUBSTITUTE(SUBSTITUTE(LEFT(MAIN!B413, FIND(",",MAIN!B413) -1), "0", ""), "1", ""), "2", ""), "3", ""), "4", ""), "5", ""), "6", ""), "7", ""), "8", ""), "9", "")), PROPER(SUBSTITUTE(SUBSTITUTE(SUBSTITUTE(SUBSTITUTE(SUBSTITUTE(SUBSTITUTE(SUBSTITUTE(SUBSTITUTE(SUBSTITUTE(SUBSTITUTE(MAIN!B413, "0", ""), "1", ""), "2", ""), "3", ""), "4", ""), "5", ""), "6", ""), "7", ""), "8", ""), "9", ""))))</f>
        <v>--</v>
      </c>
      <c r="C413" t="str">
        <f>IF(ISBLANK(MAIN!C413), "--", IFERROR(PROPER(SUBSTITUTE(SUBSTITUTE(SUBSTITUTE(SUBSTITUTE(SUBSTITUTE(SUBSTITUTE(SUBSTITUTE(SUBSTITUTE(SUBSTITUTE(SUBSTITUTE(LEFT(MAIN!C413, FIND(",",MAIN!C413) -1), "0", ""), "1", ""), "2", ""), "3", ""), "4", ""), "5", ""), "6", ""), "7", ""), "8", ""), "9", "")), PROPER(SUBSTITUTE(SUBSTITUTE(SUBSTITUTE(SUBSTITUTE(SUBSTITUTE(SUBSTITUTE(SUBSTITUTE(SUBSTITUTE(SUBSTITUTE(SUBSTITUTE(MAIN!C413, "0", ""), "1", ""), "2", ""), "3", ""), "4", ""), "5", ""), "6", ""), "7", ""), "8", ""), "9", ""))))</f>
        <v>--</v>
      </c>
      <c r="D413" t="str">
        <f>IF(ISBLANK(MAIN!D413), "--", IF(ISNUMBER(MATCH(SUBSTITUTE(LEFT(MAIN!D413, IFERROR(FIND(",", MAIN!D413)-1, LEN(MAIN!D413))), " ", ""), lookup_values!$B$2:$B$51, 0)), UPPER(SUBSTITUTE(LEFT(MAIN!D413, IFERROR(FIND(",", MAIN!D413)-1, LEN(MAIN!D413))), " ", "")), IF(ISNA(VLOOKUP(SUBSTITUTE(LEFT(MAIN!D413, IFERROR(FIND(",", MAIN!D413)-1, LEN(MAIN!D413))), " ", ""), lookup_values!$A$2:$B$51, 2, FALSE)), "--", VLOOKUP(SUBSTITUTE(LEFT(MAIN!D413, IFERROR(FIND(",", MAIN!D413)-1, LEN(MAIN!D413))), " ", ""), lookup_values!$A$2:$B$51, 2, FALSE))))</f>
        <v>--</v>
      </c>
      <c r="E413" t="str">
        <f>IF(CLEAN_DATA!D413&lt;&gt;"--","US",IF(ISBLANK(MAIN!E413), "--", IF(ISNUMBER(MATCH(SUBSTITUTE(LEFT(MAIN!E413, IFERROR(FIND(",", MAIN!E413)-1, LEN(MAIN!E413))), " ", ""), lookup_values!$E$2:$E$197, 0)), UPPER(SUBSTITUTE(LEFT(MAIN!E413, IFERROR(FIND(",", MAIN!E413)-1, LEN(MAIN!E413))), " ", "")), IF(ISNA(VLOOKUP(SUBSTITUTE(LEFT(MAIN!E413, IFERROR(FIND(",", MAIN!E413)-1, LEN(MAIN!E413))), " ", ""), lookup_values!$D$2:$E$197, 2, FALSE)), "--", VLOOKUP(SUBSTITUTE(LEFT(MAIN!E413, IFERROR(FIND(",", MAIN!E413)-1, LEN(MAIN!E413))), " ", ""), lookup_values!$D$2:$E$197, 2, FALSE)))))</f>
        <v>--</v>
      </c>
      <c r="F413" t="str">
        <f>IF(ISBLANK(MAIN!F413), "", IF(AND(ISNUMBER(VALUE(TRIM(MAIN!F413))), LEN(TRIM(MAIN!F413))=4), VALUE(TRIM(MAIN!F413)), ""))</f>
        <v/>
      </c>
      <c r="G413">
        <f>IF(ISBLANK(MAIN!G413), 0, IF(ISNUMBER(VALUE(TRIM(MAIN!G413))), VALUE(TRIM(MAIN!G413)), 0))</f>
        <v>0</v>
      </c>
      <c r="H413">
        <f>IF(ISBLANK(MAIN!H413), 0, IF(ISNUMBER(VALUE(TRIM(MAIN!H413))), VALUE(TRIM(MAIN!H413)), 0))</f>
        <v>0</v>
      </c>
      <c r="I413">
        <f>IF(ISBLANK(MAIN!I413), 0, IF(ISNUMBER(VALUE(TRIM(MAIN!I413))), VALUE(TRIM(MAIN!I413)), 0))</f>
        <v>0</v>
      </c>
      <c r="J413">
        <f>IF(ISBLANK(MAIN!J413), 0, IF(ISNUMBER(VALUE(TRIM(MAIN!J413))), VALUE(TRIM(MAIN!J413)), 0))</f>
        <v>0</v>
      </c>
      <c r="K413" cm="1">
        <f t="array" ref="K413">IFERROR(
    VALUE(
        IFERROR(
            UPPER(
                IF(MAX(IFERROR(SEARCH("WD",MAIN!G413:J413), 0))&gt;0, "WD",
                IF(MAX(IFERROR(SEARCH("NS",MAIN!G413:J413), 0))&gt;0, "NS",
                IF(MAX(IFERROR(SEARCH("NC",MAIN!G413:J413), 0))&gt;0, "NC",
                IF(MAX(IFERROR(SEARCH("DQ",MAIN!G413:J413), 0))&gt;0, "DQ",
                IF(ISNUMBER(SEARCH("WD",MAIN!K413)), "WD",
                IF(ISNUMBER(SEARCH("NS",MAIN!K413)), "NS",
                IF(ISNUMBER(SEARCH("NC",MAIN!K413)), "NC",
                IF(ISNUMBER(SEARCH("DQ",MAIN!K413)), "DQ",
                IF(ISNUMBER(SEARCH("A",MAIN!K413)), 0,
                IF(OR(MAIN!K413=0,MAIN!K413=""), 0, --TRIM(MAIN!K413)))))))))))),
            0
        )
    ),
    IFERROR(
        UPPER(
            IF(MAX(IFERROR(SEARCH("WD",MAIN!G413:J413), 0))&gt;0, "WD",
            IF(MAX(IFERROR(SEARCH("NS",MAIN!G413:J413), 0))&gt;0, "NS",
            IF(MAX(IFERROR(SEARCH("NC",MAIN!G413:J413), 0))&gt;0, "NC",
            IF(MAX(IFERROR(SEARCH("DQ",MAIN!G413:J413), 0))&gt;0, "DQ",
            IF(ISNUMBER(SEARCH("WD",MAIN!K413)), "WD",
            IF(ISNUMBER(SEARCH("NS",MAIN!K413)), "NS",
            IF(ISNUMBER(SEARCH("NC",MAIN!K413)), "NC",
            IF(ISNUMBER(SEARCH("DQ",MAIN!K413)), "DQ",
            IF(ISNUMBER(SEARCH("A",MAIN!K413)), 0,
            IF(OR(MAIN!K413=0,MAIN!K413=""), 0, --TRIM(MAIN!K413)))))))))))),
        0
    )
)</f>
        <v>0</v>
      </c>
    </row>
    <row r="414" spans="1:11" x14ac:dyDescent="0.25">
      <c r="A414" t="str">
        <f>IF(ISBLANK(MAIN!A414), "--", IFERROR(PROPER(SUBSTITUTE(SUBSTITUTE(SUBSTITUTE(SUBSTITUTE(SUBSTITUTE(SUBSTITUTE(SUBSTITUTE(SUBSTITUTE(SUBSTITUTE(SUBSTITUTE(LEFT(MAIN!A414, FIND(",",MAIN!A414) -1), "0", ""), "1", ""), "2", ""), "3", ""), "4", ""), "5", ""), "6", ""), "7", ""), "8", ""), "9", "")), PROPER(SUBSTITUTE(SUBSTITUTE(SUBSTITUTE(SUBSTITUTE(SUBSTITUTE(SUBSTITUTE(SUBSTITUTE(SUBSTITUTE(SUBSTITUTE(SUBSTITUTE(MAIN!A414, "0", ""), "1", ""), "2", ""), "3", ""), "4", ""), "5", ""), "6", ""), "7", ""), "8", ""), "9", ""))))</f>
        <v>--</v>
      </c>
      <c r="B414" t="str">
        <f>IF(ISBLANK(MAIN!B414), "--", IFERROR(PROPER(SUBSTITUTE(SUBSTITUTE(SUBSTITUTE(SUBSTITUTE(SUBSTITUTE(SUBSTITUTE(SUBSTITUTE(SUBSTITUTE(SUBSTITUTE(SUBSTITUTE(LEFT(MAIN!B414, FIND(",",MAIN!B414) -1), "0", ""), "1", ""), "2", ""), "3", ""), "4", ""), "5", ""), "6", ""), "7", ""), "8", ""), "9", "")), PROPER(SUBSTITUTE(SUBSTITUTE(SUBSTITUTE(SUBSTITUTE(SUBSTITUTE(SUBSTITUTE(SUBSTITUTE(SUBSTITUTE(SUBSTITUTE(SUBSTITUTE(MAIN!B414, "0", ""), "1", ""), "2", ""), "3", ""), "4", ""), "5", ""), "6", ""), "7", ""), "8", ""), "9", ""))))</f>
        <v>--</v>
      </c>
      <c r="C414" t="str">
        <f>IF(ISBLANK(MAIN!C414), "--", IFERROR(PROPER(SUBSTITUTE(SUBSTITUTE(SUBSTITUTE(SUBSTITUTE(SUBSTITUTE(SUBSTITUTE(SUBSTITUTE(SUBSTITUTE(SUBSTITUTE(SUBSTITUTE(LEFT(MAIN!C414, FIND(",",MAIN!C414) -1), "0", ""), "1", ""), "2", ""), "3", ""), "4", ""), "5", ""), "6", ""), "7", ""), "8", ""), "9", "")), PROPER(SUBSTITUTE(SUBSTITUTE(SUBSTITUTE(SUBSTITUTE(SUBSTITUTE(SUBSTITUTE(SUBSTITUTE(SUBSTITUTE(SUBSTITUTE(SUBSTITUTE(MAIN!C414, "0", ""), "1", ""), "2", ""), "3", ""), "4", ""), "5", ""), "6", ""), "7", ""), "8", ""), "9", ""))))</f>
        <v>--</v>
      </c>
      <c r="D414" t="str">
        <f>IF(ISBLANK(MAIN!D414), "--", IF(ISNUMBER(MATCH(SUBSTITUTE(LEFT(MAIN!D414, IFERROR(FIND(",", MAIN!D414)-1, LEN(MAIN!D414))), " ", ""), lookup_values!$B$2:$B$51, 0)), UPPER(SUBSTITUTE(LEFT(MAIN!D414, IFERROR(FIND(",", MAIN!D414)-1, LEN(MAIN!D414))), " ", "")), IF(ISNA(VLOOKUP(SUBSTITUTE(LEFT(MAIN!D414, IFERROR(FIND(",", MAIN!D414)-1, LEN(MAIN!D414))), " ", ""), lookup_values!$A$2:$B$51, 2, FALSE)), "--", VLOOKUP(SUBSTITUTE(LEFT(MAIN!D414, IFERROR(FIND(",", MAIN!D414)-1, LEN(MAIN!D414))), " ", ""), lookup_values!$A$2:$B$51, 2, FALSE))))</f>
        <v>--</v>
      </c>
      <c r="E414" t="str">
        <f>IF(CLEAN_DATA!D414&lt;&gt;"--","US",IF(ISBLANK(MAIN!E414), "--", IF(ISNUMBER(MATCH(SUBSTITUTE(LEFT(MAIN!E414, IFERROR(FIND(",", MAIN!E414)-1, LEN(MAIN!E414))), " ", ""), lookup_values!$E$2:$E$197, 0)), UPPER(SUBSTITUTE(LEFT(MAIN!E414, IFERROR(FIND(",", MAIN!E414)-1, LEN(MAIN!E414))), " ", "")), IF(ISNA(VLOOKUP(SUBSTITUTE(LEFT(MAIN!E414, IFERROR(FIND(",", MAIN!E414)-1, LEN(MAIN!E414))), " ", ""), lookup_values!$D$2:$E$197, 2, FALSE)), "--", VLOOKUP(SUBSTITUTE(LEFT(MAIN!E414, IFERROR(FIND(",", MAIN!E414)-1, LEN(MAIN!E414))), " ", ""), lookup_values!$D$2:$E$197, 2, FALSE)))))</f>
        <v>--</v>
      </c>
      <c r="F414" t="str">
        <f>IF(ISBLANK(MAIN!F414), "", IF(AND(ISNUMBER(VALUE(TRIM(MAIN!F414))), LEN(TRIM(MAIN!F414))=4), VALUE(TRIM(MAIN!F414)), ""))</f>
        <v/>
      </c>
      <c r="G414">
        <f>IF(ISBLANK(MAIN!G414), 0, IF(ISNUMBER(VALUE(TRIM(MAIN!G414))), VALUE(TRIM(MAIN!G414)), 0))</f>
        <v>0</v>
      </c>
      <c r="H414">
        <f>IF(ISBLANK(MAIN!H414), 0, IF(ISNUMBER(VALUE(TRIM(MAIN!H414))), VALUE(TRIM(MAIN!H414)), 0))</f>
        <v>0</v>
      </c>
      <c r="I414">
        <f>IF(ISBLANK(MAIN!I414), 0, IF(ISNUMBER(VALUE(TRIM(MAIN!I414))), VALUE(TRIM(MAIN!I414)), 0))</f>
        <v>0</v>
      </c>
      <c r="J414">
        <f>IF(ISBLANK(MAIN!J414), 0, IF(ISNUMBER(VALUE(TRIM(MAIN!J414))), VALUE(TRIM(MAIN!J414)), 0))</f>
        <v>0</v>
      </c>
      <c r="K414" cm="1">
        <f t="array" ref="K414">IFERROR(
    VALUE(
        IFERROR(
            UPPER(
                IF(MAX(IFERROR(SEARCH("WD",MAIN!G414:J414), 0))&gt;0, "WD",
                IF(MAX(IFERROR(SEARCH("NS",MAIN!G414:J414), 0))&gt;0, "NS",
                IF(MAX(IFERROR(SEARCH("NC",MAIN!G414:J414), 0))&gt;0, "NC",
                IF(MAX(IFERROR(SEARCH("DQ",MAIN!G414:J414), 0))&gt;0, "DQ",
                IF(ISNUMBER(SEARCH("WD",MAIN!K414)), "WD",
                IF(ISNUMBER(SEARCH("NS",MAIN!K414)), "NS",
                IF(ISNUMBER(SEARCH("NC",MAIN!K414)), "NC",
                IF(ISNUMBER(SEARCH("DQ",MAIN!K414)), "DQ",
                IF(ISNUMBER(SEARCH("A",MAIN!K414)), 0,
                IF(OR(MAIN!K414=0,MAIN!K414=""), 0, --TRIM(MAIN!K414)))))))))))),
            0
        )
    ),
    IFERROR(
        UPPER(
            IF(MAX(IFERROR(SEARCH("WD",MAIN!G414:J414), 0))&gt;0, "WD",
            IF(MAX(IFERROR(SEARCH("NS",MAIN!G414:J414), 0))&gt;0, "NS",
            IF(MAX(IFERROR(SEARCH("NC",MAIN!G414:J414), 0))&gt;0, "NC",
            IF(MAX(IFERROR(SEARCH("DQ",MAIN!G414:J414), 0))&gt;0, "DQ",
            IF(ISNUMBER(SEARCH("WD",MAIN!K414)), "WD",
            IF(ISNUMBER(SEARCH("NS",MAIN!K414)), "NS",
            IF(ISNUMBER(SEARCH("NC",MAIN!K414)), "NC",
            IF(ISNUMBER(SEARCH("DQ",MAIN!K414)), "DQ",
            IF(ISNUMBER(SEARCH("A",MAIN!K414)), 0,
            IF(OR(MAIN!K414=0,MAIN!K414=""), 0, --TRIM(MAIN!K414)))))))))))),
        0
    )
)</f>
        <v>0</v>
      </c>
    </row>
    <row r="415" spans="1:11" x14ac:dyDescent="0.25">
      <c r="A415" t="str">
        <f>IF(ISBLANK(MAIN!A415), "--", IFERROR(PROPER(SUBSTITUTE(SUBSTITUTE(SUBSTITUTE(SUBSTITUTE(SUBSTITUTE(SUBSTITUTE(SUBSTITUTE(SUBSTITUTE(SUBSTITUTE(SUBSTITUTE(LEFT(MAIN!A415, FIND(",",MAIN!A415) -1), "0", ""), "1", ""), "2", ""), "3", ""), "4", ""), "5", ""), "6", ""), "7", ""), "8", ""), "9", "")), PROPER(SUBSTITUTE(SUBSTITUTE(SUBSTITUTE(SUBSTITUTE(SUBSTITUTE(SUBSTITUTE(SUBSTITUTE(SUBSTITUTE(SUBSTITUTE(SUBSTITUTE(MAIN!A415, "0", ""), "1", ""), "2", ""), "3", ""), "4", ""), "5", ""), "6", ""), "7", ""), "8", ""), "9", ""))))</f>
        <v>--</v>
      </c>
      <c r="B415" t="str">
        <f>IF(ISBLANK(MAIN!B415), "--", IFERROR(PROPER(SUBSTITUTE(SUBSTITUTE(SUBSTITUTE(SUBSTITUTE(SUBSTITUTE(SUBSTITUTE(SUBSTITUTE(SUBSTITUTE(SUBSTITUTE(SUBSTITUTE(LEFT(MAIN!B415, FIND(",",MAIN!B415) -1), "0", ""), "1", ""), "2", ""), "3", ""), "4", ""), "5", ""), "6", ""), "7", ""), "8", ""), "9", "")), PROPER(SUBSTITUTE(SUBSTITUTE(SUBSTITUTE(SUBSTITUTE(SUBSTITUTE(SUBSTITUTE(SUBSTITUTE(SUBSTITUTE(SUBSTITUTE(SUBSTITUTE(MAIN!B415, "0", ""), "1", ""), "2", ""), "3", ""), "4", ""), "5", ""), "6", ""), "7", ""), "8", ""), "9", ""))))</f>
        <v>--</v>
      </c>
      <c r="C415" t="str">
        <f>IF(ISBLANK(MAIN!C415), "--", IFERROR(PROPER(SUBSTITUTE(SUBSTITUTE(SUBSTITUTE(SUBSTITUTE(SUBSTITUTE(SUBSTITUTE(SUBSTITUTE(SUBSTITUTE(SUBSTITUTE(SUBSTITUTE(LEFT(MAIN!C415, FIND(",",MAIN!C415) -1), "0", ""), "1", ""), "2", ""), "3", ""), "4", ""), "5", ""), "6", ""), "7", ""), "8", ""), "9", "")), PROPER(SUBSTITUTE(SUBSTITUTE(SUBSTITUTE(SUBSTITUTE(SUBSTITUTE(SUBSTITUTE(SUBSTITUTE(SUBSTITUTE(SUBSTITUTE(SUBSTITUTE(MAIN!C415, "0", ""), "1", ""), "2", ""), "3", ""), "4", ""), "5", ""), "6", ""), "7", ""), "8", ""), "9", ""))))</f>
        <v>--</v>
      </c>
      <c r="D415" t="str">
        <f>IF(ISBLANK(MAIN!D415), "--", IF(ISNUMBER(MATCH(SUBSTITUTE(LEFT(MAIN!D415, IFERROR(FIND(",", MAIN!D415)-1, LEN(MAIN!D415))), " ", ""), lookup_values!$B$2:$B$51, 0)), UPPER(SUBSTITUTE(LEFT(MAIN!D415, IFERROR(FIND(",", MAIN!D415)-1, LEN(MAIN!D415))), " ", "")), IF(ISNA(VLOOKUP(SUBSTITUTE(LEFT(MAIN!D415, IFERROR(FIND(",", MAIN!D415)-1, LEN(MAIN!D415))), " ", ""), lookup_values!$A$2:$B$51, 2, FALSE)), "--", VLOOKUP(SUBSTITUTE(LEFT(MAIN!D415, IFERROR(FIND(",", MAIN!D415)-1, LEN(MAIN!D415))), " ", ""), lookup_values!$A$2:$B$51, 2, FALSE))))</f>
        <v>--</v>
      </c>
      <c r="E415" t="str">
        <f>IF(CLEAN_DATA!D415&lt;&gt;"--","US",IF(ISBLANK(MAIN!E415), "--", IF(ISNUMBER(MATCH(SUBSTITUTE(LEFT(MAIN!E415, IFERROR(FIND(",", MAIN!E415)-1, LEN(MAIN!E415))), " ", ""), lookup_values!$E$2:$E$197, 0)), UPPER(SUBSTITUTE(LEFT(MAIN!E415, IFERROR(FIND(",", MAIN!E415)-1, LEN(MAIN!E415))), " ", "")), IF(ISNA(VLOOKUP(SUBSTITUTE(LEFT(MAIN!E415, IFERROR(FIND(",", MAIN!E415)-1, LEN(MAIN!E415))), " ", ""), lookup_values!$D$2:$E$197, 2, FALSE)), "--", VLOOKUP(SUBSTITUTE(LEFT(MAIN!E415, IFERROR(FIND(",", MAIN!E415)-1, LEN(MAIN!E415))), " ", ""), lookup_values!$D$2:$E$197, 2, FALSE)))))</f>
        <v>--</v>
      </c>
      <c r="F415" t="str">
        <f>IF(ISBLANK(MAIN!F415), "", IF(AND(ISNUMBER(VALUE(TRIM(MAIN!F415))), LEN(TRIM(MAIN!F415))=4), VALUE(TRIM(MAIN!F415)), ""))</f>
        <v/>
      </c>
      <c r="G415">
        <f>IF(ISBLANK(MAIN!G415), 0, IF(ISNUMBER(VALUE(TRIM(MAIN!G415))), VALUE(TRIM(MAIN!G415)), 0))</f>
        <v>0</v>
      </c>
      <c r="H415">
        <f>IF(ISBLANK(MAIN!H415), 0, IF(ISNUMBER(VALUE(TRIM(MAIN!H415))), VALUE(TRIM(MAIN!H415)), 0))</f>
        <v>0</v>
      </c>
      <c r="I415">
        <f>IF(ISBLANK(MAIN!I415), 0, IF(ISNUMBER(VALUE(TRIM(MAIN!I415))), VALUE(TRIM(MAIN!I415)), 0))</f>
        <v>0</v>
      </c>
      <c r="J415">
        <f>IF(ISBLANK(MAIN!J415), 0, IF(ISNUMBER(VALUE(TRIM(MAIN!J415))), VALUE(TRIM(MAIN!J415)), 0))</f>
        <v>0</v>
      </c>
      <c r="K415" cm="1">
        <f t="array" ref="K415">IFERROR(
    VALUE(
        IFERROR(
            UPPER(
                IF(MAX(IFERROR(SEARCH("WD",MAIN!G415:J415), 0))&gt;0, "WD",
                IF(MAX(IFERROR(SEARCH("NS",MAIN!G415:J415), 0))&gt;0, "NS",
                IF(MAX(IFERROR(SEARCH("NC",MAIN!G415:J415), 0))&gt;0, "NC",
                IF(MAX(IFERROR(SEARCH("DQ",MAIN!G415:J415), 0))&gt;0, "DQ",
                IF(ISNUMBER(SEARCH("WD",MAIN!K415)), "WD",
                IF(ISNUMBER(SEARCH("NS",MAIN!K415)), "NS",
                IF(ISNUMBER(SEARCH("NC",MAIN!K415)), "NC",
                IF(ISNUMBER(SEARCH("DQ",MAIN!K415)), "DQ",
                IF(ISNUMBER(SEARCH("A",MAIN!K415)), 0,
                IF(OR(MAIN!K415=0,MAIN!K415=""), 0, --TRIM(MAIN!K415)))))))))))),
            0
        )
    ),
    IFERROR(
        UPPER(
            IF(MAX(IFERROR(SEARCH("WD",MAIN!G415:J415), 0))&gt;0, "WD",
            IF(MAX(IFERROR(SEARCH("NS",MAIN!G415:J415), 0))&gt;0, "NS",
            IF(MAX(IFERROR(SEARCH("NC",MAIN!G415:J415), 0))&gt;0, "NC",
            IF(MAX(IFERROR(SEARCH("DQ",MAIN!G415:J415), 0))&gt;0, "DQ",
            IF(ISNUMBER(SEARCH("WD",MAIN!K415)), "WD",
            IF(ISNUMBER(SEARCH("NS",MAIN!K415)), "NS",
            IF(ISNUMBER(SEARCH("NC",MAIN!K415)), "NC",
            IF(ISNUMBER(SEARCH("DQ",MAIN!K415)), "DQ",
            IF(ISNUMBER(SEARCH("A",MAIN!K415)), 0,
            IF(OR(MAIN!K415=0,MAIN!K415=""), 0, --TRIM(MAIN!K415)))))))))))),
        0
    )
)</f>
        <v>0</v>
      </c>
    </row>
    <row r="416" spans="1:11" x14ac:dyDescent="0.25">
      <c r="A416" t="str">
        <f>IF(ISBLANK(MAIN!A416), "--", IFERROR(PROPER(SUBSTITUTE(SUBSTITUTE(SUBSTITUTE(SUBSTITUTE(SUBSTITUTE(SUBSTITUTE(SUBSTITUTE(SUBSTITUTE(SUBSTITUTE(SUBSTITUTE(LEFT(MAIN!A416, FIND(",",MAIN!A416) -1), "0", ""), "1", ""), "2", ""), "3", ""), "4", ""), "5", ""), "6", ""), "7", ""), "8", ""), "9", "")), PROPER(SUBSTITUTE(SUBSTITUTE(SUBSTITUTE(SUBSTITUTE(SUBSTITUTE(SUBSTITUTE(SUBSTITUTE(SUBSTITUTE(SUBSTITUTE(SUBSTITUTE(MAIN!A416, "0", ""), "1", ""), "2", ""), "3", ""), "4", ""), "5", ""), "6", ""), "7", ""), "8", ""), "9", ""))))</f>
        <v>--</v>
      </c>
      <c r="B416" t="str">
        <f>IF(ISBLANK(MAIN!B416), "--", IFERROR(PROPER(SUBSTITUTE(SUBSTITUTE(SUBSTITUTE(SUBSTITUTE(SUBSTITUTE(SUBSTITUTE(SUBSTITUTE(SUBSTITUTE(SUBSTITUTE(SUBSTITUTE(LEFT(MAIN!B416, FIND(",",MAIN!B416) -1), "0", ""), "1", ""), "2", ""), "3", ""), "4", ""), "5", ""), "6", ""), "7", ""), "8", ""), "9", "")), PROPER(SUBSTITUTE(SUBSTITUTE(SUBSTITUTE(SUBSTITUTE(SUBSTITUTE(SUBSTITUTE(SUBSTITUTE(SUBSTITUTE(SUBSTITUTE(SUBSTITUTE(MAIN!B416, "0", ""), "1", ""), "2", ""), "3", ""), "4", ""), "5", ""), "6", ""), "7", ""), "8", ""), "9", ""))))</f>
        <v>--</v>
      </c>
      <c r="C416" t="str">
        <f>IF(ISBLANK(MAIN!C416), "--", IFERROR(PROPER(SUBSTITUTE(SUBSTITUTE(SUBSTITUTE(SUBSTITUTE(SUBSTITUTE(SUBSTITUTE(SUBSTITUTE(SUBSTITUTE(SUBSTITUTE(SUBSTITUTE(LEFT(MAIN!C416, FIND(",",MAIN!C416) -1), "0", ""), "1", ""), "2", ""), "3", ""), "4", ""), "5", ""), "6", ""), "7", ""), "8", ""), "9", "")), PROPER(SUBSTITUTE(SUBSTITUTE(SUBSTITUTE(SUBSTITUTE(SUBSTITUTE(SUBSTITUTE(SUBSTITUTE(SUBSTITUTE(SUBSTITUTE(SUBSTITUTE(MAIN!C416, "0", ""), "1", ""), "2", ""), "3", ""), "4", ""), "5", ""), "6", ""), "7", ""), "8", ""), "9", ""))))</f>
        <v>--</v>
      </c>
      <c r="D416" t="str">
        <f>IF(ISBLANK(MAIN!D416), "--", IF(ISNUMBER(MATCH(SUBSTITUTE(LEFT(MAIN!D416, IFERROR(FIND(",", MAIN!D416)-1, LEN(MAIN!D416))), " ", ""), lookup_values!$B$2:$B$51, 0)), UPPER(SUBSTITUTE(LEFT(MAIN!D416, IFERROR(FIND(",", MAIN!D416)-1, LEN(MAIN!D416))), " ", "")), IF(ISNA(VLOOKUP(SUBSTITUTE(LEFT(MAIN!D416, IFERROR(FIND(",", MAIN!D416)-1, LEN(MAIN!D416))), " ", ""), lookup_values!$A$2:$B$51, 2, FALSE)), "--", VLOOKUP(SUBSTITUTE(LEFT(MAIN!D416, IFERROR(FIND(",", MAIN!D416)-1, LEN(MAIN!D416))), " ", ""), lookup_values!$A$2:$B$51, 2, FALSE))))</f>
        <v>--</v>
      </c>
      <c r="E416" t="str">
        <f>IF(CLEAN_DATA!D416&lt;&gt;"--","US",IF(ISBLANK(MAIN!E416), "--", IF(ISNUMBER(MATCH(SUBSTITUTE(LEFT(MAIN!E416, IFERROR(FIND(",", MAIN!E416)-1, LEN(MAIN!E416))), " ", ""), lookup_values!$E$2:$E$197, 0)), UPPER(SUBSTITUTE(LEFT(MAIN!E416, IFERROR(FIND(",", MAIN!E416)-1, LEN(MAIN!E416))), " ", "")), IF(ISNA(VLOOKUP(SUBSTITUTE(LEFT(MAIN!E416, IFERROR(FIND(",", MAIN!E416)-1, LEN(MAIN!E416))), " ", ""), lookup_values!$D$2:$E$197, 2, FALSE)), "--", VLOOKUP(SUBSTITUTE(LEFT(MAIN!E416, IFERROR(FIND(",", MAIN!E416)-1, LEN(MAIN!E416))), " ", ""), lookup_values!$D$2:$E$197, 2, FALSE)))))</f>
        <v>--</v>
      </c>
      <c r="F416" t="str">
        <f>IF(ISBLANK(MAIN!F416), "", IF(AND(ISNUMBER(VALUE(TRIM(MAIN!F416))), LEN(TRIM(MAIN!F416))=4), VALUE(TRIM(MAIN!F416)), ""))</f>
        <v/>
      </c>
      <c r="G416">
        <f>IF(ISBLANK(MAIN!G416), 0, IF(ISNUMBER(VALUE(TRIM(MAIN!G416))), VALUE(TRIM(MAIN!G416)), 0))</f>
        <v>0</v>
      </c>
      <c r="H416">
        <f>IF(ISBLANK(MAIN!H416), 0, IF(ISNUMBER(VALUE(TRIM(MAIN!H416))), VALUE(TRIM(MAIN!H416)), 0))</f>
        <v>0</v>
      </c>
      <c r="I416">
        <f>IF(ISBLANK(MAIN!I416), 0, IF(ISNUMBER(VALUE(TRIM(MAIN!I416))), VALUE(TRIM(MAIN!I416)), 0))</f>
        <v>0</v>
      </c>
      <c r="J416">
        <f>IF(ISBLANK(MAIN!J416), 0, IF(ISNUMBER(VALUE(TRIM(MAIN!J416))), VALUE(TRIM(MAIN!J416)), 0))</f>
        <v>0</v>
      </c>
      <c r="K416" cm="1">
        <f t="array" ref="K416">IFERROR(
    VALUE(
        IFERROR(
            UPPER(
                IF(MAX(IFERROR(SEARCH("WD",MAIN!G416:J416), 0))&gt;0, "WD",
                IF(MAX(IFERROR(SEARCH("NS",MAIN!G416:J416), 0))&gt;0, "NS",
                IF(MAX(IFERROR(SEARCH("NC",MAIN!G416:J416), 0))&gt;0, "NC",
                IF(MAX(IFERROR(SEARCH("DQ",MAIN!G416:J416), 0))&gt;0, "DQ",
                IF(ISNUMBER(SEARCH("WD",MAIN!K416)), "WD",
                IF(ISNUMBER(SEARCH("NS",MAIN!K416)), "NS",
                IF(ISNUMBER(SEARCH("NC",MAIN!K416)), "NC",
                IF(ISNUMBER(SEARCH("DQ",MAIN!K416)), "DQ",
                IF(ISNUMBER(SEARCH("A",MAIN!K416)), 0,
                IF(OR(MAIN!K416=0,MAIN!K416=""), 0, --TRIM(MAIN!K416)))))))))))),
            0
        )
    ),
    IFERROR(
        UPPER(
            IF(MAX(IFERROR(SEARCH("WD",MAIN!G416:J416), 0))&gt;0, "WD",
            IF(MAX(IFERROR(SEARCH("NS",MAIN!G416:J416), 0))&gt;0, "NS",
            IF(MAX(IFERROR(SEARCH("NC",MAIN!G416:J416), 0))&gt;0, "NC",
            IF(MAX(IFERROR(SEARCH("DQ",MAIN!G416:J416), 0))&gt;0, "DQ",
            IF(ISNUMBER(SEARCH("WD",MAIN!K416)), "WD",
            IF(ISNUMBER(SEARCH("NS",MAIN!K416)), "NS",
            IF(ISNUMBER(SEARCH("NC",MAIN!K416)), "NC",
            IF(ISNUMBER(SEARCH("DQ",MAIN!K416)), "DQ",
            IF(ISNUMBER(SEARCH("A",MAIN!K416)), 0,
            IF(OR(MAIN!K416=0,MAIN!K416=""), 0, --TRIM(MAIN!K416)))))))))))),
        0
    )
)</f>
        <v>0</v>
      </c>
    </row>
    <row r="417" spans="1:11" x14ac:dyDescent="0.25">
      <c r="A417" t="str">
        <f>IF(ISBLANK(MAIN!A417), "--", IFERROR(PROPER(SUBSTITUTE(SUBSTITUTE(SUBSTITUTE(SUBSTITUTE(SUBSTITUTE(SUBSTITUTE(SUBSTITUTE(SUBSTITUTE(SUBSTITUTE(SUBSTITUTE(LEFT(MAIN!A417, FIND(",",MAIN!A417) -1), "0", ""), "1", ""), "2", ""), "3", ""), "4", ""), "5", ""), "6", ""), "7", ""), "8", ""), "9", "")), PROPER(SUBSTITUTE(SUBSTITUTE(SUBSTITUTE(SUBSTITUTE(SUBSTITUTE(SUBSTITUTE(SUBSTITUTE(SUBSTITUTE(SUBSTITUTE(SUBSTITUTE(MAIN!A417, "0", ""), "1", ""), "2", ""), "3", ""), "4", ""), "5", ""), "6", ""), "7", ""), "8", ""), "9", ""))))</f>
        <v>--</v>
      </c>
      <c r="B417" t="str">
        <f>IF(ISBLANK(MAIN!B417), "--", IFERROR(PROPER(SUBSTITUTE(SUBSTITUTE(SUBSTITUTE(SUBSTITUTE(SUBSTITUTE(SUBSTITUTE(SUBSTITUTE(SUBSTITUTE(SUBSTITUTE(SUBSTITUTE(LEFT(MAIN!B417, FIND(",",MAIN!B417) -1), "0", ""), "1", ""), "2", ""), "3", ""), "4", ""), "5", ""), "6", ""), "7", ""), "8", ""), "9", "")), PROPER(SUBSTITUTE(SUBSTITUTE(SUBSTITUTE(SUBSTITUTE(SUBSTITUTE(SUBSTITUTE(SUBSTITUTE(SUBSTITUTE(SUBSTITUTE(SUBSTITUTE(MAIN!B417, "0", ""), "1", ""), "2", ""), "3", ""), "4", ""), "5", ""), "6", ""), "7", ""), "8", ""), "9", ""))))</f>
        <v>--</v>
      </c>
      <c r="C417" t="str">
        <f>IF(ISBLANK(MAIN!C417), "--", IFERROR(PROPER(SUBSTITUTE(SUBSTITUTE(SUBSTITUTE(SUBSTITUTE(SUBSTITUTE(SUBSTITUTE(SUBSTITUTE(SUBSTITUTE(SUBSTITUTE(SUBSTITUTE(LEFT(MAIN!C417, FIND(",",MAIN!C417) -1), "0", ""), "1", ""), "2", ""), "3", ""), "4", ""), "5", ""), "6", ""), "7", ""), "8", ""), "9", "")), PROPER(SUBSTITUTE(SUBSTITUTE(SUBSTITUTE(SUBSTITUTE(SUBSTITUTE(SUBSTITUTE(SUBSTITUTE(SUBSTITUTE(SUBSTITUTE(SUBSTITUTE(MAIN!C417, "0", ""), "1", ""), "2", ""), "3", ""), "4", ""), "5", ""), "6", ""), "7", ""), "8", ""), "9", ""))))</f>
        <v>--</v>
      </c>
      <c r="D417" t="str">
        <f>IF(ISBLANK(MAIN!D417), "--", IF(ISNUMBER(MATCH(SUBSTITUTE(LEFT(MAIN!D417, IFERROR(FIND(",", MAIN!D417)-1, LEN(MAIN!D417))), " ", ""), lookup_values!$B$2:$B$51, 0)), UPPER(SUBSTITUTE(LEFT(MAIN!D417, IFERROR(FIND(",", MAIN!D417)-1, LEN(MAIN!D417))), " ", "")), IF(ISNA(VLOOKUP(SUBSTITUTE(LEFT(MAIN!D417, IFERROR(FIND(",", MAIN!D417)-1, LEN(MAIN!D417))), " ", ""), lookup_values!$A$2:$B$51, 2, FALSE)), "--", VLOOKUP(SUBSTITUTE(LEFT(MAIN!D417, IFERROR(FIND(",", MAIN!D417)-1, LEN(MAIN!D417))), " ", ""), lookup_values!$A$2:$B$51, 2, FALSE))))</f>
        <v>--</v>
      </c>
      <c r="E417" t="str">
        <f>IF(CLEAN_DATA!D417&lt;&gt;"--","US",IF(ISBLANK(MAIN!E417), "--", IF(ISNUMBER(MATCH(SUBSTITUTE(LEFT(MAIN!E417, IFERROR(FIND(",", MAIN!E417)-1, LEN(MAIN!E417))), " ", ""), lookup_values!$E$2:$E$197, 0)), UPPER(SUBSTITUTE(LEFT(MAIN!E417, IFERROR(FIND(",", MAIN!E417)-1, LEN(MAIN!E417))), " ", "")), IF(ISNA(VLOOKUP(SUBSTITUTE(LEFT(MAIN!E417, IFERROR(FIND(",", MAIN!E417)-1, LEN(MAIN!E417))), " ", ""), lookup_values!$D$2:$E$197, 2, FALSE)), "--", VLOOKUP(SUBSTITUTE(LEFT(MAIN!E417, IFERROR(FIND(",", MAIN!E417)-1, LEN(MAIN!E417))), " ", ""), lookup_values!$D$2:$E$197, 2, FALSE)))))</f>
        <v>--</v>
      </c>
      <c r="F417" t="str">
        <f>IF(ISBLANK(MAIN!F417), "", IF(AND(ISNUMBER(VALUE(TRIM(MAIN!F417))), LEN(TRIM(MAIN!F417))=4), VALUE(TRIM(MAIN!F417)), ""))</f>
        <v/>
      </c>
      <c r="G417">
        <f>IF(ISBLANK(MAIN!G417), 0, IF(ISNUMBER(VALUE(TRIM(MAIN!G417))), VALUE(TRIM(MAIN!G417)), 0))</f>
        <v>0</v>
      </c>
      <c r="H417">
        <f>IF(ISBLANK(MAIN!H417), 0, IF(ISNUMBER(VALUE(TRIM(MAIN!H417))), VALUE(TRIM(MAIN!H417)), 0))</f>
        <v>0</v>
      </c>
      <c r="I417">
        <f>IF(ISBLANK(MAIN!I417), 0, IF(ISNUMBER(VALUE(TRIM(MAIN!I417))), VALUE(TRIM(MAIN!I417)), 0))</f>
        <v>0</v>
      </c>
      <c r="J417">
        <f>IF(ISBLANK(MAIN!J417), 0, IF(ISNUMBER(VALUE(TRIM(MAIN!J417))), VALUE(TRIM(MAIN!J417)), 0))</f>
        <v>0</v>
      </c>
      <c r="K417" cm="1">
        <f t="array" ref="K417">IFERROR(
    VALUE(
        IFERROR(
            UPPER(
                IF(MAX(IFERROR(SEARCH("WD",MAIN!G417:J417), 0))&gt;0, "WD",
                IF(MAX(IFERROR(SEARCH("NS",MAIN!G417:J417), 0))&gt;0, "NS",
                IF(MAX(IFERROR(SEARCH("NC",MAIN!G417:J417), 0))&gt;0, "NC",
                IF(MAX(IFERROR(SEARCH("DQ",MAIN!G417:J417), 0))&gt;0, "DQ",
                IF(ISNUMBER(SEARCH("WD",MAIN!K417)), "WD",
                IF(ISNUMBER(SEARCH("NS",MAIN!K417)), "NS",
                IF(ISNUMBER(SEARCH("NC",MAIN!K417)), "NC",
                IF(ISNUMBER(SEARCH("DQ",MAIN!K417)), "DQ",
                IF(ISNUMBER(SEARCH("A",MAIN!K417)), 0,
                IF(OR(MAIN!K417=0,MAIN!K417=""), 0, --TRIM(MAIN!K417)))))))))))),
            0
        )
    ),
    IFERROR(
        UPPER(
            IF(MAX(IFERROR(SEARCH("WD",MAIN!G417:J417), 0))&gt;0, "WD",
            IF(MAX(IFERROR(SEARCH("NS",MAIN!G417:J417), 0))&gt;0, "NS",
            IF(MAX(IFERROR(SEARCH("NC",MAIN!G417:J417), 0))&gt;0, "NC",
            IF(MAX(IFERROR(SEARCH("DQ",MAIN!G417:J417), 0))&gt;0, "DQ",
            IF(ISNUMBER(SEARCH("WD",MAIN!K417)), "WD",
            IF(ISNUMBER(SEARCH("NS",MAIN!K417)), "NS",
            IF(ISNUMBER(SEARCH("NC",MAIN!K417)), "NC",
            IF(ISNUMBER(SEARCH("DQ",MAIN!K417)), "DQ",
            IF(ISNUMBER(SEARCH("A",MAIN!K417)), 0,
            IF(OR(MAIN!K417=0,MAIN!K417=""), 0, --TRIM(MAIN!K417)))))))))))),
        0
    )
)</f>
        <v>0</v>
      </c>
    </row>
    <row r="418" spans="1:11" x14ac:dyDescent="0.25">
      <c r="A418" t="str">
        <f>IF(ISBLANK(MAIN!A418), "--", IFERROR(PROPER(SUBSTITUTE(SUBSTITUTE(SUBSTITUTE(SUBSTITUTE(SUBSTITUTE(SUBSTITUTE(SUBSTITUTE(SUBSTITUTE(SUBSTITUTE(SUBSTITUTE(LEFT(MAIN!A418, FIND(",",MAIN!A418) -1), "0", ""), "1", ""), "2", ""), "3", ""), "4", ""), "5", ""), "6", ""), "7", ""), "8", ""), "9", "")), PROPER(SUBSTITUTE(SUBSTITUTE(SUBSTITUTE(SUBSTITUTE(SUBSTITUTE(SUBSTITUTE(SUBSTITUTE(SUBSTITUTE(SUBSTITUTE(SUBSTITUTE(MAIN!A418, "0", ""), "1", ""), "2", ""), "3", ""), "4", ""), "5", ""), "6", ""), "7", ""), "8", ""), "9", ""))))</f>
        <v>--</v>
      </c>
      <c r="B418" t="str">
        <f>IF(ISBLANK(MAIN!B418), "--", IFERROR(PROPER(SUBSTITUTE(SUBSTITUTE(SUBSTITUTE(SUBSTITUTE(SUBSTITUTE(SUBSTITUTE(SUBSTITUTE(SUBSTITUTE(SUBSTITUTE(SUBSTITUTE(LEFT(MAIN!B418, FIND(",",MAIN!B418) -1), "0", ""), "1", ""), "2", ""), "3", ""), "4", ""), "5", ""), "6", ""), "7", ""), "8", ""), "9", "")), PROPER(SUBSTITUTE(SUBSTITUTE(SUBSTITUTE(SUBSTITUTE(SUBSTITUTE(SUBSTITUTE(SUBSTITUTE(SUBSTITUTE(SUBSTITUTE(SUBSTITUTE(MAIN!B418, "0", ""), "1", ""), "2", ""), "3", ""), "4", ""), "5", ""), "6", ""), "7", ""), "8", ""), "9", ""))))</f>
        <v>--</v>
      </c>
      <c r="C418" t="str">
        <f>IF(ISBLANK(MAIN!C418), "--", IFERROR(PROPER(SUBSTITUTE(SUBSTITUTE(SUBSTITUTE(SUBSTITUTE(SUBSTITUTE(SUBSTITUTE(SUBSTITUTE(SUBSTITUTE(SUBSTITUTE(SUBSTITUTE(LEFT(MAIN!C418, FIND(",",MAIN!C418) -1), "0", ""), "1", ""), "2", ""), "3", ""), "4", ""), "5", ""), "6", ""), "7", ""), "8", ""), "9", "")), PROPER(SUBSTITUTE(SUBSTITUTE(SUBSTITUTE(SUBSTITUTE(SUBSTITUTE(SUBSTITUTE(SUBSTITUTE(SUBSTITUTE(SUBSTITUTE(SUBSTITUTE(MAIN!C418, "0", ""), "1", ""), "2", ""), "3", ""), "4", ""), "5", ""), "6", ""), "7", ""), "8", ""), "9", ""))))</f>
        <v>--</v>
      </c>
      <c r="D418" t="str">
        <f>IF(ISBLANK(MAIN!D418), "--", IF(ISNUMBER(MATCH(SUBSTITUTE(LEFT(MAIN!D418, IFERROR(FIND(",", MAIN!D418)-1, LEN(MAIN!D418))), " ", ""), lookup_values!$B$2:$B$51, 0)), UPPER(SUBSTITUTE(LEFT(MAIN!D418, IFERROR(FIND(",", MAIN!D418)-1, LEN(MAIN!D418))), " ", "")), IF(ISNA(VLOOKUP(SUBSTITUTE(LEFT(MAIN!D418, IFERROR(FIND(",", MAIN!D418)-1, LEN(MAIN!D418))), " ", ""), lookup_values!$A$2:$B$51, 2, FALSE)), "--", VLOOKUP(SUBSTITUTE(LEFT(MAIN!D418, IFERROR(FIND(",", MAIN!D418)-1, LEN(MAIN!D418))), " ", ""), lookup_values!$A$2:$B$51, 2, FALSE))))</f>
        <v>--</v>
      </c>
      <c r="E418" t="str">
        <f>IF(CLEAN_DATA!D418&lt;&gt;"--","US",IF(ISBLANK(MAIN!E418), "--", IF(ISNUMBER(MATCH(SUBSTITUTE(LEFT(MAIN!E418, IFERROR(FIND(",", MAIN!E418)-1, LEN(MAIN!E418))), " ", ""), lookup_values!$E$2:$E$197, 0)), UPPER(SUBSTITUTE(LEFT(MAIN!E418, IFERROR(FIND(",", MAIN!E418)-1, LEN(MAIN!E418))), " ", "")), IF(ISNA(VLOOKUP(SUBSTITUTE(LEFT(MAIN!E418, IFERROR(FIND(",", MAIN!E418)-1, LEN(MAIN!E418))), " ", ""), lookup_values!$D$2:$E$197, 2, FALSE)), "--", VLOOKUP(SUBSTITUTE(LEFT(MAIN!E418, IFERROR(FIND(",", MAIN!E418)-1, LEN(MAIN!E418))), " ", ""), lookup_values!$D$2:$E$197, 2, FALSE)))))</f>
        <v>--</v>
      </c>
      <c r="F418" t="str">
        <f>IF(ISBLANK(MAIN!F418), "", IF(AND(ISNUMBER(VALUE(TRIM(MAIN!F418))), LEN(TRIM(MAIN!F418))=4), VALUE(TRIM(MAIN!F418)), ""))</f>
        <v/>
      </c>
      <c r="G418">
        <f>IF(ISBLANK(MAIN!G418), 0, IF(ISNUMBER(VALUE(TRIM(MAIN!G418))), VALUE(TRIM(MAIN!G418)), 0))</f>
        <v>0</v>
      </c>
      <c r="H418">
        <f>IF(ISBLANK(MAIN!H418), 0, IF(ISNUMBER(VALUE(TRIM(MAIN!H418))), VALUE(TRIM(MAIN!H418)), 0))</f>
        <v>0</v>
      </c>
      <c r="I418">
        <f>IF(ISBLANK(MAIN!I418), 0, IF(ISNUMBER(VALUE(TRIM(MAIN!I418))), VALUE(TRIM(MAIN!I418)), 0))</f>
        <v>0</v>
      </c>
      <c r="J418">
        <f>IF(ISBLANK(MAIN!J418), 0, IF(ISNUMBER(VALUE(TRIM(MAIN!J418))), VALUE(TRIM(MAIN!J418)), 0))</f>
        <v>0</v>
      </c>
      <c r="K418" cm="1">
        <f t="array" ref="K418">IFERROR(
    VALUE(
        IFERROR(
            UPPER(
                IF(MAX(IFERROR(SEARCH("WD",MAIN!G418:J418), 0))&gt;0, "WD",
                IF(MAX(IFERROR(SEARCH("NS",MAIN!G418:J418), 0))&gt;0, "NS",
                IF(MAX(IFERROR(SEARCH("NC",MAIN!G418:J418), 0))&gt;0, "NC",
                IF(MAX(IFERROR(SEARCH("DQ",MAIN!G418:J418), 0))&gt;0, "DQ",
                IF(ISNUMBER(SEARCH("WD",MAIN!K418)), "WD",
                IF(ISNUMBER(SEARCH("NS",MAIN!K418)), "NS",
                IF(ISNUMBER(SEARCH("NC",MAIN!K418)), "NC",
                IF(ISNUMBER(SEARCH("DQ",MAIN!K418)), "DQ",
                IF(ISNUMBER(SEARCH("A",MAIN!K418)), 0,
                IF(OR(MAIN!K418=0,MAIN!K418=""), 0, --TRIM(MAIN!K418)))))))))))),
            0
        )
    ),
    IFERROR(
        UPPER(
            IF(MAX(IFERROR(SEARCH("WD",MAIN!G418:J418), 0))&gt;0, "WD",
            IF(MAX(IFERROR(SEARCH("NS",MAIN!G418:J418), 0))&gt;0, "NS",
            IF(MAX(IFERROR(SEARCH("NC",MAIN!G418:J418), 0))&gt;0, "NC",
            IF(MAX(IFERROR(SEARCH("DQ",MAIN!G418:J418), 0))&gt;0, "DQ",
            IF(ISNUMBER(SEARCH("WD",MAIN!K418)), "WD",
            IF(ISNUMBER(SEARCH("NS",MAIN!K418)), "NS",
            IF(ISNUMBER(SEARCH("NC",MAIN!K418)), "NC",
            IF(ISNUMBER(SEARCH("DQ",MAIN!K418)), "DQ",
            IF(ISNUMBER(SEARCH("A",MAIN!K418)), 0,
            IF(OR(MAIN!K418=0,MAIN!K418=""), 0, --TRIM(MAIN!K418)))))))))))),
        0
    )
)</f>
        <v>0</v>
      </c>
    </row>
    <row r="419" spans="1:11" x14ac:dyDescent="0.25">
      <c r="A419" t="str">
        <f>IF(ISBLANK(MAIN!A419), "--", IFERROR(PROPER(SUBSTITUTE(SUBSTITUTE(SUBSTITUTE(SUBSTITUTE(SUBSTITUTE(SUBSTITUTE(SUBSTITUTE(SUBSTITUTE(SUBSTITUTE(SUBSTITUTE(LEFT(MAIN!A419, FIND(",",MAIN!A419) -1), "0", ""), "1", ""), "2", ""), "3", ""), "4", ""), "5", ""), "6", ""), "7", ""), "8", ""), "9", "")), PROPER(SUBSTITUTE(SUBSTITUTE(SUBSTITUTE(SUBSTITUTE(SUBSTITUTE(SUBSTITUTE(SUBSTITUTE(SUBSTITUTE(SUBSTITUTE(SUBSTITUTE(MAIN!A419, "0", ""), "1", ""), "2", ""), "3", ""), "4", ""), "5", ""), "6", ""), "7", ""), "8", ""), "9", ""))))</f>
        <v>--</v>
      </c>
      <c r="B419" t="str">
        <f>IF(ISBLANK(MAIN!B419), "--", IFERROR(PROPER(SUBSTITUTE(SUBSTITUTE(SUBSTITUTE(SUBSTITUTE(SUBSTITUTE(SUBSTITUTE(SUBSTITUTE(SUBSTITUTE(SUBSTITUTE(SUBSTITUTE(LEFT(MAIN!B419, FIND(",",MAIN!B419) -1), "0", ""), "1", ""), "2", ""), "3", ""), "4", ""), "5", ""), "6", ""), "7", ""), "8", ""), "9", "")), PROPER(SUBSTITUTE(SUBSTITUTE(SUBSTITUTE(SUBSTITUTE(SUBSTITUTE(SUBSTITUTE(SUBSTITUTE(SUBSTITUTE(SUBSTITUTE(SUBSTITUTE(MAIN!B419, "0", ""), "1", ""), "2", ""), "3", ""), "4", ""), "5", ""), "6", ""), "7", ""), "8", ""), "9", ""))))</f>
        <v>--</v>
      </c>
      <c r="C419" t="str">
        <f>IF(ISBLANK(MAIN!C419), "--", IFERROR(PROPER(SUBSTITUTE(SUBSTITUTE(SUBSTITUTE(SUBSTITUTE(SUBSTITUTE(SUBSTITUTE(SUBSTITUTE(SUBSTITUTE(SUBSTITUTE(SUBSTITUTE(LEFT(MAIN!C419, FIND(",",MAIN!C419) -1), "0", ""), "1", ""), "2", ""), "3", ""), "4", ""), "5", ""), "6", ""), "7", ""), "8", ""), "9", "")), PROPER(SUBSTITUTE(SUBSTITUTE(SUBSTITUTE(SUBSTITUTE(SUBSTITUTE(SUBSTITUTE(SUBSTITUTE(SUBSTITUTE(SUBSTITUTE(SUBSTITUTE(MAIN!C419, "0", ""), "1", ""), "2", ""), "3", ""), "4", ""), "5", ""), "6", ""), "7", ""), "8", ""), "9", ""))))</f>
        <v>--</v>
      </c>
      <c r="D419" t="str">
        <f>IF(ISBLANK(MAIN!D419), "--", IF(ISNUMBER(MATCH(SUBSTITUTE(LEFT(MAIN!D419, IFERROR(FIND(",", MAIN!D419)-1, LEN(MAIN!D419))), " ", ""), lookup_values!$B$2:$B$51, 0)), UPPER(SUBSTITUTE(LEFT(MAIN!D419, IFERROR(FIND(",", MAIN!D419)-1, LEN(MAIN!D419))), " ", "")), IF(ISNA(VLOOKUP(SUBSTITUTE(LEFT(MAIN!D419, IFERROR(FIND(",", MAIN!D419)-1, LEN(MAIN!D419))), " ", ""), lookup_values!$A$2:$B$51, 2, FALSE)), "--", VLOOKUP(SUBSTITUTE(LEFT(MAIN!D419, IFERROR(FIND(",", MAIN!D419)-1, LEN(MAIN!D419))), " ", ""), lookup_values!$A$2:$B$51, 2, FALSE))))</f>
        <v>--</v>
      </c>
      <c r="E419" t="str">
        <f>IF(CLEAN_DATA!D419&lt;&gt;"--","US",IF(ISBLANK(MAIN!E419), "--", IF(ISNUMBER(MATCH(SUBSTITUTE(LEFT(MAIN!E419, IFERROR(FIND(",", MAIN!E419)-1, LEN(MAIN!E419))), " ", ""), lookup_values!$E$2:$E$197, 0)), UPPER(SUBSTITUTE(LEFT(MAIN!E419, IFERROR(FIND(",", MAIN!E419)-1, LEN(MAIN!E419))), " ", "")), IF(ISNA(VLOOKUP(SUBSTITUTE(LEFT(MAIN!E419, IFERROR(FIND(",", MAIN!E419)-1, LEN(MAIN!E419))), " ", ""), lookup_values!$D$2:$E$197, 2, FALSE)), "--", VLOOKUP(SUBSTITUTE(LEFT(MAIN!E419, IFERROR(FIND(",", MAIN!E419)-1, LEN(MAIN!E419))), " ", ""), lookup_values!$D$2:$E$197, 2, FALSE)))))</f>
        <v>--</v>
      </c>
      <c r="F419" t="str">
        <f>IF(ISBLANK(MAIN!F419), "", IF(AND(ISNUMBER(VALUE(TRIM(MAIN!F419))), LEN(TRIM(MAIN!F419))=4), VALUE(TRIM(MAIN!F419)), ""))</f>
        <v/>
      </c>
      <c r="G419">
        <f>IF(ISBLANK(MAIN!G419), 0, IF(ISNUMBER(VALUE(TRIM(MAIN!G419))), VALUE(TRIM(MAIN!G419)), 0))</f>
        <v>0</v>
      </c>
      <c r="H419">
        <f>IF(ISBLANK(MAIN!H419), 0, IF(ISNUMBER(VALUE(TRIM(MAIN!H419))), VALUE(TRIM(MAIN!H419)), 0))</f>
        <v>0</v>
      </c>
      <c r="I419">
        <f>IF(ISBLANK(MAIN!I419), 0, IF(ISNUMBER(VALUE(TRIM(MAIN!I419))), VALUE(TRIM(MAIN!I419)), 0))</f>
        <v>0</v>
      </c>
      <c r="J419">
        <f>IF(ISBLANK(MAIN!J419), 0, IF(ISNUMBER(VALUE(TRIM(MAIN!J419))), VALUE(TRIM(MAIN!J419)), 0))</f>
        <v>0</v>
      </c>
      <c r="K419" cm="1">
        <f t="array" ref="K419">IFERROR(
    VALUE(
        IFERROR(
            UPPER(
                IF(MAX(IFERROR(SEARCH("WD",MAIN!G419:J419), 0))&gt;0, "WD",
                IF(MAX(IFERROR(SEARCH("NS",MAIN!G419:J419), 0))&gt;0, "NS",
                IF(MAX(IFERROR(SEARCH("NC",MAIN!G419:J419), 0))&gt;0, "NC",
                IF(MAX(IFERROR(SEARCH("DQ",MAIN!G419:J419), 0))&gt;0, "DQ",
                IF(ISNUMBER(SEARCH("WD",MAIN!K419)), "WD",
                IF(ISNUMBER(SEARCH("NS",MAIN!K419)), "NS",
                IF(ISNUMBER(SEARCH("NC",MAIN!K419)), "NC",
                IF(ISNUMBER(SEARCH("DQ",MAIN!K419)), "DQ",
                IF(ISNUMBER(SEARCH("A",MAIN!K419)), 0,
                IF(OR(MAIN!K419=0,MAIN!K419=""), 0, --TRIM(MAIN!K419)))))))))))),
            0
        )
    ),
    IFERROR(
        UPPER(
            IF(MAX(IFERROR(SEARCH("WD",MAIN!G419:J419), 0))&gt;0, "WD",
            IF(MAX(IFERROR(SEARCH("NS",MAIN!G419:J419), 0))&gt;0, "NS",
            IF(MAX(IFERROR(SEARCH("NC",MAIN!G419:J419), 0))&gt;0, "NC",
            IF(MAX(IFERROR(SEARCH("DQ",MAIN!G419:J419), 0))&gt;0, "DQ",
            IF(ISNUMBER(SEARCH("WD",MAIN!K419)), "WD",
            IF(ISNUMBER(SEARCH("NS",MAIN!K419)), "NS",
            IF(ISNUMBER(SEARCH("NC",MAIN!K419)), "NC",
            IF(ISNUMBER(SEARCH("DQ",MAIN!K419)), "DQ",
            IF(ISNUMBER(SEARCH("A",MAIN!K419)), 0,
            IF(OR(MAIN!K419=0,MAIN!K419=""), 0, --TRIM(MAIN!K419)))))))))))),
        0
    )
)</f>
        <v>0</v>
      </c>
    </row>
    <row r="420" spans="1:11" x14ac:dyDescent="0.25">
      <c r="A420" t="str">
        <f>IF(ISBLANK(MAIN!A420), "--", IFERROR(PROPER(SUBSTITUTE(SUBSTITUTE(SUBSTITUTE(SUBSTITUTE(SUBSTITUTE(SUBSTITUTE(SUBSTITUTE(SUBSTITUTE(SUBSTITUTE(SUBSTITUTE(LEFT(MAIN!A420, FIND(",",MAIN!A420) -1), "0", ""), "1", ""), "2", ""), "3", ""), "4", ""), "5", ""), "6", ""), "7", ""), "8", ""), "9", "")), PROPER(SUBSTITUTE(SUBSTITUTE(SUBSTITUTE(SUBSTITUTE(SUBSTITUTE(SUBSTITUTE(SUBSTITUTE(SUBSTITUTE(SUBSTITUTE(SUBSTITUTE(MAIN!A420, "0", ""), "1", ""), "2", ""), "3", ""), "4", ""), "5", ""), "6", ""), "7", ""), "8", ""), "9", ""))))</f>
        <v>--</v>
      </c>
      <c r="B420" t="str">
        <f>IF(ISBLANK(MAIN!B420), "--", IFERROR(PROPER(SUBSTITUTE(SUBSTITUTE(SUBSTITUTE(SUBSTITUTE(SUBSTITUTE(SUBSTITUTE(SUBSTITUTE(SUBSTITUTE(SUBSTITUTE(SUBSTITUTE(LEFT(MAIN!B420, FIND(",",MAIN!B420) -1), "0", ""), "1", ""), "2", ""), "3", ""), "4", ""), "5", ""), "6", ""), "7", ""), "8", ""), "9", "")), PROPER(SUBSTITUTE(SUBSTITUTE(SUBSTITUTE(SUBSTITUTE(SUBSTITUTE(SUBSTITUTE(SUBSTITUTE(SUBSTITUTE(SUBSTITUTE(SUBSTITUTE(MAIN!B420, "0", ""), "1", ""), "2", ""), "3", ""), "4", ""), "5", ""), "6", ""), "7", ""), "8", ""), "9", ""))))</f>
        <v>--</v>
      </c>
      <c r="C420" t="str">
        <f>IF(ISBLANK(MAIN!C420), "--", IFERROR(PROPER(SUBSTITUTE(SUBSTITUTE(SUBSTITUTE(SUBSTITUTE(SUBSTITUTE(SUBSTITUTE(SUBSTITUTE(SUBSTITUTE(SUBSTITUTE(SUBSTITUTE(LEFT(MAIN!C420, FIND(",",MAIN!C420) -1), "0", ""), "1", ""), "2", ""), "3", ""), "4", ""), "5", ""), "6", ""), "7", ""), "8", ""), "9", "")), PROPER(SUBSTITUTE(SUBSTITUTE(SUBSTITUTE(SUBSTITUTE(SUBSTITUTE(SUBSTITUTE(SUBSTITUTE(SUBSTITUTE(SUBSTITUTE(SUBSTITUTE(MAIN!C420, "0", ""), "1", ""), "2", ""), "3", ""), "4", ""), "5", ""), "6", ""), "7", ""), "8", ""), "9", ""))))</f>
        <v>--</v>
      </c>
      <c r="D420" t="str">
        <f>IF(ISBLANK(MAIN!D420), "--", IF(ISNUMBER(MATCH(SUBSTITUTE(LEFT(MAIN!D420, IFERROR(FIND(",", MAIN!D420)-1, LEN(MAIN!D420))), " ", ""), lookup_values!$B$2:$B$51, 0)), UPPER(SUBSTITUTE(LEFT(MAIN!D420, IFERROR(FIND(",", MAIN!D420)-1, LEN(MAIN!D420))), " ", "")), IF(ISNA(VLOOKUP(SUBSTITUTE(LEFT(MAIN!D420, IFERROR(FIND(",", MAIN!D420)-1, LEN(MAIN!D420))), " ", ""), lookup_values!$A$2:$B$51, 2, FALSE)), "--", VLOOKUP(SUBSTITUTE(LEFT(MAIN!D420, IFERROR(FIND(",", MAIN!D420)-1, LEN(MAIN!D420))), " ", ""), lookup_values!$A$2:$B$51, 2, FALSE))))</f>
        <v>--</v>
      </c>
      <c r="E420" t="str">
        <f>IF(CLEAN_DATA!D420&lt;&gt;"--","US",IF(ISBLANK(MAIN!E420), "--", IF(ISNUMBER(MATCH(SUBSTITUTE(LEFT(MAIN!E420, IFERROR(FIND(",", MAIN!E420)-1, LEN(MAIN!E420))), " ", ""), lookup_values!$E$2:$E$197, 0)), UPPER(SUBSTITUTE(LEFT(MAIN!E420, IFERROR(FIND(",", MAIN!E420)-1, LEN(MAIN!E420))), " ", "")), IF(ISNA(VLOOKUP(SUBSTITUTE(LEFT(MAIN!E420, IFERROR(FIND(",", MAIN!E420)-1, LEN(MAIN!E420))), " ", ""), lookup_values!$D$2:$E$197, 2, FALSE)), "--", VLOOKUP(SUBSTITUTE(LEFT(MAIN!E420, IFERROR(FIND(",", MAIN!E420)-1, LEN(MAIN!E420))), " ", ""), lookup_values!$D$2:$E$197, 2, FALSE)))))</f>
        <v>--</v>
      </c>
      <c r="F420" t="str">
        <f>IF(ISBLANK(MAIN!F420), "", IF(AND(ISNUMBER(VALUE(TRIM(MAIN!F420))), LEN(TRIM(MAIN!F420))=4), VALUE(TRIM(MAIN!F420)), ""))</f>
        <v/>
      </c>
      <c r="G420">
        <f>IF(ISBLANK(MAIN!G420), 0, IF(ISNUMBER(VALUE(TRIM(MAIN!G420))), VALUE(TRIM(MAIN!G420)), 0))</f>
        <v>0</v>
      </c>
      <c r="H420">
        <f>IF(ISBLANK(MAIN!H420), 0, IF(ISNUMBER(VALUE(TRIM(MAIN!H420))), VALUE(TRIM(MAIN!H420)), 0))</f>
        <v>0</v>
      </c>
      <c r="I420">
        <f>IF(ISBLANK(MAIN!I420), 0, IF(ISNUMBER(VALUE(TRIM(MAIN!I420))), VALUE(TRIM(MAIN!I420)), 0))</f>
        <v>0</v>
      </c>
      <c r="J420">
        <f>IF(ISBLANK(MAIN!J420), 0, IF(ISNUMBER(VALUE(TRIM(MAIN!J420))), VALUE(TRIM(MAIN!J420)), 0))</f>
        <v>0</v>
      </c>
      <c r="K420" cm="1">
        <f t="array" ref="K420">IFERROR(
    VALUE(
        IFERROR(
            UPPER(
                IF(MAX(IFERROR(SEARCH("WD",MAIN!G420:J420), 0))&gt;0, "WD",
                IF(MAX(IFERROR(SEARCH("NS",MAIN!G420:J420), 0))&gt;0, "NS",
                IF(MAX(IFERROR(SEARCH("NC",MAIN!G420:J420), 0))&gt;0, "NC",
                IF(MAX(IFERROR(SEARCH("DQ",MAIN!G420:J420), 0))&gt;0, "DQ",
                IF(ISNUMBER(SEARCH("WD",MAIN!K420)), "WD",
                IF(ISNUMBER(SEARCH("NS",MAIN!K420)), "NS",
                IF(ISNUMBER(SEARCH("NC",MAIN!K420)), "NC",
                IF(ISNUMBER(SEARCH("DQ",MAIN!K420)), "DQ",
                IF(ISNUMBER(SEARCH("A",MAIN!K420)), 0,
                IF(OR(MAIN!K420=0,MAIN!K420=""), 0, --TRIM(MAIN!K420)))))))))))),
            0
        )
    ),
    IFERROR(
        UPPER(
            IF(MAX(IFERROR(SEARCH("WD",MAIN!G420:J420), 0))&gt;0, "WD",
            IF(MAX(IFERROR(SEARCH("NS",MAIN!G420:J420), 0))&gt;0, "NS",
            IF(MAX(IFERROR(SEARCH("NC",MAIN!G420:J420), 0))&gt;0, "NC",
            IF(MAX(IFERROR(SEARCH("DQ",MAIN!G420:J420), 0))&gt;0, "DQ",
            IF(ISNUMBER(SEARCH("WD",MAIN!K420)), "WD",
            IF(ISNUMBER(SEARCH("NS",MAIN!K420)), "NS",
            IF(ISNUMBER(SEARCH("NC",MAIN!K420)), "NC",
            IF(ISNUMBER(SEARCH("DQ",MAIN!K420)), "DQ",
            IF(ISNUMBER(SEARCH("A",MAIN!K420)), 0,
            IF(OR(MAIN!K420=0,MAIN!K420=""), 0, --TRIM(MAIN!K420)))))))))))),
        0
    )
)</f>
        <v>0</v>
      </c>
    </row>
    <row r="421" spans="1:11" x14ac:dyDescent="0.25">
      <c r="A421" t="str">
        <f>IF(ISBLANK(MAIN!A421), "--", IFERROR(PROPER(SUBSTITUTE(SUBSTITUTE(SUBSTITUTE(SUBSTITUTE(SUBSTITUTE(SUBSTITUTE(SUBSTITUTE(SUBSTITUTE(SUBSTITUTE(SUBSTITUTE(LEFT(MAIN!A421, FIND(",",MAIN!A421) -1), "0", ""), "1", ""), "2", ""), "3", ""), "4", ""), "5", ""), "6", ""), "7", ""), "8", ""), "9", "")), PROPER(SUBSTITUTE(SUBSTITUTE(SUBSTITUTE(SUBSTITUTE(SUBSTITUTE(SUBSTITUTE(SUBSTITUTE(SUBSTITUTE(SUBSTITUTE(SUBSTITUTE(MAIN!A421, "0", ""), "1", ""), "2", ""), "3", ""), "4", ""), "5", ""), "6", ""), "7", ""), "8", ""), "9", ""))))</f>
        <v>--</v>
      </c>
      <c r="B421" t="str">
        <f>IF(ISBLANK(MAIN!B421), "--", IFERROR(PROPER(SUBSTITUTE(SUBSTITUTE(SUBSTITUTE(SUBSTITUTE(SUBSTITUTE(SUBSTITUTE(SUBSTITUTE(SUBSTITUTE(SUBSTITUTE(SUBSTITUTE(LEFT(MAIN!B421, FIND(",",MAIN!B421) -1), "0", ""), "1", ""), "2", ""), "3", ""), "4", ""), "5", ""), "6", ""), "7", ""), "8", ""), "9", "")), PROPER(SUBSTITUTE(SUBSTITUTE(SUBSTITUTE(SUBSTITUTE(SUBSTITUTE(SUBSTITUTE(SUBSTITUTE(SUBSTITUTE(SUBSTITUTE(SUBSTITUTE(MAIN!B421, "0", ""), "1", ""), "2", ""), "3", ""), "4", ""), "5", ""), "6", ""), "7", ""), "8", ""), "9", ""))))</f>
        <v>--</v>
      </c>
      <c r="C421" t="str">
        <f>IF(ISBLANK(MAIN!C421), "--", IFERROR(PROPER(SUBSTITUTE(SUBSTITUTE(SUBSTITUTE(SUBSTITUTE(SUBSTITUTE(SUBSTITUTE(SUBSTITUTE(SUBSTITUTE(SUBSTITUTE(SUBSTITUTE(LEFT(MAIN!C421, FIND(",",MAIN!C421) -1), "0", ""), "1", ""), "2", ""), "3", ""), "4", ""), "5", ""), "6", ""), "7", ""), "8", ""), "9", "")), PROPER(SUBSTITUTE(SUBSTITUTE(SUBSTITUTE(SUBSTITUTE(SUBSTITUTE(SUBSTITUTE(SUBSTITUTE(SUBSTITUTE(SUBSTITUTE(SUBSTITUTE(MAIN!C421, "0", ""), "1", ""), "2", ""), "3", ""), "4", ""), "5", ""), "6", ""), "7", ""), "8", ""), "9", ""))))</f>
        <v>--</v>
      </c>
      <c r="D421" t="str">
        <f>IF(ISBLANK(MAIN!D421), "--", IF(ISNUMBER(MATCH(SUBSTITUTE(LEFT(MAIN!D421, IFERROR(FIND(",", MAIN!D421)-1, LEN(MAIN!D421))), " ", ""), lookup_values!$B$2:$B$51, 0)), UPPER(SUBSTITUTE(LEFT(MAIN!D421, IFERROR(FIND(",", MAIN!D421)-1, LEN(MAIN!D421))), " ", "")), IF(ISNA(VLOOKUP(SUBSTITUTE(LEFT(MAIN!D421, IFERROR(FIND(",", MAIN!D421)-1, LEN(MAIN!D421))), " ", ""), lookup_values!$A$2:$B$51, 2, FALSE)), "--", VLOOKUP(SUBSTITUTE(LEFT(MAIN!D421, IFERROR(FIND(",", MAIN!D421)-1, LEN(MAIN!D421))), " ", ""), lookup_values!$A$2:$B$51, 2, FALSE))))</f>
        <v>--</v>
      </c>
      <c r="E421" t="str">
        <f>IF(CLEAN_DATA!D421&lt;&gt;"--","US",IF(ISBLANK(MAIN!E421), "--", IF(ISNUMBER(MATCH(SUBSTITUTE(LEFT(MAIN!E421, IFERROR(FIND(",", MAIN!E421)-1, LEN(MAIN!E421))), " ", ""), lookup_values!$E$2:$E$197, 0)), UPPER(SUBSTITUTE(LEFT(MAIN!E421, IFERROR(FIND(",", MAIN!E421)-1, LEN(MAIN!E421))), " ", "")), IF(ISNA(VLOOKUP(SUBSTITUTE(LEFT(MAIN!E421, IFERROR(FIND(",", MAIN!E421)-1, LEN(MAIN!E421))), " ", ""), lookup_values!$D$2:$E$197, 2, FALSE)), "--", VLOOKUP(SUBSTITUTE(LEFT(MAIN!E421, IFERROR(FIND(",", MAIN!E421)-1, LEN(MAIN!E421))), " ", ""), lookup_values!$D$2:$E$197, 2, FALSE)))))</f>
        <v>--</v>
      </c>
      <c r="F421" t="str">
        <f>IF(ISBLANK(MAIN!F421), "", IF(AND(ISNUMBER(VALUE(TRIM(MAIN!F421))), LEN(TRIM(MAIN!F421))=4), VALUE(TRIM(MAIN!F421)), ""))</f>
        <v/>
      </c>
      <c r="G421">
        <f>IF(ISBLANK(MAIN!G421), 0, IF(ISNUMBER(VALUE(TRIM(MAIN!G421))), VALUE(TRIM(MAIN!G421)), 0))</f>
        <v>0</v>
      </c>
      <c r="H421">
        <f>IF(ISBLANK(MAIN!H421), 0, IF(ISNUMBER(VALUE(TRIM(MAIN!H421))), VALUE(TRIM(MAIN!H421)), 0))</f>
        <v>0</v>
      </c>
      <c r="I421">
        <f>IF(ISBLANK(MAIN!I421), 0, IF(ISNUMBER(VALUE(TRIM(MAIN!I421))), VALUE(TRIM(MAIN!I421)), 0))</f>
        <v>0</v>
      </c>
      <c r="J421">
        <f>IF(ISBLANK(MAIN!J421), 0, IF(ISNUMBER(VALUE(TRIM(MAIN!J421))), VALUE(TRIM(MAIN!J421)), 0))</f>
        <v>0</v>
      </c>
      <c r="K421" cm="1">
        <f t="array" ref="K421">IFERROR(
    VALUE(
        IFERROR(
            UPPER(
                IF(MAX(IFERROR(SEARCH("WD",MAIN!G421:J421), 0))&gt;0, "WD",
                IF(MAX(IFERROR(SEARCH("NS",MAIN!G421:J421), 0))&gt;0, "NS",
                IF(MAX(IFERROR(SEARCH("NC",MAIN!G421:J421), 0))&gt;0, "NC",
                IF(MAX(IFERROR(SEARCH("DQ",MAIN!G421:J421), 0))&gt;0, "DQ",
                IF(ISNUMBER(SEARCH("WD",MAIN!K421)), "WD",
                IF(ISNUMBER(SEARCH("NS",MAIN!K421)), "NS",
                IF(ISNUMBER(SEARCH("NC",MAIN!K421)), "NC",
                IF(ISNUMBER(SEARCH("DQ",MAIN!K421)), "DQ",
                IF(ISNUMBER(SEARCH("A",MAIN!K421)), 0,
                IF(OR(MAIN!K421=0,MAIN!K421=""), 0, --TRIM(MAIN!K421)))))))))))),
            0
        )
    ),
    IFERROR(
        UPPER(
            IF(MAX(IFERROR(SEARCH("WD",MAIN!G421:J421), 0))&gt;0, "WD",
            IF(MAX(IFERROR(SEARCH("NS",MAIN!G421:J421), 0))&gt;0, "NS",
            IF(MAX(IFERROR(SEARCH("NC",MAIN!G421:J421), 0))&gt;0, "NC",
            IF(MAX(IFERROR(SEARCH("DQ",MAIN!G421:J421), 0))&gt;0, "DQ",
            IF(ISNUMBER(SEARCH("WD",MAIN!K421)), "WD",
            IF(ISNUMBER(SEARCH("NS",MAIN!K421)), "NS",
            IF(ISNUMBER(SEARCH("NC",MAIN!K421)), "NC",
            IF(ISNUMBER(SEARCH("DQ",MAIN!K421)), "DQ",
            IF(ISNUMBER(SEARCH("A",MAIN!K421)), 0,
            IF(OR(MAIN!K421=0,MAIN!K421=""), 0, --TRIM(MAIN!K421)))))))))))),
        0
    )
)</f>
        <v>0</v>
      </c>
    </row>
    <row r="422" spans="1:11" x14ac:dyDescent="0.25">
      <c r="A422" t="str">
        <f>IF(ISBLANK(MAIN!A422), "--", IFERROR(PROPER(SUBSTITUTE(SUBSTITUTE(SUBSTITUTE(SUBSTITUTE(SUBSTITUTE(SUBSTITUTE(SUBSTITUTE(SUBSTITUTE(SUBSTITUTE(SUBSTITUTE(LEFT(MAIN!A422, FIND(",",MAIN!A422) -1), "0", ""), "1", ""), "2", ""), "3", ""), "4", ""), "5", ""), "6", ""), "7", ""), "8", ""), "9", "")), PROPER(SUBSTITUTE(SUBSTITUTE(SUBSTITUTE(SUBSTITUTE(SUBSTITUTE(SUBSTITUTE(SUBSTITUTE(SUBSTITUTE(SUBSTITUTE(SUBSTITUTE(MAIN!A422, "0", ""), "1", ""), "2", ""), "3", ""), "4", ""), "5", ""), "6", ""), "7", ""), "8", ""), "9", ""))))</f>
        <v>--</v>
      </c>
      <c r="B422" t="str">
        <f>IF(ISBLANK(MAIN!B422), "--", IFERROR(PROPER(SUBSTITUTE(SUBSTITUTE(SUBSTITUTE(SUBSTITUTE(SUBSTITUTE(SUBSTITUTE(SUBSTITUTE(SUBSTITUTE(SUBSTITUTE(SUBSTITUTE(LEFT(MAIN!B422, FIND(",",MAIN!B422) -1), "0", ""), "1", ""), "2", ""), "3", ""), "4", ""), "5", ""), "6", ""), "7", ""), "8", ""), "9", "")), PROPER(SUBSTITUTE(SUBSTITUTE(SUBSTITUTE(SUBSTITUTE(SUBSTITUTE(SUBSTITUTE(SUBSTITUTE(SUBSTITUTE(SUBSTITUTE(SUBSTITUTE(MAIN!B422, "0", ""), "1", ""), "2", ""), "3", ""), "4", ""), "5", ""), "6", ""), "7", ""), "8", ""), "9", ""))))</f>
        <v>--</v>
      </c>
      <c r="C422" t="str">
        <f>IF(ISBLANK(MAIN!C422), "--", IFERROR(PROPER(SUBSTITUTE(SUBSTITUTE(SUBSTITUTE(SUBSTITUTE(SUBSTITUTE(SUBSTITUTE(SUBSTITUTE(SUBSTITUTE(SUBSTITUTE(SUBSTITUTE(LEFT(MAIN!C422, FIND(",",MAIN!C422) -1), "0", ""), "1", ""), "2", ""), "3", ""), "4", ""), "5", ""), "6", ""), "7", ""), "8", ""), "9", "")), PROPER(SUBSTITUTE(SUBSTITUTE(SUBSTITUTE(SUBSTITUTE(SUBSTITUTE(SUBSTITUTE(SUBSTITUTE(SUBSTITUTE(SUBSTITUTE(SUBSTITUTE(MAIN!C422, "0", ""), "1", ""), "2", ""), "3", ""), "4", ""), "5", ""), "6", ""), "7", ""), "8", ""), "9", ""))))</f>
        <v>--</v>
      </c>
      <c r="D422" t="str">
        <f>IF(ISBLANK(MAIN!D422), "--", IF(ISNUMBER(MATCH(SUBSTITUTE(LEFT(MAIN!D422, IFERROR(FIND(",", MAIN!D422)-1, LEN(MAIN!D422))), " ", ""), lookup_values!$B$2:$B$51, 0)), UPPER(SUBSTITUTE(LEFT(MAIN!D422, IFERROR(FIND(",", MAIN!D422)-1, LEN(MAIN!D422))), " ", "")), IF(ISNA(VLOOKUP(SUBSTITUTE(LEFT(MAIN!D422, IFERROR(FIND(",", MAIN!D422)-1, LEN(MAIN!D422))), " ", ""), lookup_values!$A$2:$B$51, 2, FALSE)), "--", VLOOKUP(SUBSTITUTE(LEFT(MAIN!D422, IFERROR(FIND(",", MAIN!D422)-1, LEN(MAIN!D422))), " ", ""), lookup_values!$A$2:$B$51, 2, FALSE))))</f>
        <v>--</v>
      </c>
      <c r="E422" t="str">
        <f>IF(CLEAN_DATA!D422&lt;&gt;"--","US",IF(ISBLANK(MAIN!E422), "--", IF(ISNUMBER(MATCH(SUBSTITUTE(LEFT(MAIN!E422, IFERROR(FIND(",", MAIN!E422)-1, LEN(MAIN!E422))), " ", ""), lookup_values!$E$2:$E$197, 0)), UPPER(SUBSTITUTE(LEFT(MAIN!E422, IFERROR(FIND(",", MAIN!E422)-1, LEN(MAIN!E422))), " ", "")), IF(ISNA(VLOOKUP(SUBSTITUTE(LEFT(MAIN!E422, IFERROR(FIND(",", MAIN!E422)-1, LEN(MAIN!E422))), " ", ""), lookup_values!$D$2:$E$197, 2, FALSE)), "--", VLOOKUP(SUBSTITUTE(LEFT(MAIN!E422, IFERROR(FIND(",", MAIN!E422)-1, LEN(MAIN!E422))), " ", ""), lookup_values!$D$2:$E$197, 2, FALSE)))))</f>
        <v>--</v>
      </c>
      <c r="F422" t="str">
        <f>IF(ISBLANK(MAIN!F422), "", IF(AND(ISNUMBER(VALUE(TRIM(MAIN!F422))), LEN(TRIM(MAIN!F422))=4), VALUE(TRIM(MAIN!F422)), ""))</f>
        <v/>
      </c>
      <c r="G422">
        <f>IF(ISBLANK(MAIN!G422), 0, IF(ISNUMBER(VALUE(TRIM(MAIN!G422))), VALUE(TRIM(MAIN!G422)), 0))</f>
        <v>0</v>
      </c>
      <c r="H422">
        <f>IF(ISBLANK(MAIN!H422), 0, IF(ISNUMBER(VALUE(TRIM(MAIN!H422))), VALUE(TRIM(MAIN!H422)), 0))</f>
        <v>0</v>
      </c>
      <c r="I422">
        <f>IF(ISBLANK(MAIN!I422), 0, IF(ISNUMBER(VALUE(TRIM(MAIN!I422))), VALUE(TRIM(MAIN!I422)), 0))</f>
        <v>0</v>
      </c>
      <c r="J422">
        <f>IF(ISBLANK(MAIN!J422), 0, IF(ISNUMBER(VALUE(TRIM(MAIN!J422))), VALUE(TRIM(MAIN!J422)), 0))</f>
        <v>0</v>
      </c>
      <c r="K422" cm="1">
        <f t="array" ref="K422">IFERROR(
    VALUE(
        IFERROR(
            UPPER(
                IF(MAX(IFERROR(SEARCH("WD",MAIN!G422:J422), 0))&gt;0, "WD",
                IF(MAX(IFERROR(SEARCH("NS",MAIN!G422:J422), 0))&gt;0, "NS",
                IF(MAX(IFERROR(SEARCH("NC",MAIN!G422:J422), 0))&gt;0, "NC",
                IF(MAX(IFERROR(SEARCH("DQ",MAIN!G422:J422), 0))&gt;0, "DQ",
                IF(ISNUMBER(SEARCH("WD",MAIN!K422)), "WD",
                IF(ISNUMBER(SEARCH("NS",MAIN!K422)), "NS",
                IF(ISNUMBER(SEARCH("NC",MAIN!K422)), "NC",
                IF(ISNUMBER(SEARCH("DQ",MAIN!K422)), "DQ",
                IF(ISNUMBER(SEARCH("A",MAIN!K422)), 0,
                IF(OR(MAIN!K422=0,MAIN!K422=""), 0, --TRIM(MAIN!K422)))))))))))),
            0
        )
    ),
    IFERROR(
        UPPER(
            IF(MAX(IFERROR(SEARCH("WD",MAIN!G422:J422), 0))&gt;0, "WD",
            IF(MAX(IFERROR(SEARCH("NS",MAIN!G422:J422), 0))&gt;0, "NS",
            IF(MAX(IFERROR(SEARCH("NC",MAIN!G422:J422), 0))&gt;0, "NC",
            IF(MAX(IFERROR(SEARCH("DQ",MAIN!G422:J422), 0))&gt;0, "DQ",
            IF(ISNUMBER(SEARCH("WD",MAIN!K422)), "WD",
            IF(ISNUMBER(SEARCH("NS",MAIN!K422)), "NS",
            IF(ISNUMBER(SEARCH("NC",MAIN!K422)), "NC",
            IF(ISNUMBER(SEARCH("DQ",MAIN!K422)), "DQ",
            IF(ISNUMBER(SEARCH("A",MAIN!K422)), 0,
            IF(OR(MAIN!K422=0,MAIN!K422=""), 0, --TRIM(MAIN!K422)))))))))))),
        0
    )
)</f>
        <v>0</v>
      </c>
    </row>
    <row r="423" spans="1:11" x14ac:dyDescent="0.25">
      <c r="A423" t="str">
        <f>IF(ISBLANK(MAIN!A423), "--", IFERROR(PROPER(SUBSTITUTE(SUBSTITUTE(SUBSTITUTE(SUBSTITUTE(SUBSTITUTE(SUBSTITUTE(SUBSTITUTE(SUBSTITUTE(SUBSTITUTE(SUBSTITUTE(LEFT(MAIN!A423, FIND(",",MAIN!A423) -1), "0", ""), "1", ""), "2", ""), "3", ""), "4", ""), "5", ""), "6", ""), "7", ""), "8", ""), "9", "")), PROPER(SUBSTITUTE(SUBSTITUTE(SUBSTITUTE(SUBSTITUTE(SUBSTITUTE(SUBSTITUTE(SUBSTITUTE(SUBSTITUTE(SUBSTITUTE(SUBSTITUTE(MAIN!A423, "0", ""), "1", ""), "2", ""), "3", ""), "4", ""), "5", ""), "6", ""), "7", ""), "8", ""), "9", ""))))</f>
        <v>--</v>
      </c>
      <c r="B423" t="str">
        <f>IF(ISBLANK(MAIN!B423), "--", IFERROR(PROPER(SUBSTITUTE(SUBSTITUTE(SUBSTITUTE(SUBSTITUTE(SUBSTITUTE(SUBSTITUTE(SUBSTITUTE(SUBSTITUTE(SUBSTITUTE(SUBSTITUTE(LEFT(MAIN!B423, FIND(",",MAIN!B423) -1), "0", ""), "1", ""), "2", ""), "3", ""), "4", ""), "5", ""), "6", ""), "7", ""), "8", ""), "9", "")), PROPER(SUBSTITUTE(SUBSTITUTE(SUBSTITUTE(SUBSTITUTE(SUBSTITUTE(SUBSTITUTE(SUBSTITUTE(SUBSTITUTE(SUBSTITUTE(SUBSTITUTE(MAIN!B423, "0", ""), "1", ""), "2", ""), "3", ""), "4", ""), "5", ""), "6", ""), "7", ""), "8", ""), "9", ""))))</f>
        <v>--</v>
      </c>
      <c r="C423" t="str">
        <f>IF(ISBLANK(MAIN!C423), "--", IFERROR(PROPER(SUBSTITUTE(SUBSTITUTE(SUBSTITUTE(SUBSTITUTE(SUBSTITUTE(SUBSTITUTE(SUBSTITUTE(SUBSTITUTE(SUBSTITUTE(SUBSTITUTE(LEFT(MAIN!C423, FIND(",",MAIN!C423) -1), "0", ""), "1", ""), "2", ""), "3", ""), "4", ""), "5", ""), "6", ""), "7", ""), "8", ""), "9", "")), PROPER(SUBSTITUTE(SUBSTITUTE(SUBSTITUTE(SUBSTITUTE(SUBSTITUTE(SUBSTITUTE(SUBSTITUTE(SUBSTITUTE(SUBSTITUTE(SUBSTITUTE(MAIN!C423, "0", ""), "1", ""), "2", ""), "3", ""), "4", ""), "5", ""), "6", ""), "7", ""), "8", ""), "9", ""))))</f>
        <v>--</v>
      </c>
      <c r="D423" t="str">
        <f>IF(ISBLANK(MAIN!D423), "--", IF(ISNUMBER(MATCH(SUBSTITUTE(LEFT(MAIN!D423, IFERROR(FIND(",", MAIN!D423)-1, LEN(MAIN!D423))), " ", ""), lookup_values!$B$2:$B$51, 0)), UPPER(SUBSTITUTE(LEFT(MAIN!D423, IFERROR(FIND(",", MAIN!D423)-1, LEN(MAIN!D423))), " ", "")), IF(ISNA(VLOOKUP(SUBSTITUTE(LEFT(MAIN!D423, IFERROR(FIND(",", MAIN!D423)-1, LEN(MAIN!D423))), " ", ""), lookup_values!$A$2:$B$51, 2, FALSE)), "--", VLOOKUP(SUBSTITUTE(LEFT(MAIN!D423, IFERROR(FIND(",", MAIN!D423)-1, LEN(MAIN!D423))), " ", ""), lookup_values!$A$2:$B$51, 2, FALSE))))</f>
        <v>--</v>
      </c>
      <c r="E423" t="str">
        <f>IF(CLEAN_DATA!D423&lt;&gt;"--","US",IF(ISBLANK(MAIN!E423), "--", IF(ISNUMBER(MATCH(SUBSTITUTE(LEFT(MAIN!E423, IFERROR(FIND(",", MAIN!E423)-1, LEN(MAIN!E423))), " ", ""), lookup_values!$E$2:$E$197, 0)), UPPER(SUBSTITUTE(LEFT(MAIN!E423, IFERROR(FIND(",", MAIN!E423)-1, LEN(MAIN!E423))), " ", "")), IF(ISNA(VLOOKUP(SUBSTITUTE(LEFT(MAIN!E423, IFERROR(FIND(",", MAIN!E423)-1, LEN(MAIN!E423))), " ", ""), lookup_values!$D$2:$E$197, 2, FALSE)), "--", VLOOKUP(SUBSTITUTE(LEFT(MAIN!E423, IFERROR(FIND(",", MAIN!E423)-1, LEN(MAIN!E423))), " ", ""), lookup_values!$D$2:$E$197, 2, FALSE)))))</f>
        <v>--</v>
      </c>
      <c r="F423" t="str">
        <f>IF(ISBLANK(MAIN!F423), "", IF(AND(ISNUMBER(VALUE(TRIM(MAIN!F423))), LEN(TRIM(MAIN!F423))=4), VALUE(TRIM(MAIN!F423)), ""))</f>
        <v/>
      </c>
      <c r="G423">
        <f>IF(ISBLANK(MAIN!G423), 0, IF(ISNUMBER(VALUE(TRIM(MAIN!G423))), VALUE(TRIM(MAIN!G423)), 0))</f>
        <v>0</v>
      </c>
      <c r="H423">
        <f>IF(ISBLANK(MAIN!H423), 0, IF(ISNUMBER(VALUE(TRIM(MAIN!H423))), VALUE(TRIM(MAIN!H423)), 0))</f>
        <v>0</v>
      </c>
      <c r="I423">
        <f>IF(ISBLANK(MAIN!I423), 0, IF(ISNUMBER(VALUE(TRIM(MAIN!I423))), VALUE(TRIM(MAIN!I423)), 0))</f>
        <v>0</v>
      </c>
      <c r="J423">
        <f>IF(ISBLANK(MAIN!J423), 0, IF(ISNUMBER(VALUE(TRIM(MAIN!J423))), VALUE(TRIM(MAIN!J423)), 0))</f>
        <v>0</v>
      </c>
      <c r="K423" cm="1">
        <f t="array" ref="K423">IFERROR(
    VALUE(
        IFERROR(
            UPPER(
                IF(MAX(IFERROR(SEARCH("WD",MAIN!G423:J423), 0))&gt;0, "WD",
                IF(MAX(IFERROR(SEARCH("NS",MAIN!G423:J423), 0))&gt;0, "NS",
                IF(MAX(IFERROR(SEARCH("NC",MAIN!G423:J423), 0))&gt;0, "NC",
                IF(MAX(IFERROR(SEARCH("DQ",MAIN!G423:J423), 0))&gt;0, "DQ",
                IF(ISNUMBER(SEARCH("WD",MAIN!K423)), "WD",
                IF(ISNUMBER(SEARCH("NS",MAIN!K423)), "NS",
                IF(ISNUMBER(SEARCH("NC",MAIN!K423)), "NC",
                IF(ISNUMBER(SEARCH("DQ",MAIN!K423)), "DQ",
                IF(ISNUMBER(SEARCH("A",MAIN!K423)), 0,
                IF(OR(MAIN!K423=0,MAIN!K423=""), 0, --TRIM(MAIN!K423)))))))))))),
            0
        )
    ),
    IFERROR(
        UPPER(
            IF(MAX(IFERROR(SEARCH("WD",MAIN!G423:J423), 0))&gt;0, "WD",
            IF(MAX(IFERROR(SEARCH("NS",MAIN!G423:J423), 0))&gt;0, "NS",
            IF(MAX(IFERROR(SEARCH("NC",MAIN!G423:J423), 0))&gt;0, "NC",
            IF(MAX(IFERROR(SEARCH("DQ",MAIN!G423:J423), 0))&gt;0, "DQ",
            IF(ISNUMBER(SEARCH("WD",MAIN!K423)), "WD",
            IF(ISNUMBER(SEARCH("NS",MAIN!K423)), "NS",
            IF(ISNUMBER(SEARCH("NC",MAIN!K423)), "NC",
            IF(ISNUMBER(SEARCH("DQ",MAIN!K423)), "DQ",
            IF(ISNUMBER(SEARCH("A",MAIN!K423)), 0,
            IF(OR(MAIN!K423=0,MAIN!K423=""), 0, --TRIM(MAIN!K423)))))))))))),
        0
    )
)</f>
        <v>0</v>
      </c>
    </row>
    <row r="424" spans="1:11" x14ac:dyDescent="0.25">
      <c r="A424" t="str">
        <f>IF(ISBLANK(MAIN!A424), "--", IFERROR(PROPER(SUBSTITUTE(SUBSTITUTE(SUBSTITUTE(SUBSTITUTE(SUBSTITUTE(SUBSTITUTE(SUBSTITUTE(SUBSTITUTE(SUBSTITUTE(SUBSTITUTE(LEFT(MAIN!A424, FIND(",",MAIN!A424) -1), "0", ""), "1", ""), "2", ""), "3", ""), "4", ""), "5", ""), "6", ""), "7", ""), "8", ""), "9", "")), PROPER(SUBSTITUTE(SUBSTITUTE(SUBSTITUTE(SUBSTITUTE(SUBSTITUTE(SUBSTITUTE(SUBSTITUTE(SUBSTITUTE(SUBSTITUTE(SUBSTITUTE(MAIN!A424, "0", ""), "1", ""), "2", ""), "3", ""), "4", ""), "5", ""), "6", ""), "7", ""), "8", ""), "9", ""))))</f>
        <v>--</v>
      </c>
      <c r="B424" t="str">
        <f>IF(ISBLANK(MAIN!B424), "--", IFERROR(PROPER(SUBSTITUTE(SUBSTITUTE(SUBSTITUTE(SUBSTITUTE(SUBSTITUTE(SUBSTITUTE(SUBSTITUTE(SUBSTITUTE(SUBSTITUTE(SUBSTITUTE(LEFT(MAIN!B424, FIND(",",MAIN!B424) -1), "0", ""), "1", ""), "2", ""), "3", ""), "4", ""), "5", ""), "6", ""), "7", ""), "8", ""), "9", "")), PROPER(SUBSTITUTE(SUBSTITUTE(SUBSTITUTE(SUBSTITUTE(SUBSTITUTE(SUBSTITUTE(SUBSTITUTE(SUBSTITUTE(SUBSTITUTE(SUBSTITUTE(MAIN!B424, "0", ""), "1", ""), "2", ""), "3", ""), "4", ""), "5", ""), "6", ""), "7", ""), "8", ""), "9", ""))))</f>
        <v>--</v>
      </c>
      <c r="C424" t="str">
        <f>IF(ISBLANK(MAIN!C424), "--", IFERROR(PROPER(SUBSTITUTE(SUBSTITUTE(SUBSTITUTE(SUBSTITUTE(SUBSTITUTE(SUBSTITUTE(SUBSTITUTE(SUBSTITUTE(SUBSTITUTE(SUBSTITUTE(LEFT(MAIN!C424, FIND(",",MAIN!C424) -1), "0", ""), "1", ""), "2", ""), "3", ""), "4", ""), "5", ""), "6", ""), "7", ""), "8", ""), "9", "")), PROPER(SUBSTITUTE(SUBSTITUTE(SUBSTITUTE(SUBSTITUTE(SUBSTITUTE(SUBSTITUTE(SUBSTITUTE(SUBSTITUTE(SUBSTITUTE(SUBSTITUTE(MAIN!C424, "0", ""), "1", ""), "2", ""), "3", ""), "4", ""), "5", ""), "6", ""), "7", ""), "8", ""), "9", ""))))</f>
        <v>--</v>
      </c>
      <c r="D424" t="str">
        <f>IF(ISBLANK(MAIN!D424), "--", IF(ISNUMBER(MATCH(SUBSTITUTE(LEFT(MAIN!D424, IFERROR(FIND(",", MAIN!D424)-1, LEN(MAIN!D424))), " ", ""), lookup_values!$B$2:$B$51, 0)), UPPER(SUBSTITUTE(LEFT(MAIN!D424, IFERROR(FIND(",", MAIN!D424)-1, LEN(MAIN!D424))), " ", "")), IF(ISNA(VLOOKUP(SUBSTITUTE(LEFT(MAIN!D424, IFERROR(FIND(",", MAIN!D424)-1, LEN(MAIN!D424))), " ", ""), lookup_values!$A$2:$B$51, 2, FALSE)), "--", VLOOKUP(SUBSTITUTE(LEFT(MAIN!D424, IFERROR(FIND(",", MAIN!D424)-1, LEN(MAIN!D424))), " ", ""), lookup_values!$A$2:$B$51, 2, FALSE))))</f>
        <v>--</v>
      </c>
      <c r="E424" t="str">
        <f>IF(CLEAN_DATA!D424&lt;&gt;"--","US",IF(ISBLANK(MAIN!E424), "--", IF(ISNUMBER(MATCH(SUBSTITUTE(LEFT(MAIN!E424, IFERROR(FIND(",", MAIN!E424)-1, LEN(MAIN!E424))), " ", ""), lookup_values!$E$2:$E$197, 0)), UPPER(SUBSTITUTE(LEFT(MAIN!E424, IFERROR(FIND(",", MAIN!E424)-1, LEN(MAIN!E424))), " ", "")), IF(ISNA(VLOOKUP(SUBSTITUTE(LEFT(MAIN!E424, IFERROR(FIND(",", MAIN!E424)-1, LEN(MAIN!E424))), " ", ""), lookup_values!$D$2:$E$197, 2, FALSE)), "--", VLOOKUP(SUBSTITUTE(LEFT(MAIN!E424, IFERROR(FIND(",", MAIN!E424)-1, LEN(MAIN!E424))), " ", ""), lookup_values!$D$2:$E$197, 2, FALSE)))))</f>
        <v>--</v>
      </c>
      <c r="F424" t="str">
        <f>IF(ISBLANK(MAIN!F424), "", IF(AND(ISNUMBER(VALUE(TRIM(MAIN!F424))), LEN(TRIM(MAIN!F424))=4), VALUE(TRIM(MAIN!F424)), ""))</f>
        <v/>
      </c>
      <c r="G424">
        <f>IF(ISBLANK(MAIN!G424), 0, IF(ISNUMBER(VALUE(TRIM(MAIN!G424))), VALUE(TRIM(MAIN!G424)), 0))</f>
        <v>0</v>
      </c>
      <c r="H424">
        <f>IF(ISBLANK(MAIN!H424), 0, IF(ISNUMBER(VALUE(TRIM(MAIN!H424))), VALUE(TRIM(MAIN!H424)), 0))</f>
        <v>0</v>
      </c>
      <c r="I424">
        <f>IF(ISBLANK(MAIN!I424), 0, IF(ISNUMBER(VALUE(TRIM(MAIN!I424))), VALUE(TRIM(MAIN!I424)), 0))</f>
        <v>0</v>
      </c>
      <c r="J424">
        <f>IF(ISBLANK(MAIN!J424), 0, IF(ISNUMBER(VALUE(TRIM(MAIN!J424))), VALUE(TRIM(MAIN!J424)), 0))</f>
        <v>0</v>
      </c>
      <c r="K424" cm="1">
        <f t="array" ref="K424">IFERROR(
    VALUE(
        IFERROR(
            UPPER(
                IF(MAX(IFERROR(SEARCH("WD",MAIN!G424:J424), 0))&gt;0, "WD",
                IF(MAX(IFERROR(SEARCH("NS",MAIN!G424:J424), 0))&gt;0, "NS",
                IF(MAX(IFERROR(SEARCH("NC",MAIN!G424:J424), 0))&gt;0, "NC",
                IF(MAX(IFERROR(SEARCH("DQ",MAIN!G424:J424), 0))&gt;0, "DQ",
                IF(ISNUMBER(SEARCH("WD",MAIN!K424)), "WD",
                IF(ISNUMBER(SEARCH("NS",MAIN!K424)), "NS",
                IF(ISNUMBER(SEARCH("NC",MAIN!K424)), "NC",
                IF(ISNUMBER(SEARCH("DQ",MAIN!K424)), "DQ",
                IF(ISNUMBER(SEARCH("A",MAIN!K424)), 0,
                IF(OR(MAIN!K424=0,MAIN!K424=""), 0, --TRIM(MAIN!K424)))))))))))),
            0
        )
    ),
    IFERROR(
        UPPER(
            IF(MAX(IFERROR(SEARCH("WD",MAIN!G424:J424), 0))&gt;0, "WD",
            IF(MAX(IFERROR(SEARCH("NS",MAIN!G424:J424), 0))&gt;0, "NS",
            IF(MAX(IFERROR(SEARCH("NC",MAIN!G424:J424), 0))&gt;0, "NC",
            IF(MAX(IFERROR(SEARCH("DQ",MAIN!G424:J424), 0))&gt;0, "DQ",
            IF(ISNUMBER(SEARCH("WD",MAIN!K424)), "WD",
            IF(ISNUMBER(SEARCH("NS",MAIN!K424)), "NS",
            IF(ISNUMBER(SEARCH("NC",MAIN!K424)), "NC",
            IF(ISNUMBER(SEARCH("DQ",MAIN!K424)), "DQ",
            IF(ISNUMBER(SEARCH("A",MAIN!K424)), 0,
            IF(OR(MAIN!K424=0,MAIN!K424=""), 0, --TRIM(MAIN!K424)))))))))))),
        0
    )
)</f>
        <v>0</v>
      </c>
    </row>
    <row r="425" spans="1:11" x14ac:dyDescent="0.25">
      <c r="A425" t="str">
        <f>IF(ISBLANK(MAIN!A425), "--", IFERROR(PROPER(SUBSTITUTE(SUBSTITUTE(SUBSTITUTE(SUBSTITUTE(SUBSTITUTE(SUBSTITUTE(SUBSTITUTE(SUBSTITUTE(SUBSTITUTE(SUBSTITUTE(LEFT(MAIN!A425, FIND(",",MAIN!A425) -1), "0", ""), "1", ""), "2", ""), "3", ""), "4", ""), "5", ""), "6", ""), "7", ""), "8", ""), "9", "")), PROPER(SUBSTITUTE(SUBSTITUTE(SUBSTITUTE(SUBSTITUTE(SUBSTITUTE(SUBSTITUTE(SUBSTITUTE(SUBSTITUTE(SUBSTITUTE(SUBSTITUTE(MAIN!A425, "0", ""), "1", ""), "2", ""), "3", ""), "4", ""), "5", ""), "6", ""), "7", ""), "8", ""), "9", ""))))</f>
        <v>--</v>
      </c>
      <c r="B425" t="str">
        <f>IF(ISBLANK(MAIN!B425), "--", IFERROR(PROPER(SUBSTITUTE(SUBSTITUTE(SUBSTITUTE(SUBSTITUTE(SUBSTITUTE(SUBSTITUTE(SUBSTITUTE(SUBSTITUTE(SUBSTITUTE(SUBSTITUTE(LEFT(MAIN!B425, FIND(",",MAIN!B425) -1), "0", ""), "1", ""), "2", ""), "3", ""), "4", ""), "5", ""), "6", ""), "7", ""), "8", ""), "9", "")), PROPER(SUBSTITUTE(SUBSTITUTE(SUBSTITUTE(SUBSTITUTE(SUBSTITUTE(SUBSTITUTE(SUBSTITUTE(SUBSTITUTE(SUBSTITUTE(SUBSTITUTE(MAIN!B425, "0", ""), "1", ""), "2", ""), "3", ""), "4", ""), "5", ""), "6", ""), "7", ""), "8", ""), "9", ""))))</f>
        <v>--</v>
      </c>
      <c r="C425" t="str">
        <f>IF(ISBLANK(MAIN!C425), "--", IFERROR(PROPER(SUBSTITUTE(SUBSTITUTE(SUBSTITUTE(SUBSTITUTE(SUBSTITUTE(SUBSTITUTE(SUBSTITUTE(SUBSTITUTE(SUBSTITUTE(SUBSTITUTE(LEFT(MAIN!C425, FIND(",",MAIN!C425) -1), "0", ""), "1", ""), "2", ""), "3", ""), "4", ""), "5", ""), "6", ""), "7", ""), "8", ""), "9", "")), PROPER(SUBSTITUTE(SUBSTITUTE(SUBSTITUTE(SUBSTITUTE(SUBSTITUTE(SUBSTITUTE(SUBSTITUTE(SUBSTITUTE(SUBSTITUTE(SUBSTITUTE(MAIN!C425, "0", ""), "1", ""), "2", ""), "3", ""), "4", ""), "5", ""), "6", ""), "7", ""), "8", ""), "9", ""))))</f>
        <v>--</v>
      </c>
      <c r="D425" t="str">
        <f>IF(ISBLANK(MAIN!D425), "--", IF(ISNUMBER(MATCH(SUBSTITUTE(LEFT(MAIN!D425, IFERROR(FIND(",", MAIN!D425)-1, LEN(MAIN!D425))), " ", ""), lookup_values!$B$2:$B$51, 0)), UPPER(SUBSTITUTE(LEFT(MAIN!D425, IFERROR(FIND(",", MAIN!D425)-1, LEN(MAIN!D425))), " ", "")), IF(ISNA(VLOOKUP(SUBSTITUTE(LEFT(MAIN!D425, IFERROR(FIND(",", MAIN!D425)-1, LEN(MAIN!D425))), " ", ""), lookup_values!$A$2:$B$51, 2, FALSE)), "--", VLOOKUP(SUBSTITUTE(LEFT(MAIN!D425, IFERROR(FIND(",", MAIN!D425)-1, LEN(MAIN!D425))), " ", ""), lookup_values!$A$2:$B$51, 2, FALSE))))</f>
        <v>--</v>
      </c>
      <c r="E425" t="str">
        <f>IF(CLEAN_DATA!D425&lt;&gt;"--","US",IF(ISBLANK(MAIN!E425), "--", IF(ISNUMBER(MATCH(SUBSTITUTE(LEFT(MAIN!E425, IFERROR(FIND(",", MAIN!E425)-1, LEN(MAIN!E425))), " ", ""), lookup_values!$E$2:$E$197, 0)), UPPER(SUBSTITUTE(LEFT(MAIN!E425, IFERROR(FIND(",", MAIN!E425)-1, LEN(MAIN!E425))), " ", "")), IF(ISNA(VLOOKUP(SUBSTITUTE(LEFT(MAIN!E425, IFERROR(FIND(",", MAIN!E425)-1, LEN(MAIN!E425))), " ", ""), lookup_values!$D$2:$E$197, 2, FALSE)), "--", VLOOKUP(SUBSTITUTE(LEFT(MAIN!E425, IFERROR(FIND(",", MAIN!E425)-1, LEN(MAIN!E425))), " ", ""), lookup_values!$D$2:$E$197, 2, FALSE)))))</f>
        <v>--</v>
      </c>
      <c r="F425" t="str">
        <f>IF(ISBLANK(MAIN!F425), "", IF(AND(ISNUMBER(VALUE(TRIM(MAIN!F425))), LEN(TRIM(MAIN!F425))=4), VALUE(TRIM(MAIN!F425)), ""))</f>
        <v/>
      </c>
      <c r="G425">
        <f>IF(ISBLANK(MAIN!G425), 0, IF(ISNUMBER(VALUE(TRIM(MAIN!G425))), VALUE(TRIM(MAIN!G425)), 0))</f>
        <v>0</v>
      </c>
      <c r="H425">
        <f>IF(ISBLANK(MAIN!H425), 0, IF(ISNUMBER(VALUE(TRIM(MAIN!H425))), VALUE(TRIM(MAIN!H425)), 0))</f>
        <v>0</v>
      </c>
      <c r="I425">
        <f>IF(ISBLANK(MAIN!I425), 0, IF(ISNUMBER(VALUE(TRIM(MAIN!I425))), VALUE(TRIM(MAIN!I425)), 0))</f>
        <v>0</v>
      </c>
      <c r="J425">
        <f>IF(ISBLANK(MAIN!J425), 0, IF(ISNUMBER(VALUE(TRIM(MAIN!J425))), VALUE(TRIM(MAIN!J425)), 0))</f>
        <v>0</v>
      </c>
      <c r="K425" cm="1">
        <f t="array" ref="K425">IFERROR(
    VALUE(
        IFERROR(
            UPPER(
                IF(MAX(IFERROR(SEARCH("WD",MAIN!G425:J425), 0))&gt;0, "WD",
                IF(MAX(IFERROR(SEARCH("NS",MAIN!G425:J425), 0))&gt;0, "NS",
                IF(MAX(IFERROR(SEARCH("NC",MAIN!G425:J425), 0))&gt;0, "NC",
                IF(MAX(IFERROR(SEARCH("DQ",MAIN!G425:J425), 0))&gt;0, "DQ",
                IF(ISNUMBER(SEARCH("WD",MAIN!K425)), "WD",
                IF(ISNUMBER(SEARCH("NS",MAIN!K425)), "NS",
                IF(ISNUMBER(SEARCH("NC",MAIN!K425)), "NC",
                IF(ISNUMBER(SEARCH("DQ",MAIN!K425)), "DQ",
                IF(ISNUMBER(SEARCH("A",MAIN!K425)), 0,
                IF(OR(MAIN!K425=0,MAIN!K425=""), 0, --TRIM(MAIN!K425)))))))))))),
            0
        )
    ),
    IFERROR(
        UPPER(
            IF(MAX(IFERROR(SEARCH("WD",MAIN!G425:J425), 0))&gt;0, "WD",
            IF(MAX(IFERROR(SEARCH("NS",MAIN!G425:J425), 0))&gt;0, "NS",
            IF(MAX(IFERROR(SEARCH("NC",MAIN!G425:J425), 0))&gt;0, "NC",
            IF(MAX(IFERROR(SEARCH("DQ",MAIN!G425:J425), 0))&gt;0, "DQ",
            IF(ISNUMBER(SEARCH("WD",MAIN!K425)), "WD",
            IF(ISNUMBER(SEARCH("NS",MAIN!K425)), "NS",
            IF(ISNUMBER(SEARCH("NC",MAIN!K425)), "NC",
            IF(ISNUMBER(SEARCH("DQ",MAIN!K425)), "DQ",
            IF(ISNUMBER(SEARCH("A",MAIN!K425)), 0,
            IF(OR(MAIN!K425=0,MAIN!K425=""), 0, --TRIM(MAIN!K425)))))))))))),
        0
    )
)</f>
        <v>0</v>
      </c>
    </row>
    <row r="426" spans="1:11" x14ac:dyDescent="0.25">
      <c r="A426" t="str">
        <f>IF(ISBLANK(MAIN!A426), "--", IFERROR(PROPER(SUBSTITUTE(SUBSTITUTE(SUBSTITUTE(SUBSTITUTE(SUBSTITUTE(SUBSTITUTE(SUBSTITUTE(SUBSTITUTE(SUBSTITUTE(SUBSTITUTE(LEFT(MAIN!A426, FIND(",",MAIN!A426) -1), "0", ""), "1", ""), "2", ""), "3", ""), "4", ""), "5", ""), "6", ""), "7", ""), "8", ""), "9", "")), PROPER(SUBSTITUTE(SUBSTITUTE(SUBSTITUTE(SUBSTITUTE(SUBSTITUTE(SUBSTITUTE(SUBSTITUTE(SUBSTITUTE(SUBSTITUTE(SUBSTITUTE(MAIN!A426, "0", ""), "1", ""), "2", ""), "3", ""), "4", ""), "5", ""), "6", ""), "7", ""), "8", ""), "9", ""))))</f>
        <v>--</v>
      </c>
      <c r="B426" t="str">
        <f>IF(ISBLANK(MAIN!B426), "--", IFERROR(PROPER(SUBSTITUTE(SUBSTITUTE(SUBSTITUTE(SUBSTITUTE(SUBSTITUTE(SUBSTITUTE(SUBSTITUTE(SUBSTITUTE(SUBSTITUTE(SUBSTITUTE(LEFT(MAIN!B426, FIND(",",MAIN!B426) -1), "0", ""), "1", ""), "2", ""), "3", ""), "4", ""), "5", ""), "6", ""), "7", ""), "8", ""), "9", "")), PROPER(SUBSTITUTE(SUBSTITUTE(SUBSTITUTE(SUBSTITUTE(SUBSTITUTE(SUBSTITUTE(SUBSTITUTE(SUBSTITUTE(SUBSTITUTE(SUBSTITUTE(MAIN!B426, "0", ""), "1", ""), "2", ""), "3", ""), "4", ""), "5", ""), "6", ""), "7", ""), "8", ""), "9", ""))))</f>
        <v>--</v>
      </c>
      <c r="C426" t="str">
        <f>IF(ISBLANK(MAIN!C426), "--", IFERROR(PROPER(SUBSTITUTE(SUBSTITUTE(SUBSTITUTE(SUBSTITUTE(SUBSTITUTE(SUBSTITUTE(SUBSTITUTE(SUBSTITUTE(SUBSTITUTE(SUBSTITUTE(LEFT(MAIN!C426, FIND(",",MAIN!C426) -1), "0", ""), "1", ""), "2", ""), "3", ""), "4", ""), "5", ""), "6", ""), "7", ""), "8", ""), "9", "")), PROPER(SUBSTITUTE(SUBSTITUTE(SUBSTITUTE(SUBSTITUTE(SUBSTITUTE(SUBSTITUTE(SUBSTITUTE(SUBSTITUTE(SUBSTITUTE(SUBSTITUTE(MAIN!C426, "0", ""), "1", ""), "2", ""), "3", ""), "4", ""), "5", ""), "6", ""), "7", ""), "8", ""), "9", ""))))</f>
        <v>--</v>
      </c>
      <c r="D426" t="str">
        <f>IF(ISBLANK(MAIN!D426), "--", IF(ISNUMBER(MATCH(SUBSTITUTE(LEFT(MAIN!D426, IFERROR(FIND(",", MAIN!D426)-1, LEN(MAIN!D426))), " ", ""), lookup_values!$B$2:$B$51, 0)), UPPER(SUBSTITUTE(LEFT(MAIN!D426, IFERROR(FIND(",", MAIN!D426)-1, LEN(MAIN!D426))), " ", "")), IF(ISNA(VLOOKUP(SUBSTITUTE(LEFT(MAIN!D426, IFERROR(FIND(",", MAIN!D426)-1, LEN(MAIN!D426))), " ", ""), lookup_values!$A$2:$B$51, 2, FALSE)), "--", VLOOKUP(SUBSTITUTE(LEFT(MAIN!D426, IFERROR(FIND(",", MAIN!D426)-1, LEN(MAIN!D426))), " ", ""), lookup_values!$A$2:$B$51, 2, FALSE))))</f>
        <v>--</v>
      </c>
      <c r="E426" t="str">
        <f>IF(CLEAN_DATA!D426&lt;&gt;"--","US",IF(ISBLANK(MAIN!E426), "--", IF(ISNUMBER(MATCH(SUBSTITUTE(LEFT(MAIN!E426, IFERROR(FIND(",", MAIN!E426)-1, LEN(MAIN!E426))), " ", ""), lookup_values!$E$2:$E$197, 0)), UPPER(SUBSTITUTE(LEFT(MAIN!E426, IFERROR(FIND(",", MAIN!E426)-1, LEN(MAIN!E426))), " ", "")), IF(ISNA(VLOOKUP(SUBSTITUTE(LEFT(MAIN!E426, IFERROR(FIND(",", MAIN!E426)-1, LEN(MAIN!E426))), " ", ""), lookup_values!$D$2:$E$197, 2, FALSE)), "--", VLOOKUP(SUBSTITUTE(LEFT(MAIN!E426, IFERROR(FIND(",", MAIN!E426)-1, LEN(MAIN!E426))), " ", ""), lookup_values!$D$2:$E$197, 2, FALSE)))))</f>
        <v>--</v>
      </c>
      <c r="F426" t="str">
        <f>IF(ISBLANK(MAIN!F426), "", IF(AND(ISNUMBER(VALUE(TRIM(MAIN!F426))), LEN(TRIM(MAIN!F426))=4), VALUE(TRIM(MAIN!F426)), ""))</f>
        <v/>
      </c>
      <c r="G426">
        <f>IF(ISBLANK(MAIN!G426), 0, IF(ISNUMBER(VALUE(TRIM(MAIN!G426))), VALUE(TRIM(MAIN!G426)), 0))</f>
        <v>0</v>
      </c>
      <c r="H426">
        <f>IF(ISBLANK(MAIN!H426), 0, IF(ISNUMBER(VALUE(TRIM(MAIN!H426))), VALUE(TRIM(MAIN!H426)), 0))</f>
        <v>0</v>
      </c>
      <c r="I426">
        <f>IF(ISBLANK(MAIN!I426), 0, IF(ISNUMBER(VALUE(TRIM(MAIN!I426))), VALUE(TRIM(MAIN!I426)), 0))</f>
        <v>0</v>
      </c>
      <c r="J426">
        <f>IF(ISBLANK(MAIN!J426), 0, IF(ISNUMBER(VALUE(TRIM(MAIN!J426))), VALUE(TRIM(MAIN!J426)), 0))</f>
        <v>0</v>
      </c>
      <c r="K426" cm="1">
        <f t="array" ref="K426">IFERROR(
    VALUE(
        IFERROR(
            UPPER(
                IF(MAX(IFERROR(SEARCH("WD",MAIN!G426:J426), 0))&gt;0, "WD",
                IF(MAX(IFERROR(SEARCH("NS",MAIN!G426:J426), 0))&gt;0, "NS",
                IF(MAX(IFERROR(SEARCH("NC",MAIN!G426:J426), 0))&gt;0, "NC",
                IF(MAX(IFERROR(SEARCH("DQ",MAIN!G426:J426), 0))&gt;0, "DQ",
                IF(ISNUMBER(SEARCH("WD",MAIN!K426)), "WD",
                IF(ISNUMBER(SEARCH("NS",MAIN!K426)), "NS",
                IF(ISNUMBER(SEARCH("NC",MAIN!K426)), "NC",
                IF(ISNUMBER(SEARCH("DQ",MAIN!K426)), "DQ",
                IF(ISNUMBER(SEARCH("A",MAIN!K426)), 0,
                IF(OR(MAIN!K426=0,MAIN!K426=""), 0, --TRIM(MAIN!K426)))))))))))),
            0
        )
    ),
    IFERROR(
        UPPER(
            IF(MAX(IFERROR(SEARCH("WD",MAIN!G426:J426), 0))&gt;0, "WD",
            IF(MAX(IFERROR(SEARCH("NS",MAIN!G426:J426), 0))&gt;0, "NS",
            IF(MAX(IFERROR(SEARCH("NC",MAIN!G426:J426), 0))&gt;0, "NC",
            IF(MAX(IFERROR(SEARCH("DQ",MAIN!G426:J426), 0))&gt;0, "DQ",
            IF(ISNUMBER(SEARCH("WD",MAIN!K426)), "WD",
            IF(ISNUMBER(SEARCH("NS",MAIN!K426)), "NS",
            IF(ISNUMBER(SEARCH("NC",MAIN!K426)), "NC",
            IF(ISNUMBER(SEARCH("DQ",MAIN!K426)), "DQ",
            IF(ISNUMBER(SEARCH("A",MAIN!K426)), 0,
            IF(OR(MAIN!K426=0,MAIN!K426=""), 0, --TRIM(MAIN!K426)))))))))))),
        0
    )
)</f>
        <v>0</v>
      </c>
    </row>
    <row r="427" spans="1:11" x14ac:dyDescent="0.25">
      <c r="A427" t="str">
        <f>IF(ISBLANK(MAIN!A427), "--", IFERROR(PROPER(SUBSTITUTE(SUBSTITUTE(SUBSTITUTE(SUBSTITUTE(SUBSTITUTE(SUBSTITUTE(SUBSTITUTE(SUBSTITUTE(SUBSTITUTE(SUBSTITUTE(LEFT(MAIN!A427, FIND(",",MAIN!A427) -1), "0", ""), "1", ""), "2", ""), "3", ""), "4", ""), "5", ""), "6", ""), "7", ""), "8", ""), "9", "")), PROPER(SUBSTITUTE(SUBSTITUTE(SUBSTITUTE(SUBSTITUTE(SUBSTITUTE(SUBSTITUTE(SUBSTITUTE(SUBSTITUTE(SUBSTITUTE(SUBSTITUTE(MAIN!A427, "0", ""), "1", ""), "2", ""), "3", ""), "4", ""), "5", ""), "6", ""), "7", ""), "8", ""), "9", ""))))</f>
        <v>--</v>
      </c>
      <c r="B427" t="str">
        <f>IF(ISBLANK(MAIN!B427), "--", IFERROR(PROPER(SUBSTITUTE(SUBSTITUTE(SUBSTITUTE(SUBSTITUTE(SUBSTITUTE(SUBSTITUTE(SUBSTITUTE(SUBSTITUTE(SUBSTITUTE(SUBSTITUTE(LEFT(MAIN!B427, FIND(",",MAIN!B427) -1), "0", ""), "1", ""), "2", ""), "3", ""), "4", ""), "5", ""), "6", ""), "7", ""), "8", ""), "9", "")), PROPER(SUBSTITUTE(SUBSTITUTE(SUBSTITUTE(SUBSTITUTE(SUBSTITUTE(SUBSTITUTE(SUBSTITUTE(SUBSTITUTE(SUBSTITUTE(SUBSTITUTE(MAIN!B427, "0", ""), "1", ""), "2", ""), "3", ""), "4", ""), "5", ""), "6", ""), "7", ""), "8", ""), "9", ""))))</f>
        <v>--</v>
      </c>
      <c r="C427" t="str">
        <f>IF(ISBLANK(MAIN!C427), "--", IFERROR(PROPER(SUBSTITUTE(SUBSTITUTE(SUBSTITUTE(SUBSTITUTE(SUBSTITUTE(SUBSTITUTE(SUBSTITUTE(SUBSTITUTE(SUBSTITUTE(SUBSTITUTE(LEFT(MAIN!C427, FIND(",",MAIN!C427) -1), "0", ""), "1", ""), "2", ""), "3", ""), "4", ""), "5", ""), "6", ""), "7", ""), "8", ""), "9", "")), PROPER(SUBSTITUTE(SUBSTITUTE(SUBSTITUTE(SUBSTITUTE(SUBSTITUTE(SUBSTITUTE(SUBSTITUTE(SUBSTITUTE(SUBSTITUTE(SUBSTITUTE(MAIN!C427, "0", ""), "1", ""), "2", ""), "3", ""), "4", ""), "5", ""), "6", ""), "7", ""), "8", ""), "9", ""))))</f>
        <v>--</v>
      </c>
      <c r="D427" t="str">
        <f>IF(ISBLANK(MAIN!D427), "--", IF(ISNUMBER(MATCH(SUBSTITUTE(LEFT(MAIN!D427, IFERROR(FIND(",", MAIN!D427)-1, LEN(MAIN!D427))), " ", ""), lookup_values!$B$2:$B$51, 0)), UPPER(SUBSTITUTE(LEFT(MAIN!D427, IFERROR(FIND(",", MAIN!D427)-1, LEN(MAIN!D427))), " ", "")), IF(ISNA(VLOOKUP(SUBSTITUTE(LEFT(MAIN!D427, IFERROR(FIND(",", MAIN!D427)-1, LEN(MAIN!D427))), " ", ""), lookup_values!$A$2:$B$51, 2, FALSE)), "--", VLOOKUP(SUBSTITUTE(LEFT(MAIN!D427, IFERROR(FIND(",", MAIN!D427)-1, LEN(MAIN!D427))), " ", ""), lookup_values!$A$2:$B$51, 2, FALSE))))</f>
        <v>--</v>
      </c>
      <c r="E427" t="str">
        <f>IF(CLEAN_DATA!D427&lt;&gt;"--","US",IF(ISBLANK(MAIN!E427), "--", IF(ISNUMBER(MATCH(SUBSTITUTE(LEFT(MAIN!E427, IFERROR(FIND(",", MAIN!E427)-1, LEN(MAIN!E427))), " ", ""), lookup_values!$E$2:$E$197, 0)), UPPER(SUBSTITUTE(LEFT(MAIN!E427, IFERROR(FIND(",", MAIN!E427)-1, LEN(MAIN!E427))), " ", "")), IF(ISNA(VLOOKUP(SUBSTITUTE(LEFT(MAIN!E427, IFERROR(FIND(",", MAIN!E427)-1, LEN(MAIN!E427))), " ", ""), lookup_values!$D$2:$E$197, 2, FALSE)), "--", VLOOKUP(SUBSTITUTE(LEFT(MAIN!E427, IFERROR(FIND(",", MAIN!E427)-1, LEN(MAIN!E427))), " ", ""), lookup_values!$D$2:$E$197, 2, FALSE)))))</f>
        <v>--</v>
      </c>
      <c r="F427" t="str">
        <f>IF(ISBLANK(MAIN!F427), "", IF(AND(ISNUMBER(VALUE(TRIM(MAIN!F427))), LEN(TRIM(MAIN!F427))=4), VALUE(TRIM(MAIN!F427)), ""))</f>
        <v/>
      </c>
      <c r="G427">
        <f>IF(ISBLANK(MAIN!G427), 0, IF(ISNUMBER(VALUE(TRIM(MAIN!G427))), VALUE(TRIM(MAIN!G427)), 0))</f>
        <v>0</v>
      </c>
      <c r="H427">
        <f>IF(ISBLANK(MAIN!H427), 0, IF(ISNUMBER(VALUE(TRIM(MAIN!H427))), VALUE(TRIM(MAIN!H427)), 0))</f>
        <v>0</v>
      </c>
      <c r="I427">
        <f>IF(ISBLANK(MAIN!I427), 0, IF(ISNUMBER(VALUE(TRIM(MAIN!I427))), VALUE(TRIM(MAIN!I427)), 0))</f>
        <v>0</v>
      </c>
      <c r="J427">
        <f>IF(ISBLANK(MAIN!J427), 0, IF(ISNUMBER(VALUE(TRIM(MAIN!J427))), VALUE(TRIM(MAIN!J427)), 0))</f>
        <v>0</v>
      </c>
      <c r="K427" cm="1">
        <f t="array" ref="K427">IFERROR(
    VALUE(
        IFERROR(
            UPPER(
                IF(MAX(IFERROR(SEARCH("WD",MAIN!G427:J427), 0))&gt;0, "WD",
                IF(MAX(IFERROR(SEARCH("NS",MAIN!G427:J427), 0))&gt;0, "NS",
                IF(MAX(IFERROR(SEARCH("NC",MAIN!G427:J427), 0))&gt;0, "NC",
                IF(MAX(IFERROR(SEARCH("DQ",MAIN!G427:J427), 0))&gt;0, "DQ",
                IF(ISNUMBER(SEARCH("WD",MAIN!K427)), "WD",
                IF(ISNUMBER(SEARCH("NS",MAIN!K427)), "NS",
                IF(ISNUMBER(SEARCH("NC",MAIN!K427)), "NC",
                IF(ISNUMBER(SEARCH("DQ",MAIN!K427)), "DQ",
                IF(ISNUMBER(SEARCH("A",MAIN!K427)), 0,
                IF(OR(MAIN!K427=0,MAIN!K427=""), 0, --TRIM(MAIN!K427)))))))))))),
            0
        )
    ),
    IFERROR(
        UPPER(
            IF(MAX(IFERROR(SEARCH("WD",MAIN!G427:J427), 0))&gt;0, "WD",
            IF(MAX(IFERROR(SEARCH("NS",MAIN!G427:J427), 0))&gt;0, "NS",
            IF(MAX(IFERROR(SEARCH("NC",MAIN!G427:J427), 0))&gt;0, "NC",
            IF(MAX(IFERROR(SEARCH("DQ",MAIN!G427:J427), 0))&gt;0, "DQ",
            IF(ISNUMBER(SEARCH("WD",MAIN!K427)), "WD",
            IF(ISNUMBER(SEARCH("NS",MAIN!K427)), "NS",
            IF(ISNUMBER(SEARCH("NC",MAIN!K427)), "NC",
            IF(ISNUMBER(SEARCH("DQ",MAIN!K427)), "DQ",
            IF(ISNUMBER(SEARCH("A",MAIN!K427)), 0,
            IF(OR(MAIN!K427=0,MAIN!K427=""), 0, --TRIM(MAIN!K427)))))))))))),
        0
    )
)</f>
        <v>0</v>
      </c>
    </row>
    <row r="428" spans="1:11" x14ac:dyDescent="0.25">
      <c r="A428" t="str">
        <f>IF(ISBLANK(MAIN!A428), "--", IFERROR(PROPER(SUBSTITUTE(SUBSTITUTE(SUBSTITUTE(SUBSTITUTE(SUBSTITUTE(SUBSTITUTE(SUBSTITUTE(SUBSTITUTE(SUBSTITUTE(SUBSTITUTE(LEFT(MAIN!A428, FIND(",",MAIN!A428) -1), "0", ""), "1", ""), "2", ""), "3", ""), "4", ""), "5", ""), "6", ""), "7", ""), "8", ""), "9", "")), PROPER(SUBSTITUTE(SUBSTITUTE(SUBSTITUTE(SUBSTITUTE(SUBSTITUTE(SUBSTITUTE(SUBSTITUTE(SUBSTITUTE(SUBSTITUTE(SUBSTITUTE(MAIN!A428, "0", ""), "1", ""), "2", ""), "3", ""), "4", ""), "5", ""), "6", ""), "7", ""), "8", ""), "9", ""))))</f>
        <v>--</v>
      </c>
      <c r="B428" t="str">
        <f>IF(ISBLANK(MAIN!B428), "--", IFERROR(PROPER(SUBSTITUTE(SUBSTITUTE(SUBSTITUTE(SUBSTITUTE(SUBSTITUTE(SUBSTITUTE(SUBSTITUTE(SUBSTITUTE(SUBSTITUTE(SUBSTITUTE(LEFT(MAIN!B428, FIND(",",MAIN!B428) -1), "0", ""), "1", ""), "2", ""), "3", ""), "4", ""), "5", ""), "6", ""), "7", ""), "8", ""), "9", "")), PROPER(SUBSTITUTE(SUBSTITUTE(SUBSTITUTE(SUBSTITUTE(SUBSTITUTE(SUBSTITUTE(SUBSTITUTE(SUBSTITUTE(SUBSTITUTE(SUBSTITUTE(MAIN!B428, "0", ""), "1", ""), "2", ""), "3", ""), "4", ""), "5", ""), "6", ""), "7", ""), "8", ""), "9", ""))))</f>
        <v>--</v>
      </c>
      <c r="C428" t="str">
        <f>IF(ISBLANK(MAIN!C428), "--", IFERROR(PROPER(SUBSTITUTE(SUBSTITUTE(SUBSTITUTE(SUBSTITUTE(SUBSTITUTE(SUBSTITUTE(SUBSTITUTE(SUBSTITUTE(SUBSTITUTE(SUBSTITUTE(LEFT(MAIN!C428, FIND(",",MAIN!C428) -1), "0", ""), "1", ""), "2", ""), "3", ""), "4", ""), "5", ""), "6", ""), "7", ""), "8", ""), "9", "")), PROPER(SUBSTITUTE(SUBSTITUTE(SUBSTITUTE(SUBSTITUTE(SUBSTITUTE(SUBSTITUTE(SUBSTITUTE(SUBSTITUTE(SUBSTITUTE(SUBSTITUTE(MAIN!C428, "0", ""), "1", ""), "2", ""), "3", ""), "4", ""), "5", ""), "6", ""), "7", ""), "8", ""), "9", ""))))</f>
        <v>--</v>
      </c>
      <c r="D428" t="str">
        <f>IF(ISBLANK(MAIN!D428), "--", IF(ISNUMBER(MATCH(SUBSTITUTE(LEFT(MAIN!D428, IFERROR(FIND(",", MAIN!D428)-1, LEN(MAIN!D428))), " ", ""), lookup_values!$B$2:$B$51, 0)), UPPER(SUBSTITUTE(LEFT(MAIN!D428, IFERROR(FIND(",", MAIN!D428)-1, LEN(MAIN!D428))), " ", "")), IF(ISNA(VLOOKUP(SUBSTITUTE(LEFT(MAIN!D428, IFERROR(FIND(",", MAIN!D428)-1, LEN(MAIN!D428))), " ", ""), lookup_values!$A$2:$B$51, 2, FALSE)), "--", VLOOKUP(SUBSTITUTE(LEFT(MAIN!D428, IFERROR(FIND(",", MAIN!D428)-1, LEN(MAIN!D428))), " ", ""), lookup_values!$A$2:$B$51, 2, FALSE))))</f>
        <v>--</v>
      </c>
      <c r="E428" t="str">
        <f>IF(CLEAN_DATA!D428&lt;&gt;"--","US",IF(ISBLANK(MAIN!E428), "--", IF(ISNUMBER(MATCH(SUBSTITUTE(LEFT(MAIN!E428, IFERROR(FIND(",", MAIN!E428)-1, LEN(MAIN!E428))), " ", ""), lookup_values!$E$2:$E$197, 0)), UPPER(SUBSTITUTE(LEFT(MAIN!E428, IFERROR(FIND(",", MAIN!E428)-1, LEN(MAIN!E428))), " ", "")), IF(ISNA(VLOOKUP(SUBSTITUTE(LEFT(MAIN!E428, IFERROR(FIND(",", MAIN!E428)-1, LEN(MAIN!E428))), " ", ""), lookup_values!$D$2:$E$197, 2, FALSE)), "--", VLOOKUP(SUBSTITUTE(LEFT(MAIN!E428, IFERROR(FIND(",", MAIN!E428)-1, LEN(MAIN!E428))), " ", ""), lookup_values!$D$2:$E$197, 2, FALSE)))))</f>
        <v>--</v>
      </c>
      <c r="F428" t="str">
        <f>IF(ISBLANK(MAIN!F428), "", IF(AND(ISNUMBER(VALUE(TRIM(MAIN!F428))), LEN(TRIM(MAIN!F428))=4), VALUE(TRIM(MAIN!F428)), ""))</f>
        <v/>
      </c>
      <c r="G428">
        <f>IF(ISBLANK(MAIN!G428), 0, IF(ISNUMBER(VALUE(TRIM(MAIN!G428))), VALUE(TRIM(MAIN!G428)), 0))</f>
        <v>0</v>
      </c>
      <c r="H428">
        <f>IF(ISBLANK(MAIN!H428), 0, IF(ISNUMBER(VALUE(TRIM(MAIN!H428))), VALUE(TRIM(MAIN!H428)), 0))</f>
        <v>0</v>
      </c>
      <c r="I428">
        <f>IF(ISBLANK(MAIN!I428), 0, IF(ISNUMBER(VALUE(TRIM(MAIN!I428))), VALUE(TRIM(MAIN!I428)), 0))</f>
        <v>0</v>
      </c>
      <c r="J428">
        <f>IF(ISBLANK(MAIN!J428), 0, IF(ISNUMBER(VALUE(TRIM(MAIN!J428))), VALUE(TRIM(MAIN!J428)), 0))</f>
        <v>0</v>
      </c>
      <c r="K428" cm="1">
        <f t="array" ref="K428">IFERROR(
    VALUE(
        IFERROR(
            UPPER(
                IF(MAX(IFERROR(SEARCH("WD",MAIN!G428:J428), 0))&gt;0, "WD",
                IF(MAX(IFERROR(SEARCH("NS",MAIN!G428:J428), 0))&gt;0, "NS",
                IF(MAX(IFERROR(SEARCH("NC",MAIN!G428:J428), 0))&gt;0, "NC",
                IF(MAX(IFERROR(SEARCH("DQ",MAIN!G428:J428), 0))&gt;0, "DQ",
                IF(ISNUMBER(SEARCH("WD",MAIN!K428)), "WD",
                IF(ISNUMBER(SEARCH("NS",MAIN!K428)), "NS",
                IF(ISNUMBER(SEARCH("NC",MAIN!K428)), "NC",
                IF(ISNUMBER(SEARCH("DQ",MAIN!K428)), "DQ",
                IF(ISNUMBER(SEARCH("A",MAIN!K428)), 0,
                IF(OR(MAIN!K428=0,MAIN!K428=""), 0, --TRIM(MAIN!K428)))))))))))),
            0
        )
    ),
    IFERROR(
        UPPER(
            IF(MAX(IFERROR(SEARCH("WD",MAIN!G428:J428), 0))&gt;0, "WD",
            IF(MAX(IFERROR(SEARCH("NS",MAIN!G428:J428), 0))&gt;0, "NS",
            IF(MAX(IFERROR(SEARCH("NC",MAIN!G428:J428), 0))&gt;0, "NC",
            IF(MAX(IFERROR(SEARCH("DQ",MAIN!G428:J428), 0))&gt;0, "DQ",
            IF(ISNUMBER(SEARCH("WD",MAIN!K428)), "WD",
            IF(ISNUMBER(SEARCH("NS",MAIN!K428)), "NS",
            IF(ISNUMBER(SEARCH("NC",MAIN!K428)), "NC",
            IF(ISNUMBER(SEARCH("DQ",MAIN!K428)), "DQ",
            IF(ISNUMBER(SEARCH("A",MAIN!K428)), 0,
            IF(OR(MAIN!K428=0,MAIN!K428=""), 0, --TRIM(MAIN!K428)))))))))))),
        0
    )
)</f>
        <v>0</v>
      </c>
    </row>
    <row r="429" spans="1:11" x14ac:dyDescent="0.25">
      <c r="A429" t="str">
        <f>IF(ISBLANK(MAIN!A429), "--", IFERROR(PROPER(SUBSTITUTE(SUBSTITUTE(SUBSTITUTE(SUBSTITUTE(SUBSTITUTE(SUBSTITUTE(SUBSTITUTE(SUBSTITUTE(SUBSTITUTE(SUBSTITUTE(LEFT(MAIN!A429, FIND(",",MAIN!A429) -1), "0", ""), "1", ""), "2", ""), "3", ""), "4", ""), "5", ""), "6", ""), "7", ""), "8", ""), "9", "")), PROPER(SUBSTITUTE(SUBSTITUTE(SUBSTITUTE(SUBSTITUTE(SUBSTITUTE(SUBSTITUTE(SUBSTITUTE(SUBSTITUTE(SUBSTITUTE(SUBSTITUTE(MAIN!A429, "0", ""), "1", ""), "2", ""), "3", ""), "4", ""), "5", ""), "6", ""), "7", ""), "8", ""), "9", ""))))</f>
        <v>--</v>
      </c>
      <c r="B429" t="str">
        <f>IF(ISBLANK(MAIN!B429), "--", IFERROR(PROPER(SUBSTITUTE(SUBSTITUTE(SUBSTITUTE(SUBSTITUTE(SUBSTITUTE(SUBSTITUTE(SUBSTITUTE(SUBSTITUTE(SUBSTITUTE(SUBSTITUTE(LEFT(MAIN!B429, FIND(",",MAIN!B429) -1), "0", ""), "1", ""), "2", ""), "3", ""), "4", ""), "5", ""), "6", ""), "7", ""), "8", ""), "9", "")), PROPER(SUBSTITUTE(SUBSTITUTE(SUBSTITUTE(SUBSTITUTE(SUBSTITUTE(SUBSTITUTE(SUBSTITUTE(SUBSTITUTE(SUBSTITUTE(SUBSTITUTE(MAIN!B429, "0", ""), "1", ""), "2", ""), "3", ""), "4", ""), "5", ""), "6", ""), "7", ""), "8", ""), "9", ""))))</f>
        <v>--</v>
      </c>
      <c r="C429" t="str">
        <f>IF(ISBLANK(MAIN!C429), "--", IFERROR(PROPER(SUBSTITUTE(SUBSTITUTE(SUBSTITUTE(SUBSTITUTE(SUBSTITUTE(SUBSTITUTE(SUBSTITUTE(SUBSTITUTE(SUBSTITUTE(SUBSTITUTE(LEFT(MAIN!C429, FIND(",",MAIN!C429) -1), "0", ""), "1", ""), "2", ""), "3", ""), "4", ""), "5", ""), "6", ""), "7", ""), "8", ""), "9", "")), PROPER(SUBSTITUTE(SUBSTITUTE(SUBSTITUTE(SUBSTITUTE(SUBSTITUTE(SUBSTITUTE(SUBSTITUTE(SUBSTITUTE(SUBSTITUTE(SUBSTITUTE(MAIN!C429, "0", ""), "1", ""), "2", ""), "3", ""), "4", ""), "5", ""), "6", ""), "7", ""), "8", ""), "9", ""))))</f>
        <v>--</v>
      </c>
      <c r="D429" t="str">
        <f>IF(ISBLANK(MAIN!D429), "--", IF(ISNUMBER(MATCH(SUBSTITUTE(LEFT(MAIN!D429, IFERROR(FIND(",", MAIN!D429)-1, LEN(MAIN!D429))), " ", ""), lookup_values!$B$2:$B$51, 0)), UPPER(SUBSTITUTE(LEFT(MAIN!D429, IFERROR(FIND(",", MAIN!D429)-1, LEN(MAIN!D429))), " ", "")), IF(ISNA(VLOOKUP(SUBSTITUTE(LEFT(MAIN!D429, IFERROR(FIND(",", MAIN!D429)-1, LEN(MAIN!D429))), " ", ""), lookup_values!$A$2:$B$51, 2, FALSE)), "--", VLOOKUP(SUBSTITUTE(LEFT(MAIN!D429, IFERROR(FIND(",", MAIN!D429)-1, LEN(MAIN!D429))), " ", ""), lookup_values!$A$2:$B$51, 2, FALSE))))</f>
        <v>--</v>
      </c>
      <c r="E429" t="str">
        <f>IF(CLEAN_DATA!D429&lt;&gt;"--","US",IF(ISBLANK(MAIN!E429), "--", IF(ISNUMBER(MATCH(SUBSTITUTE(LEFT(MAIN!E429, IFERROR(FIND(",", MAIN!E429)-1, LEN(MAIN!E429))), " ", ""), lookup_values!$E$2:$E$197, 0)), UPPER(SUBSTITUTE(LEFT(MAIN!E429, IFERROR(FIND(",", MAIN!E429)-1, LEN(MAIN!E429))), " ", "")), IF(ISNA(VLOOKUP(SUBSTITUTE(LEFT(MAIN!E429, IFERROR(FIND(",", MAIN!E429)-1, LEN(MAIN!E429))), " ", ""), lookup_values!$D$2:$E$197, 2, FALSE)), "--", VLOOKUP(SUBSTITUTE(LEFT(MAIN!E429, IFERROR(FIND(",", MAIN!E429)-1, LEN(MAIN!E429))), " ", ""), lookup_values!$D$2:$E$197, 2, FALSE)))))</f>
        <v>--</v>
      </c>
      <c r="F429" t="str">
        <f>IF(ISBLANK(MAIN!F429), "", IF(AND(ISNUMBER(VALUE(TRIM(MAIN!F429))), LEN(TRIM(MAIN!F429))=4), VALUE(TRIM(MAIN!F429)), ""))</f>
        <v/>
      </c>
      <c r="G429">
        <f>IF(ISBLANK(MAIN!G429), 0, IF(ISNUMBER(VALUE(TRIM(MAIN!G429))), VALUE(TRIM(MAIN!G429)), 0))</f>
        <v>0</v>
      </c>
      <c r="H429">
        <f>IF(ISBLANK(MAIN!H429), 0, IF(ISNUMBER(VALUE(TRIM(MAIN!H429))), VALUE(TRIM(MAIN!H429)), 0))</f>
        <v>0</v>
      </c>
      <c r="I429">
        <f>IF(ISBLANK(MAIN!I429), 0, IF(ISNUMBER(VALUE(TRIM(MAIN!I429))), VALUE(TRIM(MAIN!I429)), 0))</f>
        <v>0</v>
      </c>
      <c r="J429">
        <f>IF(ISBLANK(MAIN!J429), 0, IF(ISNUMBER(VALUE(TRIM(MAIN!J429))), VALUE(TRIM(MAIN!J429)), 0))</f>
        <v>0</v>
      </c>
      <c r="K429" cm="1">
        <f t="array" ref="K429">IFERROR(
    VALUE(
        IFERROR(
            UPPER(
                IF(MAX(IFERROR(SEARCH("WD",MAIN!G429:J429), 0))&gt;0, "WD",
                IF(MAX(IFERROR(SEARCH("NS",MAIN!G429:J429), 0))&gt;0, "NS",
                IF(MAX(IFERROR(SEARCH("NC",MAIN!G429:J429), 0))&gt;0, "NC",
                IF(MAX(IFERROR(SEARCH("DQ",MAIN!G429:J429), 0))&gt;0, "DQ",
                IF(ISNUMBER(SEARCH("WD",MAIN!K429)), "WD",
                IF(ISNUMBER(SEARCH("NS",MAIN!K429)), "NS",
                IF(ISNUMBER(SEARCH("NC",MAIN!K429)), "NC",
                IF(ISNUMBER(SEARCH("DQ",MAIN!K429)), "DQ",
                IF(ISNUMBER(SEARCH("A",MAIN!K429)), 0,
                IF(OR(MAIN!K429=0,MAIN!K429=""), 0, --TRIM(MAIN!K429)))))))))))),
            0
        )
    ),
    IFERROR(
        UPPER(
            IF(MAX(IFERROR(SEARCH("WD",MAIN!G429:J429), 0))&gt;0, "WD",
            IF(MAX(IFERROR(SEARCH("NS",MAIN!G429:J429), 0))&gt;0, "NS",
            IF(MAX(IFERROR(SEARCH("NC",MAIN!G429:J429), 0))&gt;0, "NC",
            IF(MAX(IFERROR(SEARCH("DQ",MAIN!G429:J429), 0))&gt;0, "DQ",
            IF(ISNUMBER(SEARCH("WD",MAIN!K429)), "WD",
            IF(ISNUMBER(SEARCH("NS",MAIN!K429)), "NS",
            IF(ISNUMBER(SEARCH("NC",MAIN!K429)), "NC",
            IF(ISNUMBER(SEARCH("DQ",MAIN!K429)), "DQ",
            IF(ISNUMBER(SEARCH("A",MAIN!K429)), 0,
            IF(OR(MAIN!K429=0,MAIN!K429=""), 0, --TRIM(MAIN!K429)))))))))))),
        0
    )
)</f>
        <v>0</v>
      </c>
    </row>
    <row r="430" spans="1:11" x14ac:dyDescent="0.25">
      <c r="A430" t="str">
        <f>IF(ISBLANK(MAIN!A430), "--", IFERROR(PROPER(SUBSTITUTE(SUBSTITUTE(SUBSTITUTE(SUBSTITUTE(SUBSTITUTE(SUBSTITUTE(SUBSTITUTE(SUBSTITUTE(SUBSTITUTE(SUBSTITUTE(LEFT(MAIN!A430, FIND(",",MAIN!A430) -1), "0", ""), "1", ""), "2", ""), "3", ""), "4", ""), "5", ""), "6", ""), "7", ""), "8", ""), "9", "")), PROPER(SUBSTITUTE(SUBSTITUTE(SUBSTITUTE(SUBSTITUTE(SUBSTITUTE(SUBSTITUTE(SUBSTITUTE(SUBSTITUTE(SUBSTITUTE(SUBSTITUTE(MAIN!A430, "0", ""), "1", ""), "2", ""), "3", ""), "4", ""), "5", ""), "6", ""), "7", ""), "8", ""), "9", ""))))</f>
        <v>--</v>
      </c>
      <c r="B430" t="str">
        <f>IF(ISBLANK(MAIN!B430), "--", IFERROR(PROPER(SUBSTITUTE(SUBSTITUTE(SUBSTITUTE(SUBSTITUTE(SUBSTITUTE(SUBSTITUTE(SUBSTITUTE(SUBSTITUTE(SUBSTITUTE(SUBSTITUTE(LEFT(MAIN!B430, FIND(",",MAIN!B430) -1), "0", ""), "1", ""), "2", ""), "3", ""), "4", ""), "5", ""), "6", ""), "7", ""), "8", ""), "9", "")), PROPER(SUBSTITUTE(SUBSTITUTE(SUBSTITUTE(SUBSTITUTE(SUBSTITUTE(SUBSTITUTE(SUBSTITUTE(SUBSTITUTE(SUBSTITUTE(SUBSTITUTE(MAIN!B430, "0", ""), "1", ""), "2", ""), "3", ""), "4", ""), "5", ""), "6", ""), "7", ""), "8", ""), "9", ""))))</f>
        <v>--</v>
      </c>
      <c r="C430" t="str">
        <f>IF(ISBLANK(MAIN!C430), "--", IFERROR(PROPER(SUBSTITUTE(SUBSTITUTE(SUBSTITUTE(SUBSTITUTE(SUBSTITUTE(SUBSTITUTE(SUBSTITUTE(SUBSTITUTE(SUBSTITUTE(SUBSTITUTE(LEFT(MAIN!C430, FIND(",",MAIN!C430) -1), "0", ""), "1", ""), "2", ""), "3", ""), "4", ""), "5", ""), "6", ""), "7", ""), "8", ""), "9", "")), PROPER(SUBSTITUTE(SUBSTITUTE(SUBSTITUTE(SUBSTITUTE(SUBSTITUTE(SUBSTITUTE(SUBSTITUTE(SUBSTITUTE(SUBSTITUTE(SUBSTITUTE(MAIN!C430, "0", ""), "1", ""), "2", ""), "3", ""), "4", ""), "5", ""), "6", ""), "7", ""), "8", ""), "9", ""))))</f>
        <v>--</v>
      </c>
      <c r="D430" t="str">
        <f>IF(ISBLANK(MAIN!D430), "--", IF(ISNUMBER(MATCH(SUBSTITUTE(LEFT(MAIN!D430, IFERROR(FIND(",", MAIN!D430)-1, LEN(MAIN!D430))), " ", ""), lookup_values!$B$2:$B$51, 0)), UPPER(SUBSTITUTE(LEFT(MAIN!D430, IFERROR(FIND(",", MAIN!D430)-1, LEN(MAIN!D430))), " ", "")), IF(ISNA(VLOOKUP(SUBSTITUTE(LEFT(MAIN!D430, IFERROR(FIND(",", MAIN!D430)-1, LEN(MAIN!D430))), " ", ""), lookup_values!$A$2:$B$51, 2, FALSE)), "--", VLOOKUP(SUBSTITUTE(LEFT(MAIN!D430, IFERROR(FIND(",", MAIN!D430)-1, LEN(MAIN!D430))), " ", ""), lookup_values!$A$2:$B$51, 2, FALSE))))</f>
        <v>--</v>
      </c>
      <c r="E430" t="str">
        <f>IF(CLEAN_DATA!D430&lt;&gt;"--","US",IF(ISBLANK(MAIN!E430), "--", IF(ISNUMBER(MATCH(SUBSTITUTE(LEFT(MAIN!E430, IFERROR(FIND(",", MAIN!E430)-1, LEN(MAIN!E430))), " ", ""), lookup_values!$E$2:$E$197, 0)), UPPER(SUBSTITUTE(LEFT(MAIN!E430, IFERROR(FIND(",", MAIN!E430)-1, LEN(MAIN!E430))), " ", "")), IF(ISNA(VLOOKUP(SUBSTITUTE(LEFT(MAIN!E430, IFERROR(FIND(",", MAIN!E430)-1, LEN(MAIN!E430))), " ", ""), lookup_values!$D$2:$E$197, 2, FALSE)), "--", VLOOKUP(SUBSTITUTE(LEFT(MAIN!E430, IFERROR(FIND(",", MAIN!E430)-1, LEN(MAIN!E430))), " ", ""), lookup_values!$D$2:$E$197, 2, FALSE)))))</f>
        <v>--</v>
      </c>
      <c r="F430" t="str">
        <f>IF(ISBLANK(MAIN!F430), "", IF(AND(ISNUMBER(VALUE(TRIM(MAIN!F430))), LEN(TRIM(MAIN!F430))=4), VALUE(TRIM(MAIN!F430)), ""))</f>
        <v/>
      </c>
      <c r="G430">
        <f>IF(ISBLANK(MAIN!G430), 0, IF(ISNUMBER(VALUE(TRIM(MAIN!G430))), VALUE(TRIM(MAIN!G430)), 0))</f>
        <v>0</v>
      </c>
      <c r="H430">
        <f>IF(ISBLANK(MAIN!H430), 0, IF(ISNUMBER(VALUE(TRIM(MAIN!H430))), VALUE(TRIM(MAIN!H430)), 0))</f>
        <v>0</v>
      </c>
      <c r="I430">
        <f>IF(ISBLANK(MAIN!I430), 0, IF(ISNUMBER(VALUE(TRIM(MAIN!I430))), VALUE(TRIM(MAIN!I430)), 0))</f>
        <v>0</v>
      </c>
      <c r="J430">
        <f>IF(ISBLANK(MAIN!J430), 0, IF(ISNUMBER(VALUE(TRIM(MAIN!J430))), VALUE(TRIM(MAIN!J430)), 0))</f>
        <v>0</v>
      </c>
      <c r="K430" cm="1">
        <f t="array" ref="K430">IFERROR(
    VALUE(
        IFERROR(
            UPPER(
                IF(MAX(IFERROR(SEARCH("WD",MAIN!G430:J430), 0))&gt;0, "WD",
                IF(MAX(IFERROR(SEARCH("NS",MAIN!G430:J430), 0))&gt;0, "NS",
                IF(MAX(IFERROR(SEARCH("NC",MAIN!G430:J430), 0))&gt;0, "NC",
                IF(MAX(IFERROR(SEARCH("DQ",MAIN!G430:J430), 0))&gt;0, "DQ",
                IF(ISNUMBER(SEARCH("WD",MAIN!K430)), "WD",
                IF(ISNUMBER(SEARCH("NS",MAIN!K430)), "NS",
                IF(ISNUMBER(SEARCH("NC",MAIN!K430)), "NC",
                IF(ISNUMBER(SEARCH("DQ",MAIN!K430)), "DQ",
                IF(ISNUMBER(SEARCH("A",MAIN!K430)), 0,
                IF(OR(MAIN!K430=0,MAIN!K430=""), 0, --TRIM(MAIN!K430)))))))))))),
            0
        )
    ),
    IFERROR(
        UPPER(
            IF(MAX(IFERROR(SEARCH("WD",MAIN!G430:J430), 0))&gt;0, "WD",
            IF(MAX(IFERROR(SEARCH("NS",MAIN!G430:J430), 0))&gt;0, "NS",
            IF(MAX(IFERROR(SEARCH("NC",MAIN!G430:J430), 0))&gt;0, "NC",
            IF(MAX(IFERROR(SEARCH("DQ",MAIN!G430:J430), 0))&gt;0, "DQ",
            IF(ISNUMBER(SEARCH("WD",MAIN!K430)), "WD",
            IF(ISNUMBER(SEARCH("NS",MAIN!K430)), "NS",
            IF(ISNUMBER(SEARCH("NC",MAIN!K430)), "NC",
            IF(ISNUMBER(SEARCH("DQ",MAIN!K430)), "DQ",
            IF(ISNUMBER(SEARCH("A",MAIN!K430)), 0,
            IF(OR(MAIN!K430=0,MAIN!K430=""), 0, --TRIM(MAIN!K430)))))))))))),
        0
    )
)</f>
        <v>0</v>
      </c>
    </row>
    <row r="431" spans="1:11" x14ac:dyDescent="0.25">
      <c r="A431" t="str">
        <f>IF(ISBLANK(MAIN!A431), "--", IFERROR(PROPER(SUBSTITUTE(SUBSTITUTE(SUBSTITUTE(SUBSTITUTE(SUBSTITUTE(SUBSTITUTE(SUBSTITUTE(SUBSTITUTE(SUBSTITUTE(SUBSTITUTE(LEFT(MAIN!A431, FIND(",",MAIN!A431) -1), "0", ""), "1", ""), "2", ""), "3", ""), "4", ""), "5", ""), "6", ""), "7", ""), "8", ""), "9", "")), PROPER(SUBSTITUTE(SUBSTITUTE(SUBSTITUTE(SUBSTITUTE(SUBSTITUTE(SUBSTITUTE(SUBSTITUTE(SUBSTITUTE(SUBSTITUTE(SUBSTITUTE(MAIN!A431, "0", ""), "1", ""), "2", ""), "3", ""), "4", ""), "5", ""), "6", ""), "7", ""), "8", ""), "9", ""))))</f>
        <v>--</v>
      </c>
      <c r="B431" t="str">
        <f>IF(ISBLANK(MAIN!B431), "--", IFERROR(PROPER(SUBSTITUTE(SUBSTITUTE(SUBSTITUTE(SUBSTITUTE(SUBSTITUTE(SUBSTITUTE(SUBSTITUTE(SUBSTITUTE(SUBSTITUTE(SUBSTITUTE(LEFT(MAIN!B431, FIND(",",MAIN!B431) -1), "0", ""), "1", ""), "2", ""), "3", ""), "4", ""), "5", ""), "6", ""), "7", ""), "8", ""), "9", "")), PROPER(SUBSTITUTE(SUBSTITUTE(SUBSTITUTE(SUBSTITUTE(SUBSTITUTE(SUBSTITUTE(SUBSTITUTE(SUBSTITUTE(SUBSTITUTE(SUBSTITUTE(MAIN!B431, "0", ""), "1", ""), "2", ""), "3", ""), "4", ""), "5", ""), "6", ""), "7", ""), "8", ""), "9", ""))))</f>
        <v>--</v>
      </c>
      <c r="C431" t="str">
        <f>IF(ISBLANK(MAIN!C431), "--", IFERROR(PROPER(SUBSTITUTE(SUBSTITUTE(SUBSTITUTE(SUBSTITUTE(SUBSTITUTE(SUBSTITUTE(SUBSTITUTE(SUBSTITUTE(SUBSTITUTE(SUBSTITUTE(LEFT(MAIN!C431, FIND(",",MAIN!C431) -1), "0", ""), "1", ""), "2", ""), "3", ""), "4", ""), "5", ""), "6", ""), "7", ""), "8", ""), "9", "")), PROPER(SUBSTITUTE(SUBSTITUTE(SUBSTITUTE(SUBSTITUTE(SUBSTITUTE(SUBSTITUTE(SUBSTITUTE(SUBSTITUTE(SUBSTITUTE(SUBSTITUTE(MAIN!C431, "0", ""), "1", ""), "2", ""), "3", ""), "4", ""), "5", ""), "6", ""), "7", ""), "8", ""), "9", ""))))</f>
        <v>--</v>
      </c>
      <c r="D431" t="str">
        <f>IF(ISBLANK(MAIN!D431), "--", IF(ISNUMBER(MATCH(SUBSTITUTE(LEFT(MAIN!D431, IFERROR(FIND(",", MAIN!D431)-1, LEN(MAIN!D431))), " ", ""), lookup_values!$B$2:$B$51, 0)), UPPER(SUBSTITUTE(LEFT(MAIN!D431, IFERROR(FIND(",", MAIN!D431)-1, LEN(MAIN!D431))), " ", "")), IF(ISNA(VLOOKUP(SUBSTITUTE(LEFT(MAIN!D431, IFERROR(FIND(",", MAIN!D431)-1, LEN(MAIN!D431))), " ", ""), lookup_values!$A$2:$B$51, 2, FALSE)), "--", VLOOKUP(SUBSTITUTE(LEFT(MAIN!D431, IFERROR(FIND(",", MAIN!D431)-1, LEN(MAIN!D431))), " ", ""), lookup_values!$A$2:$B$51, 2, FALSE))))</f>
        <v>--</v>
      </c>
      <c r="E431" t="str">
        <f>IF(CLEAN_DATA!D431&lt;&gt;"--","US",IF(ISBLANK(MAIN!E431), "--", IF(ISNUMBER(MATCH(SUBSTITUTE(LEFT(MAIN!E431, IFERROR(FIND(",", MAIN!E431)-1, LEN(MAIN!E431))), " ", ""), lookup_values!$E$2:$E$197, 0)), UPPER(SUBSTITUTE(LEFT(MAIN!E431, IFERROR(FIND(",", MAIN!E431)-1, LEN(MAIN!E431))), " ", "")), IF(ISNA(VLOOKUP(SUBSTITUTE(LEFT(MAIN!E431, IFERROR(FIND(",", MAIN!E431)-1, LEN(MAIN!E431))), " ", ""), lookup_values!$D$2:$E$197, 2, FALSE)), "--", VLOOKUP(SUBSTITUTE(LEFT(MAIN!E431, IFERROR(FIND(",", MAIN!E431)-1, LEN(MAIN!E431))), " ", ""), lookup_values!$D$2:$E$197, 2, FALSE)))))</f>
        <v>--</v>
      </c>
      <c r="F431" t="str">
        <f>IF(ISBLANK(MAIN!F431), "", IF(AND(ISNUMBER(VALUE(TRIM(MAIN!F431))), LEN(TRIM(MAIN!F431))=4), VALUE(TRIM(MAIN!F431)), ""))</f>
        <v/>
      </c>
      <c r="G431">
        <f>IF(ISBLANK(MAIN!G431), 0, IF(ISNUMBER(VALUE(TRIM(MAIN!G431))), VALUE(TRIM(MAIN!G431)), 0))</f>
        <v>0</v>
      </c>
      <c r="H431">
        <f>IF(ISBLANK(MAIN!H431), 0, IF(ISNUMBER(VALUE(TRIM(MAIN!H431))), VALUE(TRIM(MAIN!H431)), 0))</f>
        <v>0</v>
      </c>
      <c r="I431">
        <f>IF(ISBLANK(MAIN!I431), 0, IF(ISNUMBER(VALUE(TRIM(MAIN!I431))), VALUE(TRIM(MAIN!I431)), 0))</f>
        <v>0</v>
      </c>
      <c r="J431">
        <f>IF(ISBLANK(MAIN!J431), 0, IF(ISNUMBER(VALUE(TRIM(MAIN!J431))), VALUE(TRIM(MAIN!J431)), 0))</f>
        <v>0</v>
      </c>
      <c r="K431" cm="1">
        <f t="array" ref="K431">IFERROR(
    VALUE(
        IFERROR(
            UPPER(
                IF(MAX(IFERROR(SEARCH("WD",MAIN!G431:J431), 0))&gt;0, "WD",
                IF(MAX(IFERROR(SEARCH("NS",MAIN!G431:J431), 0))&gt;0, "NS",
                IF(MAX(IFERROR(SEARCH("NC",MAIN!G431:J431), 0))&gt;0, "NC",
                IF(MAX(IFERROR(SEARCH("DQ",MAIN!G431:J431), 0))&gt;0, "DQ",
                IF(ISNUMBER(SEARCH("WD",MAIN!K431)), "WD",
                IF(ISNUMBER(SEARCH("NS",MAIN!K431)), "NS",
                IF(ISNUMBER(SEARCH("NC",MAIN!K431)), "NC",
                IF(ISNUMBER(SEARCH("DQ",MAIN!K431)), "DQ",
                IF(ISNUMBER(SEARCH("A",MAIN!K431)), 0,
                IF(OR(MAIN!K431=0,MAIN!K431=""), 0, --TRIM(MAIN!K431)))))))))))),
            0
        )
    ),
    IFERROR(
        UPPER(
            IF(MAX(IFERROR(SEARCH("WD",MAIN!G431:J431), 0))&gt;0, "WD",
            IF(MAX(IFERROR(SEARCH("NS",MAIN!G431:J431), 0))&gt;0, "NS",
            IF(MAX(IFERROR(SEARCH("NC",MAIN!G431:J431), 0))&gt;0, "NC",
            IF(MAX(IFERROR(SEARCH("DQ",MAIN!G431:J431), 0))&gt;0, "DQ",
            IF(ISNUMBER(SEARCH("WD",MAIN!K431)), "WD",
            IF(ISNUMBER(SEARCH("NS",MAIN!K431)), "NS",
            IF(ISNUMBER(SEARCH("NC",MAIN!K431)), "NC",
            IF(ISNUMBER(SEARCH("DQ",MAIN!K431)), "DQ",
            IF(ISNUMBER(SEARCH("A",MAIN!K431)), 0,
            IF(OR(MAIN!K431=0,MAIN!K431=""), 0, --TRIM(MAIN!K431)))))))))))),
        0
    )
)</f>
        <v>0</v>
      </c>
    </row>
    <row r="432" spans="1:11" x14ac:dyDescent="0.25">
      <c r="A432" t="str">
        <f>IF(ISBLANK(MAIN!A432), "--", IFERROR(PROPER(SUBSTITUTE(SUBSTITUTE(SUBSTITUTE(SUBSTITUTE(SUBSTITUTE(SUBSTITUTE(SUBSTITUTE(SUBSTITUTE(SUBSTITUTE(SUBSTITUTE(LEFT(MAIN!A432, FIND(",",MAIN!A432) -1), "0", ""), "1", ""), "2", ""), "3", ""), "4", ""), "5", ""), "6", ""), "7", ""), "8", ""), "9", "")), PROPER(SUBSTITUTE(SUBSTITUTE(SUBSTITUTE(SUBSTITUTE(SUBSTITUTE(SUBSTITUTE(SUBSTITUTE(SUBSTITUTE(SUBSTITUTE(SUBSTITUTE(MAIN!A432, "0", ""), "1", ""), "2", ""), "3", ""), "4", ""), "5", ""), "6", ""), "7", ""), "8", ""), "9", ""))))</f>
        <v>--</v>
      </c>
      <c r="B432" t="str">
        <f>IF(ISBLANK(MAIN!B432), "--", IFERROR(PROPER(SUBSTITUTE(SUBSTITUTE(SUBSTITUTE(SUBSTITUTE(SUBSTITUTE(SUBSTITUTE(SUBSTITUTE(SUBSTITUTE(SUBSTITUTE(SUBSTITUTE(LEFT(MAIN!B432, FIND(",",MAIN!B432) -1), "0", ""), "1", ""), "2", ""), "3", ""), "4", ""), "5", ""), "6", ""), "7", ""), "8", ""), "9", "")), PROPER(SUBSTITUTE(SUBSTITUTE(SUBSTITUTE(SUBSTITUTE(SUBSTITUTE(SUBSTITUTE(SUBSTITUTE(SUBSTITUTE(SUBSTITUTE(SUBSTITUTE(MAIN!B432, "0", ""), "1", ""), "2", ""), "3", ""), "4", ""), "5", ""), "6", ""), "7", ""), "8", ""), "9", ""))))</f>
        <v>--</v>
      </c>
      <c r="C432" t="str">
        <f>IF(ISBLANK(MAIN!C432), "--", IFERROR(PROPER(SUBSTITUTE(SUBSTITUTE(SUBSTITUTE(SUBSTITUTE(SUBSTITUTE(SUBSTITUTE(SUBSTITUTE(SUBSTITUTE(SUBSTITUTE(SUBSTITUTE(LEFT(MAIN!C432, FIND(",",MAIN!C432) -1), "0", ""), "1", ""), "2", ""), "3", ""), "4", ""), "5", ""), "6", ""), "7", ""), "8", ""), "9", "")), PROPER(SUBSTITUTE(SUBSTITUTE(SUBSTITUTE(SUBSTITUTE(SUBSTITUTE(SUBSTITUTE(SUBSTITUTE(SUBSTITUTE(SUBSTITUTE(SUBSTITUTE(MAIN!C432, "0", ""), "1", ""), "2", ""), "3", ""), "4", ""), "5", ""), "6", ""), "7", ""), "8", ""), "9", ""))))</f>
        <v>--</v>
      </c>
      <c r="D432" t="str">
        <f>IF(ISBLANK(MAIN!D432), "--", IF(ISNUMBER(MATCH(SUBSTITUTE(LEFT(MAIN!D432, IFERROR(FIND(",", MAIN!D432)-1, LEN(MAIN!D432))), " ", ""), lookup_values!$B$2:$B$51, 0)), UPPER(SUBSTITUTE(LEFT(MAIN!D432, IFERROR(FIND(",", MAIN!D432)-1, LEN(MAIN!D432))), " ", "")), IF(ISNA(VLOOKUP(SUBSTITUTE(LEFT(MAIN!D432, IFERROR(FIND(",", MAIN!D432)-1, LEN(MAIN!D432))), " ", ""), lookup_values!$A$2:$B$51, 2, FALSE)), "--", VLOOKUP(SUBSTITUTE(LEFT(MAIN!D432, IFERROR(FIND(",", MAIN!D432)-1, LEN(MAIN!D432))), " ", ""), lookup_values!$A$2:$B$51, 2, FALSE))))</f>
        <v>--</v>
      </c>
      <c r="E432" t="str">
        <f>IF(CLEAN_DATA!D432&lt;&gt;"--","US",IF(ISBLANK(MAIN!E432), "--", IF(ISNUMBER(MATCH(SUBSTITUTE(LEFT(MAIN!E432, IFERROR(FIND(",", MAIN!E432)-1, LEN(MAIN!E432))), " ", ""), lookup_values!$E$2:$E$197, 0)), UPPER(SUBSTITUTE(LEFT(MAIN!E432, IFERROR(FIND(",", MAIN!E432)-1, LEN(MAIN!E432))), " ", "")), IF(ISNA(VLOOKUP(SUBSTITUTE(LEFT(MAIN!E432, IFERROR(FIND(",", MAIN!E432)-1, LEN(MAIN!E432))), " ", ""), lookup_values!$D$2:$E$197, 2, FALSE)), "--", VLOOKUP(SUBSTITUTE(LEFT(MAIN!E432, IFERROR(FIND(",", MAIN!E432)-1, LEN(MAIN!E432))), " ", ""), lookup_values!$D$2:$E$197, 2, FALSE)))))</f>
        <v>--</v>
      </c>
      <c r="F432" t="str">
        <f>IF(ISBLANK(MAIN!F432), "", IF(AND(ISNUMBER(VALUE(TRIM(MAIN!F432))), LEN(TRIM(MAIN!F432))=4), VALUE(TRIM(MAIN!F432)), ""))</f>
        <v/>
      </c>
      <c r="G432">
        <f>IF(ISBLANK(MAIN!G432), 0, IF(ISNUMBER(VALUE(TRIM(MAIN!G432))), VALUE(TRIM(MAIN!G432)), 0))</f>
        <v>0</v>
      </c>
      <c r="H432">
        <f>IF(ISBLANK(MAIN!H432), 0, IF(ISNUMBER(VALUE(TRIM(MAIN!H432))), VALUE(TRIM(MAIN!H432)), 0))</f>
        <v>0</v>
      </c>
      <c r="I432">
        <f>IF(ISBLANK(MAIN!I432), 0, IF(ISNUMBER(VALUE(TRIM(MAIN!I432))), VALUE(TRIM(MAIN!I432)), 0))</f>
        <v>0</v>
      </c>
      <c r="J432">
        <f>IF(ISBLANK(MAIN!J432), 0, IF(ISNUMBER(VALUE(TRIM(MAIN!J432))), VALUE(TRIM(MAIN!J432)), 0))</f>
        <v>0</v>
      </c>
      <c r="K432" cm="1">
        <f t="array" ref="K432">IFERROR(
    VALUE(
        IFERROR(
            UPPER(
                IF(MAX(IFERROR(SEARCH("WD",MAIN!G432:J432), 0))&gt;0, "WD",
                IF(MAX(IFERROR(SEARCH("NS",MAIN!G432:J432), 0))&gt;0, "NS",
                IF(MAX(IFERROR(SEARCH("NC",MAIN!G432:J432), 0))&gt;0, "NC",
                IF(MAX(IFERROR(SEARCH("DQ",MAIN!G432:J432), 0))&gt;0, "DQ",
                IF(ISNUMBER(SEARCH("WD",MAIN!K432)), "WD",
                IF(ISNUMBER(SEARCH("NS",MAIN!K432)), "NS",
                IF(ISNUMBER(SEARCH("NC",MAIN!K432)), "NC",
                IF(ISNUMBER(SEARCH("DQ",MAIN!K432)), "DQ",
                IF(ISNUMBER(SEARCH("A",MAIN!K432)), 0,
                IF(OR(MAIN!K432=0,MAIN!K432=""), 0, --TRIM(MAIN!K432)))))))))))),
            0
        )
    ),
    IFERROR(
        UPPER(
            IF(MAX(IFERROR(SEARCH("WD",MAIN!G432:J432), 0))&gt;0, "WD",
            IF(MAX(IFERROR(SEARCH("NS",MAIN!G432:J432), 0))&gt;0, "NS",
            IF(MAX(IFERROR(SEARCH("NC",MAIN!G432:J432), 0))&gt;0, "NC",
            IF(MAX(IFERROR(SEARCH("DQ",MAIN!G432:J432), 0))&gt;0, "DQ",
            IF(ISNUMBER(SEARCH("WD",MAIN!K432)), "WD",
            IF(ISNUMBER(SEARCH("NS",MAIN!K432)), "NS",
            IF(ISNUMBER(SEARCH("NC",MAIN!K432)), "NC",
            IF(ISNUMBER(SEARCH("DQ",MAIN!K432)), "DQ",
            IF(ISNUMBER(SEARCH("A",MAIN!K432)), 0,
            IF(OR(MAIN!K432=0,MAIN!K432=""), 0, --TRIM(MAIN!K432)))))))))))),
        0
    )
)</f>
        <v>0</v>
      </c>
    </row>
    <row r="433" spans="1:11" x14ac:dyDescent="0.25">
      <c r="A433" t="str">
        <f>IF(ISBLANK(MAIN!A433), "--", IFERROR(PROPER(SUBSTITUTE(SUBSTITUTE(SUBSTITUTE(SUBSTITUTE(SUBSTITUTE(SUBSTITUTE(SUBSTITUTE(SUBSTITUTE(SUBSTITUTE(SUBSTITUTE(LEFT(MAIN!A433, FIND(",",MAIN!A433) -1), "0", ""), "1", ""), "2", ""), "3", ""), "4", ""), "5", ""), "6", ""), "7", ""), "8", ""), "9", "")), PROPER(SUBSTITUTE(SUBSTITUTE(SUBSTITUTE(SUBSTITUTE(SUBSTITUTE(SUBSTITUTE(SUBSTITUTE(SUBSTITUTE(SUBSTITUTE(SUBSTITUTE(MAIN!A433, "0", ""), "1", ""), "2", ""), "3", ""), "4", ""), "5", ""), "6", ""), "7", ""), "8", ""), "9", ""))))</f>
        <v>--</v>
      </c>
      <c r="B433" t="str">
        <f>IF(ISBLANK(MAIN!B433), "--", IFERROR(PROPER(SUBSTITUTE(SUBSTITUTE(SUBSTITUTE(SUBSTITUTE(SUBSTITUTE(SUBSTITUTE(SUBSTITUTE(SUBSTITUTE(SUBSTITUTE(SUBSTITUTE(LEFT(MAIN!B433, FIND(",",MAIN!B433) -1), "0", ""), "1", ""), "2", ""), "3", ""), "4", ""), "5", ""), "6", ""), "7", ""), "8", ""), "9", "")), PROPER(SUBSTITUTE(SUBSTITUTE(SUBSTITUTE(SUBSTITUTE(SUBSTITUTE(SUBSTITUTE(SUBSTITUTE(SUBSTITUTE(SUBSTITUTE(SUBSTITUTE(MAIN!B433, "0", ""), "1", ""), "2", ""), "3", ""), "4", ""), "5", ""), "6", ""), "7", ""), "8", ""), "9", ""))))</f>
        <v>--</v>
      </c>
      <c r="C433" t="str">
        <f>IF(ISBLANK(MAIN!C433), "--", IFERROR(PROPER(SUBSTITUTE(SUBSTITUTE(SUBSTITUTE(SUBSTITUTE(SUBSTITUTE(SUBSTITUTE(SUBSTITUTE(SUBSTITUTE(SUBSTITUTE(SUBSTITUTE(LEFT(MAIN!C433, FIND(",",MAIN!C433) -1), "0", ""), "1", ""), "2", ""), "3", ""), "4", ""), "5", ""), "6", ""), "7", ""), "8", ""), "9", "")), PROPER(SUBSTITUTE(SUBSTITUTE(SUBSTITUTE(SUBSTITUTE(SUBSTITUTE(SUBSTITUTE(SUBSTITUTE(SUBSTITUTE(SUBSTITUTE(SUBSTITUTE(MAIN!C433, "0", ""), "1", ""), "2", ""), "3", ""), "4", ""), "5", ""), "6", ""), "7", ""), "8", ""), "9", ""))))</f>
        <v>--</v>
      </c>
      <c r="D433" t="str">
        <f>IF(ISBLANK(MAIN!D433), "--", IF(ISNUMBER(MATCH(SUBSTITUTE(LEFT(MAIN!D433, IFERROR(FIND(",", MAIN!D433)-1, LEN(MAIN!D433))), " ", ""), lookup_values!$B$2:$B$51, 0)), UPPER(SUBSTITUTE(LEFT(MAIN!D433, IFERROR(FIND(",", MAIN!D433)-1, LEN(MAIN!D433))), " ", "")), IF(ISNA(VLOOKUP(SUBSTITUTE(LEFT(MAIN!D433, IFERROR(FIND(",", MAIN!D433)-1, LEN(MAIN!D433))), " ", ""), lookup_values!$A$2:$B$51, 2, FALSE)), "--", VLOOKUP(SUBSTITUTE(LEFT(MAIN!D433, IFERROR(FIND(",", MAIN!D433)-1, LEN(MAIN!D433))), " ", ""), lookup_values!$A$2:$B$51, 2, FALSE))))</f>
        <v>--</v>
      </c>
      <c r="E433" t="str">
        <f>IF(CLEAN_DATA!D433&lt;&gt;"--","US",IF(ISBLANK(MAIN!E433), "--", IF(ISNUMBER(MATCH(SUBSTITUTE(LEFT(MAIN!E433, IFERROR(FIND(",", MAIN!E433)-1, LEN(MAIN!E433))), " ", ""), lookup_values!$E$2:$E$197, 0)), UPPER(SUBSTITUTE(LEFT(MAIN!E433, IFERROR(FIND(",", MAIN!E433)-1, LEN(MAIN!E433))), " ", "")), IF(ISNA(VLOOKUP(SUBSTITUTE(LEFT(MAIN!E433, IFERROR(FIND(",", MAIN!E433)-1, LEN(MAIN!E433))), " ", ""), lookup_values!$D$2:$E$197, 2, FALSE)), "--", VLOOKUP(SUBSTITUTE(LEFT(MAIN!E433, IFERROR(FIND(",", MAIN!E433)-1, LEN(MAIN!E433))), " ", ""), lookup_values!$D$2:$E$197, 2, FALSE)))))</f>
        <v>--</v>
      </c>
      <c r="F433" t="str">
        <f>IF(ISBLANK(MAIN!F433), "", IF(AND(ISNUMBER(VALUE(TRIM(MAIN!F433))), LEN(TRIM(MAIN!F433))=4), VALUE(TRIM(MAIN!F433)), ""))</f>
        <v/>
      </c>
      <c r="G433">
        <f>IF(ISBLANK(MAIN!G433), 0, IF(ISNUMBER(VALUE(TRIM(MAIN!G433))), VALUE(TRIM(MAIN!G433)), 0))</f>
        <v>0</v>
      </c>
      <c r="H433">
        <f>IF(ISBLANK(MAIN!H433), 0, IF(ISNUMBER(VALUE(TRIM(MAIN!H433))), VALUE(TRIM(MAIN!H433)), 0))</f>
        <v>0</v>
      </c>
      <c r="I433">
        <f>IF(ISBLANK(MAIN!I433), 0, IF(ISNUMBER(VALUE(TRIM(MAIN!I433))), VALUE(TRIM(MAIN!I433)), 0))</f>
        <v>0</v>
      </c>
      <c r="J433">
        <f>IF(ISBLANK(MAIN!J433), 0, IF(ISNUMBER(VALUE(TRIM(MAIN!J433))), VALUE(TRIM(MAIN!J433)), 0))</f>
        <v>0</v>
      </c>
      <c r="K433" cm="1">
        <f t="array" ref="K433">IFERROR(
    VALUE(
        IFERROR(
            UPPER(
                IF(MAX(IFERROR(SEARCH("WD",MAIN!G433:J433), 0))&gt;0, "WD",
                IF(MAX(IFERROR(SEARCH("NS",MAIN!G433:J433), 0))&gt;0, "NS",
                IF(MAX(IFERROR(SEARCH("NC",MAIN!G433:J433), 0))&gt;0, "NC",
                IF(MAX(IFERROR(SEARCH("DQ",MAIN!G433:J433), 0))&gt;0, "DQ",
                IF(ISNUMBER(SEARCH("WD",MAIN!K433)), "WD",
                IF(ISNUMBER(SEARCH("NS",MAIN!K433)), "NS",
                IF(ISNUMBER(SEARCH("NC",MAIN!K433)), "NC",
                IF(ISNUMBER(SEARCH("DQ",MAIN!K433)), "DQ",
                IF(ISNUMBER(SEARCH("A",MAIN!K433)), 0,
                IF(OR(MAIN!K433=0,MAIN!K433=""), 0, --TRIM(MAIN!K433)))))))))))),
            0
        )
    ),
    IFERROR(
        UPPER(
            IF(MAX(IFERROR(SEARCH("WD",MAIN!G433:J433), 0))&gt;0, "WD",
            IF(MAX(IFERROR(SEARCH("NS",MAIN!G433:J433), 0))&gt;0, "NS",
            IF(MAX(IFERROR(SEARCH("NC",MAIN!G433:J433), 0))&gt;0, "NC",
            IF(MAX(IFERROR(SEARCH("DQ",MAIN!G433:J433), 0))&gt;0, "DQ",
            IF(ISNUMBER(SEARCH("WD",MAIN!K433)), "WD",
            IF(ISNUMBER(SEARCH("NS",MAIN!K433)), "NS",
            IF(ISNUMBER(SEARCH("NC",MAIN!K433)), "NC",
            IF(ISNUMBER(SEARCH("DQ",MAIN!K433)), "DQ",
            IF(ISNUMBER(SEARCH("A",MAIN!K433)), 0,
            IF(OR(MAIN!K433=0,MAIN!K433=""), 0, --TRIM(MAIN!K433)))))))))))),
        0
    )
)</f>
        <v>0</v>
      </c>
    </row>
    <row r="434" spans="1:11" x14ac:dyDescent="0.25">
      <c r="A434" t="str">
        <f>IF(ISBLANK(MAIN!A434), "--", IFERROR(PROPER(SUBSTITUTE(SUBSTITUTE(SUBSTITUTE(SUBSTITUTE(SUBSTITUTE(SUBSTITUTE(SUBSTITUTE(SUBSTITUTE(SUBSTITUTE(SUBSTITUTE(LEFT(MAIN!A434, FIND(",",MAIN!A434) -1), "0", ""), "1", ""), "2", ""), "3", ""), "4", ""), "5", ""), "6", ""), "7", ""), "8", ""), "9", "")), PROPER(SUBSTITUTE(SUBSTITUTE(SUBSTITUTE(SUBSTITUTE(SUBSTITUTE(SUBSTITUTE(SUBSTITUTE(SUBSTITUTE(SUBSTITUTE(SUBSTITUTE(MAIN!A434, "0", ""), "1", ""), "2", ""), "3", ""), "4", ""), "5", ""), "6", ""), "7", ""), "8", ""), "9", ""))))</f>
        <v>--</v>
      </c>
      <c r="B434" t="str">
        <f>IF(ISBLANK(MAIN!B434), "--", IFERROR(PROPER(SUBSTITUTE(SUBSTITUTE(SUBSTITUTE(SUBSTITUTE(SUBSTITUTE(SUBSTITUTE(SUBSTITUTE(SUBSTITUTE(SUBSTITUTE(SUBSTITUTE(LEFT(MAIN!B434, FIND(",",MAIN!B434) -1), "0", ""), "1", ""), "2", ""), "3", ""), "4", ""), "5", ""), "6", ""), "7", ""), "8", ""), "9", "")), PROPER(SUBSTITUTE(SUBSTITUTE(SUBSTITUTE(SUBSTITUTE(SUBSTITUTE(SUBSTITUTE(SUBSTITUTE(SUBSTITUTE(SUBSTITUTE(SUBSTITUTE(MAIN!B434, "0", ""), "1", ""), "2", ""), "3", ""), "4", ""), "5", ""), "6", ""), "7", ""), "8", ""), "9", ""))))</f>
        <v>--</v>
      </c>
      <c r="C434" t="str">
        <f>IF(ISBLANK(MAIN!C434), "--", IFERROR(PROPER(SUBSTITUTE(SUBSTITUTE(SUBSTITUTE(SUBSTITUTE(SUBSTITUTE(SUBSTITUTE(SUBSTITUTE(SUBSTITUTE(SUBSTITUTE(SUBSTITUTE(LEFT(MAIN!C434, FIND(",",MAIN!C434) -1), "0", ""), "1", ""), "2", ""), "3", ""), "4", ""), "5", ""), "6", ""), "7", ""), "8", ""), "9", "")), PROPER(SUBSTITUTE(SUBSTITUTE(SUBSTITUTE(SUBSTITUTE(SUBSTITUTE(SUBSTITUTE(SUBSTITUTE(SUBSTITUTE(SUBSTITUTE(SUBSTITUTE(MAIN!C434, "0", ""), "1", ""), "2", ""), "3", ""), "4", ""), "5", ""), "6", ""), "7", ""), "8", ""), "9", ""))))</f>
        <v>--</v>
      </c>
      <c r="D434" t="str">
        <f>IF(ISBLANK(MAIN!D434), "--", IF(ISNUMBER(MATCH(SUBSTITUTE(LEFT(MAIN!D434, IFERROR(FIND(",", MAIN!D434)-1, LEN(MAIN!D434))), " ", ""), lookup_values!$B$2:$B$51, 0)), UPPER(SUBSTITUTE(LEFT(MAIN!D434, IFERROR(FIND(",", MAIN!D434)-1, LEN(MAIN!D434))), " ", "")), IF(ISNA(VLOOKUP(SUBSTITUTE(LEFT(MAIN!D434, IFERROR(FIND(",", MAIN!D434)-1, LEN(MAIN!D434))), " ", ""), lookup_values!$A$2:$B$51, 2, FALSE)), "--", VLOOKUP(SUBSTITUTE(LEFT(MAIN!D434, IFERROR(FIND(",", MAIN!D434)-1, LEN(MAIN!D434))), " ", ""), lookup_values!$A$2:$B$51, 2, FALSE))))</f>
        <v>--</v>
      </c>
      <c r="E434" t="str">
        <f>IF(CLEAN_DATA!D434&lt;&gt;"--","US",IF(ISBLANK(MAIN!E434), "--", IF(ISNUMBER(MATCH(SUBSTITUTE(LEFT(MAIN!E434, IFERROR(FIND(",", MAIN!E434)-1, LEN(MAIN!E434))), " ", ""), lookup_values!$E$2:$E$197, 0)), UPPER(SUBSTITUTE(LEFT(MAIN!E434, IFERROR(FIND(",", MAIN!E434)-1, LEN(MAIN!E434))), " ", "")), IF(ISNA(VLOOKUP(SUBSTITUTE(LEFT(MAIN!E434, IFERROR(FIND(",", MAIN!E434)-1, LEN(MAIN!E434))), " ", ""), lookup_values!$D$2:$E$197, 2, FALSE)), "--", VLOOKUP(SUBSTITUTE(LEFT(MAIN!E434, IFERROR(FIND(",", MAIN!E434)-1, LEN(MAIN!E434))), " ", ""), lookup_values!$D$2:$E$197, 2, FALSE)))))</f>
        <v>--</v>
      </c>
      <c r="F434" t="str">
        <f>IF(ISBLANK(MAIN!F434), "", IF(AND(ISNUMBER(VALUE(TRIM(MAIN!F434))), LEN(TRIM(MAIN!F434))=4), VALUE(TRIM(MAIN!F434)), ""))</f>
        <v/>
      </c>
      <c r="G434">
        <f>IF(ISBLANK(MAIN!G434), 0, IF(ISNUMBER(VALUE(TRIM(MAIN!G434))), VALUE(TRIM(MAIN!G434)), 0))</f>
        <v>0</v>
      </c>
      <c r="H434">
        <f>IF(ISBLANK(MAIN!H434), 0, IF(ISNUMBER(VALUE(TRIM(MAIN!H434))), VALUE(TRIM(MAIN!H434)), 0))</f>
        <v>0</v>
      </c>
      <c r="I434">
        <f>IF(ISBLANK(MAIN!I434), 0, IF(ISNUMBER(VALUE(TRIM(MAIN!I434))), VALUE(TRIM(MAIN!I434)), 0))</f>
        <v>0</v>
      </c>
      <c r="J434">
        <f>IF(ISBLANK(MAIN!J434), 0, IF(ISNUMBER(VALUE(TRIM(MAIN!J434))), VALUE(TRIM(MAIN!J434)), 0))</f>
        <v>0</v>
      </c>
      <c r="K434" cm="1">
        <f t="array" ref="K434">IFERROR(
    VALUE(
        IFERROR(
            UPPER(
                IF(MAX(IFERROR(SEARCH("WD",MAIN!G434:J434), 0))&gt;0, "WD",
                IF(MAX(IFERROR(SEARCH("NS",MAIN!G434:J434), 0))&gt;0, "NS",
                IF(MAX(IFERROR(SEARCH("NC",MAIN!G434:J434), 0))&gt;0, "NC",
                IF(MAX(IFERROR(SEARCH("DQ",MAIN!G434:J434), 0))&gt;0, "DQ",
                IF(ISNUMBER(SEARCH("WD",MAIN!K434)), "WD",
                IF(ISNUMBER(SEARCH("NS",MAIN!K434)), "NS",
                IF(ISNUMBER(SEARCH("NC",MAIN!K434)), "NC",
                IF(ISNUMBER(SEARCH("DQ",MAIN!K434)), "DQ",
                IF(ISNUMBER(SEARCH("A",MAIN!K434)), 0,
                IF(OR(MAIN!K434=0,MAIN!K434=""), 0, --TRIM(MAIN!K434)))))))))))),
            0
        )
    ),
    IFERROR(
        UPPER(
            IF(MAX(IFERROR(SEARCH("WD",MAIN!G434:J434), 0))&gt;0, "WD",
            IF(MAX(IFERROR(SEARCH("NS",MAIN!G434:J434), 0))&gt;0, "NS",
            IF(MAX(IFERROR(SEARCH("NC",MAIN!G434:J434), 0))&gt;0, "NC",
            IF(MAX(IFERROR(SEARCH("DQ",MAIN!G434:J434), 0))&gt;0, "DQ",
            IF(ISNUMBER(SEARCH("WD",MAIN!K434)), "WD",
            IF(ISNUMBER(SEARCH("NS",MAIN!K434)), "NS",
            IF(ISNUMBER(SEARCH("NC",MAIN!K434)), "NC",
            IF(ISNUMBER(SEARCH("DQ",MAIN!K434)), "DQ",
            IF(ISNUMBER(SEARCH("A",MAIN!K434)), 0,
            IF(OR(MAIN!K434=0,MAIN!K434=""), 0, --TRIM(MAIN!K434)))))))))))),
        0
    )
)</f>
        <v>0</v>
      </c>
    </row>
    <row r="435" spans="1:11" x14ac:dyDescent="0.25">
      <c r="A435" t="str">
        <f>IF(ISBLANK(MAIN!A435), "--", IFERROR(PROPER(SUBSTITUTE(SUBSTITUTE(SUBSTITUTE(SUBSTITUTE(SUBSTITUTE(SUBSTITUTE(SUBSTITUTE(SUBSTITUTE(SUBSTITUTE(SUBSTITUTE(LEFT(MAIN!A435, FIND(",",MAIN!A435) -1), "0", ""), "1", ""), "2", ""), "3", ""), "4", ""), "5", ""), "6", ""), "7", ""), "8", ""), "9", "")), PROPER(SUBSTITUTE(SUBSTITUTE(SUBSTITUTE(SUBSTITUTE(SUBSTITUTE(SUBSTITUTE(SUBSTITUTE(SUBSTITUTE(SUBSTITUTE(SUBSTITUTE(MAIN!A435, "0", ""), "1", ""), "2", ""), "3", ""), "4", ""), "5", ""), "6", ""), "7", ""), "8", ""), "9", ""))))</f>
        <v>--</v>
      </c>
      <c r="B435" t="str">
        <f>IF(ISBLANK(MAIN!B435), "--", IFERROR(PROPER(SUBSTITUTE(SUBSTITUTE(SUBSTITUTE(SUBSTITUTE(SUBSTITUTE(SUBSTITUTE(SUBSTITUTE(SUBSTITUTE(SUBSTITUTE(SUBSTITUTE(LEFT(MAIN!B435, FIND(",",MAIN!B435) -1), "0", ""), "1", ""), "2", ""), "3", ""), "4", ""), "5", ""), "6", ""), "7", ""), "8", ""), "9", "")), PROPER(SUBSTITUTE(SUBSTITUTE(SUBSTITUTE(SUBSTITUTE(SUBSTITUTE(SUBSTITUTE(SUBSTITUTE(SUBSTITUTE(SUBSTITUTE(SUBSTITUTE(MAIN!B435, "0", ""), "1", ""), "2", ""), "3", ""), "4", ""), "5", ""), "6", ""), "7", ""), "8", ""), "9", ""))))</f>
        <v>--</v>
      </c>
      <c r="C435" t="str">
        <f>IF(ISBLANK(MAIN!C435), "--", IFERROR(PROPER(SUBSTITUTE(SUBSTITUTE(SUBSTITUTE(SUBSTITUTE(SUBSTITUTE(SUBSTITUTE(SUBSTITUTE(SUBSTITUTE(SUBSTITUTE(SUBSTITUTE(LEFT(MAIN!C435, FIND(",",MAIN!C435) -1), "0", ""), "1", ""), "2", ""), "3", ""), "4", ""), "5", ""), "6", ""), "7", ""), "8", ""), "9", "")), PROPER(SUBSTITUTE(SUBSTITUTE(SUBSTITUTE(SUBSTITUTE(SUBSTITUTE(SUBSTITUTE(SUBSTITUTE(SUBSTITUTE(SUBSTITUTE(SUBSTITUTE(MAIN!C435, "0", ""), "1", ""), "2", ""), "3", ""), "4", ""), "5", ""), "6", ""), "7", ""), "8", ""), "9", ""))))</f>
        <v>--</v>
      </c>
      <c r="D435" t="str">
        <f>IF(ISBLANK(MAIN!D435), "--", IF(ISNUMBER(MATCH(SUBSTITUTE(LEFT(MAIN!D435, IFERROR(FIND(",", MAIN!D435)-1, LEN(MAIN!D435))), " ", ""), lookup_values!$B$2:$B$51, 0)), UPPER(SUBSTITUTE(LEFT(MAIN!D435, IFERROR(FIND(",", MAIN!D435)-1, LEN(MAIN!D435))), " ", "")), IF(ISNA(VLOOKUP(SUBSTITUTE(LEFT(MAIN!D435, IFERROR(FIND(",", MAIN!D435)-1, LEN(MAIN!D435))), " ", ""), lookup_values!$A$2:$B$51, 2, FALSE)), "--", VLOOKUP(SUBSTITUTE(LEFT(MAIN!D435, IFERROR(FIND(",", MAIN!D435)-1, LEN(MAIN!D435))), " ", ""), lookup_values!$A$2:$B$51, 2, FALSE))))</f>
        <v>--</v>
      </c>
      <c r="E435" t="str">
        <f>IF(CLEAN_DATA!D435&lt;&gt;"--","US",IF(ISBLANK(MAIN!E435), "--", IF(ISNUMBER(MATCH(SUBSTITUTE(LEFT(MAIN!E435, IFERROR(FIND(",", MAIN!E435)-1, LEN(MAIN!E435))), " ", ""), lookup_values!$E$2:$E$197, 0)), UPPER(SUBSTITUTE(LEFT(MAIN!E435, IFERROR(FIND(",", MAIN!E435)-1, LEN(MAIN!E435))), " ", "")), IF(ISNA(VLOOKUP(SUBSTITUTE(LEFT(MAIN!E435, IFERROR(FIND(",", MAIN!E435)-1, LEN(MAIN!E435))), " ", ""), lookup_values!$D$2:$E$197, 2, FALSE)), "--", VLOOKUP(SUBSTITUTE(LEFT(MAIN!E435, IFERROR(FIND(",", MAIN!E435)-1, LEN(MAIN!E435))), " ", ""), lookup_values!$D$2:$E$197, 2, FALSE)))))</f>
        <v>--</v>
      </c>
      <c r="F435" t="str">
        <f>IF(ISBLANK(MAIN!F435), "", IF(AND(ISNUMBER(VALUE(TRIM(MAIN!F435))), LEN(TRIM(MAIN!F435))=4), VALUE(TRIM(MAIN!F435)), ""))</f>
        <v/>
      </c>
      <c r="G435">
        <f>IF(ISBLANK(MAIN!G435), 0, IF(ISNUMBER(VALUE(TRIM(MAIN!G435))), VALUE(TRIM(MAIN!G435)), 0))</f>
        <v>0</v>
      </c>
      <c r="H435">
        <f>IF(ISBLANK(MAIN!H435), 0, IF(ISNUMBER(VALUE(TRIM(MAIN!H435))), VALUE(TRIM(MAIN!H435)), 0))</f>
        <v>0</v>
      </c>
      <c r="I435">
        <f>IF(ISBLANK(MAIN!I435), 0, IF(ISNUMBER(VALUE(TRIM(MAIN!I435))), VALUE(TRIM(MAIN!I435)), 0))</f>
        <v>0</v>
      </c>
      <c r="J435">
        <f>IF(ISBLANK(MAIN!J435), 0, IF(ISNUMBER(VALUE(TRIM(MAIN!J435))), VALUE(TRIM(MAIN!J435)), 0))</f>
        <v>0</v>
      </c>
      <c r="K435" cm="1">
        <f t="array" ref="K435">IFERROR(
    VALUE(
        IFERROR(
            UPPER(
                IF(MAX(IFERROR(SEARCH("WD",MAIN!G435:J435), 0))&gt;0, "WD",
                IF(MAX(IFERROR(SEARCH("NS",MAIN!G435:J435), 0))&gt;0, "NS",
                IF(MAX(IFERROR(SEARCH("NC",MAIN!G435:J435), 0))&gt;0, "NC",
                IF(MAX(IFERROR(SEARCH("DQ",MAIN!G435:J435), 0))&gt;0, "DQ",
                IF(ISNUMBER(SEARCH("WD",MAIN!K435)), "WD",
                IF(ISNUMBER(SEARCH("NS",MAIN!K435)), "NS",
                IF(ISNUMBER(SEARCH("NC",MAIN!K435)), "NC",
                IF(ISNUMBER(SEARCH("DQ",MAIN!K435)), "DQ",
                IF(ISNUMBER(SEARCH("A",MAIN!K435)), 0,
                IF(OR(MAIN!K435=0,MAIN!K435=""), 0, --TRIM(MAIN!K435)))))))))))),
            0
        )
    ),
    IFERROR(
        UPPER(
            IF(MAX(IFERROR(SEARCH("WD",MAIN!G435:J435), 0))&gt;0, "WD",
            IF(MAX(IFERROR(SEARCH("NS",MAIN!G435:J435), 0))&gt;0, "NS",
            IF(MAX(IFERROR(SEARCH("NC",MAIN!G435:J435), 0))&gt;0, "NC",
            IF(MAX(IFERROR(SEARCH("DQ",MAIN!G435:J435), 0))&gt;0, "DQ",
            IF(ISNUMBER(SEARCH("WD",MAIN!K435)), "WD",
            IF(ISNUMBER(SEARCH("NS",MAIN!K435)), "NS",
            IF(ISNUMBER(SEARCH("NC",MAIN!K435)), "NC",
            IF(ISNUMBER(SEARCH("DQ",MAIN!K435)), "DQ",
            IF(ISNUMBER(SEARCH("A",MAIN!K435)), 0,
            IF(OR(MAIN!K435=0,MAIN!K435=""), 0, --TRIM(MAIN!K435)))))))))))),
        0
    )
)</f>
        <v>0</v>
      </c>
    </row>
    <row r="436" spans="1:11" x14ac:dyDescent="0.25">
      <c r="A436" t="str">
        <f>IF(ISBLANK(MAIN!A436), "--", IFERROR(PROPER(SUBSTITUTE(SUBSTITUTE(SUBSTITUTE(SUBSTITUTE(SUBSTITUTE(SUBSTITUTE(SUBSTITUTE(SUBSTITUTE(SUBSTITUTE(SUBSTITUTE(LEFT(MAIN!A436, FIND(",",MAIN!A436) -1), "0", ""), "1", ""), "2", ""), "3", ""), "4", ""), "5", ""), "6", ""), "7", ""), "8", ""), "9", "")), PROPER(SUBSTITUTE(SUBSTITUTE(SUBSTITUTE(SUBSTITUTE(SUBSTITUTE(SUBSTITUTE(SUBSTITUTE(SUBSTITUTE(SUBSTITUTE(SUBSTITUTE(MAIN!A436, "0", ""), "1", ""), "2", ""), "3", ""), "4", ""), "5", ""), "6", ""), "7", ""), "8", ""), "9", ""))))</f>
        <v>--</v>
      </c>
      <c r="B436" t="str">
        <f>IF(ISBLANK(MAIN!B436), "--", IFERROR(PROPER(SUBSTITUTE(SUBSTITUTE(SUBSTITUTE(SUBSTITUTE(SUBSTITUTE(SUBSTITUTE(SUBSTITUTE(SUBSTITUTE(SUBSTITUTE(SUBSTITUTE(LEFT(MAIN!B436, FIND(",",MAIN!B436) -1), "0", ""), "1", ""), "2", ""), "3", ""), "4", ""), "5", ""), "6", ""), "7", ""), "8", ""), "9", "")), PROPER(SUBSTITUTE(SUBSTITUTE(SUBSTITUTE(SUBSTITUTE(SUBSTITUTE(SUBSTITUTE(SUBSTITUTE(SUBSTITUTE(SUBSTITUTE(SUBSTITUTE(MAIN!B436, "0", ""), "1", ""), "2", ""), "3", ""), "4", ""), "5", ""), "6", ""), "7", ""), "8", ""), "9", ""))))</f>
        <v>--</v>
      </c>
      <c r="C436" t="str">
        <f>IF(ISBLANK(MAIN!C436), "--", IFERROR(PROPER(SUBSTITUTE(SUBSTITUTE(SUBSTITUTE(SUBSTITUTE(SUBSTITUTE(SUBSTITUTE(SUBSTITUTE(SUBSTITUTE(SUBSTITUTE(SUBSTITUTE(LEFT(MAIN!C436, FIND(",",MAIN!C436) -1), "0", ""), "1", ""), "2", ""), "3", ""), "4", ""), "5", ""), "6", ""), "7", ""), "8", ""), "9", "")), PROPER(SUBSTITUTE(SUBSTITUTE(SUBSTITUTE(SUBSTITUTE(SUBSTITUTE(SUBSTITUTE(SUBSTITUTE(SUBSTITUTE(SUBSTITUTE(SUBSTITUTE(MAIN!C436, "0", ""), "1", ""), "2", ""), "3", ""), "4", ""), "5", ""), "6", ""), "7", ""), "8", ""), "9", ""))))</f>
        <v>--</v>
      </c>
      <c r="D436" t="str">
        <f>IF(ISBLANK(MAIN!D436), "--", IF(ISNUMBER(MATCH(SUBSTITUTE(LEFT(MAIN!D436, IFERROR(FIND(",", MAIN!D436)-1, LEN(MAIN!D436))), " ", ""), lookup_values!$B$2:$B$51, 0)), UPPER(SUBSTITUTE(LEFT(MAIN!D436, IFERROR(FIND(",", MAIN!D436)-1, LEN(MAIN!D436))), " ", "")), IF(ISNA(VLOOKUP(SUBSTITUTE(LEFT(MAIN!D436, IFERROR(FIND(",", MAIN!D436)-1, LEN(MAIN!D436))), " ", ""), lookup_values!$A$2:$B$51, 2, FALSE)), "--", VLOOKUP(SUBSTITUTE(LEFT(MAIN!D436, IFERROR(FIND(",", MAIN!D436)-1, LEN(MAIN!D436))), " ", ""), lookup_values!$A$2:$B$51, 2, FALSE))))</f>
        <v>--</v>
      </c>
      <c r="E436" t="str">
        <f>IF(CLEAN_DATA!D436&lt;&gt;"--","US",IF(ISBLANK(MAIN!E436), "--", IF(ISNUMBER(MATCH(SUBSTITUTE(LEFT(MAIN!E436, IFERROR(FIND(",", MAIN!E436)-1, LEN(MAIN!E436))), " ", ""), lookup_values!$E$2:$E$197, 0)), UPPER(SUBSTITUTE(LEFT(MAIN!E436, IFERROR(FIND(",", MAIN!E436)-1, LEN(MAIN!E436))), " ", "")), IF(ISNA(VLOOKUP(SUBSTITUTE(LEFT(MAIN!E436, IFERROR(FIND(",", MAIN!E436)-1, LEN(MAIN!E436))), " ", ""), lookup_values!$D$2:$E$197, 2, FALSE)), "--", VLOOKUP(SUBSTITUTE(LEFT(MAIN!E436, IFERROR(FIND(",", MAIN!E436)-1, LEN(MAIN!E436))), " ", ""), lookup_values!$D$2:$E$197, 2, FALSE)))))</f>
        <v>--</v>
      </c>
      <c r="F436" t="str">
        <f>IF(ISBLANK(MAIN!F436), "", IF(AND(ISNUMBER(VALUE(TRIM(MAIN!F436))), LEN(TRIM(MAIN!F436))=4), VALUE(TRIM(MAIN!F436)), ""))</f>
        <v/>
      </c>
      <c r="G436">
        <f>IF(ISBLANK(MAIN!G436), 0, IF(ISNUMBER(VALUE(TRIM(MAIN!G436))), VALUE(TRIM(MAIN!G436)), 0))</f>
        <v>0</v>
      </c>
      <c r="H436">
        <f>IF(ISBLANK(MAIN!H436), 0, IF(ISNUMBER(VALUE(TRIM(MAIN!H436))), VALUE(TRIM(MAIN!H436)), 0))</f>
        <v>0</v>
      </c>
      <c r="I436">
        <f>IF(ISBLANK(MAIN!I436), 0, IF(ISNUMBER(VALUE(TRIM(MAIN!I436))), VALUE(TRIM(MAIN!I436)), 0))</f>
        <v>0</v>
      </c>
      <c r="J436">
        <f>IF(ISBLANK(MAIN!J436), 0, IF(ISNUMBER(VALUE(TRIM(MAIN!J436))), VALUE(TRIM(MAIN!J436)), 0))</f>
        <v>0</v>
      </c>
      <c r="K436" cm="1">
        <f t="array" ref="K436">IFERROR(
    VALUE(
        IFERROR(
            UPPER(
                IF(MAX(IFERROR(SEARCH("WD",MAIN!G436:J436), 0))&gt;0, "WD",
                IF(MAX(IFERROR(SEARCH("NS",MAIN!G436:J436), 0))&gt;0, "NS",
                IF(MAX(IFERROR(SEARCH("NC",MAIN!G436:J436), 0))&gt;0, "NC",
                IF(MAX(IFERROR(SEARCH("DQ",MAIN!G436:J436), 0))&gt;0, "DQ",
                IF(ISNUMBER(SEARCH("WD",MAIN!K436)), "WD",
                IF(ISNUMBER(SEARCH("NS",MAIN!K436)), "NS",
                IF(ISNUMBER(SEARCH("NC",MAIN!K436)), "NC",
                IF(ISNUMBER(SEARCH("DQ",MAIN!K436)), "DQ",
                IF(ISNUMBER(SEARCH("A",MAIN!K436)), 0,
                IF(OR(MAIN!K436=0,MAIN!K436=""), 0, --TRIM(MAIN!K436)))))))))))),
            0
        )
    ),
    IFERROR(
        UPPER(
            IF(MAX(IFERROR(SEARCH("WD",MAIN!G436:J436), 0))&gt;0, "WD",
            IF(MAX(IFERROR(SEARCH("NS",MAIN!G436:J436), 0))&gt;0, "NS",
            IF(MAX(IFERROR(SEARCH("NC",MAIN!G436:J436), 0))&gt;0, "NC",
            IF(MAX(IFERROR(SEARCH("DQ",MAIN!G436:J436), 0))&gt;0, "DQ",
            IF(ISNUMBER(SEARCH("WD",MAIN!K436)), "WD",
            IF(ISNUMBER(SEARCH("NS",MAIN!K436)), "NS",
            IF(ISNUMBER(SEARCH("NC",MAIN!K436)), "NC",
            IF(ISNUMBER(SEARCH("DQ",MAIN!K436)), "DQ",
            IF(ISNUMBER(SEARCH("A",MAIN!K436)), 0,
            IF(OR(MAIN!K436=0,MAIN!K436=""), 0, --TRIM(MAIN!K436)))))))))))),
        0
    )
)</f>
        <v>0</v>
      </c>
    </row>
    <row r="437" spans="1:11" x14ac:dyDescent="0.25">
      <c r="A437" t="str">
        <f>IF(ISBLANK(MAIN!A437), "--", IFERROR(PROPER(SUBSTITUTE(SUBSTITUTE(SUBSTITUTE(SUBSTITUTE(SUBSTITUTE(SUBSTITUTE(SUBSTITUTE(SUBSTITUTE(SUBSTITUTE(SUBSTITUTE(LEFT(MAIN!A437, FIND(",",MAIN!A437) -1), "0", ""), "1", ""), "2", ""), "3", ""), "4", ""), "5", ""), "6", ""), "7", ""), "8", ""), "9", "")), PROPER(SUBSTITUTE(SUBSTITUTE(SUBSTITUTE(SUBSTITUTE(SUBSTITUTE(SUBSTITUTE(SUBSTITUTE(SUBSTITUTE(SUBSTITUTE(SUBSTITUTE(MAIN!A437, "0", ""), "1", ""), "2", ""), "3", ""), "4", ""), "5", ""), "6", ""), "7", ""), "8", ""), "9", ""))))</f>
        <v>--</v>
      </c>
      <c r="B437" t="str">
        <f>IF(ISBLANK(MAIN!B437), "--", IFERROR(PROPER(SUBSTITUTE(SUBSTITUTE(SUBSTITUTE(SUBSTITUTE(SUBSTITUTE(SUBSTITUTE(SUBSTITUTE(SUBSTITUTE(SUBSTITUTE(SUBSTITUTE(LEFT(MAIN!B437, FIND(",",MAIN!B437) -1), "0", ""), "1", ""), "2", ""), "3", ""), "4", ""), "5", ""), "6", ""), "7", ""), "8", ""), "9", "")), PROPER(SUBSTITUTE(SUBSTITUTE(SUBSTITUTE(SUBSTITUTE(SUBSTITUTE(SUBSTITUTE(SUBSTITUTE(SUBSTITUTE(SUBSTITUTE(SUBSTITUTE(MAIN!B437, "0", ""), "1", ""), "2", ""), "3", ""), "4", ""), "5", ""), "6", ""), "7", ""), "8", ""), "9", ""))))</f>
        <v>--</v>
      </c>
      <c r="C437" t="str">
        <f>IF(ISBLANK(MAIN!C437), "--", IFERROR(PROPER(SUBSTITUTE(SUBSTITUTE(SUBSTITUTE(SUBSTITUTE(SUBSTITUTE(SUBSTITUTE(SUBSTITUTE(SUBSTITUTE(SUBSTITUTE(SUBSTITUTE(LEFT(MAIN!C437, FIND(",",MAIN!C437) -1), "0", ""), "1", ""), "2", ""), "3", ""), "4", ""), "5", ""), "6", ""), "7", ""), "8", ""), "9", "")), PROPER(SUBSTITUTE(SUBSTITUTE(SUBSTITUTE(SUBSTITUTE(SUBSTITUTE(SUBSTITUTE(SUBSTITUTE(SUBSTITUTE(SUBSTITUTE(SUBSTITUTE(MAIN!C437, "0", ""), "1", ""), "2", ""), "3", ""), "4", ""), "5", ""), "6", ""), "7", ""), "8", ""), "9", ""))))</f>
        <v>--</v>
      </c>
      <c r="D437" t="str">
        <f>IF(ISBLANK(MAIN!D437), "--", IF(ISNUMBER(MATCH(SUBSTITUTE(LEFT(MAIN!D437, IFERROR(FIND(",", MAIN!D437)-1, LEN(MAIN!D437))), " ", ""), lookup_values!$B$2:$B$51, 0)), UPPER(SUBSTITUTE(LEFT(MAIN!D437, IFERROR(FIND(",", MAIN!D437)-1, LEN(MAIN!D437))), " ", "")), IF(ISNA(VLOOKUP(SUBSTITUTE(LEFT(MAIN!D437, IFERROR(FIND(",", MAIN!D437)-1, LEN(MAIN!D437))), " ", ""), lookup_values!$A$2:$B$51, 2, FALSE)), "--", VLOOKUP(SUBSTITUTE(LEFT(MAIN!D437, IFERROR(FIND(",", MAIN!D437)-1, LEN(MAIN!D437))), " ", ""), lookup_values!$A$2:$B$51, 2, FALSE))))</f>
        <v>--</v>
      </c>
      <c r="E437" t="str">
        <f>IF(CLEAN_DATA!D437&lt;&gt;"--","US",IF(ISBLANK(MAIN!E437), "--", IF(ISNUMBER(MATCH(SUBSTITUTE(LEFT(MAIN!E437, IFERROR(FIND(",", MAIN!E437)-1, LEN(MAIN!E437))), " ", ""), lookup_values!$E$2:$E$197, 0)), UPPER(SUBSTITUTE(LEFT(MAIN!E437, IFERROR(FIND(",", MAIN!E437)-1, LEN(MAIN!E437))), " ", "")), IF(ISNA(VLOOKUP(SUBSTITUTE(LEFT(MAIN!E437, IFERROR(FIND(",", MAIN!E437)-1, LEN(MAIN!E437))), " ", ""), lookup_values!$D$2:$E$197, 2, FALSE)), "--", VLOOKUP(SUBSTITUTE(LEFT(MAIN!E437, IFERROR(FIND(",", MAIN!E437)-1, LEN(MAIN!E437))), " ", ""), lookup_values!$D$2:$E$197, 2, FALSE)))))</f>
        <v>--</v>
      </c>
      <c r="F437" t="str">
        <f>IF(ISBLANK(MAIN!F437), "", IF(AND(ISNUMBER(VALUE(TRIM(MAIN!F437))), LEN(TRIM(MAIN!F437))=4), VALUE(TRIM(MAIN!F437)), ""))</f>
        <v/>
      </c>
      <c r="G437">
        <f>IF(ISBLANK(MAIN!G437), 0, IF(ISNUMBER(VALUE(TRIM(MAIN!G437))), VALUE(TRIM(MAIN!G437)), 0))</f>
        <v>0</v>
      </c>
      <c r="H437">
        <f>IF(ISBLANK(MAIN!H437), 0, IF(ISNUMBER(VALUE(TRIM(MAIN!H437))), VALUE(TRIM(MAIN!H437)), 0))</f>
        <v>0</v>
      </c>
      <c r="I437">
        <f>IF(ISBLANK(MAIN!I437), 0, IF(ISNUMBER(VALUE(TRIM(MAIN!I437))), VALUE(TRIM(MAIN!I437)), 0))</f>
        <v>0</v>
      </c>
      <c r="J437">
        <f>IF(ISBLANK(MAIN!J437), 0, IF(ISNUMBER(VALUE(TRIM(MAIN!J437))), VALUE(TRIM(MAIN!J437)), 0))</f>
        <v>0</v>
      </c>
      <c r="K437" cm="1">
        <f t="array" ref="K437">IFERROR(
    VALUE(
        IFERROR(
            UPPER(
                IF(MAX(IFERROR(SEARCH("WD",MAIN!G437:J437), 0))&gt;0, "WD",
                IF(MAX(IFERROR(SEARCH("NS",MAIN!G437:J437), 0))&gt;0, "NS",
                IF(MAX(IFERROR(SEARCH("NC",MAIN!G437:J437), 0))&gt;0, "NC",
                IF(MAX(IFERROR(SEARCH("DQ",MAIN!G437:J437), 0))&gt;0, "DQ",
                IF(ISNUMBER(SEARCH("WD",MAIN!K437)), "WD",
                IF(ISNUMBER(SEARCH("NS",MAIN!K437)), "NS",
                IF(ISNUMBER(SEARCH("NC",MAIN!K437)), "NC",
                IF(ISNUMBER(SEARCH("DQ",MAIN!K437)), "DQ",
                IF(ISNUMBER(SEARCH("A",MAIN!K437)), 0,
                IF(OR(MAIN!K437=0,MAIN!K437=""), 0, --TRIM(MAIN!K437)))))))))))),
            0
        )
    ),
    IFERROR(
        UPPER(
            IF(MAX(IFERROR(SEARCH("WD",MAIN!G437:J437), 0))&gt;0, "WD",
            IF(MAX(IFERROR(SEARCH("NS",MAIN!G437:J437), 0))&gt;0, "NS",
            IF(MAX(IFERROR(SEARCH("NC",MAIN!G437:J437), 0))&gt;0, "NC",
            IF(MAX(IFERROR(SEARCH("DQ",MAIN!G437:J437), 0))&gt;0, "DQ",
            IF(ISNUMBER(SEARCH("WD",MAIN!K437)), "WD",
            IF(ISNUMBER(SEARCH("NS",MAIN!K437)), "NS",
            IF(ISNUMBER(SEARCH("NC",MAIN!K437)), "NC",
            IF(ISNUMBER(SEARCH("DQ",MAIN!K437)), "DQ",
            IF(ISNUMBER(SEARCH("A",MAIN!K437)), 0,
            IF(OR(MAIN!K437=0,MAIN!K437=""), 0, --TRIM(MAIN!K437)))))))))))),
        0
    )
)</f>
        <v>0</v>
      </c>
    </row>
    <row r="438" spans="1:11" x14ac:dyDescent="0.25">
      <c r="A438" t="str">
        <f>IF(ISBLANK(MAIN!A438), "--", IFERROR(PROPER(SUBSTITUTE(SUBSTITUTE(SUBSTITUTE(SUBSTITUTE(SUBSTITUTE(SUBSTITUTE(SUBSTITUTE(SUBSTITUTE(SUBSTITUTE(SUBSTITUTE(LEFT(MAIN!A438, FIND(",",MAIN!A438) -1), "0", ""), "1", ""), "2", ""), "3", ""), "4", ""), "5", ""), "6", ""), "7", ""), "8", ""), "9", "")), PROPER(SUBSTITUTE(SUBSTITUTE(SUBSTITUTE(SUBSTITUTE(SUBSTITUTE(SUBSTITUTE(SUBSTITUTE(SUBSTITUTE(SUBSTITUTE(SUBSTITUTE(MAIN!A438, "0", ""), "1", ""), "2", ""), "3", ""), "4", ""), "5", ""), "6", ""), "7", ""), "8", ""), "9", ""))))</f>
        <v>--</v>
      </c>
      <c r="B438" t="str">
        <f>IF(ISBLANK(MAIN!B438), "--", IFERROR(PROPER(SUBSTITUTE(SUBSTITUTE(SUBSTITUTE(SUBSTITUTE(SUBSTITUTE(SUBSTITUTE(SUBSTITUTE(SUBSTITUTE(SUBSTITUTE(SUBSTITUTE(LEFT(MAIN!B438, FIND(",",MAIN!B438) -1), "0", ""), "1", ""), "2", ""), "3", ""), "4", ""), "5", ""), "6", ""), "7", ""), "8", ""), "9", "")), PROPER(SUBSTITUTE(SUBSTITUTE(SUBSTITUTE(SUBSTITUTE(SUBSTITUTE(SUBSTITUTE(SUBSTITUTE(SUBSTITUTE(SUBSTITUTE(SUBSTITUTE(MAIN!B438, "0", ""), "1", ""), "2", ""), "3", ""), "4", ""), "5", ""), "6", ""), "7", ""), "8", ""), "9", ""))))</f>
        <v>--</v>
      </c>
      <c r="C438" t="str">
        <f>IF(ISBLANK(MAIN!C438), "--", IFERROR(PROPER(SUBSTITUTE(SUBSTITUTE(SUBSTITUTE(SUBSTITUTE(SUBSTITUTE(SUBSTITUTE(SUBSTITUTE(SUBSTITUTE(SUBSTITUTE(SUBSTITUTE(LEFT(MAIN!C438, FIND(",",MAIN!C438) -1), "0", ""), "1", ""), "2", ""), "3", ""), "4", ""), "5", ""), "6", ""), "7", ""), "8", ""), "9", "")), PROPER(SUBSTITUTE(SUBSTITUTE(SUBSTITUTE(SUBSTITUTE(SUBSTITUTE(SUBSTITUTE(SUBSTITUTE(SUBSTITUTE(SUBSTITUTE(SUBSTITUTE(MAIN!C438, "0", ""), "1", ""), "2", ""), "3", ""), "4", ""), "5", ""), "6", ""), "7", ""), "8", ""), "9", ""))))</f>
        <v>--</v>
      </c>
      <c r="D438" t="str">
        <f>IF(ISBLANK(MAIN!D438), "--", IF(ISNUMBER(MATCH(SUBSTITUTE(LEFT(MAIN!D438, IFERROR(FIND(",", MAIN!D438)-1, LEN(MAIN!D438))), " ", ""), lookup_values!$B$2:$B$51, 0)), UPPER(SUBSTITUTE(LEFT(MAIN!D438, IFERROR(FIND(",", MAIN!D438)-1, LEN(MAIN!D438))), " ", "")), IF(ISNA(VLOOKUP(SUBSTITUTE(LEFT(MAIN!D438, IFERROR(FIND(",", MAIN!D438)-1, LEN(MAIN!D438))), " ", ""), lookup_values!$A$2:$B$51, 2, FALSE)), "--", VLOOKUP(SUBSTITUTE(LEFT(MAIN!D438, IFERROR(FIND(",", MAIN!D438)-1, LEN(MAIN!D438))), " ", ""), lookup_values!$A$2:$B$51, 2, FALSE))))</f>
        <v>--</v>
      </c>
      <c r="E438" t="str">
        <f>IF(CLEAN_DATA!D438&lt;&gt;"--","US",IF(ISBLANK(MAIN!E438), "--", IF(ISNUMBER(MATCH(SUBSTITUTE(LEFT(MAIN!E438, IFERROR(FIND(",", MAIN!E438)-1, LEN(MAIN!E438))), " ", ""), lookup_values!$E$2:$E$197, 0)), UPPER(SUBSTITUTE(LEFT(MAIN!E438, IFERROR(FIND(",", MAIN!E438)-1, LEN(MAIN!E438))), " ", "")), IF(ISNA(VLOOKUP(SUBSTITUTE(LEFT(MAIN!E438, IFERROR(FIND(",", MAIN!E438)-1, LEN(MAIN!E438))), " ", ""), lookup_values!$D$2:$E$197, 2, FALSE)), "--", VLOOKUP(SUBSTITUTE(LEFT(MAIN!E438, IFERROR(FIND(",", MAIN!E438)-1, LEN(MAIN!E438))), " ", ""), lookup_values!$D$2:$E$197, 2, FALSE)))))</f>
        <v>--</v>
      </c>
      <c r="F438" t="str">
        <f>IF(ISBLANK(MAIN!F438), "", IF(AND(ISNUMBER(VALUE(TRIM(MAIN!F438))), LEN(TRIM(MAIN!F438))=4), VALUE(TRIM(MAIN!F438)), ""))</f>
        <v/>
      </c>
      <c r="G438">
        <f>IF(ISBLANK(MAIN!G438), 0, IF(ISNUMBER(VALUE(TRIM(MAIN!G438))), VALUE(TRIM(MAIN!G438)), 0))</f>
        <v>0</v>
      </c>
      <c r="H438">
        <f>IF(ISBLANK(MAIN!H438), 0, IF(ISNUMBER(VALUE(TRIM(MAIN!H438))), VALUE(TRIM(MAIN!H438)), 0))</f>
        <v>0</v>
      </c>
      <c r="I438">
        <f>IF(ISBLANK(MAIN!I438), 0, IF(ISNUMBER(VALUE(TRIM(MAIN!I438))), VALUE(TRIM(MAIN!I438)), 0))</f>
        <v>0</v>
      </c>
      <c r="J438">
        <f>IF(ISBLANK(MAIN!J438), 0, IF(ISNUMBER(VALUE(TRIM(MAIN!J438))), VALUE(TRIM(MAIN!J438)), 0))</f>
        <v>0</v>
      </c>
      <c r="K438" cm="1">
        <f t="array" ref="K438">IFERROR(
    VALUE(
        IFERROR(
            UPPER(
                IF(MAX(IFERROR(SEARCH("WD",MAIN!G438:J438), 0))&gt;0, "WD",
                IF(MAX(IFERROR(SEARCH("NS",MAIN!G438:J438), 0))&gt;0, "NS",
                IF(MAX(IFERROR(SEARCH("NC",MAIN!G438:J438), 0))&gt;0, "NC",
                IF(MAX(IFERROR(SEARCH("DQ",MAIN!G438:J438), 0))&gt;0, "DQ",
                IF(ISNUMBER(SEARCH("WD",MAIN!K438)), "WD",
                IF(ISNUMBER(SEARCH("NS",MAIN!K438)), "NS",
                IF(ISNUMBER(SEARCH("NC",MAIN!K438)), "NC",
                IF(ISNUMBER(SEARCH("DQ",MAIN!K438)), "DQ",
                IF(ISNUMBER(SEARCH("A",MAIN!K438)), 0,
                IF(OR(MAIN!K438=0,MAIN!K438=""), 0, --TRIM(MAIN!K438)))))))))))),
            0
        )
    ),
    IFERROR(
        UPPER(
            IF(MAX(IFERROR(SEARCH("WD",MAIN!G438:J438), 0))&gt;0, "WD",
            IF(MAX(IFERROR(SEARCH("NS",MAIN!G438:J438), 0))&gt;0, "NS",
            IF(MAX(IFERROR(SEARCH("NC",MAIN!G438:J438), 0))&gt;0, "NC",
            IF(MAX(IFERROR(SEARCH("DQ",MAIN!G438:J438), 0))&gt;0, "DQ",
            IF(ISNUMBER(SEARCH("WD",MAIN!K438)), "WD",
            IF(ISNUMBER(SEARCH("NS",MAIN!K438)), "NS",
            IF(ISNUMBER(SEARCH("NC",MAIN!K438)), "NC",
            IF(ISNUMBER(SEARCH("DQ",MAIN!K438)), "DQ",
            IF(ISNUMBER(SEARCH("A",MAIN!K438)), 0,
            IF(OR(MAIN!K438=0,MAIN!K438=""), 0, --TRIM(MAIN!K438)))))))))))),
        0
    )
)</f>
        <v>0</v>
      </c>
    </row>
    <row r="439" spans="1:11" x14ac:dyDescent="0.25">
      <c r="A439" t="str">
        <f>IF(ISBLANK(MAIN!A439), "--", IFERROR(PROPER(SUBSTITUTE(SUBSTITUTE(SUBSTITUTE(SUBSTITUTE(SUBSTITUTE(SUBSTITUTE(SUBSTITUTE(SUBSTITUTE(SUBSTITUTE(SUBSTITUTE(LEFT(MAIN!A439, FIND(",",MAIN!A439) -1), "0", ""), "1", ""), "2", ""), "3", ""), "4", ""), "5", ""), "6", ""), "7", ""), "8", ""), "9", "")), PROPER(SUBSTITUTE(SUBSTITUTE(SUBSTITUTE(SUBSTITUTE(SUBSTITUTE(SUBSTITUTE(SUBSTITUTE(SUBSTITUTE(SUBSTITUTE(SUBSTITUTE(MAIN!A439, "0", ""), "1", ""), "2", ""), "3", ""), "4", ""), "5", ""), "6", ""), "7", ""), "8", ""), "9", ""))))</f>
        <v>--</v>
      </c>
      <c r="B439" t="str">
        <f>IF(ISBLANK(MAIN!B439), "--", IFERROR(PROPER(SUBSTITUTE(SUBSTITUTE(SUBSTITUTE(SUBSTITUTE(SUBSTITUTE(SUBSTITUTE(SUBSTITUTE(SUBSTITUTE(SUBSTITUTE(SUBSTITUTE(LEFT(MAIN!B439, FIND(",",MAIN!B439) -1), "0", ""), "1", ""), "2", ""), "3", ""), "4", ""), "5", ""), "6", ""), "7", ""), "8", ""), "9", "")), PROPER(SUBSTITUTE(SUBSTITUTE(SUBSTITUTE(SUBSTITUTE(SUBSTITUTE(SUBSTITUTE(SUBSTITUTE(SUBSTITUTE(SUBSTITUTE(SUBSTITUTE(MAIN!B439, "0", ""), "1", ""), "2", ""), "3", ""), "4", ""), "5", ""), "6", ""), "7", ""), "8", ""), "9", ""))))</f>
        <v>--</v>
      </c>
      <c r="C439" t="str">
        <f>IF(ISBLANK(MAIN!C439), "--", IFERROR(PROPER(SUBSTITUTE(SUBSTITUTE(SUBSTITUTE(SUBSTITUTE(SUBSTITUTE(SUBSTITUTE(SUBSTITUTE(SUBSTITUTE(SUBSTITUTE(SUBSTITUTE(LEFT(MAIN!C439, FIND(",",MAIN!C439) -1), "0", ""), "1", ""), "2", ""), "3", ""), "4", ""), "5", ""), "6", ""), "7", ""), "8", ""), "9", "")), PROPER(SUBSTITUTE(SUBSTITUTE(SUBSTITUTE(SUBSTITUTE(SUBSTITUTE(SUBSTITUTE(SUBSTITUTE(SUBSTITUTE(SUBSTITUTE(SUBSTITUTE(MAIN!C439, "0", ""), "1", ""), "2", ""), "3", ""), "4", ""), "5", ""), "6", ""), "7", ""), "8", ""), "9", ""))))</f>
        <v>--</v>
      </c>
      <c r="D439" t="str">
        <f>IF(ISBLANK(MAIN!D439), "--", IF(ISNUMBER(MATCH(SUBSTITUTE(LEFT(MAIN!D439, IFERROR(FIND(",", MAIN!D439)-1, LEN(MAIN!D439))), " ", ""), lookup_values!$B$2:$B$51, 0)), UPPER(SUBSTITUTE(LEFT(MAIN!D439, IFERROR(FIND(",", MAIN!D439)-1, LEN(MAIN!D439))), " ", "")), IF(ISNA(VLOOKUP(SUBSTITUTE(LEFT(MAIN!D439, IFERROR(FIND(",", MAIN!D439)-1, LEN(MAIN!D439))), " ", ""), lookup_values!$A$2:$B$51, 2, FALSE)), "--", VLOOKUP(SUBSTITUTE(LEFT(MAIN!D439, IFERROR(FIND(",", MAIN!D439)-1, LEN(MAIN!D439))), " ", ""), lookup_values!$A$2:$B$51, 2, FALSE))))</f>
        <v>--</v>
      </c>
      <c r="E439" t="str">
        <f>IF(CLEAN_DATA!D439&lt;&gt;"--","US",IF(ISBLANK(MAIN!E439), "--", IF(ISNUMBER(MATCH(SUBSTITUTE(LEFT(MAIN!E439, IFERROR(FIND(",", MAIN!E439)-1, LEN(MAIN!E439))), " ", ""), lookup_values!$E$2:$E$197, 0)), UPPER(SUBSTITUTE(LEFT(MAIN!E439, IFERROR(FIND(",", MAIN!E439)-1, LEN(MAIN!E439))), " ", "")), IF(ISNA(VLOOKUP(SUBSTITUTE(LEFT(MAIN!E439, IFERROR(FIND(",", MAIN!E439)-1, LEN(MAIN!E439))), " ", ""), lookup_values!$D$2:$E$197, 2, FALSE)), "--", VLOOKUP(SUBSTITUTE(LEFT(MAIN!E439, IFERROR(FIND(",", MAIN!E439)-1, LEN(MAIN!E439))), " ", ""), lookup_values!$D$2:$E$197, 2, FALSE)))))</f>
        <v>--</v>
      </c>
      <c r="F439" t="str">
        <f>IF(ISBLANK(MAIN!F439), "", IF(AND(ISNUMBER(VALUE(TRIM(MAIN!F439))), LEN(TRIM(MAIN!F439))=4), VALUE(TRIM(MAIN!F439)), ""))</f>
        <v/>
      </c>
      <c r="G439">
        <f>IF(ISBLANK(MAIN!G439), 0, IF(ISNUMBER(VALUE(TRIM(MAIN!G439))), VALUE(TRIM(MAIN!G439)), 0))</f>
        <v>0</v>
      </c>
      <c r="H439">
        <f>IF(ISBLANK(MAIN!H439), 0, IF(ISNUMBER(VALUE(TRIM(MAIN!H439))), VALUE(TRIM(MAIN!H439)), 0))</f>
        <v>0</v>
      </c>
      <c r="I439">
        <f>IF(ISBLANK(MAIN!I439), 0, IF(ISNUMBER(VALUE(TRIM(MAIN!I439))), VALUE(TRIM(MAIN!I439)), 0))</f>
        <v>0</v>
      </c>
      <c r="J439">
        <f>IF(ISBLANK(MAIN!J439), 0, IF(ISNUMBER(VALUE(TRIM(MAIN!J439))), VALUE(TRIM(MAIN!J439)), 0))</f>
        <v>0</v>
      </c>
      <c r="K439" cm="1">
        <f t="array" ref="K439">IFERROR(
    VALUE(
        IFERROR(
            UPPER(
                IF(MAX(IFERROR(SEARCH("WD",MAIN!G439:J439), 0))&gt;0, "WD",
                IF(MAX(IFERROR(SEARCH("NS",MAIN!G439:J439), 0))&gt;0, "NS",
                IF(MAX(IFERROR(SEARCH("NC",MAIN!G439:J439), 0))&gt;0, "NC",
                IF(MAX(IFERROR(SEARCH("DQ",MAIN!G439:J439), 0))&gt;0, "DQ",
                IF(ISNUMBER(SEARCH("WD",MAIN!K439)), "WD",
                IF(ISNUMBER(SEARCH("NS",MAIN!K439)), "NS",
                IF(ISNUMBER(SEARCH("NC",MAIN!K439)), "NC",
                IF(ISNUMBER(SEARCH("DQ",MAIN!K439)), "DQ",
                IF(ISNUMBER(SEARCH("A",MAIN!K439)), 0,
                IF(OR(MAIN!K439=0,MAIN!K439=""), 0, --TRIM(MAIN!K439)))))))))))),
            0
        )
    ),
    IFERROR(
        UPPER(
            IF(MAX(IFERROR(SEARCH("WD",MAIN!G439:J439), 0))&gt;0, "WD",
            IF(MAX(IFERROR(SEARCH("NS",MAIN!G439:J439), 0))&gt;0, "NS",
            IF(MAX(IFERROR(SEARCH("NC",MAIN!G439:J439), 0))&gt;0, "NC",
            IF(MAX(IFERROR(SEARCH("DQ",MAIN!G439:J439), 0))&gt;0, "DQ",
            IF(ISNUMBER(SEARCH("WD",MAIN!K439)), "WD",
            IF(ISNUMBER(SEARCH("NS",MAIN!K439)), "NS",
            IF(ISNUMBER(SEARCH("NC",MAIN!K439)), "NC",
            IF(ISNUMBER(SEARCH("DQ",MAIN!K439)), "DQ",
            IF(ISNUMBER(SEARCH("A",MAIN!K439)), 0,
            IF(OR(MAIN!K439=0,MAIN!K439=""), 0, --TRIM(MAIN!K439)))))))))))),
        0
    )
)</f>
        <v>0</v>
      </c>
    </row>
    <row r="440" spans="1:11" x14ac:dyDescent="0.25">
      <c r="A440" t="str">
        <f>IF(ISBLANK(MAIN!A440), "--", IFERROR(PROPER(SUBSTITUTE(SUBSTITUTE(SUBSTITUTE(SUBSTITUTE(SUBSTITUTE(SUBSTITUTE(SUBSTITUTE(SUBSTITUTE(SUBSTITUTE(SUBSTITUTE(LEFT(MAIN!A440, FIND(",",MAIN!A440) -1), "0", ""), "1", ""), "2", ""), "3", ""), "4", ""), "5", ""), "6", ""), "7", ""), "8", ""), "9", "")), PROPER(SUBSTITUTE(SUBSTITUTE(SUBSTITUTE(SUBSTITUTE(SUBSTITUTE(SUBSTITUTE(SUBSTITUTE(SUBSTITUTE(SUBSTITUTE(SUBSTITUTE(MAIN!A440, "0", ""), "1", ""), "2", ""), "3", ""), "4", ""), "5", ""), "6", ""), "7", ""), "8", ""), "9", ""))))</f>
        <v>--</v>
      </c>
      <c r="B440" t="str">
        <f>IF(ISBLANK(MAIN!B440), "--", IFERROR(PROPER(SUBSTITUTE(SUBSTITUTE(SUBSTITUTE(SUBSTITUTE(SUBSTITUTE(SUBSTITUTE(SUBSTITUTE(SUBSTITUTE(SUBSTITUTE(SUBSTITUTE(LEFT(MAIN!B440, FIND(",",MAIN!B440) -1), "0", ""), "1", ""), "2", ""), "3", ""), "4", ""), "5", ""), "6", ""), "7", ""), "8", ""), "9", "")), PROPER(SUBSTITUTE(SUBSTITUTE(SUBSTITUTE(SUBSTITUTE(SUBSTITUTE(SUBSTITUTE(SUBSTITUTE(SUBSTITUTE(SUBSTITUTE(SUBSTITUTE(MAIN!B440, "0", ""), "1", ""), "2", ""), "3", ""), "4", ""), "5", ""), "6", ""), "7", ""), "8", ""), "9", ""))))</f>
        <v>--</v>
      </c>
      <c r="C440" t="str">
        <f>IF(ISBLANK(MAIN!C440), "--", IFERROR(PROPER(SUBSTITUTE(SUBSTITUTE(SUBSTITUTE(SUBSTITUTE(SUBSTITUTE(SUBSTITUTE(SUBSTITUTE(SUBSTITUTE(SUBSTITUTE(SUBSTITUTE(LEFT(MAIN!C440, FIND(",",MAIN!C440) -1), "0", ""), "1", ""), "2", ""), "3", ""), "4", ""), "5", ""), "6", ""), "7", ""), "8", ""), "9", "")), PROPER(SUBSTITUTE(SUBSTITUTE(SUBSTITUTE(SUBSTITUTE(SUBSTITUTE(SUBSTITUTE(SUBSTITUTE(SUBSTITUTE(SUBSTITUTE(SUBSTITUTE(MAIN!C440, "0", ""), "1", ""), "2", ""), "3", ""), "4", ""), "5", ""), "6", ""), "7", ""), "8", ""), "9", ""))))</f>
        <v>--</v>
      </c>
      <c r="D440" t="str">
        <f>IF(ISBLANK(MAIN!D440), "--", IF(ISNUMBER(MATCH(SUBSTITUTE(LEFT(MAIN!D440, IFERROR(FIND(",", MAIN!D440)-1, LEN(MAIN!D440))), " ", ""), lookup_values!$B$2:$B$51, 0)), UPPER(SUBSTITUTE(LEFT(MAIN!D440, IFERROR(FIND(",", MAIN!D440)-1, LEN(MAIN!D440))), " ", "")), IF(ISNA(VLOOKUP(SUBSTITUTE(LEFT(MAIN!D440, IFERROR(FIND(",", MAIN!D440)-1, LEN(MAIN!D440))), " ", ""), lookup_values!$A$2:$B$51, 2, FALSE)), "--", VLOOKUP(SUBSTITUTE(LEFT(MAIN!D440, IFERROR(FIND(",", MAIN!D440)-1, LEN(MAIN!D440))), " ", ""), lookup_values!$A$2:$B$51, 2, FALSE))))</f>
        <v>--</v>
      </c>
      <c r="E440" t="str">
        <f>IF(CLEAN_DATA!D440&lt;&gt;"--","US",IF(ISBLANK(MAIN!E440), "--", IF(ISNUMBER(MATCH(SUBSTITUTE(LEFT(MAIN!E440, IFERROR(FIND(",", MAIN!E440)-1, LEN(MAIN!E440))), " ", ""), lookup_values!$E$2:$E$197, 0)), UPPER(SUBSTITUTE(LEFT(MAIN!E440, IFERROR(FIND(",", MAIN!E440)-1, LEN(MAIN!E440))), " ", "")), IF(ISNA(VLOOKUP(SUBSTITUTE(LEFT(MAIN!E440, IFERROR(FIND(",", MAIN!E440)-1, LEN(MAIN!E440))), " ", ""), lookup_values!$D$2:$E$197, 2, FALSE)), "--", VLOOKUP(SUBSTITUTE(LEFT(MAIN!E440, IFERROR(FIND(",", MAIN!E440)-1, LEN(MAIN!E440))), " ", ""), lookup_values!$D$2:$E$197, 2, FALSE)))))</f>
        <v>--</v>
      </c>
      <c r="F440" t="str">
        <f>IF(ISBLANK(MAIN!F440), "", IF(AND(ISNUMBER(VALUE(TRIM(MAIN!F440))), LEN(TRIM(MAIN!F440))=4), VALUE(TRIM(MAIN!F440)), ""))</f>
        <v/>
      </c>
      <c r="G440">
        <f>IF(ISBLANK(MAIN!G440), 0, IF(ISNUMBER(VALUE(TRIM(MAIN!G440))), VALUE(TRIM(MAIN!G440)), 0))</f>
        <v>0</v>
      </c>
      <c r="H440">
        <f>IF(ISBLANK(MAIN!H440), 0, IF(ISNUMBER(VALUE(TRIM(MAIN!H440))), VALUE(TRIM(MAIN!H440)), 0))</f>
        <v>0</v>
      </c>
      <c r="I440">
        <f>IF(ISBLANK(MAIN!I440), 0, IF(ISNUMBER(VALUE(TRIM(MAIN!I440))), VALUE(TRIM(MAIN!I440)), 0))</f>
        <v>0</v>
      </c>
      <c r="J440">
        <f>IF(ISBLANK(MAIN!J440), 0, IF(ISNUMBER(VALUE(TRIM(MAIN!J440))), VALUE(TRIM(MAIN!J440)), 0))</f>
        <v>0</v>
      </c>
      <c r="K440" cm="1">
        <f t="array" ref="K440">IFERROR(
    VALUE(
        IFERROR(
            UPPER(
                IF(MAX(IFERROR(SEARCH("WD",MAIN!G440:J440), 0))&gt;0, "WD",
                IF(MAX(IFERROR(SEARCH("NS",MAIN!G440:J440), 0))&gt;0, "NS",
                IF(MAX(IFERROR(SEARCH("NC",MAIN!G440:J440), 0))&gt;0, "NC",
                IF(MAX(IFERROR(SEARCH("DQ",MAIN!G440:J440), 0))&gt;0, "DQ",
                IF(ISNUMBER(SEARCH("WD",MAIN!K440)), "WD",
                IF(ISNUMBER(SEARCH("NS",MAIN!K440)), "NS",
                IF(ISNUMBER(SEARCH("NC",MAIN!K440)), "NC",
                IF(ISNUMBER(SEARCH("DQ",MAIN!K440)), "DQ",
                IF(ISNUMBER(SEARCH("A",MAIN!K440)), 0,
                IF(OR(MAIN!K440=0,MAIN!K440=""), 0, --TRIM(MAIN!K440)))))))))))),
            0
        )
    ),
    IFERROR(
        UPPER(
            IF(MAX(IFERROR(SEARCH("WD",MAIN!G440:J440), 0))&gt;0, "WD",
            IF(MAX(IFERROR(SEARCH("NS",MAIN!G440:J440), 0))&gt;0, "NS",
            IF(MAX(IFERROR(SEARCH("NC",MAIN!G440:J440), 0))&gt;0, "NC",
            IF(MAX(IFERROR(SEARCH("DQ",MAIN!G440:J440), 0))&gt;0, "DQ",
            IF(ISNUMBER(SEARCH("WD",MAIN!K440)), "WD",
            IF(ISNUMBER(SEARCH("NS",MAIN!K440)), "NS",
            IF(ISNUMBER(SEARCH("NC",MAIN!K440)), "NC",
            IF(ISNUMBER(SEARCH("DQ",MAIN!K440)), "DQ",
            IF(ISNUMBER(SEARCH("A",MAIN!K440)), 0,
            IF(OR(MAIN!K440=0,MAIN!K440=""), 0, --TRIM(MAIN!K440)))))))))))),
        0
    )
)</f>
        <v>0</v>
      </c>
    </row>
    <row r="441" spans="1:11" x14ac:dyDescent="0.25">
      <c r="A441" t="str">
        <f>IF(ISBLANK(MAIN!A441), "--", IFERROR(PROPER(SUBSTITUTE(SUBSTITUTE(SUBSTITUTE(SUBSTITUTE(SUBSTITUTE(SUBSTITUTE(SUBSTITUTE(SUBSTITUTE(SUBSTITUTE(SUBSTITUTE(LEFT(MAIN!A441, FIND(",",MAIN!A441) -1), "0", ""), "1", ""), "2", ""), "3", ""), "4", ""), "5", ""), "6", ""), "7", ""), "8", ""), "9", "")), PROPER(SUBSTITUTE(SUBSTITUTE(SUBSTITUTE(SUBSTITUTE(SUBSTITUTE(SUBSTITUTE(SUBSTITUTE(SUBSTITUTE(SUBSTITUTE(SUBSTITUTE(MAIN!A441, "0", ""), "1", ""), "2", ""), "3", ""), "4", ""), "5", ""), "6", ""), "7", ""), "8", ""), "9", ""))))</f>
        <v>--</v>
      </c>
      <c r="B441" t="str">
        <f>IF(ISBLANK(MAIN!B441), "--", IFERROR(PROPER(SUBSTITUTE(SUBSTITUTE(SUBSTITUTE(SUBSTITUTE(SUBSTITUTE(SUBSTITUTE(SUBSTITUTE(SUBSTITUTE(SUBSTITUTE(SUBSTITUTE(LEFT(MAIN!B441, FIND(",",MAIN!B441) -1), "0", ""), "1", ""), "2", ""), "3", ""), "4", ""), "5", ""), "6", ""), "7", ""), "8", ""), "9", "")), PROPER(SUBSTITUTE(SUBSTITUTE(SUBSTITUTE(SUBSTITUTE(SUBSTITUTE(SUBSTITUTE(SUBSTITUTE(SUBSTITUTE(SUBSTITUTE(SUBSTITUTE(MAIN!B441, "0", ""), "1", ""), "2", ""), "3", ""), "4", ""), "5", ""), "6", ""), "7", ""), "8", ""), "9", ""))))</f>
        <v>--</v>
      </c>
      <c r="C441" t="str">
        <f>IF(ISBLANK(MAIN!C441), "--", IFERROR(PROPER(SUBSTITUTE(SUBSTITUTE(SUBSTITUTE(SUBSTITUTE(SUBSTITUTE(SUBSTITUTE(SUBSTITUTE(SUBSTITUTE(SUBSTITUTE(SUBSTITUTE(LEFT(MAIN!C441, FIND(",",MAIN!C441) -1), "0", ""), "1", ""), "2", ""), "3", ""), "4", ""), "5", ""), "6", ""), "7", ""), "8", ""), "9", "")), PROPER(SUBSTITUTE(SUBSTITUTE(SUBSTITUTE(SUBSTITUTE(SUBSTITUTE(SUBSTITUTE(SUBSTITUTE(SUBSTITUTE(SUBSTITUTE(SUBSTITUTE(MAIN!C441, "0", ""), "1", ""), "2", ""), "3", ""), "4", ""), "5", ""), "6", ""), "7", ""), "8", ""), "9", ""))))</f>
        <v>--</v>
      </c>
      <c r="D441" t="str">
        <f>IF(ISBLANK(MAIN!D441), "--", IF(ISNUMBER(MATCH(SUBSTITUTE(LEFT(MAIN!D441, IFERROR(FIND(",", MAIN!D441)-1, LEN(MAIN!D441))), " ", ""), lookup_values!$B$2:$B$51, 0)), UPPER(SUBSTITUTE(LEFT(MAIN!D441, IFERROR(FIND(",", MAIN!D441)-1, LEN(MAIN!D441))), " ", "")), IF(ISNA(VLOOKUP(SUBSTITUTE(LEFT(MAIN!D441, IFERROR(FIND(",", MAIN!D441)-1, LEN(MAIN!D441))), " ", ""), lookup_values!$A$2:$B$51, 2, FALSE)), "--", VLOOKUP(SUBSTITUTE(LEFT(MAIN!D441, IFERROR(FIND(",", MAIN!D441)-1, LEN(MAIN!D441))), " ", ""), lookup_values!$A$2:$B$51, 2, FALSE))))</f>
        <v>--</v>
      </c>
      <c r="E441" t="str">
        <f>IF(CLEAN_DATA!D441&lt;&gt;"--","US",IF(ISBLANK(MAIN!E441), "--", IF(ISNUMBER(MATCH(SUBSTITUTE(LEFT(MAIN!E441, IFERROR(FIND(",", MAIN!E441)-1, LEN(MAIN!E441))), " ", ""), lookup_values!$E$2:$E$197, 0)), UPPER(SUBSTITUTE(LEFT(MAIN!E441, IFERROR(FIND(",", MAIN!E441)-1, LEN(MAIN!E441))), " ", "")), IF(ISNA(VLOOKUP(SUBSTITUTE(LEFT(MAIN!E441, IFERROR(FIND(",", MAIN!E441)-1, LEN(MAIN!E441))), " ", ""), lookup_values!$D$2:$E$197, 2, FALSE)), "--", VLOOKUP(SUBSTITUTE(LEFT(MAIN!E441, IFERROR(FIND(",", MAIN!E441)-1, LEN(MAIN!E441))), " ", ""), lookup_values!$D$2:$E$197, 2, FALSE)))))</f>
        <v>--</v>
      </c>
      <c r="F441" t="str">
        <f>IF(ISBLANK(MAIN!F441), "", IF(AND(ISNUMBER(VALUE(TRIM(MAIN!F441))), LEN(TRIM(MAIN!F441))=4), VALUE(TRIM(MAIN!F441)), ""))</f>
        <v/>
      </c>
      <c r="G441">
        <f>IF(ISBLANK(MAIN!G441), 0, IF(ISNUMBER(VALUE(TRIM(MAIN!G441))), VALUE(TRIM(MAIN!G441)), 0))</f>
        <v>0</v>
      </c>
      <c r="H441">
        <f>IF(ISBLANK(MAIN!H441), 0, IF(ISNUMBER(VALUE(TRIM(MAIN!H441))), VALUE(TRIM(MAIN!H441)), 0))</f>
        <v>0</v>
      </c>
      <c r="I441">
        <f>IF(ISBLANK(MAIN!I441), 0, IF(ISNUMBER(VALUE(TRIM(MAIN!I441))), VALUE(TRIM(MAIN!I441)), 0))</f>
        <v>0</v>
      </c>
      <c r="J441">
        <f>IF(ISBLANK(MAIN!J441), 0, IF(ISNUMBER(VALUE(TRIM(MAIN!J441))), VALUE(TRIM(MAIN!J441)), 0))</f>
        <v>0</v>
      </c>
      <c r="K441" cm="1">
        <f t="array" ref="K441">IFERROR(
    VALUE(
        IFERROR(
            UPPER(
                IF(MAX(IFERROR(SEARCH("WD",MAIN!G441:J441), 0))&gt;0, "WD",
                IF(MAX(IFERROR(SEARCH("NS",MAIN!G441:J441), 0))&gt;0, "NS",
                IF(MAX(IFERROR(SEARCH("NC",MAIN!G441:J441), 0))&gt;0, "NC",
                IF(MAX(IFERROR(SEARCH("DQ",MAIN!G441:J441), 0))&gt;0, "DQ",
                IF(ISNUMBER(SEARCH("WD",MAIN!K441)), "WD",
                IF(ISNUMBER(SEARCH("NS",MAIN!K441)), "NS",
                IF(ISNUMBER(SEARCH("NC",MAIN!K441)), "NC",
                IF(ISNUMBER(SEARCH("DQ",MAIN!K441)), "DQ",
                IF(ISNUMBER(SEARCH("A",MAIN!K441)), 0,
                IF(OR(MAIN!K441=0,MAIN!K441=""), 0, --TRIM(MAIN!K441)))))))))))),
            0
        )
    ),
    IFERROR(
        UPPER(
            IF(MAX(IFERROR(SEARCH("WD",MAIN!G441:J441), 0))&gt;0, "WD",
            IF(MAX(IFERROR(SEARCH("NS",MAIN!G441:J441), 0))&gt;0, "NS",
            IF(MAX(IFERROR(SEARCH("NC",MAIN!G441:J441), 0))&gt;0, "NC",
            IF(MAX(IFERROR(SEARCH("DQ",MAIN!G441:J441), 0))&gt;0, "DQ",
            IF(ISNUMBER(SEARCH("WD",MAIN!K441)), "WD",
            IF(ISNUMBER(SEARCH("NS",MAIN!K441)), "NS",
            IF(ISNUMBER(SEARCH("NC",MAIN!K441)), "NC",
            IF(ISNUMBER(SEARCH("DQ",MAIN!K441)), "DQ",
            IF(ISNUMBER(SEARCH("A",MAIN!K441)), 0,
            IF(OR(MAIN!K441=0,MAIN!K441=""), 0, --TRIM(MAIN!K441)))))))))))),
        0
    )
)</f>
        <v>0</v>
      </c>
    </row>
    <row r="442" spans="1:11" x14ac:dyDescent="0.25">
      <c r="A442" t="str">
        <f>IF(ISBLANK(MAIN!A442), "--", IFERROR(PROPER(SUBSTITUTE(SUBSTITUTE(SUBSTITUTE(SUBSTITUTE(SUBSTITUTE(SUBSTITUTE(SUBSTITUTE(SUBSTITUTE(SUBSTITUTE(SUBSTITUTE(LEFT(MAIN!A442, FIND(",",MAIN!A442) -1), "0", ""), "1", ""), "2", ""), "3", ""), "4", ""), "5", ""), "6", ""), "7", ""), "8", ""), "9", "")), PROPER(SUBSTITUTE(SUBSTITUTE(SUBSTITUTE(SUBSTITUTE(SUBSTITUTE(SUBSTITUTE(SUBSTITUTE(SUBSTITUTE(SUBSTITUTE(SUBSTITUTE(MAIN!A442, "0", ""), "1", ""), "2", ""), "3", ""), "4", ""), "5", ""), "6", ""), "7", ""), "8", ""), "9", ""))))</f>
        <v>--</v>
      </c>
      <c r="B442" t="str">
        <f>IF(ISBLANK(MAIN!B442), "--", IFERROR(PROPER(SUBSTITUTE(SUBSTITUTE(SUBSTITUTE(SUBSTITUTE(SUBSTITUTE(SUBSTITUTE(SUBSTITUTE(SUBSTITUTE(SUBSTITUTE(SUBSTITUTE(LEFT(MAIN!B442, FIND(",",MAIN!B442) -1), "0", ""), "1", ""), "2", ""), "3", ""), "4", ""), "5", ""), "6", ""), "7", ""), "8", ""), "9", "")), PROPER(SUBSTITUTE(SUBSTITUTE(SUBSTITUTE(SUBSTITUTE(SUBSTITUTE(SUBSTITUTE(SUBSTITUTE(SUBSTITUTE(SUBSTITUTE(SUBSTITUTE(MAIN!B442, "0", ""), "1", ""), "2", ""), "3", ""), "4", ""), "5", ""), "6", ""), "7", ""), "8", ""), "9", ""))))</f>
        <v>--</v>
      </c>
      <c r="C442" t="str">
        <f>IF(ISBLANK(MAIN!C442), "--", IFERROR(PROPER(SUBSTITUTE(SUBSTITUTE(SUBSTITUTE(SUBSTITUTE(SUBSTITUTE(SUBSTITUTE(SUBSTITUTE(SUBSTITUTE(SUBSTITUTE(SUBSTITUTE(LEFT(MAIN!C442, FIND(",",MAIN!C442) -1), "0", ""), "1", ""), "2", ""), "3", ""), "4", ""), "5", ""), "6", ""), "7", ""), "8", ""), "9", "")), PROPER(SUBSTITUTE(SUBSTITUTE(SUBSTITUTE(SUBSTITUTE(SUBSTITUTE(SUBSTITUTE(SUBSTITUTE(SUBSTITUTE(SUBSTITUTE(SUBSTITUTE(MAIN!C442, "0", ""), "1", ""), "2", ""), "3", ""), "4", ""), "5", ""), "6", ""), "7", ""), "8", ""), "9", ""))))</f>
        <v>--</v>
      </c>
      <c r="D442" t="str">
        <f>IF(ISBLANK(MAIN!D442), "--", IF(ISNUMBER(MATCH(SUBSTITUTE(LEFT(MAIN!D442, IFERROR(FIND(",", MAIN!D442)-1, LEN(MAIN!D442))), " ", ""), lookup_values!$B$2:$B$51, 0)), UPPER(SUBSTITUTE(LEFT(MAIN!D442, IFERROR(FIND(",", MAIN!D442)-1, LEN(MAIN!D442))), " ", "")), IF(ISNA(VLOOKUP(SUBSTITUTE(LEFT(MAIN!D442, IFERROR(FIND(",", MAIN!D442)-1, LEN(MAIN!D442))), " ", ""), lookup_values!$A$2:$B$51, 2, FALSE)), "--", VLOOKUP(SUBSTITUTE(LEFT(MAIN!D442, IFERROR(FIND(",", MAIN!D442)-1, LEN(MAIN!D442))), " ", ""), lookup_values!$A$2:$B$51, 2, FALSE))))</f>
        <v>--</v>
      </c>
      <c r="E442" t="str">
        <f>IF(CLEAN_DATA!D442&lt;&gt;"--","US",IF(ISBLANK(MAIN!E442), "--", IF(ISNUMBER(MATCH(SUBSTITUTE(LEFT(MAIN!E442, IFERROR(FIND(",", MAIN!E442)-1, LEN(MAIN!E442))), " ", ""), lookup_values!$E$2:$E$197, 0)), UPPER(SUBSTITUTE(LEFT(MAIN!E442, IFERROR(FIND(",", MAIN!E442)-1, LEN(MAIN!E442))), " ", "")), IF(ISNA(VLOOKUP(SUBSTITUTE(LEFT(MAIN!E442, IFERROR(FIND(",", MAIN!E442)-1, LEN(MAIN!E442))), " ", ""), lookup_values!$D$2:$E$197, 2, FALSE)), "--", VLOOKUP(SUBSTITUTE(LEFT(MAIN!E442, IFERROR(FIND(",", MAIN!E442)-1, LEN(MAIN!E442))), " ", ""), lookup_values!$D$2:$E$197, 2, FALSE)))))</f>
        <v>--</v>
      </c>
      <c r="F442" t="str">
        <f>IF(ISBLANK(MAIN!F442), "", IF(AND(ISNUMBER(VALUE(TRIM(MAIN!F442))), LEN(TRIM(MAIN!F442))=4), VALUE(TRIM(MAIN!F442)), ""))</f>
        <v/>
      </c>
      <c r="G442">
        <f>IF(ISBLANK(MAIN!G442), 0, IF(ISNUMBER(VALUE(TRIM(MAIN!G442))), VALUE(TRIM(MAIN!G442)), 0))</f>
        <v>0</v>
      </c>
      <c r="H442">
        <f>IF(ISBLANK(MAIN!H442), 0, IF(ISNUMBER(VALUE(TRIM(MAIN!H442))), VALUE(TRIM(MAIN!H442)), 0))</f>
        <v>0</v>
      </c>
      <c r="I442">
        <f>IF(ISBLANK(MAIN!I442), 0, IF(ISNUMBER(VALUE(TRIM(MAIN!I442))), VALUE(TRIM(MAIN!I442)), 0))</f>
        <v>0</v>
      </c>
      <c r="J442">
        <f>IF(ISBLANK(MAIN!J442), 0, IF(ISNUMBER(VALUE(TRIM(MAIN!J442))), VALUE(TRIM(MAIN!J442)), 0))</f>
        <v>0</v>
      </c>
      <c r="K442" cm="1">
        <f t="array" ref="K442">IFERROR(
    VALUE(
        IFERROR(
            UPPER(
                IF(MAX(IFERROR(SEARCH("WD",MAIN!G442:J442), 0))&gt;0, "WD",
                IF(MAX(IFERROR(SEARCH("NS",MAIN!G442:J442), 0))&gt;0, "NS",
                IF(MAX(IFERROR(SEARCH("NC",MAIN!G442:J442), 0))&gt;0, "NC",
                IF(MAX(IFERROR(SEARCH("DQ",MAIN!G442:J442), 0))&gt;0, "DQ",
                IF(ISNUMBER(SEARCH("WD",MAIN!K442)), "WD",
                IF(ISNUMBER(SEARCH("NS",MAIN!K442)), "NS",
                IF(ISNUMBER(SEARCH("NC",MAIN!K442)), "NC",
                IF(ISNUMBER(SEARCH("DQ",MAIN!K442)), "DQ",
                IF(ISNUMBER(SEARCH("A",MAIN!K442)), 0,
                IF(OR(MAIN!K442=0,MAIN!K442=""), 0, --TRIM(MAIN!K442)))))))))))),
            0
        )
    ),
    IFERROR(
        UPPER(
            IF(MAX(IFERROR(SEARCH("WD",MAIN!G442:J442), 0))&gt;0, "WD",
            IF(MAX(IFERROR(SEARCH("NS",MAIN!G442:J442), 0))&gt;0, "NS",
            IF(MAX(IFERROR(SEARCH("NC",MAIN!G442:J442), 0))&gt;0, "NC",
            IF(MAX(IFERROR(SEARCH("DQ",MAIN!G442:J442), 0))&gt;0, "DQ",
            IF(ISNUMBER(SEARCH("WD",MAIN!K442)), "WD",
            IF(ISNUMBER(SEARCH("NS",MAIN!K442)), "NS",
            IF(ISNUMBER(SEARCH("NC",MAIN!K442)), "NC",
            IF(ISNUMBER(SEARCH("DQ",MAIN!K442)), "DQ",
            IF(ISNUMBER(SEARCH("A",MAIN!K442)), 0,
            IF(OR(MAIN!K442=0,MAIN!K442=""), 0, --TRIM(MAIN!K442)))))))))))),
        0
    )
)</f>
        <v>0</v>
      </c>
    </row>
    <row r="443" spans="1:11" x14ac:dyDescent="0.25">
      <c r="A443" t="str">
        <f>IF(ISBLANK(MAIN!A443), "--", IFERROR(PROPER(SUBSTITUTE(SUBSTITUTE(SUBSTITUTE(SUBSTITUTE(SUBSTITUTE(SUBSTITUTE(SUBSTITUTE(SUBSTITUTE(SUBSTITUTE(SUBSTITUTE(LEFT(MAIN!A443, FIND(",",MAIN!A443) -1), "0", ""), "1", ""), "2", ""), "3", ""), "4", ""), "5", ""), "6", ""), "7", ""), "8", ""), "9", "")), PROPER(SUBSTITUTE(SUBSTITUTE(SUBSTITUTE(SUBSTITUTE(SUBSTITUTE(SUBSTITUTE(SUBSTITUTE(SUBSTITUTE(SUBSTITUTE(SUBSTITUTE(MAIN!A443, "0", ""), "1", ""), "2", ""), "3", ""), "4", ""), "5", ""), "6", ""), "7", ""), "8", ""), "9", ""))))</f>
        <v>--</v>
      </c>
      <c r="B443" t="str">
        <f>IF(ISBLANK(MAIN!B443), "--", IFERROR(PROPER(SUBSTITUTE(SUBSTITUTE(SUBSTITUTE(SUBSTITUTE(SUBSTITUTE(SUBSTITUTE(SUBSTITUTE(SUBSTITUTE(SUBSTITUTE(SUBSTITUTE(LEFT(MAIN!B443, FIND(",",MAIN!B443) -1), "0", ""), "1", ""), "2", ""), "3", ""), "4", ""), "5", ""), "6", ""), "7", ""), "8", ""), "9", "")), PROPER(SUBSTITUTE(SUBSTITUTE(SUBSTITUTE(SUBSTITUTE(SUBSTITUTE(SUBSTITUTE(SUBSTITUTE(SUBSTITUTE(SUBSTITUTE(SUBSTITUTE(MAIN!B443, "0", ""), "1", ""), "2", ""), "3", ""), "4", ""), "5", ""), "6", ""), "7", ""), "8", ""), "9", ""))))</f>
        <v>--</v>
      </c>
      <c r="C443" t="str">
        <f>IF(ISBLANK(MAIN!C443), "--", IFERROR(PROPER(SUBSTITUTE(SUBSTITUTE(SUBSTITUTE(SUBSTITUTE(SUBSTITUTE(SUBSTITUTE(SUBSTITUTE(SUBSTITUTE(SUBSTITUTE(SUBSTITUTE(LEFT(MAIN!C443, FIND(",",MAIN!C443) -1), "0", ""), "1", ""), "2", ""), "3", ""), "4", ""), "5", ""), "6", ""), "7", ""), "8", ""), "9", "")), PROPER(SUBSTITUTE(SUBSTITUTE(SUBSTITUTE(SUBSTITUTE(SUBSTITUTE(SUBSTITUTE(SUBSTITUTE(SUBSTITUTE(SUBSTITUTE(SUBSTITUTE(MAIN!C443, "0", ""), "1", ""), "2", ""), "3", ""), "4", ""), "5", ""), "6", ""), "7", ""), "8", ""), "9", ""))))</f>
        <v>--</v>
      </c>
      <c r="D443" t="str">
        <f>IF(ISBLANK(MAIN!D443), "--", IF(ISNUMBER(MATCH(SUBSTITUTE(LEFT(MAIN!D443, IFERROR(FIND(",", MAIN!D443)-1, LEN(MAIN!D443))), " ", ""), lookup_values!$B$2:$B$51, 0)), UPPER(SUBSTITUTE(LEFT(MAIN!D443, IFERROR(FIND(",", MAIN!D443)-1, LEN(MAIN!D443))), " ", "")), IF(ISNA(VLOOKUP(SUBSTITUTE(LEFT(MAIN!D443, IFERROR(FIND(",", MAIN!D443)-1, LEN(MAIN!D443))), " ", ""), lookup_values!$A$2:$B$51, 2, FALSE)), "--", VLOOKUP(SUBSTITUTE(LEFT(MAIN!D443, IFERROR(FIND(",", MAIN!D443)-1, LEN(MAIN!D443))), " ", ""), lookup_values!$A$2:$B$51, 2, FALSE))))</f>
        <v>--</v>
      </c>
      <c r="E443" t="str">
        <f>IF(CLEAN_DATA!D443&lt;&gt;"--","US",IF(ISBLANK(MAIN!E443), "--", IF(ISNUMBER(MATCH(SUBSTITUTE(LEFT(MAIN!E443, IFERROR(FIND(",", MAIN!E443)-1, LEN(MAIN!E443))), " ", ""), lookup_values!$E$2:$E$197, 0)), UPPER(SUBSTITUTE(LEFT(MAIN!E443, IFERROR(FIND(",", MAIN!E443)-1, LEN(MAIN!E443))), " ", "")), IF(ISNA(VLOOKUP(SUBSTITUTE(LEFT(MAIN!E443, IFERROR(FIND(",", MAIN!E443)-1, LEN(MAIN!E443))), " ", ""), lookup_values!$D$2:$E$197, 2, FALSE)), "--", VLOOKUP(SUBSTITUTE(LEFT(MAIN!E443, IFERROR(FIND(",", MAIN!E443)-1, LEN(MAIN!E443))), " ", ""), lookup_values!$D$2:$E$197, 2, FALSE)))))</f>
        <v>--</v>
      </c>
      <c r="F443" t="str">
        <f>IF(ISBLANK(MAIN!F443), "", IF(AND(ISNUMBER(VALUE(TRIM(MAIN!F443))), LEN(TRIM(MAIN!F443))=4), VALUE(TRIM(MAIN!F443)), ""))</f>
        <v/>
      </c>
      <c r="G443">
        <f>IF(ISBLANK(MAIN!G443), 0, IF(ISNUMBER(VALUE(TRIM(MAIN!G443))), VALUE(TRIM(MAIN!G443)), 0))</f>
        <v>0</v>
      </c>
      <c r="H443">
        <f>IF(ISBLANK(MAIN!H443), 0, IF(ISNUMBER(VALUE(TRIM(MAIN!H443))), VALUE(TRIM(MAIN!H443)), 0))</f>
        <v>0</v>
      </c>
      <c r="I443">
        <f>IF(ISBLANK(MAIN!I443), 0, IF(ISNUMBER(VALUE(TRIM(MAIN!I443))), VALUE(TRIM(MAIN!I443)), 0))</f>
        <v>0</v>
      </c>
      <c r="J443">
        <f>IF(ISBLANK(MAIN!J443), 0, IF(ISNUMBER(VALUE(TRIM(MAIN!J443))), VALUE(TRIM(MAIN!J443)), 0))</f>
        <v>0</v>
      </c>
      <c r="K443" cm="1">
        <f t="array" ref="K443">IFERROR(
    VALUE(
        IFERROR(
            UPPER(
                IF(MAX(IFERROR(SEARCH("WD",MAIN!G443:J443), 0))&gt;0, "WD",
                IF(MAX(IFERROR(SEARCH("NS",MAIN!G443:J443), 0))&gt;0, "NS",
                IF(MAX(IFERROR(SEARCH("NC",MAIN!G443:J443), 0))&gt;0, "NC",
                IF(MAX(IFERROR(SEARCH("DQ",MAIN!G443:J443), 0))&gt;0, "DQ",
                IF(ISNUMBER(SEARCH("WD",MAIN!K443)), "WD",
                IF(ISNUMBER(SEARCH("NS",MAIN!K443)), "NS",
                IF(ISNUMBER(SEARCH("NC",MAIN!K443)), "NC",
                IF(ISNUMBER(SEARCH("DQ",MAIN!K443)), "DQ",
                IF(ISNUMBER(SEARCH("A",MAIN!K443)), 0,
                IF(OR(MAIN!K443=0,MAIN!K443=""), 0, --TRIM(MAIN!K443)))))))))))),
            0
        )
    ),
    IFERROR(
        UPPER(
            IF(MAX(IFERROR(SEARCH("WD",MAIN!G443:J443), 0))&gt;0, "WD",
            IF(MAX(IFERROR(SEARCH("NS",MAIN!G443:J443), 0))&gt;0, "NS",
            IF(MAX(IFERROR(SEARCH("NC",MAIN!G443:J443), 0))&gt;0, "NC",
            IF(MAX(IFERROR(SEARCH("DQ",MAIN!G443:J443), 0))&gt;0, "DQ",
            IF(ISNUMBER(SEARCH("WD",MAIN!K443)), "WD",
            IF(ISNUMBER(SEARCH("NS",MAIN!K443)), "NS",
            IF(ISNUMBER(SEARCH("NC",MAIN!K443)), "NC",
            IF(ISNUMBER(SEARCH("DQ",MAIN!K443)), "DQ",
            IF(ISNUMBER(SEARCH("A",MAIN!K443)), 0,
            IF(OR(MAIN!K443=0,MAIN!K443=""), 0, --TRIM(MAIN!K443)))))))))))),
        0
    )
)</f>
        <v>0</v>
      </c>
    </row>
    <row r="444" spans="1:11" x14ac:dyDescent="0.25">
      <c r="A444" t="str">
        <f>IF(ISBLANK(MAIN!A444), "--", IFERROR(PROPER(SUBSTITUTE(SUBSTITUTE(SUBSTITUTE(SUBSTITUTE(SUBSTITUTE(SUBSTITUTE(SUBSTITUTE(SUBSTITUTE(SUBSTITUTE(SUBSTITUTE(LEFT(MAIN!A444, FIND(",",MAIN!A444) -1), "0", ""), "1", ""), "2", ""), "3", ""), "4", ""), "5", ""), "6", ""), "7", ""), "8", ""), "9", "")), PROPER(SUBSTITUTE(SUBSTITUTE(SUBSTITUTE(SUBSTITUTE(SUBSTITUTE(SUBSTITUTE(SUBSTITUTE(SUBSTITUTE(SUBSTITUTE(SUBSTITUTE(MAIN!A444, "0", ""), "1", ""), "2", ""), "3", ""), "4", ""), "5", ""), "6", ""), "7", ""), "8", ""), "9", ""))))</f>
        <v>--</v>
      </c>
      <c r="B444" t="str">
        <f>IF(ISBLANK(MAIN!B444), "--", IFERROR(PROPER(SUBSTITUTE(SUBSTITUTE(SUBSTITUTE(SUBSTITUTE(SUBSTITUTE(SUBSTITUTE(SUBSTITUTE(SUBSTITUTE(SUBSTITUTE(SUBSTITUTE(LEFT(MAIN!B444, FIND(",",MAIN!B444) -1), "0", ""), "1", ""), "2", ""), "3", ""), "4", ""), "5", ""), "6", ""), "7", ""), "8", ""), "9", "")), PROPER(SUBSTITUTE(SUBSTITUTE(SUBSTITUTE(SUBSTITUTE(SUBSTITUTE(SUBSTITUTE(SUBSTITUTE(SUBSTITUTE(SUBSTITUTE(SUBSTITUTE(MAIN!B444, "0", ""), "1", ""), "2", ""), "3", ""), "4", ""), "5", ""), "6", ""), "7", ""), "8", ""), "9", ""))))</f>
        <v>--</v>
      </c>
      <c r="C444" t="str">
        <f>IF(ISBLANK(MAIN!C444), "--", IFERROR(PROPER(SUBSTITUTE(SUBSTITUTE(SUBSTITUTE(SUBSTITUTE(SUBSTITUTE(SUBSTITUTE(SUBSTITUTE(SUBSTITUTE(SUBSTITUTE(SUBSTITUTE(LEFT(MAIN!C444, FIND(",",MAIN!C444) -1), "0", ""), "1", ""), "2", ""), "3", ""), "4", ""), "5", ""), "6", ""), "7", ""), "8", ""), "9", "")), PROPER(SUBSTITUTE(SUBSTITUTE(SUBSTITUTE(SUBSTITUTE(SUBSTITUTE(SUBSTITUTE(SUBSTITUTE(SUBSTITUTE(SUBSTITUTE(SUBSTITUTE(MAIN!C444, "0", ""), "1", ""), "2", ""), "3", ""), "4", ""), "5", ""), "6", ""), "7", ""), "8", ""), "9", ""))))</f>
        <v>--</v>
      </c>
      <c r="D444" t="str">
        <f>IF(ISBLANK(MAIN!D444), "--", IF(ISNUMBER(MATCH(SUBSTITUTE(LEFT(MAIN!D444, IFERROR(FIND(",", MAIN!D444)-1, LEN(MAIN!D444))), " ", ""), lookup_values!$B$2:$B$51, 0)), UPPER(SUBSTITUTE(LEFT(MAIN!D444, IFERROR(FIND(",", MAIN!D444)-1, LEN(MAIN!D444))), " ", "")), IF(ISNA(VLOOKUP(SUBSTITUTE(LEFT(MAIN!D444, IFERROR(FIND(",", MAIN!D444)-1, LEN(MAIN!D444))), " ", ""), lookup_values!$A$2:$B$51, 2, FALSE)), "--", VLOOKUP(SUBSTITUTE(LEFT(MAIN!D444, IFERROR(FIND(",", MAIN!D444)-1, LEN(MAIN!D444))), " ", ""), lookup_values!$A$2:$B$51, 2, FALSE))))</f>
        <v>--</v>
      </c>
      <c r="E444" t="str">
        <f>IF(CLEAN_DATA!D444&lt;&gt;"--","US",IF(ISBLANK(MAIN!E444), "--", IF(ISNUMBER(MATCH(SUBSTITUTE(LEFT(MAIN!E444, IFERROR(FIND(",", MAIN!E444)-1, LEN(MAIN!E444))), " ", ""), lookup_values!$E$2:$E$197, 0)), UPPER(SUBSTITUTE(LEFT(MAIN!E444, IFERROR(FIND(",", MAIN!E444)-1, LEN(MAIN!E444))), " ", "")), IF(ISNA(VLOOKUP(SUBSTITUTE(LEFT(MAIN!E444, IFERROR(FIND(",", MAIN!E444)-1, LEN(MAIN!E444))), " ", ""), lookup_values!$D$2:$E$197, 2, FALSE)), "--", VLOOKUP(SUBSTITUTE(LEFT(MAIN!E444, IFERROR(FIND(",", MAIN!E444)-1, LEN(MAIN!E444))), " ", ""), lookup_values!$D$2:$E$197, 2, FALSE)))))</f>
        <v>--</v>
      </c>
      <c r="F444" t="str">
        <f>IF(ISBLANK(MAIN!F444), "", IF(AND(ISNUMBER(VALUE(TRIM(MAIN!F444))), LEN(TRIM(MAIN!F444))=4), VALUE(TRIM(MAIN!F444)), ""))</f>
        <v/>
      </c>
      <c r="G444">
        <f>IF(ISBLANK(MAIN!G444), 0, IF(ISNUMBER(VALUE(TRIM(MAIN!G444))), VALUE(TRIM(MAIN!G444)), 0))</f>
        <v>0</v>
      </c>
      <c r="H444">
        <f>IF(ISBLANK(MAIN!H444), 0, IF(ISNUMBER(VALUE(TRIM(MAIN!H444))), VALUE(TRIM(MAIN!H444)), 0))</f>
        <v>0</v>
      </c>
      <c r="I444">
        <f>IF(ISBLANK(MAIN!I444), 0, IF(ISNUMBER(VALUE(TRIM(MAIN!I444))), VALUE(TRIM(MAIN!I444)), 0))</f>
        <v>0</v>
      </c>
      <c r="J444">
        <f>IF(ISBLANK(MAIN!J444), 0, IF(ISNUMBER(VALUE(TRIM(MAIN!J444))), VALUE(TRIM(MAIN!J444)), 0))</f>
        <v>0</v>
      </c>
      <c r="K444" cm="1">
        <f t="array" ref="K444">IFERROR(
    VALUE(
        IFERROR(
            UPPER(
                IF(MAX(IFERROR(SEARCH("WD",MAIN!G444:J444), 0))&gt;0, "WD",
                IF(MAX(IFERROR(SEARCH("NS",MAIN!G444:J444), 0))&gt;0, "NS",
                IF(MAX(IFERROR(SEARCH("NC",MAIN!G444:J444), 0))&gt;0, "NC",
                IF(MAX(IFERROR(SEARCH("DQ",MAIN!G444:J444), 0))&gt;0, "DQ",
                IF(ISNUMBER(SEARCH("WD",MAIN!K444)), "WD",
                IF(ISNUMBER(SEARCH("NS",MAIN!K444)), "NS",
                IF(ISNUMBER(SEARCH("NC",MAIN!K444)), "NC",
                IF(ISNUMBER(SEARCH("DQ",MAIN!K444)), "DQ",
                IF(ISNUMBER(SEARCH("A",MAIN!K444)), 0,
                IF(OR(MAIN!K444=0,MAIN!K444=""), 0, --TRIM(MAIN!K444)))))))))))),
            0
        )
    ),
    IFERROR(
        UPPER(
            IF(MAX(IFERROR(SEARCH("WD",MAIN!G444:J444), 0))&gt;0, "WD",
            IF(MAX(IFERROR(SEARCH("NS",MAIN!G444:J444), 0))&gt;0, "NS",
            IF(MAX(IFERROR(SEARCH("NC",MAIN!G444:J444), 0))&gt;0, "NC",
            IF(MAX(IFERROR(SEARCH("DQ",MAIN!G444:J444), 0))&gt;0, "DQ",
            IF(ISNUMBER(SEARCH("WD",MAIN!K444)), "WD",
            IF(ISNUMBER(SEARCH("NS",MAIN!K444)), "NS",
            IF(ISNUMBER(SEARCH("NC",MAIN!K444)), "NC",
            IF(ISNUMBER(SEARCH("DQ",MAIN!K444)), "DQ",
            IF(ISNUMBER(SEARCH("A",MAIN!K444)), 0,
            IF(OR(MAIN!K444=0,MAIN!K444=""), 0, --TRIM(MAIN!K444)))))))))))),
        0
    )
)</f>
        <v>0</v>
      </c>
    </row>
    <row r="445" spans="1:11" x14ac:dyDescent="0.25">
      <c r="A445" t="str">
        <f>IF(ISBLANK(MAIN!A445), "--", IFERROR(PROPER(SUBSTITUTE(SUBSTITUTE(SUBSTITUTE(SUBSTITUTE(SUBSTITUTE(SUBSTITUTE(SUBSTITUTE(SUBSTITUTE(SUBSTITUTE(SUBSTITUTE(LEFT(MAIN!A445, FIND(",",MAIN!A445) -1), "0", ""), "1", ""), "2", ""), "3", ""), "4", ""), "5", ""), "6", ""), "7", ""), "8", ""), "9", "")), PROPER(SUBSTITUTE(SUBSTITUTE(SUBSTITUTE(SUBSTITUTE(SUBSTITUTE(SUBSTITUTE(SUBSTITUTE(SUBSTITUTE(SUBSTITUTE(SUBSTITUTE(MAIN!A445, "0", ""), "1", ""), "2", ""), "3", ""), "4", ""), "5", ""), "6", ""), "7", ""), "8", ""), "9", ""))))</f>
        <v>--</v>
      </c>
      <c r="B445" t="str">
        <f>IF(ISBLANK(MAIN!B445), "--", IFERROR(PROPER(SUBSTITUTE(SUBSTITUTE(SUBSTITUTE(SUBSTITUTE(SUBSTITUTE(SUBSTITUTE(SUBSTITUTE(SUBSTITUTE(SUBSTITUTE(SUBSTITUTE(LEFT(MAIN!B445, FIND(",",MAIN!B445) -1), "0", ""), "1", ""), "2", ""), "3", ""), "4", ""), "5", ""), "6", ""), "7", ""), "8", ""), "9", "")), PROPER(SUBSTITUTE(SUBSTITUTE(SUBSTITUTE(SUBSTITUTE(SUBSTITUTE(SUBSTITUTE(SUBSTITUTE(SUBSTITUTE(SUBSTITUTE(SUBSTITUTE(MAIN!B445, "0", ""), "1", ""), "2", ""), "3", ""), "4", ""), "5", ""), "6", ""), "7", ""), "8", ""), "9", ""))))</f>
        <v>--</v>
      </c>
      <c r="C445" t="str">
        <f>IF(ISBLANK(MAIN!C445), "--", IFERROR(PROPER(SUBSTITUTE(SUBSTITUTE(SUBSTITUTE(SUBSTITUTE(SUBSTITUTE(SUBSTITUTE(SUBSTITUTE(SUBSTITUTE(SUBSTITUTE(SUBSTITUTE(LEFT(MAIN!C445, FIND(",",MAIN!C445) -1), "0", ""), "1", ""), "2", ""), "3", ""), "4", ""), "5", ""), "6", ""), "7", ""), "8", ""), "9", "")), PROPER(SUBSTITUTE(SUBSTITUTE(SUBSTITUTE(SUBSTITUTE(SUBSTITUTE(SUBSTITUTE(SUBSTITUTE(SUBSTITUTE(SUBSTITUTE(SUBSTITUTE(MAIN!C445, "0", ""), "1", ""), "2", ""), "3", ""), "4", ""), "5", ""), "6", ""), "7", ""), "8", ""), "9", ""))))</f>
        <v>--</v>
      </c>
      <c r="D445" t="str">
        <f>IF(ISBLANK(MAIN!D445), "--", IF(ISNUMBER(MATCH(SUBSTITUTE(LEFT(MAIN!D445, IFERROR(FIND(",", MAIN!D445)-1, LEN(MAIN!D445))), " ", ""), lookup_values!$B$2:$B$51, 0)), UPPER(SUBSTITUTE(LEFT(MAIN!D445, IFERROR(FIND(",", MAIN!D445)-1, LEN(MAIN!D445))), " ", "")), IF(ISNA(VLOOKUP(SUBSTITUTE(LEFT(MAIN!D445, IFERROR(FIND(",", MAIN!D445)-1, LEN(MAIN!D445))), " ", ""), lookup_values!$A$2:$B$51, 2, FALSE)), "--", VLOOKUP(SUBSTITUTE(LEFT(MAIN!D445, IFERROR(FIND(",", MAIN!D445)-1, LEN(MAIN!D445))), " ", ""), lookup_values!$A$2:$B$51, 2, FALSE))))</f>
        <v>--</v>
      </c>
      <c r="E445" t="str">
        <f>IF(CLEAN_DATA!D445&lt;&gt;"--","US",IF(ISBLANK(MAIN!E445), "--", IF(ISNUMBER(MATCH(SUBSTITUTE(LEFT(MAIN!E445, IFERROR(FIND(",", MAIN!E445)-1, LEN(MAIN!E445))), " ", ""), lookup_values!$E$2:$E$197, 0)), UPPER(SUBSTITUTE(LEFT(MAIN!E445, IFERROR(FIND(",", MAIN!E445)-1, LEN(MAIN!E445))), " ", "")), IF(ISNA(VLOOKUP(SUBSTITUTE(LEFT(MAIN!E445, IFERROR(FIND(",", MAIN!E445)-1, LEN(MAIN!E445))), " ", ""), lookup_values!$D$2:$E$197, 2, FALSE)), "--", VLOOKUP(SUBSTITUTE(LEFT(MAIN!E445, IFERROR(FIND(",", MAIN!E445)-1, LEN(MAIN!E445))), " ", ""), lookup_values!$D$2:$E$197, 2, FALSE)))))</f>
        <v>--</v>
      </c>
      <c r="F445" t="str">
        <f>IF(ISBLANK(MAIN!F445), "", IF(AND(ISNUMBER(VALUE(TRIM(MAIN!F445))), LEN(TRIM(MAIN!F445))=4), VALUE(TRIM(MAIN!F445)), ""))</f>
        <v/>
      </c>
      <c r="G445">
        <f>IF(ISBLANK(MAIN!G445), 0, IF(ISNUMBER(VALUE(TRIM(MAIN!G445))), VALUE(TRIM(MAIN!G445)), 0))</f>
        <v>0</v>
      </c>
      <c r="H445">
        <f>IF(ISBLANK(MAIN!H445), 0, IF(ISNUMBER(VALUE(TRIM(MAIN!H445))), VALUE(TRIM(MAIN!H445)), 0))</f>
        <v>0</v>
      </c>
      <c r="I445">
        <f>IF(ISBLANK(MAIN!I445), 0, IF(ISNUMBER(VALUE(TRIM(MAIN!I445))), VALUE(TRIM(MAIN!I445)), 0))</f>
        <v>0</v>
      </c>
      <c r="J445">
        <f>IF(ISBLANK(MAIN!J445), 0, IF(ISNUMBER(VALUE(TRIM(MAIN!J445))), VALUE(TRIM(MAIN!J445)), 0))</f>
        <v>0</v>
      </c>
      <c r="K445" cm="1">
        <f t="array" ref="K445">IFERROR(
    VALUE(
        IFERROR(
            UPPER(
                IF(MAX(IFERROR(SEARCH("WD",MAIN!G445:J445), 0))&gt;0, "WD",
                IF(MAX(IFERROR(SEARCH("NS",MAIN!G445:J445), 0))&gt;0, "NS",
                IF(MAX(IFERROR(SEARCH("NC",MAIN!G445:J445), 0))&gt;0, "NC",
                IF(MAX(IFERROR(SEARCH("DQ",MAIN!G445:J445), 0))&gt;0, "DQ",
                IF(ISNUMBER(SEARCH("WD",MAIN!K445)), "WD",
                IF(ISNUMBER(SEARCH("NS",MAIN!K445)), "NS",
                IF(ISNUMBER(SEARCH("NC",MAIN!K445)), "NC",
                IF(ISNUMBER(SEARCH("DQ",MAIN!K445)), "DQ",
                IF(ISNUMBER(SEARCH("A",MAIN!K445)), 0,
                IF(OR(MAIN!K445=0,MAIN!K445=""), 0, --TRIM(MAIN!K445)))))))))))),
            0
        )
    ),
    IFERROR(
        UPPER(
            IF(MAX(IFERROR(SEARCH("WD",MAIN!G445:J445), 0))&gt;0, "WD",
            IF(MAX(IFERROR(SEARCH("NS",MAIN!G445:J445), 0))&gt;0, "NS",
            IF(MAX(IFERROR(SEARCH("NC",MAIN!G445:J445), 0))&gt;0, "NC",
            IF(MAX(IFERROR(SEARCH("DQ",MAIN!G445:J445), 0))&gt;0, "DQ",
            IF(ISNUMBER(SEARCH("WD",MAIN!K445)), "WD",
            IF(ISNUMBER(SEARCH("NS",MAIN!K445)), "NS",
            IF(ISNUMBER(SEARCH("NC",MAIN!K445)), "NC",
            IF(ISNUMBER(SEARCH("DQ",MAIN!K445)), "DQ",
            IF(ISNUMBER(SEARCH("A",MAIN!K445)), 0,
            IF(OR(MAIN!K445=0,MAIN!K445=""), 0, --TRIM(MAIN!K445)))))))))))),
        0
    )
)</f>
        <v>0</v>
      </c>
    </row>
    <row r="446" spans="1:11" x14ac:dyDescent="0.25">
      <c r="A446" t="str">
        <f>IF(ISBLANK(MAIN!A446), "--", IFERROR(PROPER(SUBSTITUTE(SUBSTITUTE(SUBSTITUTE(SUBSTITUTE(SUBSTITUTE(SUBSTITUTE(SUBSTITUTE(SUBSTITUTE(SUBSTITUTE(SUBSTITUTE(LEFT(MAIN!A446, FIND(",",MAIN!A446) -1), "0", ""), "1", ""), "2", ""), "3", ""), "4", ""), "5", ""), "6", ""), "7", ""), "8", ""), "9", "")), PROPER(SUBSTITUTE(SUBSTITUTE(SUBSTITUTE(SUBSTITUTE(SUBSTITUTE(SUBSTITUTE(SUBSTITUTE(SUBSTITUTE(SUBSTITUTE(SUBSTITUTE(MAIN!A446, "0", ""), "1", ""), "2", ""), "3", ""), "4", ""), "5", ""), "6", ""), "7", ""), "8", ""), "9", ""))))</f>
        <v>--</v>
      </c>
      <c r="B446" t="str">
        <f>IF(ISBLANK(MAIN!B446), "--", IFERROR(PROPER(SUBSTITUTE(SUBSTITUTE(SUBSTITUTE(SUBSTITUTE(SUBSTITUTE(SUBSTITUTE(SUBSTITUTE(SUBSTITUTE(SUBSTITUTE(SUBSTITUTE(LEFT(MAIN!B446, FIND(",",MAIN!B446) -1), "0", ""), "1", ""), "2", ""), "3", ""), "4", ""), "5", ""), "6", ""), "7", ""), "8", ""), "9", "")), PROPER(SUBSTITUTE(SUBSTITUTE(SUBSTITUTE(SUBSTITUTE(SUBSTITUTE(SUBSTITUTE(SUBSTITUTE(SUBSTITUTE(SUBSTITUTE(SUBSTITUTE(MAIN!B446, "0", ""), "1", ""), "2", ""), "3", ""), "4", ""), "5", ""), "6", ""), "7", ""), "8", ""), "9", ""))))</f>
        <v>--</v>
      </c>
      <c r="C446" t="str">
        <f>IF(ISBLANK(MAIN!C446), "--", IFERROR(PROPER(SUBSTITUTE(SUBSTITUTE(SUBSTITUTE(SUBSTITUTE(SUBSTITUTE(SUBSTITUTE(SUBSTITUTE(SUBSTITUTE(SUBSTITUTE(SUBSTITUTE(LEFT(MAIN!C446, FIND(",",MAIN!C446) -1), "0", ""), "1", ""), "2", ""), "3", ""), "4", ""), "5", ""), "6", ""), "7", ""), "8", ""), "9", "")), PROPER(SUBSTITUTE(SUBSTITUTE(SUBSTITUTE(SUBSTITUTE(SUBSTITUTE(SUBSTITUTE(SUBSTITUTE(SUBSTITUTE(SUBSTITUTE(SUBSTITUTE(MAIN!C446, "0", ""), "1", ""), "2", ""), "3", ""), "4", ""), "5", ""), "6", ""), "7", ""), "8", ""), "9", ""))))</f>
        <v>--</v>
      </c>
      <c r="D446" t="str">
        <f>IF(ISBLANK(MAIN!D446), "--", IF(ISNUMBER(MATCH(SUBSTITUTE(LEFT(MAIN!D446, IFERROR(FIND(",", MAIN!D446)-1, LEN(MAIN!D446))), " ", ""), lookup_values!$B$2:$B$51, 0)), UPPER(SUBSTITUTE(LEFT(MAIN!D446, IFERROR(FIND(",", MAIN!D446)-1, LEN(MAIN!D446))), " ", "")), IF(ISNA(VLOOKUP(SUBSTITUTE(LEFT(MAIN!D446, IFERROR(FIND(",", MAIN!D446)-1, LEN(MAIN!D446))), " ", ""), lookup_values!$A$2:$B$51, 2, FALSE)), "--", VLOOKUP(SUBSTITUTE(LEFT(MAIN!D446, IFERROR(FIND(",", MAIN!D446)-1, LEN(MAIN!D446))), " ", ""), lookup_values!$A$2:$B$51, 2, FALSE))))</f>
        <v>--</v>
      </c>
      <c r="E446" t="str">
        <f>IF(CLEAN_DATA!D446&lt;&gt;"--","US",IF(ISBLANK(MAIN!E446), "--", IF(ISNUMBER(MATCH(SUBSTITUTE(LEFT(MAIN!E446, IFERROR(FIND(",", MAIN!E446)-1, LEN(MAIN!E446))), " ", ""), lookup_values!$E$2:$E$197, 0)), UPPER(SUBSTITUTE(LEFT(MAIN!E446, IFERROR(FIND(",", MAIN!E446)-1, LEN(MAIN!E446))), " ", "")), IF(ISNA(VLOOKUP(SUBSTITUTE(LEFT(MAIN!E446, IFERROR(FIND(",", MAIN!E446)-1, LEN(MAIN!E446))), " ", ""), lookup_values!$D$2:$E$197, 2, FALSE)), "--", VLOOKUP(SUBSTITUTE(LEFT(MAIN!E446, IFERROR(FIND(",", MAIN!E446)-1, LEN(MAIN!E446))), " ", ""), lookup_values!$D$2:$E$197, 2, FALSE)))))</f>
        <v>--</v>
      </c>
      <c r="F446" t="str">
        <f>IF(ISBLANK(MAIN!F446), "", IF(AND(ISNUMBER(VALUE(TRIM(MAIN!F446))), LEN(TRIM(MAIN!F446))=4), VALUE(TRIM(MAIN!F446)), ""))</f>
        <v/>
      </c>
      <c r="G446">
        <f>IF(ISBLANK(MAIN!G446), 0, IF(ISNUMBER(VALUE(TRIM(MAIN!G446))), VALUE(TRIM(MAIN!G446)), 0))</f>
        <v>0</v>
      </c>
      <c r="H446">
        <f>IF(ISBLANK(MAIN!H446), 0, IF(ISNUMBER(VALUE(TRIM(MAIN!H446))), VALUE(TRIM(MAIN!H446)), 0))</f>
        <v>0</v>
      </c>
      <c r="I446">
        <f>IF(ISBLANK(MAIN!I446), 0, IF(ISNUMBER(VALUE(TRIM(MAIN!I446))), VALUE(TRIM(MAIN!I446)), 0))</f>
        <v>0</v>
      </c>
      <c r="J446">
        <f>IF(ISBLANK(MAIN!J446), 0, IF(ISNUMBER(VALUE(TRIM(MAIN!J446))), VALUE(TRIM(MAIN!J446)), 0))</f>
        <v>0</v>
      </c>
      <c r="K446" cm="1">
        <f t="array" ref="K446">IFERROR(
    VALUE(
        IFERROR(
            UPPER(
                IF(MAX(IFERROR(SEARCH("WD",MAIN!G446:J446), 0))&gt;0, "WD",
                IF(MAX(IFERROR(SEARCH("NS",MAIN!G446:J446), 0))&gt;0, "NS",
                IF(MAX(IFERROR(SEARCH("NC",MAIN!G446:J446), 0))&gt;0, "NC",
                IF(MAX(IFERROR(SEARCH("DQ",MAIN!G446:J446), 0))&gt;0, "DQ",
                IF(ISNUMBER(SEARCH("WD",MAIN!K446)), "WD",
                IF(ISNUMBER(SEARCH("NS",MAIN!K446)), "NS",
                IF(ISNUMBER(SEARCH("NC",MAIN!K446)), "NC",
                IF(ISNUMBER(SEARCH("DQ",MAIN!K446)), "DQ",
                IF(ISNUMBER(SEARCH("A",MAIN!K446)), 0,
                IF(OR(MAIN!K446=0,MAIN!K446=""), 0, --TRIM(MAIN!K446)))))))))))),
            0
        )
    ),
    IFERROR(
        UPPER(
            IF(MAX(IFERROR(SEARCH("WD",MAIN!G446:J446), 0))&gt;0, "WD",
            IF(MAX(IFERROR(SEARCH("NS",MAIN!G446:J446), 0))&gt;0, "NS",
            IF(MAX(IFERROR(SEARCH("NC",MAIN!G446:J446), 0))&gt;0, "NC",
            IF(MAX(IFERROR(SEARCH("DQ",MAIN!G446:J446), 0))&gt;0, "DQ",
            IF(ISNUMBER(SEARCH("WD",MAIN!K446)), "WD",
            IF(ISNUMBER(SEARCH("NS",MAIN!K446)), "NS",
            IF(ISNUMBER(SEARCH("NC",MAIN!K446)), "NC",
            IF(ISNUMBER(SEARCH("DQ",MAIN!K446)), "DQ",
            IF(ISNUMBER(SEARCH("A",MAIN!K446)), 0,
            IF(OR(MAIN!K446=0,MAIN!K446=""), 0, --TRIM(MAIN!K446)))))))))))),
        0
    )
)</f>
        <v>0</v>
      </c>
    </row>
    <row r="447" spans="1:11" x14ac:dyDescent="0.25">
      <c r="A447" t="str">
        <f>IF(ISBLANK(MAIN!A447), "--", IFERROR(PROPER(SUBSTITUTE(SUBSTITUTE(SUBSTITUTE(SUBSTITUTE(SUBSTITUTE(SUBSTITUTE(SUBSTITUTE(SUBSTITUTE(SUBSTITUTE(SUBSTITUTE(LEFT(MAIN!A447, FIND(",",MAIN!A447) -1), "0", ""), "1", ""), "2", ""), "3", ""), "4", ""), "5", ""), "6", ""), "7", ""), "8", ""), "9", "")), PROPER(SUBSTITUTE(SUBSTITUTE(SUBSTITUTE(SUBSTITUTE(SUBSTITUTE(SUBSTITUTE(SUBSTITUTE(SUBSTITUTE(SUBSTITUTE(SUBSTITUTE(MAIN!A447, "0", ""), "1", ""), "2", ""), "3", ""), "4", ""), "5", ""), "6", ""), "7", ""), "8", ""), "9", ""))))</f>
        <v>--</v>
      </c>
      <c r="B447" t="str">
        <f>IF(ISBLANK(MAIN!B447), "--", IFERROR(PROPER(SUBSTITUTE(SUBSTITUTE(SUBSTITUTE(SUBSTITUTE(SUBSTITUTE(SUBSTITUTE(SUBSTITUTE(SUBSTITUTE(SUBSTITUTE(SUBSTITUTE(LEFT(MAIN!B447, FIND(",",MAIN!B447) -1), "0", ""), "1", ""), "2", ""), "3", ""), "4", ""), "5", ""), "6", ""), "7", ""), "8", ""), "9", "")), PROPER(SUBSTITUTE(SUBSTITUTE(SUBSTITUTE(SUBSTITUTE(SUBSTITUTE(SUBSTITUTE(SUBSTITUTE(SUBSTITUTE(SUBSTITUTE(SUBSTITUTE(MAIN!B447, "0", ""), "1", ""), "2", ""), "3", ""), "4", ""), "5", ""), "6", ""), "7", ""), "8", ""), "9", ""))))</f>
        <v>--</v>
      </c>
      <c r="C447" t="str">
        <f>IF(ISBLANK(MAIN!C447), "--", IFERROR(PROPER(SUBSTITUTE(SUBSTITUTE(SUBSTITUTE(SUBSTITUTE(SUBSTITUTE(SUBSTITUTE(SUBSTITUTE(SUBSTITUTE(SUBSTITUTE(SUBSTITUTE(LEFT(MAIN!C447, FIND(",",MAIN!C447) -1), "0", ""), "1", ""), "2", ""), "3", ""), "4", ""), "5", ""), "6", ""), "7", ""), "8", ""), "9", "")), PROPER(SUBSTITUTE(SUBSTITUTE(SUBSTITUTE(SUBSTITUTE(SUBSTITUTE(SUBSTITUTE(SUBSTITUTE(SUBSTITUTE(SUBSTITUTE(SUBSTITUTE(MAIN!C447, "0", ""), "1", ""), "2", ""), "3", ""), "4", ""), "5", ""), "6", ""), "7", ""), "8", ""), "9", ""))))</f>
        <v>--</v>
      </c>
      <c r="D447" t="str">
        <f>IF(ISBLANK(MAIN!D447), "--", IF(ISNUMBER(MATCH(SUBSTITUTE(LEFT(MAIN!D447, IFERROR(FIND(",", MAIN!D447)-1, LEN(MAIN!D447))), " ", ""), lookup_values!$B$2:$B$51, 0)), UPPER(SUBSTITUTE(LEFT(MAIN!D447, IFERROR(FIND(",", MAIN!D447)-1, LEN(MAIN!D447))), " ", "")), IF(ISNA(VLOOKUP(SUBSTITUTE(LEFT(MAIN!D447, IFERROR(FIND(",", MAIN!D447)-1, LEN(MAIN!D447))), " ", ""), lookup_values!$A$2:$B$51, 2, FALSE)), "--", VLOOKUP(SUBSTITUTE(LEFT(MAIN!D447, IFERROR(FIND(",", MAIN!D447)-1, LEN(MAIN!D447))), " ", ""), lookup_values!$A$2:$B$51, 2, FALSE))))</f>
        <v>--</v>
      </c>
      <c r="E447" t="str">
        <f>IF(CLEAN_DATA!D447&lt;&gt;"--","US",IF(ISBLANK(MAIN!E447), "--", IF(ISNUMBER(MATCH(SUBSTITUTE(LEFT(MAIN!E447, IFERROR(FIND(",", MAIN!E447)-1, LEN(MAIN!E447))), " ", ""), lookup_values!$E$2:$E$197, 0)), UPPER(SUBSTITUTE(LEFT(MAIN!E447, IFERROR(FIND(",", MAIN!E447)-1, LEN(MAIN!E447))), " ", "")), IF(ISNA(VLOOKUP(SUBSTITUTE(LEFT(MAIN!E447, IFERROR(FIND(",", MAIN!E447)-1, LEN(MAIN!E447))), " ", ""), lookup_values!$D$2:$E$197, 2, FALSE)), "--", VLOOKUP(SUBSTITUTE(LEFT(MAIN!E447, IFERROR(FIND(",", MAIN!E447)-1, LEN(MAIN!E447))), " ", ""), lookup_values!$D$2:$E$197, 2, FALSE)))))</f>
        <v>--</v>
      </c>
      <c r="F447" t="str">
        <f>IF(ISBLANK(MAIN!F447), "", IF(AND(ISNUMBER(VALUE(TRIM(MAIN!F447))), LEN(TRIM(MAIN!F447))=4), VALUE(TRIM(MAIN!F447)), ""))</f>
        <v/>
      </c>
      <c r="G447">
        <f>IF(ISBLANK(MAIN!G447), 0, IF(ISNUMBER(VALUE(TRIM(MAIN!G447))), VALUE(TRIM(MAIN!G447)), 0))</f>
        <v>0</v>
      </c>
      <c r="H447">
        <f>IF(ISBLANK(MAIN!H447), 0, IF(ISNUMBER(VALUE(TRIM(MAIN!H447))), VALUE(TRIM(MAIN!H447)), 0))</f>
        <v>0</v>
      </c>
      <c r="I447">
        <f>IF(ISBLANK(MAIN!I447), 0, IF(ISNUMBER(VALUE(TRIM(MAIN!I447))), VALUE(TRIM(MAIN!I447)), 0))</f>
        <v>0</v>
      </c>
      <c r="J447">
        <f>IF(ISBLANK(MAIN!J447), 0, IF(ISNUMBER(VALUE(TRIM(MAIN!J447))), VALUE(TRIM(MAIN!J447)), 0))</f>
        <v>0</v>
      </c>
      <c r="K447" cm="1">
        <f t="array" ref="K447">IFERROR(
    VALUE(
        IFERROR(
            UPPER(
                IF(MAX(IFERROR(SEARCH("WD",MAIN!G447:J447), 0))&gt;0, "WD",
                IF(MAX(IFERROR(SEARCH("NS",MAIN!G447:J447), 0))&gt;0, "NS",
                IF(MAX(IFERROR(SEARCH("NC",MAIN!G447:J447), 0))&gt;0, "NC",
                IF(MAX(IFERROR(SEARCH("DQ",MAIN!G447:J447), 0))&gt;0, "DQ",
                IF(ISNUMBER(SEARCH("WD",MAIN!K447)), "WD",
                IF(ISNUMBER(SEARCH("NS",MAIN!K447)), "NS",
                IF(ISNUMBER(SEARCH("NC",MAIN!K447)), "NC",
                IF(ISNUMBER(SEARCH("DQ",MAIN!K447)), "DQ",
                IF(ISNUMBER(SEARCH("A",MAIN!K447)), 0,
                IF(OR(MAIN!K447=0,MAIN!K447=""), 0, --TRIM(MAIN!K447)))))))))))),
            0
        )
    ),
    IFERROR(
        UPPER(
            IF(MAX(IFERROR(SEARCH("WD",MAIN!G447:J447), 0))&gt;0, "WD",
            IF(MAX(IFERROR(SEARCH("NS",MAIN!G447:J447), 0))&gt;0, "NS",
            IF(MAX(IFERROR(SEARCH("NC",MAIN!G447:J447), 0))&gt;0, "NC",
            IF(MAX(IFERROR(SEARCH("DQ",MAIN!G447:J447), 0))&gt;0, "DQ",
            IF(ISNUMBER(SEARCH("WD",MAIN!K447)), "WD",
            IF(ISNUMBER(SEARCH("NS",MAIN!K447)), "NS",
            IF(ISNUMBER(SEARCH("NC",MAIN!K447)), "NC",
            IF(ISNUMBER(SEARCH("DQ",MAIN!K447)), "DQ",
            IF(ISNUMBER(SEARCH("A",MAIN!K447)), 0,
            IF(OR(MAIN!K447=0,MAIN!K447=""), 0, --TRIM(MAIN!K447)))))))))))),
        0
    )
)</f>
        <v>0</v>
      </c>
    </row>
    <row r="448" spans="1:11" x14ac:dyDescent="0.25">
      <c r="A448" t="str">
        <f>IF(ISBLANK(MAIN!A448), "--", IFERROR(PROPER(SUBSTITUTE(SUBSTITUTE(SUBSTITUTE(SUBSTITUTE(SUBSTITUTE(SUBSTITUTE(SUBSTITUTE(SUBSTITUTE(SUBSTITUTE(SUBSTITUTE(LEFT(MAIN!A448, FIND(",",MAIN!A448) -1), "0", ""), "1", ""), "2", ""), "3", ""), "4", ""), "5", ""), "6", ""), "7", ""), "8", ""), "9", "")), PROPER(SUBSTITUTE(SUBSTITUTE(SUBSTITUTE(SUBSTITUTE(SUBSTITUTE(SUBSTITUTE(SUBSTITUTE(SUBSTITUTE(SUBSTITUTE(SUBSTITUTE(MAIN!A448, "0", ""), "1", ""), "2", ""), "3", ""), "4", ""), "5", ""), "6", ""), "7", ""), "8", ""), "9", ""))))</f>
        <v>--</v>
      </c>
      <c r="B448" t="str">
        <f>IF(ISBLANK(MAIN!B448), "--", IFERROR(PROPER(SUBSTITUTE(SUBSTITUTE(SUBSTITUTE(SUBSTITUTE(SUBSTITUTE(SUBSTITUTE(SUBSTITUTE(SUBSTITUTE(SUBSTITUTE(SUBSTITUTE(LEFT(MAIN!B448, FIND(",",MAIN!B448) -1), "0", ""), "1", ""), "2", ""), "3", ""), "4", ""), "5", ""), "6", ""), "7", ""), "8", ""), "9", "")), PROPER(SUBSTITUTE(SUBSTITUTE(SUBSTITUTE(SUBSTITUTE(SUBSTITUTE(SUBSTITUTE(SUBSTITUTE(SUBSTITUTE(SUBSTITUTE(SUBSTITUTE(MAIN!B448, "0", ""), "1", ""), "2", ""), "3", ""), "4", ""), "5", ""), "6", ""), "7", ""), "8", ""), "9", ""))))</f>
        <v>--</v>
      </c>
      <c r="C448" t="str">
        <f>IF(ISBLANK(MAIN!C448), "--", IFERROR(PROPER(SUBSTITUTE(SUBSTITUTE(SUBSTITUTE(SUBSTITUTE(SUBSTITUTE(SUBSTITUTE(SUBSTITUTE(SUBSTITUTE(SUBSTITUTE(SUBSTITUTE(LEFT(MAIN!C448, FIND(",",MAIN!C448) -1), "0", ""), "1", ""), "2", ""), "3", ""), "4", ""), "5", ""), "6", ""), "7", ""), "8", ""), "9", "")), PROPER(SUBSTITUTE(SUBSTITUTE(SUBSTITUTE(SUBSTITUTE(SUBSTITUTE(SUBSTITUTE(SUBSTITUTE(SUBSTITUTE(SUBSTITUTE(SUBSTITUTE(MAIN!C448, "0", ""), "1", ""), "2", ""), "3", ""), "4", ""), "5", ""), "6", ""), "7", ""), "8", ""), "9", ""))))</f>
        <v>--</v>
      </c>
      <c r="D448" t="str">
        <f>IF(ISBLANK(MAIN!D448), "--", IF(ISNUMBER(MATCH(SUBSTITUTE(LEFT(MAIN!D448, IFERROR(FIND(",", MAIN!D448)-1, LEN(MAIN!D448))), " ", ""), lookup_values!$B$2:$B$51, 0)), UPPER(SUBSTITUTE(LEFT(MAIN!D448, IFERROR(FIND(",", MAIN!D448)-1, LEN(MAIN!D448))), " ", "")), IF(ISNA(VLOOKUP(SUBSTITUTE(LEFT(MAIN!D448, IFERROR(FIND(",", MAIN!D448)-1, LEN(MAIN!D448))), " ", ""), lookup_values!$A$2:$B$51, 2, FALSE)), "--", VLOOKUP(SUBSTITUTE(LEFT(MAIN!D448, IFERROR(FIND(",", MAIN!D448)-1, LEN(MAIN!D448))), " ", ""), lookup_values!$A$2:$B$51, 2, FALSE))))</f>
        <v>--</v>
      </c>
      <c r="E448" t="str">
        <f>IF(CLEAN_DATA!D448&lt;&gt;"--","US",IF(ISBLANK(MAIN!E448), "--", IF(ISNUMBER(MATCH(SUBSTITUTE(LEFT(MAIN!E448, IFERROR(FIND(",", MAIN!E448)-1, LEN(MAIN!E448))), " ", ""), lookup_values!$E$2:$E$197, 0)), UPPER(SUBSTITUTE(LEFT(MAIN!E448, IFERROR(FIND(",", MAIN!E448)-1, LEN(MAIN!E448))), " ", "")), IF(ISNA(VLOOKUP(SUBSTITUTE(LEFT(MAIN!E448, IFERROR(FIND(",", MAIN!E448)-1, LEN(MAIN!E448))), " ", ""), lookup_values!$D$2:$E$197, 2, FALSE)), "--", VLOOKUP(SUBSTITUTE(LEFT(MAIN!E448, IFERROR(FIND(",", MAIN!E448)-1, LEN(MAIN!E448))), " ", ""), lookup_values!$D$2:$E$197, 2, FALSE)))))</f>
        <v>--</v>
      </c>
      <c r="F448" t="str">
        <f>IF(ISBLANK(MAIN!F448), "", IF(AND(ISNUMBER(VALUE(TRIM(MAIN!F448))), LEN(TRIM(MAIN!F448))=4), VALUE(TRIM(MAIN!F448)), ""))</f>
        <v/>
      </c>
      <c r="G448">
        <f>IF(ISBLANK(MAIN!G448), 0, IF(ISNUMBER(VALUE(TRIM(MAIN!G448))), VALUE(TRIM(MAIN!G448)), 0))</f>
        <v>0</v>
      </c>
      <c r="H448">
        <f>IF(ISBLANK(MAIN!H448), 0, IF(ISNUMBER(VALUE(TRIM(MAIN!H448))), VALUE(TRIM(MAIN!H448)), 0))</f>
        <v>0</v>
      </c>
      <c r="I448">
        <f>IF(ISBLANK(MAIN!I448), 0, IF(ISNUMBER(VALUE(TRIM(MAIN!I448))), VALUE(TRIM(MAIN!I448)), 0))</f>
        <v>0</v>
      </c>
      <c r="J448">
        <f>IF(ISBLANK(MAIN!J448), 0, IF(ISNUMBER(VALUE(TRIM(MAIN!J448))), VALUE(TRIM(MAIN!J448)), 0))</f>
        <v>0</v>
      </c>
      <c r="K448" cm="1">
        <f t="array" ref="K448">IFERROR(
    VALUE(
        IFERROR(
            UPPER(
                IF(MAX(IFERROR(SEARCH("WD",MAIN!G448:J448), 0))&gt;0, "WD",
                IF(MAX(IFERROR(SEARCH("NS",MAIN!G448:J448), 0))&gt;0, "NS",
                IF(MAX(IFERROR(SEARCH("NC",MAIN!G448:J448), 0))&gt;0, "NC",
                IF(MAX(IFERROR(SEARCH("DQ",MAIN!G448:J448), 0))&gt;0, "DQ",
                IF(ISNUMBER(SEARCH("WD",MAIN!K448)), "WD",
                IF(ISNUMBER(SEARCH("NS",MAIN!K448)), "NS",
                IF(ISNUMBER(SEARCH("NC",MAIN!K448)), "NC",
                IF(ISNUMBER(SEARCH("DQ",MAIN!K448)), "DQ",
                IF(ISNUMBER(SEARCH("A",MAIN!K448)), 0,
                IF(OR(MAIN!K448=0,MAIN!K448=""), 0, --TRIM(MAIN!K448)))))))))))),
            0
        )
    ),
    IFERROR(
        UPPER(
            IF(MAX(IFERROR(SEARCH("WD",MAIN!G448:J448), 0))&gt;0, "WD",
            IF(MAX(IFERROR(SEARCH("NS",MAIN!G448:J448), 0))&gt;0, "NS",
            IF(MAX(IFERROR(SEARCH("NC",MAIN!G448:J448), 0))&gt;0, "NC",
            IF(MAX(IFERROR(SEARCH("DQ",MAIN!G448:J448), 0))&gt;0, "DQ",
            IF(ISNUMBER(SEARCH("WD",MAIN!K448)), "WD",
            IF(ISNUMBER(SEARCH("NS",MAIN!K448)), "NS",
            IF(ISNUMBER(SEARCH("NC",MAIN!K448)), "NC",
            IF(ISNUMBER(SEARCH("DQ",MAIN!K448)), "DQ",
            IF(ISNUMBER(SEARCH("A",MAIN!K448)), 0,
            IF(OR(MAIN!K448=0,MAIN!K448=""), 0, --TRIM(MAIN!K448)))))))))))),
        0
    )
)</f>
        <v>0</v>
      </c>
    </row>
    <row r="449" spans="1:11" x14ac:dyDescent="0.25">
      <c r="A449" t="str">
        <f>IF(ISBLANK(MAIN!A449), "--", IFERROR(PROPER(SUBSTITUTE(SUBSTITUTE(SUBSTITUTE(SUBSTITUTE(SUBSTITUTE(SUBSTITUTE(SUBSTITUTE(SUBSTITUTE(SUBSTITUTE(SUBSTITUTE(LEFT(MAIN!A449, FIND(",",MAIN!A449) -1), "0", ""), "1", ""), "2", ""), "3", ""), "4", ""), "5", ""), "6", ""), "7", ""), "8", ""), "9", "")), PROPER(SUBSTITUTE(SUBSTITUTE(SUBSTITUTE(SUBSTITUTE(SUBSTITUTE(SUBSTITUTE(SUBSTITUTE(SUBSTITUTE(SUBSTITUTE(SUBSTITUTE(MAIN!A449, "0", ""), "1", ""), "2", ""), "3", ""), "4", ""), "5", ""), "6", ""), "7", ""), "8", ""), "9", ""))))</f>
        <v>--</v>
      </c>
      <c r="B449" t="str">
        <f>IF(ISBLANK(MAIN!B449), "--", IFERROR(PROPER(SUBSTITUTE(SUBSTITUTE(SUBSTITUTE(SUBSTITUTE(SUBSTITUTE(SUBSTITUTE(SUBSTITUTE(SUBSTITUTE(SUBSTITUTE(SUBSTITUTE(LEFT(MAIN!B449, FIND(",",MAIN!B449) -1), "0", ""), "1", ""), "2", ""), "3", ""), "4", ""), "5", ""), "6", ""), "7", ""), "8", ""), "9", "")), PROPER(SUBSTITUTE(SUBSTITUTE(SUBSTITUTE(SUBSTITUTE(SUBSTITUTE(SUBSTITUTE(SUBSTITUTE(SUBSTITUTE(SUBSTITUTE(SUBSTITUTE(MAIN!B449, "0", ""), "1", ""), "2", ""), "3", ""), "4", ""), "5", ""), "6", ""), "7", ""), "8", ""), "9", ""))))</f>
        <v>--</v>
      </c>
      <c r="C449" t="str">
        <f>IF(ISBLANK(MAIN!C449), "--", IFERROR(PROPER(SUBSTITUTE(SUBSTITUTE(SUBSTITUTE(SUBSTITUTE(SUBSTITUTE(SUBSTITUTE(SUBSTITUTE(SUBSTITUTE(SUBSTITUTE(SUBSTITUTE(LEFT(MAIN!C449, FIND(",",MAIN!C449) -1), "0", ""), "1", ""), "2", ""), "3", ""), "4", ""), "5", ""), "6", ""), "7", ""), "8", ""), "9", "")), PROPER(SUBSTITUTE(SUBSTITUTE(SUBSTITUTE(SUBSTITUTE(SUBSTITUTE(SUBSTITUTE(SUBSTITUTE(SUBSTITUTE(SUBSTITUTE(SUBSTITUTE(MAIN!C449, "0", ""), "1", ""), "2", ""), "3", ""), "4", ""), "5", ""), "6", ""), "7", ""), "8", ""), "9", ""))))</f>
        <v>--</v>
      </c>
      <c r="D449" t="str">
        <f>IF(ISBLANK(MAIN!D449), "--", IF(ISNUMBER(MATCH(SUBSTITUTE(LEFT(MAIN!D449, IFERROR(FIND(",", MAIN!D449)-1, LEN(MAIN!D449))), " ", ""), lookup_values!$B$2:$B$51, 0)), UPPER(SUBSTITUTE(LEFT(MAIN!D449, IFERROR(FIND(",", MAIN!D449)-1, LEN(MAIN!D449))), " ", "")), IF(ISNA(VLOOKUP(SUBSTITUTE(LEFT(MAIN!D449, IFERROR(FIND(",", MAIN!D449)-1, LEN(MAIN!D449))), " ", ""), lookup_values!$A$2:$B$51, 2, FALSE)), "--", VLOOKUP(SUBSTITUTE(LEFT(MAIN!D449, IFERROR(FIND(",", MAIN!D449)-1, LEN(MAIN!D449))), " ", ""), lookup_values!$A$2:$B$51, 2, FALSE))))</f>
        <v>--</v>
      </c>
      <c r="E449" t="str">
        <f>IF(CLEAN_DATA!D449&lt;&gt;"--","US",IF(ISBLANK(MAIN!E449), "--", IF(ISNUMBER(MATCH(SUBSTITUTE(LEFT(MAIN!E449, IFERROR(FIND(",", MAIN!E449)-1, LEN(MAIN!E449))), " ", ""), lookup_values!$E$2:$E$197, 0)), UPPER(SUBSTITUTE(LEFT(MAIN!E449, IFERROR(FIND(",", MAIN!E449)-1, LEN(MAIN!E449))), " ", "")), IF(ISNA(VLOOKUP(SUBSTITUTE(LEFT(MAIN!E449, IFERROR(FIND(",", MAIN!E449)-1, LEN(MAIN!E449))), " ", ""), lookup_values!$D$2:$E$197, 2, FALSE)), "--", VLOOKUP(SUBSTITUTE(LEFT(MAIN!E449, IFERROR(FIND(",", MAIN!E449)-1, LEN(MAIN!E449))), " ", ""), lookup_values!$D$2:$E$197, 2, FALSE)))))</f>
        <v>--</v>
      </c>
      <c r="F449" t="str">
        <f>IF(ISBLANK(MAIN!F449), "", IF(AND(ISNUMBER(VALUE(TRIM(MAIN!F449))), LEN(TRIM(MAIN!F449))=4), VALUE(TRIM(MAIN!F449)), ""))</f>
        <v/>
      </c>
      <c r="G449">
        <f>IF(ISBLANK(MAIN!G449), 0, IF(ISNUMBER(VALUE(TRIM(MAIN!G449))), VALUE(TRIM(MAIN!G449)), 0))</f>
        <v>0</v>
      </c>
      <c r="H449">
        <f>IF(ISBLANK(MAIN!H449), 0, IF(ISNUMBER(VALUE(TRIM(MAIN!H449))), VALUE(TRIM(MAIN!H449)), 0))</f>
        <v>0</v>
      </c>
      <c r="I449">
        <f>IF(ISBLANK(MAIN!I449), 0, IF(ISNUMBER(VALUE(TRIM(MAIN!I449))), VALUE(TRIM(MAIN!I449)), 0))</f>
        <v>0</v>
      </c>
      <c r="J449">
        <f>IF(ISBLANK(MAIN!J449), 0, IF(ISNUMBER(VALUE(TRIM(MAIN!J449))), VALUE(TRIM(MAIN!J449)), 0))</f>
        <v>0</v>
      </c>
      <c r="K449" cm="1">
        <f t="array" ref="K449">IFERROR(
    VALUE(
        IFERROR(
            UPPER(
                IF(MAX(IFERROR(SEARCH("WD",MAIN!G449:J449), 0))&gt;0, "WD",
                IF(MAX(IFERROR(SEARCH("NS",MAIN!G449:J449), 0))&gt;0, "NS",
                IF(MAX(IFERROR(SEARCH("NC",MAIN!G449:J449), 0))&gt;0, "NC",
                IF(MAX(IFERROR(SEARCH("DQ",MAIN!G449:J449), 0))&gt;0, "DQ",
                IF(ISNUMBER(SEARCH("WD",MAIN!K449)), "WD",
                IF(ISNUMBER(SEARCH("NS",MAIN!K449)), "NS",
                IF(ISNUMBER(SEARCH("NC",MAIN!K449)), "NC",
                IF(ISNUMBER(SEARCH("DQ",MAIN!K449)), "DQ",
                IF(ISNUMBER(SEARCH("A",MAIN!K449)), 0,
                IF(OR(MAIN!K449=0,MAIN!K449=""), 0, --TRIM(MAIN!K449)))))))))))),
            0
        )
    ),
    IFERROR(
        UPPER(
            IF(MAX(IFERROR(SEARCH("WD",MAIN!G449:J449), 0))&gt;0, "WD",
            IF(MAX(IFERROR(SEARCH("NS",MAIN!G449:J449), 0))&gt;0, "NS",
            IF(MAX(IFERROR(SEARCH("NC",MAIN!G449:J449), 0))&gt;0, "NC",
            IF(MAX(IFERROR(SEARCH("DQ",MAIN!G449:J449), 0))&gt;0, "DQ",
            IF(ISNUMBER(SEARCH("WD",MAIN!K449)), "WD",
            IF(ISNUMBER(SEARCH("NS",MAIN!K449)), "NS",
            IF(ISNUMBER(SEARCH("NC",MAIN!K449)), "NC",
            IF(ISNUMBER(SEARCH("DQ",MAIN!K449)), "DQ",
            IF(ISNUMBER(SEARCH("A",MAIN!K449)), 0,
            IF(OR(MAIN!K449=0,MAIN!K449=""), 0, --TRIM(MAIN!K449)))))))))))),
        0
    )
)</f>
        <v>0</v>
      </c>
    </row>
    <row r="450" spans="1:11" x14ac:dyDescent="0.25">
      <c r="A450" t="str">
        <f>IF(ISBLANK(MAIN!A450), "--", IFERROR(PROPER(SUBSTITUTE(SUBSTITUTE(SUBSTITUTE(SUBSTITUTE(SUBSTITUTE(SUBSTITUTE(SUBSTITUTE(SUBSTITUTE(SUBSTITUTE(SUBSTITUTE(LEFT(MAIN!A450, FIND(",",MAIN!A450) -1), "0", ""), "1", ""), "2", ""), "3", ""), "4", ""), "5", ""), "6", ""), "7", ""), "8", ""), "9", "")), PROPER(SUBSTITUTE(SUBSTITUTE(SUBSTITUTE(SUBSTITUTE(SUBSTITUTE(SUBSTITUTE(SUBSTITUTE(SUBSTITUTE(SUBSTITUTE(SUBSTITUTE(MAIN!A450, "0", ""), "1", ""), "2", ""), "3", ""), "4", ""), "5", ""), "6", ""), "7", ""), "8", ""), "9", ""))))</f>
        <v>--</v>
      </c>
      <c r="B450" t="str">
        <f>IF(ISBLANK(MAIN!B450), "--", IFERROR(PROPER(SUBSTITUTE(SUBSTITUTE(SUBSTITUTE(SUBSTITUTE(SUBSTITUTE(SUBSTITUTE(SUBSTITUTE(SUBSTITUTE(SUBSTITUTE(SUBSTITUTE(LEFT(MAIN!B450, FIND(",",MAIN!B450) -1), "0", ""), "1", ""), "2", ""), "3", ""), "4", ""), "5", ""), "6", ""), "7", ""), "8", ""), "9", "")), PROPER(SUBSTITUTE(SUBSTITUTE(SUBSTITUTE(SUBSTITUTE(SUBSTITUTE(SUBSTITUTE(SUBSTITUTE(SUBSTITUTE(SUBSTITUTE(SUBSTITUTE(MAIN!B450, "0", ""), "1", ""), "2", ""), "3", ""), "4", ""), "5", ""), "6", ""), "7", ""), "8", ""), "9", ""))))</f>
        <v>--</v>
      </c>
      <c r="C450" t="str">
        <f>IF(ISBLANK(MAIN!C450), "--", IFERROR(PROPER(SUBSTITUTE(SUBSTITUTE(SUBSTITUTE(SUBSTITUTE(SUBSTITUTE(SUBSTITUTE(SUBSTITUTE(SUBSTITUTE(SUBSTITUTE(SUBSTITUTE(LEFT(MAIN!C450, FIND(",",MAIN!C450) -1), "0", ""), "1", ""), "2", ""), "3", ""), "4", ""), "5", ""), "6", ""), "7", ""), "8", ""), "9", "")), PROPER(SUBSTITUTE(SUBSTITUTE(SUBSTITUTE(SUBSTITUTE(SUBSTITUTE(SUBSTITUTE(SUBSTITUTE(SUBSTITUTE(SUBSTITUTE(SUBSTITUTE(MAIN!C450, "0", ""), "1", ""), "2", ""), "3", ""), "4", ""), "5", ""), "6", ""), "7", ""), "8", ""), "9", ""))))</f>
        <v>--</v>
      </c>
      <c r="D450" t="str">
        <f>IF(ISBLANK(MAIN!D450), "--", IF(ISNUMBER(MATCH(SUBSTITUTE(LEFT(MAIN!D450, IFERROR(FIND(",", MAIN!D450)-1, LEN(MAIN!D450))), " ", ""), lookup_values!$B$2:$B$51, 0)), UPPER(SUBSTITUTE(LEFT(MAIN!D450, IFERROR(FIND(",", MAIN!D450)-1, LEN(MAIN!D450))), " ", "")), IF(ISNA(VLOOKUP(SUBSTITUTE(LEFT(MAIN!D450, IFERROR(FIND(",", MAIN!D450)-1, LEN(MAIN!D450))), " ", ""), lookup_values!$A$2:$B$51, 2, FALSE)), "--", VLOOKUP(SUBSTITUTE(LEFT(MAIN!D450, IFERROR(FIND(",", MAIN!D450)-1, LEN(MAIN!D450))), " ", ""), lookup_values!$A$2:$B$51, 2, FALSE))))</f>
        <v>--</v>
      </c>
      <c r="E450" t="str">
        <f>IF(CLEAN_DATA!D450&lt;&gt;"--","US",IF(ISBLANK(MAIN!E450), "--", IF(ISNUMBER(MATCH(SUBSTITUTE(LEFT(MAIN!E450, IFERROR(FIND(",", MAIN!E450)-1, LEN(MAIN!E450))), " ", ""), lookup_values!$E$2:$E$197, 0)), UPPER(SUBSTITUTE(LEFT(MAIN!E450, IFERROR(FIND(",", MAIN!E450)-1, LEN(MAIN!E450))), " ", "")), IF(ISNA(VLOOKUP(SUBSTITUTE(LEFT(MAIN!E450, IFERROR(FIND(",", MAIN!E450)-1, LEN(MAIN!E450))), " ", ""), lookup_values!$D$2:$E$197, 2, FALSE)), "--", VLOOKUP(SUBSTITUTE(LEFT(MAIN!E450, IFERROR(FIND(",", MAIN!E450)-1, LEN(MAIN!E450))), " ", ""), lookup_values!$D$2:$E$197, 2, FALSE)))))</f>
        <v>--</v>
      </c>
      <c r="F450" t="str">
        <f>IF(ISBLANK(MAIN!F450), "", IF(AND(ISNUMBER(VALUE(TRIM(MAIN!F450))), LEN(TRIM(MAIN!F450))=4), VALUE(TRIM(MAIN!F450)), ""))</f>
        <v/>
      </c>
      <c r="G450">
        <f>IF(ISBLANK(MAIN!G450), 0, IF(ISNUMBER(VALUE(TRIM(MAIN!G450))), VALUE(TRIM(MAIN!G450)), 0))</f>
        <v>0</v>
      </c>
      <c r="H450">
        <f>IF(ISBLANK(MAIN!H450), 0, IF(ISNUMBER(VALUE(TRIM(MAIN!H450))), VALUE(TRIM(MAIN!H450)), 0))</f>
        <v>0</v>
      </c>
      <c r="I450">
        <f>IF(ISBLANK(MAIN!I450), 0, IF(ISNUMBER(VALUE(TRIM(MAIN!I450))), VALUE(TRIM(MAIN!I450)), 0))</f>
        <v>0</v>
      </c>
      <c r="J450">
        <f>IF(ISBLANK(MAIN!J450), 0, IF(ISNUMBER(VALUE(TRIM(MAIN!J450))), VALUE(TRIM(MAIN!J450)), 0))</f>
        <v>0</v>
      </c>
      <c r="K450" cm="1">
        <f t="array" ref="K450">IFERROR(
    VALUE(
        IFERROR(
            UPPER(
                IF(MAX(IFERROR(SEARCH("WD",MAIN!G450:J450), 0))&gt;0, "WD",
                IF(MAX(IFERROR(SEARCH("NS",MAIN!G450:J450), 0))&gt;0, "NS",
                IF(MAX(IFERROR(SEARCH("NC",MAIN!G450:J450), 0))&gt;0, "NC",
                IF(MAX(IFERROR(SEARCH("DQ",MAIN!G450:J450), 0))&gt;0, "DQ",
                IF(ISNUMBER(SEARCH("WD",MAIN!K450)), "WD",
                IF(ISNUMBER(SEARCH("NS",MAIN!K450)), "NS",
                IF(ISNUMBER(SEARCH("NC",MAIN!K450)), "NC",
                IF(ISNUMBER(SEARCH("DQ",MAIN!K450)), "DQ",
                IF(ISNUMBER(SEARCH("A",MAIN!K450)), 0,
                IF(OR(MAIN!K450=0,MAIN!K450=""), 0, --TRIM(MAIN!K450)))))))))))),
            0
        )
    ),
    IFERROR(
        UPPER(
            IF(MAX(IFERROR(SEARCH("WD",MAIN!G450:J450), 0))&gt;0, "WD",
            IF(MAX(IFERROR(SEARCH("NS",MAIN!G450:J450), 0))&gt;0, "NS",
            IF(MAX(IFERROR(SEARCH("NC",MAIN!G450:J450), 0))&gt;0, "NC",
            IF(MAX(IFERROR(SEARCH("DQ",MAIN!G450:J450), 0))&gt;0, "DQ",
            IF(ISNUMBER(SEARCH("WD",MAIN!K450)), "WD",
            IF(ISNUMBER(SEARCH("NS",MAIN!K450)), "NS",
            IF(ISNUMBER(SEARCH("NC",MAIN!K450)), "NC",
            IF(ISNUMBER(SEARCH("DQ",MAIN!K450)), "DQ",
            IF(ISNUMBER(SEARCH("A",MAIN!K450)), 0,
            IF(OR(MAIN!K450=0,MAIN!K450=""), 0, --TRIM(MAIN!K450)))))))))))),
        0
    )
)</f>
        <v>0</v>
      </c>
    </row>
    <row r="451" spans="1:11" x14ac:dyDescent="0.25">
      <c r="A451" t="str">
        <f>IF(ISBLANK(MAIN!A451), "--", IFERROR(PROPER(SUBSTITUTE(SUBSTITUTE(SUBSTITUTE(SUBSTITUTE(SUBSTITUTE(SUBSTITUTE(SUBSTITUTE(SUBSTITUTE(SUBSTITUTE(SUBSTITUTE(LEFT(MAIN!A451, FIND(",",MAIN!A451) -1), "0", ""), "1", ""), "2", ""), "3", ""), "4", ""), "5", ""), "6", ""), "7", ""), "8", ""), "9", "")), PROPER(SUBSTITUTE(SUBSTITUTE(SUBSTITUTE(SUBSTITUTE(SUBSTITUTE(SUBSTITUTE(SUBSTITUTE(SUBSTITUTE(SUBSTITUTE(SUBSTITUTE(MAIN!A451, "0", ""), "1", ""), "2", ""), "3", ""), "4", ""), "5", ""), "6", ""), "7", ""), "8", ""), "9", ""))))</f>
        <v>--</v>
      </c>
      <c r="B451" t="str">
        <f>IF(ISBLANK(MAIN!B451), "--", IFERROR(PROPER(SUBSTITUTE(SUBSTITUTE(SUBSTITUTE(SUBSTITUTE(SUBSTITUTE(SUBSTITUTE(SUBSTITUTE(SUBSTITUTE(SUBSTITUTE(SUBSTITUTE(LEFT(MAIN!B451, FIND(",",MAIN!B451) -1), "0", ""), "1", ""), "2", ""), "3", ""), "4", ""), "5", ""), "6", ""), "7", ""), "8", ""), "9", "")), PROPER(SUBSTITUTE(SUBSTITUTE(SUBSTITUTE(SUBSTITUTE(SUBSTITUTE(SUBSTITUTE(SUBSTITUTE(SUBSTITUTE(SUBSTITUTE(SUBSTITUTE(MAIN!B451, "0", ""), "1", ""), "2", ""), "3", ""), "4", ""), "5", ""), "6", ""), "7", ""), "8", ""), "9", ""))))</f>
        <v>--</v>
      </c>
      <c r="C451" t="str">
        <f>IF(ISBLANK(MAIN!C451), "--", IFERROR(PROPER(SUBSTITUTE(SUBSTITUTE(SUBSTITUTE(SUBSTITUTE(SUBSTITUTE(SUBSTITUTE(SUBSTITUTE(SUBSTITUTE(SUBSTITUTE(SUBSTITUTE(LEFT(MAIN!C451, FIND(",",MAIN!C451) -1), "0", ""), "1", ""), "2", ""), "3", ""), "4", ""), "5", ""), "6", ""), "7", ""), "8", ""), "9", "")), PROPER(SUBSTITUTE(SUBSTITUTE(SUBSTITUTE(SUBSTITUTE(SUBSTITUTE(SUBSTITUTE(SUBSTITUTE(SUBSTITUTE(SUBSTITUTE(SUBSTITUTE(MAIN!C451, "0", ""), "1", ""), "2", ""), "3", ""), "4", ""), "5", ""), "6", ""), "7", ""), "8", ""), "9", ""))))</f>
        <v>--</v>
      </c>
      <c r="D451" t="str">
        <f>IF(ISBLANK(MAIN!D451), "--", IF(ISNUMBER(MATCH(SUBSTITUTE(LEFT(MAIN!D451, IFERROR(FIND(",", MAIN!D451)-1, LEN(MAIN!D451))), " ", ""), lookup_values!$B$2:$B$51, 0)), UPPER(SUBSTITUTE(LEFT(MAIN!D451, IFERROR(FIND(",", MAIN!D451)-1, LEN(MAIN!D451))), " ", "")), IF(ISNA(VLOOKUP(SUBSTITUTE(LEFT(MAIN!D451, IFERROR(FIND(",", MAIN!D451)-1, LEN(MAIN!D451))), " ", ""), lookup_values!$A$2:$B$51, 2, FALSE)), "--", VLOOKUP(SUBSTITUTE(LEFT(MAIN!D451, IFERROR(FIND(",", MAIN!D451)-1, LEN(MAIN!D451))), " ", ""), lookup_values!$A$2:$B$51, 2, FALSE))))</f>
        <v>--</v>
      </c>
      <c r="E451" t="str">
        <f>IF(CLEAN_DATA!D451&lt;&gt;"--","US",IF(ISBLANK(MAIN!E451), "--", IF(ISNUMBER(MATCH(SUBSTITUTE(LEFT(MAIN!E451, IFERROR(FIND(",", MAIN!E451)-1, LEN(MAIN!E451))), " ", ""), lookup_values!$E$2:$E$197, 0)), UPPER(SUBSTITUTE(LEFT(MAIN!E451, IFERROR(FIND(",", MAIN!E451)-1, LEN(MAIN!E451))), " ", "")), IF(ISNA(VLOOKUP(SUBSTITUTE(LEFT(MAIN!E451, IFERROR(FIND(",", MAIN!E451)-1, LEN(MAIN!E451))), " ", ""), lookup_values!$D$2:$E$197, 2, FALSE)), "--", VLOOKUP(SUBSTITUTE(LEFT(MAIN!E451, IFERROR(FIND(",", MAIN!E451)-1, LEN(MAIN!E451))), " ", ""), lookup_values!$D$2:$E$197, 2, FALSE)))))</f>
        <v>--</v>
      </c>
      <c r="F451" t="str">
        <f>IF(ISBLANK(MAIN!F451), "", IF(AND(ISNUMBER(VALUE(TRIM(MAIN!F451))), LEN(TRIM(MAIN!F451))=4), VALUE(TRIM(MAIN!F451)), ""))</f>
        <v/>
      </c>
      <c r="G451">
        <f>IF(ISBLANK(MAIN!G451), 0, IF(ISNUMBER(VALUE(TRIM(MAIN!G451))), VALUE(TRIM(MAIN!G451)), 0))</f>
        <v>0</v>
      </c>
      <c r="H451">
        <f>IF(ISBLANK(MAIN!H451), 0, IF(ISNUMBER(VALUE(TRIM(MAIN!H451))), VALUE(TRIM(MAIN!H451)), 0))</f>
        <v>0</v>
      </c>
      <c r="I451">
        <f>IF(ISBLANK(MAIN!I451), 0, IF(ISNUMBER(VALUE(TRIM(MAIN!I451))), VALUE(TRIM(MAIN!I451)), 0))</f>
        <v>0</v>
      </c>
      <c r="J451">
        <f>IF(ISBLANK(MAIN!J451), 0, IF(ISNUMBER(VALUE(TRIM(MAIN!J451))), VALUE(TRIM(MAIN!J451)), 0))</f>
        <v>0</v>
      </c>
      <c r="K451" cm="1">
        <f t="array" ref="K451">IFERROR(
    VALUE(
        IFERROR(
            UPPER(
                IF(MAX(IFERROR(SEARCH("WD",MAIN!G451:J451), 0))&gt;0, "WD",
                IF(MAX(IFERROR(SEARCH("NS",MAIN!G451:J451), 0))&gt;0, "NS",
                IF(MAX(IFERROR(SEARCH("NC",MAIN!G451:J451), 0))&gt;0, "NC",
                IF(MAX(IFERROR(SEARCH("DQ",MAIN!G451:J451), 0))&gt;0, "DQ",
                IF(ISNUMBER(SEARCH("WD",MAIN!K451)), "WD",
                IF(ISNUMBER(SEARCH("NS",MAIN!K451)), "NS",
                IF(ISNUMBER(SEARCH("NC",MAIN!K451)), "NC",
                IF(ISNUMBER(SEARCH("DQ",MAIN!K451)), "DQ",
                IF(ISNUMBER(SEARCH("A",MAIN!K451)), 0,
                IF(OR(MAIN!K451=0,MAIN!K451=""), 0, --TRIM(MAIN!K451)))))))))))),
            0
        )
    ),
    IFERROR(
        UPPER(
            IF(MAX(IFERROR(SEARCH("WD",MAIN!G451:J451), 0))&gt;0, "WD",
            IF(MAX(IFERROR(SEARCH("NS",MAIN!G451:J451), 0))&gt;0, "NS",
            IF(MAX(IFERROR(SEARCH("NC",MAIN!G451:J451), 0))&gt;0, "NC",
            IF(MAX(IFERROR(SEARCH("DQ",MAIN!G451:J451), 0))&gt;0, "DQ",
            IF(ISNUMBER(SEARCH("WD",MAIN!K451)), "WD",
            IF(ISNUMBER(SEARCH("NS",MAIN!K451)), "NS",
            IF(ISNUMBER(SEARCH("NC",MAIN!K451)), "NC",
            IF(ISNUMBER(SEARCH("DQ",MAIN!K451)), "DQ",
            IF(ISNUMBER(SEARCH("A",MAIN!K451)), 0,
            IF(OR(MAIN!K451=0,MAIN!K451=""), 0, --TRIM(MAIN!K451)))))))))))),
        0
    )
)</f>
        <v>0</v>
      </c>
    </row>
    <row r="452" spans="1:11" x14ac:dyDescent="0.25">
      <c r="A452" t="str">
        <f>IF(ISBLANK(MAIN!A452), "--", IFERROR(PROPER(SUBSTITUTE(SUBSTITUTE(SUBSTITUTE(SUBSTITUTE(SUBSTITUTE(SUBSTITUTE(SUBSTITUTE(SUBSTITUTE(SUBSTITUTE(SUBSTITUTE(LEFT(MAIN!A452, FIND(",",MAIN!A452) -1), "0", ""), "1", ""), "2", ""), "3", ""), "4", ""), "5", ""), "6", ""), "7", ""), "8", ""), "9", "")), PROPER(SUBSTITUTE(SUBSTITUTE(SUBSTITUTE(SUBSTITUTE(SUBSTITUTE(SUBSTITUTE(SUBSTITUTE(SUBSTITUTE(SUBSTITUTE(SUBSTITUTE(MAIN!A452, "0", ""), "1", ""), "2", ""), "3", ""), "4", ""), "5", ""), "6", ""), "7", ""), "8", ""), "9", ""))))</f>
        <v>--</v>
      </c>
      <c r="B452" t="str">
        <f>IF(ISBLANK(MAIN!B452), "--", IFERROR(PROPER(SUBSTITUTE(SUBSTITUTE(SUBSTITUTE(SUBSTITUTE(SUBSTITUTE(SUBSTITUTE(SUBSTITUTE(SUBSTITUTE(SUBSTITUTE(SUBSTITUTE(LEFT(MAIN!B452, FIND(",",MAIN!B452) -1), "0", ""), "1", ""), "2", ""), "3", ""), "4", ""), "5", ""), "6", ""), "7", ""), "8", ""), "9", "")), PROPER(SUBSTITUTE(SUBSTITUTE(SUBSTITUTE(SUBSTITUTE(SUBSTITUTE(SUBSTITUTE(SUBSTITUTE(SUBSTITUTE(SUBSTITUTE(SUBSTITUTE(MAIN!B452, "0", ""), "1", ""), "2", ""), "3", ""), "4", ""), "5", ""), "6", ""), "7", ""), "8", ""), "9", ""))))</f>
        <v>--</v>
      </c>
      <c r="C452" t="str">
        <f>IF(ISBLANK(MAIN!C452), "--", IFERROR(PROPER(SUBSTITUTE(SUBSTITUTE(SUBSTITUTE(SUBSTITUTE(SUBSTITUTE(SUBSTITUTE(SUBSTITUTE(SUBSTITUTE(SUBSTITUTE(SUBSTITUTE(LEFT(MAIN!C452, FIND(",",MAIN!C452) -1), "0", ""), "1", ""), "2", ""), "3", ""), "4", ""), "5", ""), "6", ""), "7", ""), "8", ""), "9", "")), PROPER(SUBSTITUTE(SUBSTITUTE(SUBSTITUTE(SUBSTITUTE(SUBSTITUTE(SUBSTITUTE(SUBSTITUTE(SUBSTITUTE(SUBSTITUTE(SUBSTITUTE(MAIN!C452, "0", ""), "1", ""), "2", ""), "3", ""), "4", ""), "5", ""), "6", ""), "7", ""), "8", ""), "9", ""))))</f>
        <v>--</v>
      </c>
      <c r="D452" t="str">
        <f>IF(ISBLANK(MAIN!D452), "--", IF(ISNUMBER(MATCH(SUBSTITUTE(LEFT(MAIN!D452, IFERROR(FIND(",", MAIN!D452)-1, LEN(MAIN!D452))), " ", ""), lookup_values!$B$2:$B$51, 0)), UPPER(SUBSTITUTE(LEFT(MAIN!D452, IFERROR(FIND(",", MAIN!D452)-1, LEN(MAIN!D452))), " ", "")), IF(ISNA(VLOOKUP(SUBSTITUTE(LEFT(MAIN!D452, IFERROR(FIND(",", MAIN!D452)-1, LEN(MAIN!D452))), " ", ""), lookup_values!$A$2:$B$51, 2, FALSE)), "--", VLOOKUP(SUBSTITUTE(LEFT(MAIN!D452, IFERROR(FIND(",", MAIN!D452)-1, LEN(MAIN!D452))), " ", ""), lookup_values!$A$2:$B$51, 2, FALSE))))</f>
        <v>--</v>
      </c>
      <c r="E452" t="str">
        <f>IF(CLEAN_DATA!D452&lt;&gt;"--","US",IF(ISBLANK(MAIN!E452), "--", IF(ISNUMBER(MATCH(SUBSTITUTE(LEFT(MAIN!E452, IFERROR(FIND(",", MAIN!E452)-1, LEN(MAIN!E452))), " ", ""), lookup_values!$E$2:$E$197, 0)), UPPER(SUBSTITUTE(LEFT(MAIN!E452, IFERROR(FIND(",", MAIN!E452)-1, LEN(MAIN!E452))), " ", "")), IF(ISNA(VLOOKUP(SUBSTITUTE(LEFT(MAIN!E452, IFERROR(FIND(",", MAIN!E452)-1, LEN(MAIN!E452))), " ", ""), lookup_values!$D$2:$E$197, 2, FALSE)), "--", VLOOKUP(SUBSTITUTE(LEFT(MAIN!E452, IFERROR(FIND(",", MAIN!E452)-1, LEN(MAIN!E452))), " ", ""), lookup_values!$D$2:$E$197, 2, FALSE)))))</f>
        <v>--</v>
      </c>
      <c r="F452" t="str">
        <f>IF(ISBLANK(MAIN!F452), "", IF(AND(ISNUMBER(VALUE(TRIM(MAIN!F452))), LEN(TRIM(MAIN!F452))=4), VALUE(TRIM(MAIN!F452)), ""))</f>
        <v/>
      </c>
      <c r="G452">
        <f>IF(ISBLANK(MAIN!G452), 0, IF(ISNUMBER(VALUE(TRIM(MAIN!G452))), VALUE(TRIM(MAIN!G452)), 0))</f>
        <v>0</v>
      </c>
      <c r="H452">
        <f>IF(ISBLANK(MAIN!H452), 0, IF(ISNUMBER(VALUE(TRIM(MAIN!H452))), VALUE(TRIM(MAIN!H452)), 0))</f>
        <v>0</v>
      </c>
      <c r="I452">
        <f>IF(ISBLANK(MAIN!I452), 0, IF(ISNUMBER(VALUE(TRIM(MAIN!I452))), VALUE(TRIM(MAIN!I452)), 0))</f>
        <v>0</v>
      </c>
      <c r="J452">
        <f>IF(ISBLANK(MAIN!J452), 0, IF(ISNUMBER(VALUE(TRIM(MAIN!J452))), VALUE(TRIM(MAIN!J452)), 0))</f>
        <v>0</v>
      </c>
      <c r="K452" cm="1">
        <f t="array" ref="K452">IFERROR(
    VALUE(
        IFERROR(
            UPPER(
                IF(MAX(IFERROR(SEARCH("WD",MAIN!G452:J452), 0))&gt;0, "WD",
                IF(MAX(IFERROR(SEARCH("NS",MAIN!G452:J452), 0))&gt;0, "NS",
                IF(MAX(IFERROR(SEARCH("NC",MAIN!G452:J452), 0))&gt;0, "NC",
                IF(MAX(IFERROR(SEARCH("DQ",MAIN!G452:J452), 0))&gt;0, "DQ",
                IF(ISNUMBER(SEARCH("WD",MAIN!K452)), "WD",
                IF(ISNUMBER(SEARCH("NS",MAIN!K452)), "NS",
                IF(ISNUMBER(SEARCH("NC",MAIN!K452)), "NC",
                IF(ISNUMBER(SEARCH("DQ",MAIN!K452)), "DQ",
                IF(ISNUMBER(SEARCH("A",MAIN!K452)), 0,
                IF(OR(MAIN!K452=0,MAIN!K452=""), 0, --TRIM(MAIN!K452)))))))))))),
            0
        )
    ),
    IFERROR(
        UPPER(
            IF(MAX(IFERROR(SEARCH("WD",MAIN!G452:J452), 0))&gt;0, "WD",
            IF(MAX(IFERROR(SEARCH("NS",MAIN!G452:J452), 0))&gt;0, "NS",
            IF(MAX(IFERROR(SEARCH("NC",MAIN!G452:J452), 0))&gt;0, "NC",
            IF(MAX(IFERROR(SEARCH("DQ",MAIN!G452:J452), 0))&gt;0, "DQ",
            IF(ISNUMBER(SEARCH("WD",MAIN!K452)), "WD",
            IF(ISNUMBER(SEARCH("NS",MAIN!K452)), "NS",
            IF(ISNUMBER(SEARCH("NC",MAIN!K452)), "NC",
            IF(ISNUMBER(SEARCH("DQ",MAIN!K452)), "DQ",
            IF(ISNUMBER(SEARCH("A",MAIN!K452)), 0,
            IF(OR(MAIN!K452=0,MAIN!K452=""), 0, --TRIM(MAIN!K452)))))))))))),
        0
    )
)</f>
        <v>0</v>
      </c>
    </row>
    <row r="453" spans="1:11" x14ac:dyDescent="0.25">
      <c r="A453" t="str">
        <f>IF(ISBLANK(MAIN!A453), "--", IFERROR(PROPER(SUBSTITUTE(SUBSTITUTE(SUBSTITUTE(SUBSTITUTE(SUBSTITUTE(SUBSTITUTE(SUBSTITUTE(SUBSTITUTE(SUBSTITUTE(SUBSTITUTE(LEFT(MAIN!A453, FIND(",",MAIN!A453) -1), "0", ""), "1", ""), "2", ""), "3", ""), "4", ""), "5", ""), "6", ""), "7", ""), "8", ""), "9", "")), PROPER(SUBSTITUTE(SUBSTITUTE(SUBSTITUTE(SUBSTITUTE(SUBSTITUTE(SUBSTITUTE(SUBSTITUTE(SUBSTITUTE(SUBSTITUTE(SUBSTITUTE(MAIN!A453, "0", ""), "1", ""), "2", ""), "3", ""), "4", ""), "5", ""), "6", ""), "7", ""), "8", ""), "9", ""))))</f>
        <v>--</v>
      </c>
      <c r="B453" t="str">
        <f>IF(ISBLANK(MAIN!B453), "--", IFERROR(PROPER(SUBSTITUTE(SUBSTITUTE(SUBSTITUTE(SUBSTITUTE(SUBSTITUTE(SUBSTITUTE(SUBSTITUTE(SUBSTITUTE(SUBSTITUTE(SUBSTITUTE(LEFT(MAIN!B453, FIND(",",MAIN!B453) -1), "0", ""), "1", ""), "2", ""), "3", ""), "4", ""), "5", ""), "6", ""), "7", ""), "8", ""), "9", "")), PROPER(SUBSTITUTE(SUBSTITUTE(SUBSTITUTE(SUBSTITUTE(SUBSTITUTE(SUBSTITUTE(SUBSTITUTE(SUBSTITUTE(SUBSTITUTE(SUBSTITUTE(MAIN!B453, "0", ""), "1", ""), "2", ""), "3", ""), "4", ""), "5", ""), "6", ""), "7", ""), "8", ""), "9", ""))))</f>
        <v>--</v>
      </c>
      <c r="C453" t="str">
        <f>IF(ISBLANK(MAIN!C453), "--", IFERROR(PROPER(SUBSTITUTE(SUBSTITUTE(SUBSTITUTE(SUBSTITUTE(SUBSTITUTE(SUBSTITUTE(SUBSTITUTE(SUBSTITUTE(SUBSTITUTE(SUBSTITUTE(LEFT(MAIN!C453, FIND(",",MAIN!C453) -1), "0", ""), "1", ""), "2", ""), "3", ""), "4", ""), "5", ""), "6", ""), "7", ""), "8", ""), "9", "")), PROPER(SUBSTITUTE(SUBSTITUTE(SUBSTITUTE(SUBSTITUTE(SUBSTITUTE(SUBSTITUTE(SUBSTITUTE(SUBSTITUTE(SUBSTITUTE(SUBSTITUTE(MAIN!C453, "0", ""), "1", ""), "2", ""), "3", ""), "4", ""), "5", ""), "6", ""), "7", ""), "8", ""), "9", ""))))</f>
        <v>--</v>
      </c>
      <c r="D453" t="str">
        <f>IF(ISBLANK(MAIN!D453), "--", IF(ISNUMBER(MATCH(SUBSTITUTE(LEFT(MAIN!D453, IFERROR(FIND(",", MAIN!D453)-1, LEN(MAIN!D453))), " ", ""), lookup_values!$B$2:$B$51, 0)), UPPER(SUBSTITUTE(LEFT(MAIN!D453, IFERROR(FIND(",", MAIN!D453)-1, LEN(MAIN!D453))), " ", "")), IF(ISNA(VLOOKUP(SUBSTITUTE(LEFT(MAIN!D453, IFERROR(FIND(",", MAIN!D453)-1, LEN(MAIN!D453))), " ", ""), lookup_values!$A$2:$B$51, 2, FALSE)), "--", VLOOKUP(SUBSTITUTE(LEFT(MAIN!D453, IFERROR(FIND(",", MAIN!D453)-1, LEN(MAIN!D453))), " ", ""), lookup_values!$A$2:$B$51, 2, FALSE))))</f>
        <v>--</v>
      </c>
      <c r="E453" t="str">
        <f>IF(CLEAN_DATA!D453&lt;&gt;"--","US",IF(ISBLANK(MAIN!E453), "--", IF(ISNUMBER(MATCH(SUBSTITUTE(LEFT(MAIN!E453, IFERROR(FIND(",", MAIN!E453)-1, LEN(MAIN!E453))), " ", ""), lookup_values!$E$2:$E$197, 0)), UPPER(SUBSTITUTE(LEFT(MAIN!E453, IFERROR(FIND(",", MAIN!E453)-1, LEN(MAIN!E453))), " ", "")), IF(ISNA(VLOOKUP(SUBSTITUTE(LEFT(MAIN!E453, IFERROR(FIND(",", MAIN!E453)-1, LEN(MAIN!E453))), " ", ""), lookup_values!$D$2:$E$197, 2, FALSE)), "--", VLOOKUP(SUBSTITUTE(LEFT(MAIN!E453, IFERROR(FIND(",", MAIN!E453)-1, LEN(MAIN!E453))), " ", ""), lookup_values!$D$2:$E$197, 2, FALSE)))))</f>
        <v>--</v>
      </c>
      <c r="F453" t="str">
        <f>IF(ISBLANK(MAIN!F453), "", IF(AND(ISNUMBER(VALUE(TRIM(MAIN!F453))), LEN(TRIM(MAIN!F453))=4), VALUE(TRIM(MAIN!F453)), ""))</f>
        <v/>
      </c>
      <c r="G453">
        <f>IF(ISBLANK(MAIN!G453), 0, IF(ISNUMBER(VALUE(TRIM(MAIN!G453))), VALUE(TRIM(MAIN!G453)), 0))</f>
        <v>0</v>
      </c>
      <c r="H453">
        <f>IF(ISBLANK(MAIN!H453), 0, IF(ISNUMBER(VALUE(TRIM(MAIN!H453))), VALUE(TRIM(MAIN!H453)), 0))</f>
        <v>0</v>
      </c>
      <c r="I453">
        <f>IF(ISBLANK(MAIN!I453), 0, IF(ISNUMBER(VALUE(TRIM(MAIN!I453))), VALUE(TRIM(MAIN!I453)), 0))</f>
        <v>0</v>
      </c>
      <c r="J453">
        <f>IF(ISBLANK(MAIN!J453), 0, IF(ISNUMBER(VALUE(TRIM(MAIN!J453))), VALUE(TRIM(MAIN!J453)), 0))</f>
        <v>0</v>
      </c>
      <c r="K453" cm="1">
        <f t="array" ref="K453">IFERROR(
    VALUE(
        IFERROR(
            UPPER(
                IF(MAX(IFERROR(SEARCH("WD",MAIN!G453:J453), 0))&gt;0, "WD",
                IF(MAX(IFERROR(SEARCH("NS",MAIN!G453:J453), 0))&gt;0, "NS",
                IF(MAX(IFERROR(SEARCH("NC",MAIN!G453:J453), 0))&gt;0, "NC",
                IF(MAX(IFERROR(SEARCH("DQ",MAIN!G453:J453), 0))&gt;0, "DQ",
                IF(ISNUMBER(SEARCH("WD",MAIN!K453)), "WD",
                IF(ISNUMBER(SEARCH("NS",MAIN!K453)), "NS",
                IF(ISNUMBER(SEARCH("NC",MAIN!K453)), "NC",
                IF(ISNUMBER(SEARCH("DQ",MAIN!K453)), "DQ",
                IF(ISNUMBER(SEARCH("A",MAIN!K453)), 0,
                IF(OR(MAIN!K453=0,MAIN!K453=""), 0, --TRIM(MAIN!K453)))))))))))),
            0
        )
    ),
    IFERROR(
        UPPER(
            IF(MAX(IFERROR(SEARCH("WD",MAIN!G453:J453), 0))&gt;0, "WD",
            IF(MAX(IFERROR(SEARCH("NS",MAIN!G453:J453), 0))&gt;0, "NS",
            IF(MAX(IFERROR(SEARCH("NC",MAIN!G453:J453), 0))&gt;0, "NC",
            IF(MAX(IFERROR(SEARCH("DQ",MAIN!G453:J453), 0))&gt;0, "DQ",
            IF(ISNUMBER(SEARCH("WD",MAIN!K453)), "WD",
            IF(ISNUMBER(SEARCH("NS",MAIN!K453)), "NS",
            IF(ISNUMBER(SEARCH("NC",MAIN!K453)), "NC",
            IF(ISNUMBER(SEARCH("DQ",MAIN!K453)), "DQ",
            IF(ISNUMBER(SEARCH("A",MAIN!K453)), 0,
            IF(OR(MAIN!K453=0,MAIN!K453=""), 0, --TRIM(MAIN!K453)))))))))))),
        0
    )
)</f>
        <v>0</v>
      </c>
    </row>
    <row r="454" spans="1:11" x14ac:dyDescent="0.25">
      <c r="A454" t="str">
        <f>IF(ISBLANK(MAIN!A454), "--", IFERROR(PROPER(SUBSTITUTE(SUBSTITUTE(SUBSTITUTE(SUBSTITUTE(SUBSTITUTE(SUBSTITUTE(SUBSTITUTE(SUBSTITUTE(SUBSTITUTE(SUBSTITUTE(LEFT(MAIN!A454, FIND(",",MAIN!A454) -1), "0", ""), "1", ""), "2", ""), "3", ""), "4", ""), "5", ""), "6", ""), "7", ""), "8", ""), "9", "")), PROPER(SUBSTITUTE(SUBSTITUTE(SUBSTITUTE(SUBSTITUTE(SUBSTITUTE(SUBSTITUTE(SUBSTITUTE(SUBSTITUTE(SUBSTITUTE(SUBSTITUTE(MAIN!A454, "0", ""), "1", ""), "2", ""), "3", ""), "4", ""), "5", ""), "6", ""), "7", ""), "8", ""), "9", ""))))</f>
        <v>--</v>
      </c>
      <c r="B454" t="str">
        <f>IF(ISBLANK(MAIN!B454), "--", IFERROR(PROPER(SUBSTITUTE(SUBSTITUTE(SUBSTITUTE(SUBSTITUTE(SUBSTITUTE(SUBSTITUTE(SUBSTITUTE(SUBSTITUTE(SUBSTITUTE(SUBSTITUTE(LEFT(MAIN!B454, FIND(",",MAIN!B454) -1), "0", ""), "1", ""), "2", ""), "3", ""), "4", ""), "5", ""), "6", ""), "7", ""), "8", ""), "9", "")), PROPER(SUBSTITUTE(SUBSTITUTE(SUBSTITUTE(SUBSTITUTE(SUBSTITUTE(SUBSTITUTE(SUBSTITUTE(SUBSTITUTE(SUBSTITUTE(SUBSTITUTE(MAIN!B454, "0", ""), "1", ""), "2", ""), "3", ""), "4", ""), "5", ""), "6", ""), "7", ""), "8", ""), "9", ""))))</f>
        <v>--</v>
      </c>
      <c r="C454" t="str">
        <f>IF(ISBLANK(MAIN!C454), "--", IFERROR(PROPER(SUBSTITUTE(SUBSTITUTE(SUBSTITUTE(SUBSTITUTE(SUBSTITUTE(SUBSTITUTE(SUBSTITUTE(SUBSTITUTE(SUBSTITUTE(SUBSTITUTE(LEFT(MAIN!C454, FIND(",",MAIN!C454) -1), "0", ""), "1", ""), "2", ""), "3", ""), "4", ""), "5", ""), "6", ""), "7", ""), "8", ""), "9", "")), PROPER(SUBSTITUTE(SUBSTITUTE(SUBSTITUTE(SUBSTITUTE(SUBSTITUTE(SUBSTITUTE(SUBSTITUTE(SUBSTITUTE(SUBSTITUTE(SUBSTITUTE(MAIN!C454, "0", ""), "1", ""), "2", ""), "3", ""), "4", ""), "5", ""), "6", ""), "7", ""), "8", ""), "9", ""))))</f>
        <v>--</v>
      </c>
      <c r="D454" t="str">
        <f>IF(ISBLANK(MAIN!D454), "--", IF(ISNUMBER(MATCH(SUBSTITUTE(LEFT(MAIN!D454, IFERROR(FIND(",", MAIN!D454)-1, LEN(MAIN!D454))), " ", ""), lookup_values!$B$2:$B$51, 0)), UPPER(SUBSTITUTE(LEFT(MAIN!D454, IFERROR(FIND(",", MAIN!D454)-1, LEN(MAIN!D454))), " ", "")), IF(ISNA(VLOOKUP(SUBSTITUTE(LEFT(MAIN!D454, IFERROR(FIND(",", MAIN!D454)-1, LEN(MAIN!D454))), " ", ""), lookup_values!$A$2:$B$51, 2, FALSE)), "--", VLOOKUP(SUBSTITUTE(LEFT(MAIN!D454, IFERROR(FIND(",", MAIN!D454)-1, LEN(MAIN!D454))), " ", ""), lookup_values!$A$2:$B$51, 2, FALSE))))</f>
        <v>--</v>
      </c>
      <c r="E454" t="str">
        <f>IF(CLEAN_DATA!D454&lt;&gt;"--","US",IF(ISBLANK(MAIN!E454), "--", IF(ISNUMBER(MATCH(SUBSTITUTE(LEFT(MAIN!E454, IFERROR(FIND(",", MAIN!E454)-1, LEN(MAIN!E454))), " ", ""), lookup_values!$E$2:$E$197, 0)), UPPER(SUBSTITUTE(LEFT(MAIN!E454, IFERROR(FIND(",", MAIN!E454)-1, LEN(MAIN!E454))), " ", "")), IF(ISNA(VLOOKUP(SUBSTITUTE(LEFT(MAIN!E454, IFERROR(FIND(",", MAIN!E454)-1, LEN(MAIN!E454))), " ", ""), lookup_values!$D$2:$E$197, 2, FALSE)), "--", VLOOKUP(SUBSTITUTE(LEFT(MAIN!E454, IFERROR(FIND(",", MAIN!E454)-1, LEN(MAIN!E454))), " ", ""), lookup_values!$D$2:$E$197, 2, FALSE)))))</f>
        <v>--</v>
      </c>
      <c r="F454" t="str">
        <f>IF(ISBLANK(MAIN!F454), "", IF(AND(ISNUMBER(VALUE(TRIM(MAIN!F454))), LEN(TRIM(MAIN!F454))=4), VALUE(TRIM(MAIN!F454)), ""))</f>
        <v/>
      </c>
      <c r="G454">
        <f>IF(ISBLANK(MAIN!G454), 0, IF(ISNUMBER(VALUE(TRIM(MAIN!G454))), VALUE(TRIM(MAIN!G454)), 0))</f>
        <v>0</v>
      </c>
      <c r="H454">
        <f>IF(ISBLANK(MAIN!H454), 0, IF(ISNUMBER(VALUE(TRIM(MAIN!H454))), VALUE(TRIM(MAIN!H454)), 0))</f>
        <v>0</v>
      </c>
      <c r="I454">
        <f>IF(ISBLANK(MAIN!I454), 0, IF(ISNUMBER(VALUE(TRIM(MAIN!I454))), VALUE(TRIM(MAIN!I454)), 0))</f>
        <v>0</v>
      </c>
      <c r="J454">
        <f>IF(ISBLANK(MAIN!J454), 0, IF(ISNUMBER(VALUE(TRIM(MAIN!J454))), VALUE(TRIM(MAIN!J454)), 0))</f>
        <v>0</v>
      </c>
      <c r="K454" cm="1">
        <f t="array" ref="K454">IFERROR(
    VALUE(
        IFERROR(
            UPPER(
                IF(MAX(IFERROR(SEARCH("WD",MAIN!G454:J454), 0))&gt;0, "WD",
                IF(MAX(IFERROR(SEARCH("NS",MAIN!G454:J454), 0))&gt;0, "NS",
                IF(MAX(IFERROR(SEARCH("NC",MAIN!G454:J454), 0))&gt;0, "NC",
                IF(MAX(IFERROR(SEARCH("DQ",MAIN!G454:J454), 0))&gt;0, "DQ",
                IF(ISNUMBER(SEARCH("WD",MAIN!K454)), "WD",
                IF(ISNUMBER(SEARCH("NS",MAIN!K454)), "NS",
                IF(ISNUMBER(SEARCH("NC",MAIN!K454)), "NC",
                IF(ISNUMBER(SEARCH("DQ",MAIN!K454)), "DQ",
                IF(ISNUMBER(SEARCH("A",MAIN!K454)), 0,
                IF(OR(MAIN!K454=0,MAIN!K454=""), 0, --TRIM(MAIN!K454)))))))))))),
            0
        )
    ),
    IFERROR(
        UPPER(
            IF(MAX(IFERROR(SEARCH("WD",MAIN!G454:J454), 0))&gt;0, "WD",
            IF(MAX(IFERROR(SEARCH("NS",MAIN!G454:J454), 0))&gt;0, "NS",
            IF(MAX(IFERROR(SEARCH("NC",MAIN!G454:J454), 0))&gt;0, "NC",
            IF(MAX(IFERROR(SEARCH("DQ",MAIN!G454:J454), 0))&gt;0, "DQ",
            IF(ISNUMBER(SEARCH("WD",MAIN!K454)), "WD",
            IF(ISNUMBER(SEARCH("NS",MAIN!K454)), "NS",
            IF(ISNUMBER(SEARCH("NC",MAIN!K454)), "NC",
            IF(ISNUMBER(SEARCH("DQ",MAIN!K454)), "DQ",
            IF(ISNUMBER(SEARCH("A",MAIN!K454)), 0,
            IF(OR(MAIN!K454=0,MAIN!K454=""), 0, --TRIM(MAIN!K454)))))))))))),
        0
    )
)</f>
        <v>0</v>
      </c>
    </row>
    <row r="455" spans="1:11" x14ac:dyDescent="0.25">
      <c r="A455" t="str">
        <f>IF(ISBLANK(MAIN!A455), "--", IFERROR(PROPER(SUBSTITUTE(SUBSTITUTE(SUBSTITUTE(SUBSTITUTE(SUBSTITUTE(SUBSTITUTE(SUBSTITUTE(SUBSTITUTE(SUBSTITUTE(SUBSTITUTE(LEFT(MAIN!A455, FIND(",",MAIN!A455) -1), "0", ""), "1", ""), "2", ""), "3", ""), "4", ""), "5", ""), "6", ""), "7", ""), "8", ""), "9", "")), PROPER(SUBSTITUTE(SUBSTITUTE(SUBSTITUTE(SUBSTITUTE(SUBSTITUTE(SUBSTITUTE(SUBSTITUTE(SUBSTITUTE(SUBSTITUTE(SUBSTITUTE(MAIN!A455, "0", ""), "1", ""), "2", ""), "3", ""), "4", ""), "5", ""), "6", ""), "7", ""), "8", ""), "9", ""))))</f>
        <v>--</v>
      </c>
      <c r="B455" t="str">
        <f>IF(ISBLANK(MAIN!B455), "--", IFERROR(PROPER(SUBSTITUTE(SUBSTITUTE(SUBSTITUTE(SUBSTITUTE(SUBSTITUTE(SUBSTITUTE(SUBSTITUTE(SUBSTITUTE(SUBSTITUTE(SUBSTITUTE(LEFT(MAIN!B455, FIND(",",MAIN!B455) -1), "0", ""), "1", ""), "2", ""), "3", ""), "4", ""), "5", ""), "6", ""), "7", ""), "8", ""), "9", "")), PROPER(SUBSTITUTE(SUBSTITUTE(SUBSTITUTE(SUBSTITUTE(SUBSTITUTE(SUBSTITUTE(SUBSTITUTE(SUBSTITUTE(SUBSTITUTE(SUBSTITUTE(MAIN!B455, "0", ""), "1", ""), "2", ""), "3", ""), "4", ""), "5", ""), "6", ""), "7", ""), "8", ""), "9", ""))))</f>
        <v>--</v>
      </c>
      <c r="C455" t="str">
        <f>IF(ISBLANK(MAIN!C455), "--", IFERROR(PROPER(SUBSTITUTE(SUBSTITUTE(SUBSTITUTE(SUBSTITUTE(SUBSTITUTE(SUBSTITUTE(SUBSTITUTE(SUBSTITUTE(SUBSTITUTE(SUBSTITUTE(LEFT(MAIN!C455, FIND(",",MAIN!C455) -1), "0", ""), "1", ""), "2", ""), "3", ""), "4", ""), "5", ""), "6", ""), "7", ""), "8", ""), "9", "")), PROPER(SUBSTITUTE(SUBSTITUTE(SUBSTITUTE(SUBSTITUTE(SUBSTITUTE(SUBSTITUTE(SUBSTITUTE(SUBSTITUTE(SUBSTITUTE(SUBSTITUTE(MAIN!C455, "0", ""), "1", ""), "2", ""), "3", ""), "4", ""), "5", ""), "6", ""), "7", ""), "8", ""), "9", ""))))</f>
        <v>--</v>
      </c>
      <c r="D455" t="str">
        <f>IF(ISBLANK(MAIN!D455), "--", IF(ISNUMBER(MATCH(SUBSTITUTE(LEFT(MAIN!D455, IFERROR(FIND(",", MAIN!D455)-1, LEN(MAIN!D455))), " ", ""), lookup_values!$B$2:$B$51, 0)), UPPER(SUBSTITUTE(LEFT(MAIN!D455, IFERROR(FIND(",", MAIN!D455)-1, LEN(MAIN!D455))), " ", "")), IF(ISNA(VLOOKUP(SUBSTITUTE(LEFT(MAIN!D455, IFERROR(FIND(",", MAIN!D455)-1, LEN(MAIN!D455))), " ", ""), lookup_values!$A$2:$B$51, 2, FALSE)), "--", VLOOKUP(SUBSTITUTE(LEFT(MAIN!D455, IFERROR(FIND(",", MAIN!D455)-1, LEN(MAIN!D455))), " ", ""), lookup_values!$A$2:$B$51, 2, FALSE))))</f>
        <v>--</v>
      </c>
      <c r="E455" t="str">
        <f>IF(CLEAN_DATA!D455&lt;&gt;"--","US",IF(ISBLANK(MAIN!E455), "--", IF(ISNUMBER(MATCH(SUBSTITUTE(LEFT(MAIN!E455, IFERROR(FIND(",", MAIN!E455)-1, LEN(MAIN!E455))), " ", ""), lookup_values!$E$2:$E$197, 0)), UPPER(SUBSTITUTE(LEFT(MAIN!E455, IFERROR(FIND(",", MAIN!E455)-1, LEN(MAIN!E455))), " ", "")), IF(ISNA(VLOOKUP(SUBSTITUTE(LEFT(MAIN!E455, IFERROR(FIND(",", MAIN!E455)-1, LEN(MAIN!E455))), " ", ""), lookup_values!$D$2:$E$197, 2, FALSE)), "--", VLOOKUP(SUBSTITUTE(LEFT(MAIN!E455, IFERROR(FIND(",", MAIN!E455)-1, LEN(MAIN!E455))), " ", ""), lookup_values!$D$2:$E$197, 2, FALSE)))))</f>
        <v>--</v>
      </c>
      <c r="F455" t="str">
        <f>IF(ISBLANK(MAIN!F455), "", IF(AND(ISNUMBER(VALUE(TRIM(MAIN!F455))), LEN(TRIM(MAIN!F455))=4), VALUE(TRIM(MAIN!F455)), ""))</f>
        <v/>
      </c>
      <c r="G455">
        <f>IF(ISBLANK(MAIN!G455), 0, IF(ISNUMBER(VALUE(TRIM(MAIN!G455))), VALUE(TRIM(MAIN!G455)), 0))</f>
        <v>0</v>
      </c>
      <c r="H455">
        <f>IF(ISBLANK(MAIN!H455), 0, IF(ISNUMBER(VALUE(TRIM(MAIN!H455))), VALUE(TRIM(MAIN!H455)), 0))</f>
        <v>0</v>
      </c>
      <c r="I455">
        <f>IF(ISBLANK(MAIN!I455), 0, IF(ISNUMBER(VALUE(TRIM(MAIN!I455))), VALUE(TRIM(MAIN!I455)), 0))</f>
        <v>0</v>
      </c>
      <c r="J455">
        <f>IF(ISBLANK(MAIN!J455), 0, IF(ISNUMBER(VALUE(TRIM(MAIN!J455))), VALUE(TRIM(MAIN!J455)), 0))</f>
        <v>0</v>
      </c>
      <c r="K455" cm="1">
        <f t="array" ref="K455">IFERROR(
    VALUE(
        IFERROR(
            UPPER(
                IF(MAX(IFERROR(SEARCH("WD",MAIN!G455:J455), 0))&gt;0, "WD",
                IF(MAX(IFERROR(SEARCH("NS",MAIN!G455:J455), 0))&gt;0, "NS",
                IF(MAX(IFERROR(SEARCH("NC",MAIN!G455:J455), 0))&gt;0, "NC",
                IF(MAX(IFERROR(SEARCH("DQ",MAIN!G455:J455), 0))&gt;0, "DQ",
                IF(ISNUMBER(SEARCH("WD",MAIN!K455)), "WD",
                IF(ISNUMBER(SEARCH("NS",MAIN!K455)), "NS",
                IF(ISNUMBER(SEARCH("NC",MAIN!K455)), "NC",
                IF(ISNUMBER(SEARCH("DQ",MAIN!K455)), "DQ",
                IF(ISNUMBER(SEARCH("A",MAIN!K455)), 0,
                IF(OR(MAIN!K455=0,MAIN!K455=""), 0, --TRIM(MAIN!K455)))))))))))),
            0
        )
    ),
    IFERROR(
        UPPER(
            IF(MAX(IFERROR(SEARCH("WD",MAIN!G455:J455), 0))&gt;0, "WD",
            IF(MAX(IFERROR(SEARCH("NS",MAIN!G455:J455), 0))&gt;0, "NS",
            IF(MAX(IFERROR(SEARCH("NC",MAIN!G455:J455), 0))&gt;0, "NC",
            IF(MAX(IFERROR(SEARCH("DQ",MAIN!G455:J455), 0))&gt;0, "DQ",
            IF(ISNUMBER(SEARCH("WD",MAIN!K455)), "WD",
            IF(ISNUMBER(SEARCH("NS",MAIN!K455)), "NS",
            IF(ISNUMBER(SEARCH("NC",MAIN!K455)), "NC",
            IF(ISNUMBER(SEARCH("DQ",MAIN!K455)), "DQ",
            IF(ISNUMBER(SEARCH("A",MAIN!K455)), 0,
            IF(OR(MAIN!K455=0,MAIN!K455=""), 0, --TRIM(MAIN!K455)))))))))))),
        0
    )
)</f>
        <v>0</v>
      </c>
    </row>
    <row r="456" spans="1:11" x14ac:dyDescent="0.25">
      <c r="A456" t="str">
        <f>IF(ISBLANK(MAIN!A456), "--", IFERROR(PROPER(SUBSTITUTE(SUBSTITUTE(SUBSTITUTE(SUBSTITUTE(SUBSTITUTE(SUBSTITUTE(SUBSTITUTE(SUBSTITUTE(SUBSTITUTE(SUBSTITUTE(LEFT(MAIN!A456, FIND(",",MAIN!A456) -1), "0", ""), "1", ""), "2", ""), "3", ""), "4", ""), "5", ""), "6", ""), "7", ""), "8", ""), "9", "")), PROPER(SUBSTITUTE(SUBSTITUTE(SUBSTITUTE(SUBSTITUTE(SUBSTITUTE(SUBSTITUTE(SUBSTITUTE(SUBSTITUTE(SUBSTITUTE(SUBSTITUTE(MAIN!A456, "0", ""), "1", ""), "2", ""), "3", ""), "4", ""), "5", ""), "6", ""), "7", ""), "8", ""), "9", ""))))</f>
        <v>--</v>
      </c>
      <c r="B456" t="str">
        <f>IF(ISBLANK(MAIN!B456), "--", IFERROR(PROPER(SUBSTITUTE(SUBSTITUTE(SUBSTITUTE(SUBSTITUTE(SUBSTITUTE(SUBSTITUTE(SUBSTITUTE(SUBSTITUTE(SUBSTITUTE(SUBSTITUTE(LEFT(MAIN!B456, FIND(",",MAIN!B456) -1), "0", ""), "1", ""), "2", ""), "3", ""), "4", ""), "5", ""), "6", ""), "7", ""), "8", ""), "9", "")), PROPER(SUBSTITUTE(SUBSTITUTE(SUBSTITUTE(SUBSTITUTE(SUBSTITUTE(SUBSTITUTE(SUBSTITUTE(SUBSTITUTE(SUBSTITUTE(SUBSTITUTE(MAIN!B456, "0", ""), "1", ""), "2", ""), "3", ""), "4", ""), "5", ""), "6", ""), "7", ""), "8", ""), "9", ""))))</f>
        <v>--</v>
      </c>
      <c r="C456" t="str">
        <f>IF(ISBLANK(MAIN!C456), "--", IFERROR(PROPER(SUBSTITUTE(SUBSTITUTE(SUBSTITUTE(SUBSTITUTE(SUBSTITUTE(SUBSTITUTE(SUBSTITUTE(SUBSTITUTE(SUBSTITUTE(SUBSTITUTE(LEFT(MAIN!C456, FIND(",",MAIN!C456) -1), "0", ""), "1", ""), "2", ""), "3", ""), "4", ""), "5", ""), "6", ""), "7", ""), "8", ""), "9", "")), PROPER(SUBSTITUTE(SUBSTITUTE(SUBSTITUTE(SUBSTITUTE(SUBSTITUTE(SUBSTITUTE(SUBSTITUTE(SUBSTITUTE(SUBSTITUTE(SUBSTITUTE(MAIN!C456, "0", ""), "1", ""), "2", ""), "3", ""), "4", ""), "5", ""), "6", ""), "7", ""), "8", ""), "9", ""))))</f>
        <v>--</v>
      </c>
      <c r="D456" t="str">
        <f>IF(ISBLANK(MAIN!D456), "--", IF(ISNUMBER(MATCH(SUBSTITUTE(LEFT(MAIN!D456, IFERROR(FIND(",", MAIN!D456)-1, LEN(MAIN!D456))), " ", ""), lookup_values!$B$2:$B$51, 0)), UPPER(SUBSTITUTE(LEFT(MAIN!D456, IFERROR(FIND(",", MAIN!D456)-1, LEN(MAIN!D456))), " ", "")), IF(ISNA(VLOOKUP(SUBSTITUTE(LEFT(MAIN!D456, IFERROR(FIND(",", MAIN!D456)-1, LEN(MAIN!D456))), " ", ""), lookup_values!$A$2:$B$51, 2, FALSE)), "--", VLOOKUP(SUBSTITUTE(LEFT(MAIN!D456, IFERROR(FIND(",", MAIN!D456)-1, LEN(MAIN!D456))), " ", ""), lookup_values!$A$2:$B$51, 2, FALSE))))</f>
        <v>--</v>
      </c>
      <c r="E456" t="str">
        <f>IF(CLEAN_DATA!D456&lt;&gt;"--","US",IF(ISBLANK(MAIN!E456), "--", IF(ISNUMBER(MATCH(SUBSTITUTE(LEFT(MAIN!E456, IFERROR(FIND(",", MAIN!E456)-1, LEN(MAIN!E456))), " ", ""), lookup_values!$E$2:$E$197, 0)), UPPER(SUBSTITUTE(LEFT(MAIN!E456, IFERROR(FIND(",", MAIN!E456)-1, LEN(MAIN!E456))), " ", "")), IF(ISNA(VLOOKUP(SUBSTITUTE(LEFT(MAIN!E456, IFERROR(FIND(",", MAIN!E456)-1, LEN(MAIN!E456))), " ", ""), lookup_values!$D$2:$E$197, 2, FALSE)), "--", VLOOKUP(SUBSTITUTE(LEFT(MAIN!E456, IFERROR(FIND(",", MAIN!E456)-1, LEN(MAIN!E456))), " ", ""), lookup_values!$D$2:$E$197, 2, FALSE)))))</f>
        <v>--</v>
      </c>
      <c r="F456" t="str">
        <f>IF(ISBLANK(MAIN!F456), "", IF(AND(ISNUMBER(VALUE(TRIM(MAIN!F456))), LEN(TRIM(MAIN!F456))=4), VALUE(TRIM(MAIN!F456)), ""))</f>
        <v/>
      </c>
      <c r="G456">
        <f>IF(ISBLANK(MAIN!G456), 0, IF(ISNUMBER(VALUE(TRIM(MAIN!G456))), VALUE(TRIM(MAIN!G456)), 0))</f>
        <v>0</v>
      </c>
      <c r="H456">
        <f>IF(ISBLANK(MAIN!H456), 0, IF(ISNUMBER(VALUE(TRIM(MAIN!H456))), VALUE(TRIM(MAIN!H456)), 0))</f>
        <v>0</v>
      </c>
      <c r="I456">
        <f>IF(ISBLANK(MAIN!I456), 0, IF(ISNUMBER(VALUE(TRIM(MAIN!I456))), VALUE(TRIM(MAIN!I456)), 0))</f>
        <v>0</v>
      </c>
      <c r="J456">
        <f>IF(ISBLANK(MAIN!J456), 0, IF(ISNUMBER(VALUE(TRIM(MAIN!J456))), VALUE(TRIM(MAIN!J456)), 0))</f>
        <v>0</v>
      </c>
      <c r="K456" cm="1">
        <f t="array" ref="K456">IFERROR(
    VALUE(
        IFERROR(
            UPPER(
                IF(MAX(IFERROR(SEARCH("WD",MAIN!G456:J456), 0))&gt;0, "WD",
                IF(MAX(IFERROR(SEARCH("NS",MAIN!G456:J456), 0))&gt;0, "NS",
                IF(MAX(IFERROR(SEARCH("NC",MAIN!G456:J456), 0))&gt;0, "NC",
                IF(MAX(IFERROR(SEARCH("DQ",MAIN!G456:J456), 0))&gt;0, "DQ",
                IF(ISNUMBER(SEARCH("WD",MAIN!K456)), "WD",
                IF(ISNUMBER(SEARCH("NS",MAIN!K456)), "NS",
                IF(ISNUMBER(SEARCH("NC",MAIN!K456)), "NC",
                IF(ISNUMBER(SEARCH("DQ",MAIN!K456)), "DQ",
                IF(ISNUMBER(SEARCH("A",MAIN!K456)), 0,
                IF(OR(MAIN!K456=0,MAIN!K456=""), 0, --TRIM(MAIN!K456)))))))))))),
            0
        )
    ),
    IFERROR(
        UPPER(
            IF(MAX(IFERROR(SEARCH("WD",MAIN!G456:J456), 0))&gt;0, "WD",
            IF(MAX(IFERROR(SEARCH("NS",MAIN!G456:J456), 0))&gt;0, "NS",
            IF(MAX(IFERROR(SEARCH("NC",MAIN!G456:J456), 0))&gt;0, "NC",
            IF(MAX(IFERROR(SEARCH("DQ",MAIN!G456:J456), 0))&gt;0, "DQ",
            IF(ISNUMBER(SEARCH("WD",MAIN!K456)), "WD",
            IF(ISNUMBER(SEARCH("NS",MAIN!K456)), "NS",
            IF(ISNUMBER(SEARCH("NC",MAIN!K456)), "NC",
            IF(ISNUMBER(SEARCH("DQ",MAIN!K456)), "DQ",
            IF(ISNUMBER(SEARCH("A",MAIN!K456)), 0,
            IF(OR(MAIN!K456=0,MAIN!K456=""), 0, --TRIM(MAIN!K456)))))))))))),
        0
    )
)</f>
        <v>0</v>
      </c>
    </row>
    <row r="457" spans="1:11" x14ac:dyDescent="0.25">
      <c r="A457" t="str">
        <f>IF(ISBLANK(MAIN!A457), "--", IFERROR(PROPER(SUBSTITUTE(SUBSTITUTE(SUBSTITUTE(SUBSTITUTE(SUBSTITUTE(SUBSTITUTE(SUBSTITUTE(SUBSTITUTE(SUBSTITUTE(SUBSTITUTE(LEFT(MAIN!A457, FIND(",",MAIN!A457) -1), "0", ""), "1", ""), "2", ""), "3", ""), "4", ""), "5", ""), "6", ""), "7", ""), "8", ""), "9", "")), PROPER(SUBSTITUTE(SUBSTITUTE(SUBSTITUTE(SUBSTITUTE(SUBSTITUTE(SUBSTITUTE(SUBSTITUTE(SUBSTITUTE(SUBSTITUTE(SUBSTITUTE(MAIN!A457, "0", ""), "1", ""), "2", ""), "3", ""), "4", ""), "5", ""), "6", ""), "7", ""), "8", ""), "9", ""))))</f>
        <v>--</v>
      </c>
      <c r="B457" t="str">
        <f>IF(ISBLANK(MAIN!B457), "--", IFERROR(PROPER(SUBSTITUTE(SUBSTITUTE(SUBSTITUTE(SUBSTITUTE(SUBSTITUTE(SUBSTITUTE(SUBSTITUTE(SUBSTITUTE(SUBSTITUTE(SUBSTITUTE(LEFT(MAIN!B457, FIND(",",MAIN!B457) -1), "0", ""), "1", ""), "2", ""), "3", ""), "4", ""), "5", ""), "6", ""), "7", ""), "8", ""), "9", "")), PROPER(SUBSTITUTE(SUBSTITUTE(SUBSTITUTE(SUBSTITUTE(SUBSTITUTE(SUBSTITUTE(SUBSTITUTE(SUBSTITUTE(SUBSTITUTE(SUBSTITUTE(MAIN!B457, "0", ""), "1", ""), "2", ""), "3", ""), "4", ""), "5", ""), "6", ""), "7", ""), "8", ""), "9", ""))))</f>
        <v>--</v>
      </c>
      <c r="C457" t="str">
        <f>IF(ISBLANK(MAIN!C457), "--", IFERROR(PROPER(SUBSTITUTE(SUBSTITUTE(SUBSTITUTE(SUBSTITUTE(SUBSTITUTE(SUBSTITUTE(SUBSTITUTE(SUBSTITUTE(SUBSTITUTE(SUBSTITUTE(LEFT(MAIN!C457, FIND(",",MAIN!C457) -1), "0", ""), "1", ""), "2", ""), "3", ""), "4", ""), "5", ""), "6", ""), "7", ""), "8", ""), "9", "")), PROPER(SUBSTITUTE(SUBSTITUTE(SUBSTITUTE(SUBSTITUTE(SUBSTITUTE(SUBSTITUTE(SUBSTITUTE(SUBSTITUTE(SUBSTITUTE(SUBSTITUTE(MAIN!C457, "0", ""), "1", ""), "2", ""), "3", ""), "4", ""), "5", ""), "6", ""), "7", ""), "8", ""), "9", ""))))</f>
        <v>--</v>
      </c>
      <c r="D457" t="str">
        <f>IF(ISBLANK(MAIN!D457), "--", IF(ISNUMBER(MATCH(SUBSTITUTE(LEFT(MAIN!D457, IFERROR(FIND(",", MAIN!D457)-1, LEN(MAIN!D457))), " ", ""), lookup_values!$B$2:$B$51, 0)), UPPER(SUBSTITUTE(LEFT(MAIN!D457, IFERROR(FIND(",", MAIN!D457)-1, LEN(MAIN!D457))), " ", "")), IF(ISNA(VLOOKUP(SUBSTITUTE(LEFT(MAIN!D457, IFERROR(FIND(",", MAIN!D457)-1, LEN(MAIN!D457))), " ", ""), lookup_values!$A$2:$B$51, 2, FALSE)), "--", VLOOKUP(SUBSTITUTE(LEFT(MAIN!D457, IFERROR(FIND(",", MAIN!D457)-1, LEN(MAIN!D457))), " ", ""), lookup_values!$A$2:$B$51, 2, FALSE))))</f>
        <v>--</v>
      </c>
      <c r="E457" t="str">
        <f>IF(CLEAN_DATA!D457&lt;&gt;"--","US",IF(ISBLANK(MAIN!E457), "--", IF(ISNUMBER(MATCH(SUBSTITUTE(LEFT(MAIN!E457, IFERROR(FIND(",", MAIN!E457)-1, LEN(MAIN!E457))), " ", ""), lookup_values!$E$2:$E$197, 0)), UPPER(SUBSTITUTE(LEFT(MAIN!E457, IFERROR(FIND(",", MAIN!E457)-1, LEN(MAIN!E457))), " ", "")), IF(ISNA(VLOOKUP(SUBSTITUTE(LEFT(MAIN!E457, IFERROR(FIND(",", MAIN!E457)-1, LEN(MAIN!E457))), " ", ""), lookup_values!$D$2:$E$197, 2, FALSE)), "--", VLOOKUP(SUBSTITUTE(LEFT(MAIN!E457, IFERROR(FIND(",", MAIN!E457)-1, LEN(MAIN!E457))), " ", ""), lookup_values!$D$2:$E$197, 2, FALSE)))))</f>
        <v>--</v>
      </c>
      <c r="F457" t="str">
        <f>IF(ISBLANK(MAIN!F457), "", IF(AND(ISNUMBER(VALUE(TRIM(MAIN!F457))), LEN(TRIM(MAIN!F457))=4), VALUE(TRIM(MAIN!F457)), ""))</f>
        <v/>
      </c>
      <c r="G457">
        <f>IF(ISBLANK(MAIN!G457), 0, IF(ISNUMBER(VALUE(TRIM(MAIN!G457))), VALUE(TRIM(MAIN!G457)), 0))</f>
        <v>0</v>
      </c>
      <c r="H457">
        <f>IF(ISBLANK(MAIN!H457), 0, IF(ISNUMBER(VALUE(TRIM(MAIN!H457))), VALUE(TRIM(MAIN!H457)), 0))</f>
        <v>0</v>
      </c>
      <c r="I457">
        <f>IF(ISBLANK(MAIN!I457), 0, IF(ISNUMBER(VALUE(TRIM(MAIN!I457))), VALUE(TRIM(MAIN!I457)), 0))</f>
        <v>0</v>
      </c>
      <c r="J457">
        <f>IF(ISBLANK(MAIN!J457), 0, IF(ISNUMBER(VALUE(TRIM(MAIN!J457))), VALUE(TRIM(MAIN!J457)), 0))</f>
        <v>0</v>
      </c>
      <c r="K457" cm="1">
        <f t="array" ref="K457">IFERROR(
    VALUE(
        IFERROR(
            UPPER(
                IF(MAX(IFERROR(SEARCH("WD",MAIN!G457:J457), 0))&gt;0, "WD",
                IF(MAX(IFERROR(SEARCH("NS",MAIN!G457:J457), 0))&gt;0, "NS",
                IF(MAX(IFERROR(SEARCH("NC",MAIN!G457:J457), 0))&gt;0, "NC",
                IF(MAX(IFERROR(SEARCH("DQ",MAIN!G457:J457), 0))&gt;0, "DQ",
                IF(ISNUMBER(SEARCH("WD",MAIN!K457)), "WD",
                IF(ISNUMBER(SEARCH("NS",MAIN!K457)), "NS",
                IF(ISNUMBER(SEARCH("NC",MAIN!K457)), "NC",
                IF(ISNUMBER(SEARCH("DQ",MAIN!K457)), "DQ",
                IF(ISNUMBER(SEARCH("A",MAIN!K457)), 0,
                IF(OR(MAIN!K457=0,MAIN!K457=""), 0, --TRIM(MAIN!K457)))))))))))),
            0
        )
    ),
    IFERROR(
        UPPER(
            IF(MAX(IFERROR(SEARCH("WD",MAIN!G457:J457), 0))&gt;0, "WD",
            IF(MAX(IFERROR(SEARCH("NS",MAIN!G457:J457), 0))&gt;0, "NS",
            IF(MAX(IFERROR(SEARCH("NC",MAIN!G457:J457), 0))&gt;0, "NC",
            IF(MAX(IFERROR(SEARCH("DQ",MAIN!G457:J457), 0))&gt;0, "DQ",
            IF(ISNUMBER(SEARCH("WD",MAIN!K457)), "WD",
            IF(ISNUMBER(SEARCH("NS",MAIN!K457)), "NS",
            IF(ISNUMBER(SEARCH("NC",MAIN!K457)), "NC",
            IF(ISNUMBER(SEARCH("DQ",MAIN!K457)), "DQ",
            IF(ISNUMBER(SEARCH("A",MAIN!K457)), 0,
            IF(OR(MAIN!K457=0,MAIN!K457=""), 0, --TRIM(MAIN!K457)))))))))))),
        0
    )
)</f>
        <v>0</v>
      </c>
    </row>
    <row r="458" spans="1:11" x14ac:dyDescent="0.25">
      <c r="A458" t="str">
        <f>IF(ISBLANK(MAIN!A458), "--", IFERROR(PROPER(SUBSTITUTE(SUBSTITUTE(SUBSTITUTE(SUBSTITUTE(SUBSTITUTE(SUBSTITUTE(SUBSTITUTE(SUBSTITUTE(SUBSTITUTE(SUBSTITUTE(LEFT(MAIN!A458, FIND(",",MAIN!A458) -1), "0", ""), "1", ""), "2", ""), "3", ""), "4", ""), "5", ""), "6", ""), "7", ""), "8", ""), "9", "")), PROPER(SUBSTITUTE(SUBSTITUTE(SUBSTITUTE(SUBSTITUTE(SUBSTITUTE(SUBSTITUTE(SUBSTITUTE(SUBSTITUTE(SUBSTITUTE(SUBSTITUTE(MAIN!A458, "0", ""), "1", ""), "2", ""), "3", ""), "4", ""), "5", ""), "6", ""), "7", ""), "8", ""), "9", ""))))</f>
        <v>--</v>
      </c>
      <c r="B458" t="str">
        <f>IF(ISBLANK(MAIN!B458), "--", IFERROR(PROPER(SUBSTITUTE(SUBSTITUTE(SUBSTITUTE(SUBSTITUTE(SUBSTITUTE(SUBSTITUTE(SUBSTITUTE(SUBSTITUTE(SUBSTITUTE(SUBSTITUTE(LEFT(MAIN!B458, FIND(",",MAIN!B458) -1), "0", ""), "1", ""), "2", ""), "3", ""), "4", ""), "5", ""), "6", ""), "7", ""), "8", ""), "9", "")), PROPER(SUBSTITUTE(SUBSTITUTE(SUBSTITUTE(SUBSTITUTE(SUBSTITUTE(SUBSTITUTE(SUBSTITUTE(SUBSTITUTE(SUBSTITUTE(SUBSTITUTE(MAIN!B458, "0", ""), "1", ""), "2", ""), "3", ""), "4", ""), "5", ""), "6", ""), "7", ""), "8", ""), "9", ""))))</f>
        <v>--</v>
      </c>
      <c r="C458" t="str">
        <f>IF(ISBLANK(MAIN!C458), "--", IFERROR(PROPER(SUBSTITUTE(SUBSTITUTE(SUBSTITUTE(SUBSTITUTE(SUBSTITUTE(SUBSTITUTE(SUBSTITUTE(SUBSTITUTE(SUBSTITUTE(SUBSTITUTE(LEFT(MAIN!C458, FIND(",",MAIN!C458) -1), "0", ""), "1", ""), "2", ""), "3", ""), "4", ""), "5", ""), "6", ""), "7", ""), "8", ""), "9", "")), PROPER(SUBSTITUTE(SUBSTITUTE(SUBSTITUTE(SUBSTITUTE(SUBSTITUTE(SUBSTITUTE(SUBSTITUTE(SUBSTITUTE(SUBSTITUTE(SUBSTITUTE(MAIN!C458, "0", ""), "1", ""), "2", ""), "3", ""), "4", ""), "5", ""), "6", ""), "7", ""), "8", ""), "9", ""))))</f>
        <v>--</v>
      </c>
      <c r="D458" t="str">
        <f>IF(ISBLANK(MAIN!D458), "--", IF(ISNUMBER(MATCH(SUBSTITUTE(LEFT(MAIN!D458, IFERROR(FIND(",", MAIN!D458)-1, LEN(MAIN!D458))), " ", ""), lookup_values!$B$2:$B$51, 0)), UPPER(SUBSTITUTE(LEFT(MAIN!D458, IFERROR(FIND(",", MAIN!D458)-1, LEN(MAIN!D458))), " ", "")), IF(ISNA(VLOOKUP(SUBSTITUTE(LEFT(MAIN!D458, IFERROR(FIND(",", MAIN!D458)-1, LEN(MAIN!D458))), " ", ""), lookup_values!$A$2:$B$51, 2, FALSE)), "--", VLOOKUP(SUBSTITUTE(LEFT(MAIN!D458, IFERROR(FIND(",", MAIN!D458)-1, LEN(MAIN!D458))), " ", ""), lookup_values!$A$2:$B$51, 2, FALSE))))</f>
        <v>--</v>
      </c>
      <c r="E458" t="str">
        <f>IF(CLEAN_DATA!D458&lt;&gt;"--","US",IF(ISBLANK(MAIN!E458), "--", IF(ISNUMBER(MATCH(SUBSTITUTE(LEFT(MAIN!E458, IFERROR(FIND(",", MAIN!E458)-1, LEN(MAIN!E458))), " ", ""), lookup_values!$E$2:$E$197, 0)), UPPER(SUBSTITUTE(LEFT(MAIN!E458, IFERROR(FIND(",", MAIN!E458)-1, LEN(MAIN!E458))), " ", "")), IF(ISNA(VLOOKUP(SUBSTITUTE(LEFT(MAIN!E458, IFERROR(FIND(",", MAIN!E458)-1, LEN(MAIN!E458))), " ", ""), lookup_values!$D$2:$E$197, 2, FALSE)), "--", VLOOKUP(SUBSTITUTE(LEFT(MAIN!E458, IFERROR(FIND(",", MAIN!E458)-1, LEN(MAIN!E458))), " ", ""), lookup_values!$D$2:$E$197, 2, FALSE)))))</f>
        <v>--</v>
      </c>
      <c r="F458" t="str">
        <f>IF(ISBLANK(MAIN!F458), "", IF(AND(ISNUMBER(VALUE(TRIM(MAIN!F458))), LEN(TRIM(MAIN!F458))=4), VALUE(TRIM(MAIN!F458)), ""))</f>
        <v/>
      </c>
      <c r="G458">
        <f>IF(ISBLANK(MAIN!G458), 0, IF(ISNUMBER(VALUE(TRIM(MAIN!G458))), VALUE(TRIM(MAIN!G458)), 0))</f>
        <v>0</v>
      </c>
      <c r="H458">
        <f>IF(ISBLANK(MAIN!H458), 0, IF(ISNUMBER(VALUE(TRIM(MAIN!H458))), VALUE(TRIM(MAIN!H458)), 0))</f>
        <v>0</v>
      </c>
      <c r="I458">
        <f>IF(ISBLANK(MAIN!I458), 0, IF(ISNUMBER(VALUE(TRIM(MAIN!I458))), VALUE(TRIM(MAIN!I458)), 0))</f>
        <v>0</v>
      </c>
      <c r="J458">
        <f>IF(ISBLANK(MAIN!J458), 0, IF(ISNUMBER(VALUE(TRIM(MAIN!J458))), VALUE(TRIM(MAIN!J458)), 0))</f>
        <v>0</v>
      </c>
      <c r="K458" cm="1">
        <f t="array" ref="K458">IFERROR(
    VALUE(
        IFERROR(
            UPPER(
                IF(MAX(IFERROR(SEARCH("WD",MAIN!G458:J458), 0))&gt;0, "WD",
                IF(MAX(IFERROR(SEARCH("NS",MAIN!G458:J458), 0))&gt;0, "NS",
                IF(MAX(IFERROR(SEARCH("NC",MAIN!G458:J458), 0))&gt;0, "NC",
                IF(MAX(IFERROR(SEARCH("DQ",MAIN!G458:J458), 0))&gt;0, "DQ",
                IF(ISNUMBER(SEARCH("WD",MAIN!K458)), "WD",
                IF(ISNUMBER(SEARCH("NS",MAIN!K458)), "NS",
                IF(ISNUMBER(SEARCH("NC",MAIN!K458)), "NC",
                IF(ISNUMBER(SEARCH("DQ",MAIN!K458)), "DQ",
                IF(ISNUMBER(SEARCH("A",MAIN!K458)), 0,
                IF(OR(MAIN!K458=0,MAIN!K458=""), 0, --TRIM(MAIN!K458)))))))))))),
            0
        )
    ),
    IFERROR(
        UPPER(
            IF(MAX(IFERROR(SEARCH("WD",MAIN!G458:J458), 0))&gt;0, "WD",
            IF(MAX(IFERROR(SEARCH("NS",MAIN!G458:J458), 0))&gt;0, "NS",
            IF(MAX(IFERROR(SEARCH("NC",MAIN!G458:J458), 0))&gt;0, "NC",
            IF(MAX(IFERROR(SEARCH("DQ",MAIN!G458:J458), 0))&gt;0, "DQ",
            IF(ISNUMBER(SEARCH("WD",MAIN!K458)), "WD",
            IF(ISNUMBER(SEARCH("NS",MAIN!K458)), "NS",
            IF(ISNUMBER(SEARCH("NC",MAIN!K458)), "NC",
            IF(ISNUMBER(SEARCH("DQ",MAIN!K458)), "DQ",
            IF(ISNUMBER(SEARCH("A",MAIN!K458)), 0,
            IF(OR(MAIN!K458=0,MAIN!K458=""), 0, --TRIM(MAIN!K458)))))))))))),
        0
    )
)</f>
        <v>0</v>
      </c>
    </row>
    <row r="459" spans="1:11" x14ac:dyDescent="0.25">
      <c r="A459" t="str">
        <f>IF(ISBLANK(MAIN!A459), "--", IFERROR(PROPER(SUBSTITUTE(SUBSTITUTE(SUBSTITUTE(SUBSTITUTE(SUBSTITUTE(SUBSTITUTE(SUBSTITUTE(SUBSTITUTE(SUBSTITUTE(SUBSTITUTE(LEFT(MAIN!A459, FIND(",",MAIN!A459) -1), "0", ""), "1", ""), "2", ""), "3", ""), "4", ""), "5", ""), "6", ""), "7", ""), "8", ""), "9", "")), PROPER(SUBSTITUTE(SUBSTITUTE(SUBSTITUTE(SUBSTITUTE(SUBSTITUTE(SUBSTITUTE(SUBSTITUTE(SUBSTITUTE(SUBSTITUTE(SUBSTITUTE(MAIN!A459, "0", ""), "1", ""), "2", ""), "3", ""), "4", ""), "5", ""), "6", ""), "7", ""), "8", ""), "9", ""))))</f>
        <v>--</v>
      </c>
      <c r="B459" t="str">
        <f>IF(ISBLANK(MAIN!B459), "--", IFERROR(PROPER(SUBSTITUTE(SUBSTITUTE(SUBSTITUTE(SUBSTITUTE(SUBSTITUTE(SUBSTITUTE(SUBSTITUTE(SUBSTITUTE(SUBSTITUTE(SUBSTITUTE(LEFT(MAIN!B459, FIND(",",MAIN!B459) -1), "0", ""), "1", ""), "2", ""), "3", ""), "4", ""), "5", ""), "6", ""), "7", ""), "8", ""), "9", "")), PROPER(SUBSTITUTE(SUBSTITUTE(SUBSTITUTE(SUBSTITUTE(SUBSTITUTE(SUBSTITUTE(SUBSTITUTE(SUBSTITUTE(SUBSTITUTE(SUBSTITUTE(MAIN!B459, "0", ""), "1", ""), "2", ""), "3", ""), "4", ""), "5", ""), "6", ""), "7", ""), "8", ""), "9", ""))))</f>
        <v>--</v>
      </c>
      <c r="C459" t="str">
        <f>IF(ISBLANK(MAIN!C459), "--", IFERROR(PROPER(SUBSTITUTE(SUBSTITUTE(SUBSTITUTE(SUBSTITUTE(SUBSTITUTE(SUBSTITUTE(SUBSTITUTE(SUBSTITUTE(SUBSTITUTE(SUBSTITUTE(LEFT(MAIN!C459, FIND(",",MAIN!C459) -1), "0", ""), "1", ""), "2", ""), "3", ""), "4", ""), "5", ""), "6", ""), "7", ""), "8", ""), "9", "")), PROPER(SUBSTITUTE(SUBSTITUTE(SUBSTITUTE(SUBSTITUTE(SUBSTITUTE(SUBSTITUTE(SUBSTITUTE(SUBSTITUTE(SUBSTITUTE(SUBSTITUTE(MAIN!C459, "0", ""), "1", ""), "2", ""), "3", ""), "4", ""), "5", ""), "6", ""), "7", ""), "8", ""), "9", ""))))</f>
        <v>--</v>
      </c>
      <c r="D459" t="str">
        <f>IF(ISBLANK(MAIN!D459), "--", IF(ISNUMBER(MATCH(SUBSTITUTE(LEFT(MAIN!D459, IFERROR(FIND(",", MAIN!D459)-1, LEN(MAIN!D459))), " ", ""), lookup_values!$B$2:$B$51, 0)), UPPER(SUBSTITUTE(LEFT(MAIN!D459, IFERROR(FIND(",", MAIN!D459)-1, LEN(MAIN!D459))), " ", "")), IF(ISNA(VLOOKUP(SUBSTITUTE(LEFT(MAIN!D459, IFERROR(FIND(",", MAIN!D459)-1, LEN(MAIN!D459))), " ", ""), lookup_values!$A$2:$B$51, 2, FALSE)), "--", VLOOKUP(SUBSTITUTE(LEFT(MAIN!D459, IFERROR(FIND(",", MAIN!D459)-1, LEN(MAIN!D459))), " ", ""), lookup_values!$A$2:$B$51, 2, FALSE))))</f>
        <v>--</v>
      </c>
      <c r="E459" t="str">
        <f>IF(CLEAN_DATA!D459&lt;&gt;"--","US",IF(ISBLANK(MAIN!E459), "--", IF(ISNUMBER(MATCH(SUBSTITUTE(LEFT(MAIN!E459, IFERROR(FIND(",", MAIN!E459)-1, LEN(MAIN!E459))), " ", ""), lookup_values!$E$2:$E$197, 0)), UPPER(SUBSTITUTE(LEFT(MAIN!E459, IFERROR(FIND(",", MAIN!E459)-1, LEN(MAIN!E459))), " ", "")), IF(ISNA(VLOOKUP(SUBSTITUTE(LEFT(MAIN!E459, IFERROR(FIND(",", MAIN!E459)-1, LEN(MAIN!E459))), " ", ""), lookup_values!$D$2:$E$197, 2, FALSE)), "--", VLOOKUP(SUBSTITUTE(LEFT(MAIN!E459, IFERROR(FIND(",", MAIN!E459)-1, LEN(MAIN!E459))), " ", ""), lookup_values!$D$2:$E$197, 2, FALSE)))))</f>
        <v>--</v>
      </c>
      <c r="F459" t="str">
        <f>IF(ISBLANK(MAIN!F459), "", IF(AND(ISNUMBER(VALUE(TRIM(MAIN!F459))), LEN(TRIM(MAIN!F459))=4), VALUE(TRIM(MAIN!F459)), ""))</f>
        <v/>
      </c>
      <c r="G459">
        <f>IF(ISBLANK(MAIN!G459), 0, IF(ISNUMBER(VALUE(TRIM(MAIN!G459))), VALUE(TRIM(MAIN!G459)), 0))</f>
        <v>0</v>
      </c>
      <c r="H459">
        <f>IF(ISBLANK(MAIN!H459), 0, IF(ISNUMBER(VALUE(TRIM(MAIN!H459))), VALUE(TRIM(MAIN!H459)), 0))</f>
        <v>0</v>
      </c>
      <c r="I459">
        <f>IF(ISBLANK(MAIN!I459), 0, IF(ISNUMBER(VALUE(TRIM(MAIN!I459))), VALUE(TRIM(MAIN!I459)), 0))</f>
        <v>0</v>
      </c>
      <c r="J459">
        <f>IF(ISBLANK(MAIN!J459), 0, IF(ISNUMBER(VALUE(TRIM(MAIN!J459))), VALUE(TRIM(MAIN!J459)), 0))</f>
        <v>0</v>
      </c>
      <c r="K459" cm="1">
        <f t="array" ref="K459">IFERROR(
    VALUE(
        IFERROR(
            UPPER(
                IF(MAX(IFERROR(SEARCH("WD",MAIN!G459:J459), 0))&gt;0, "WD",
                IF(MAX(IFERROR(SEARCH("NS",MAIN!G459:J459), 0))&gt;0, "NS",
                IF(MAX(IFERROR(SEARCH("NC",MAIN!G459:J459), 0))&gt;0, "NC",
                IF(MAX(IFERROR(SEARCH("DQ",MAIN!G459:J459), 0))&gt;0, "DQ",
                IF(ISNUMBER(SEARCH("WD",MAIN!K459)), "WD",
                IF(ISNUMBER(SEARCH("NS",MAIN!K459)), "NS",
                IF(ISNUMBER(SEARCH("NC",MAIN!K459)), "NC",
                IF(ISNUMBER(SEARCH("DQ",MAIN!K459)), "DQ",
                IF(ISNUMBER(SEARCH("A",MAIN!K459)), 0,
                IF(OR(MAIN!K459=0,MAIN!K459=""), 0, --TRIM(MAIN!K459)))))))))))),
            0
        )
    ),
    IFERROR(
        UPPER(
            IF(MAX(IFERROR(SEARCH("WD",MAIN!G459:J459), 0))&gt;0, "WD",
            IF(MAX(IFERROR(SEARCH("NS",MAIN!G459:J459), 0))&gt;0, "NS",
            IF(MAX(IFERROR(SEARCH("NC",MAIN!G459:J459), 0))&gt;0, "NC",
            IF(MAX(IFERROR(SEARCH("DQ",MAIN!G459:J459), 0))&gt;0, "DQ",
            IF(ISNUMBER(SEARCH("WD",MAIN!K459)), "WD",
            IF(ISNUMBER(SEARCH("NS",MAIN!K459)), "NS",
            IF(ISNUMBER(SEARCH("NC",MAIN!K459)), "NC",
            IF(ISNUMBER(SEARCH("DQ",MAIN!K459)), "DQ",
            IF(ISNUMBER(SEARCH("A",MAIN!K459)), 0,
            IF(OR(MAIN!K459=0,MAIN!K459=""), 0, --TRIM(MAIN!K459)))))))))))),
        0
    )
)</f>
        <v>0</v>
      </c>
    </row>
    <row r="460" spans="1:11" x14ac:dyDescent="0.25">
      <c r="A460" t="str">
        <f>IF(ISBLANK(MAIN!A460), "--", IFERROR(PROPER(SUBSTITUTE(SUBSTITUTE(SUBSTITUTE(SUBSTITUTE(SUBSTITUTE(SUBSTITUTE(SUBSTITUTE(SUBSTITUTE(SUBSTITUTE(SUBSTITUTE(LEFT(MAIN!A460, FIND(",",MAIN!A460) -1), "0", ""), "1", ""), "2", ""), "3", ""), "4", ""), "5", ""), "6", ""), "7", ""), "8", ""), "9", "")), PROPER(SUBSTITUTE(SUBSTITUTE(SUBSTITUTE(SUBSTITUTE(SUBSTITUTE(SUBSTITUTE(SUBSTITUTE(SUBSTITUTE(SUBSTITUTE(SUBSTITUTE(MAIN!A460, "0", ""), "1", ""), "2", ""), "3", ""), "4", ""), "5", ""), "6", ""), "7", ""), "8", ""), "9", ""))))</f>
        <v>--</v>
      </c>
      <c r="B460" t="str">
        <f>IF(ISBLANK(MAIN!B460), "--", IFERROR(PROPER(SUBSTITUTE(SUBSTITUTE(SUBSTITUTE(SUBSTITUTE(SUBSTITUTE(SUBSTITUTE(SUBSTITUTE(SUBSTITUTE(SUBSTITUTE(SUBSTITUTE(LEFT(MAIN!B460, FIND(",",MAIN!B460) -1), "0", ""), "1", ""), "2", ""), "3", ""), "4", ""), "5", ""), "6", ""), "7", ""), "8", ""), "9", "")), PROPER(SUBSTITUTE(SUBSTITUTE(SUBSTITUTE(SUBSTITUTE(SUBSTITUTE(SUBSTITUTE(SUBSTITUTE(SUBSTITUTE(SUBSTITUTE(SUBSTITUTE(MAIN!B460, "0", ""), "1", ""), "2", ""), "3", ""), "4", ""), "5", ""), "6", ""), "7", ""), "8", ""), "9", ""))))</f>
        <v>--</v>
      </c>
      <c r="C460" t="str">
        <f>IF(ISBLANK(MAIN!C460), "--", IFERROR(PROPER(SUBSTITUTE(SUBSTITUTE(SUBSTITUTE(SUBSTITUTE(SUBSTITUTE(SUBSTITUTE(SUBSTITUTE(SUBSTITUTE(SUBSTITUTE(SUBSTITUTE(LEFT(MAIN!C460, FIND(",",MAIN!C460) -1), "0", ""), "1", ""), "2", ""), "3", ""), "4", ""), "5", ""), "6", ""), "7", ""), "8", ""), "9", "")), PROPER(SUBSTITUTE(SUBSTITUTE(SUBSTITUTE(SUBSTITUTE(SUBSTITUTE(SUBSTITUTE(SUBSTITUTE(SUBSTITUTE(SUBSTITUTE(SUBSTITUTE(MAIN!C460, "0", ""), "1", ""), "2", ""), "3", ""), "4", ""), "5", ""), "6", ""), "7", ""), "8", ""), "9", ""))))</f>
        <v>--</v>
      </c>
      <c r="D460" t="str">
        <f>IF(ISBLANK(MAIN!D460), "--", IF(ISNUMBER(MATCH(SUBSTITUTE(LEFT(MAIN!D460, IFERROR(FIND(",", MAIN!D460)-1, LEN(MAIN!D460))), " ", ""), lookup_values!$B$2:$B$51, 0)), UPPER(SUBSTITUTE(LEFT(MAIN!D460, IFERROR(FIND(",", MAIN!D460)-1, LEN(MAIN!D460))), " ", "")), IF(ISNA(VLOOKUP(SUBSTITUTE(LEFT(MAIN!D460, IFERROR(FIND(",", MAIN!D460)-1, LEN(MAIN!D460))), " ", ""), lookup_values!$A$2:$B$51, 2, FALSE)), "--", VLOOKUP(SUBSTITUTE(LEFT(MAIN!D460, IFERROR(FIND(",", MAIN!D460)-1, LEN(MAIN!D460))), " ", ""), lookup_values!$A$2:$B$51, 2, FALSE))))</f>
        <v>--</v>
      </c>
      <c r="E460" t="str">
        <f>IF(CLEAN_DATA!D460&lt;&gt;"--","US",IF(ISBLANK(MAIN!E460), "--", IF(ISNUMBER(MATCH(SUBSTITUTE(LEFT(MAIN!E460, IFERROR(FIND(",", MAIN!E460)-1, LEN(MAIN!E460))), " ", ""), lookup_values!$E$2:$E$197, 0)), UPPER(SUBSTITUTE(LEFT(MAIN!E460, IFERROR(FIND(",", MAIN!E460)-1, LEN(MAIN!E460))), " ", "")), IF(ISNA(VLOOKUP(SUBSTITUTE(LEFT(MAIN!E460, IFERROR(FIND(",", MAIN!E460)-1, LEN(MAIN!E460))), " ", ""), lookup_values!$D$2:$E$197, 2, FALSE)), "--", VLOOKUP(SUBSTITUTE(LEFT(MAIN!E460, IFERROR(FIND(",", MAIN!E460)-1, LEN(MAIN!E460))), " ", ""), lookup_values!$D$2:$E$197, 2, FALSE)))))</f>
        <v>--</v>
      </c>
      <c r="F460" t="str">
        <f>IF(ISBLANK(MAIN!F460), "", IF(AND(ISNUMBER(VALUE(TRIM(MAIN!F460))), LEN(TRIM(MAIN!F460))=4), VALUE(TRIM(MAIN!F460)), ""))</f>
        <v/>
      </c>
      <c r="G460">
        <f>IF(ISBLANK(MAIN!G460), 0, IF(ISNUMBER(VALUE(TRIM(MAIN!G460))), VALUE(TRIM(MAIN!G460)), 0))</f>
        <v>0</v>
      </c>
      <c r="H460">
        <f>IF(ISBLANK(MAIN!H460), 0, IF(ISNUMBER(VALUE(TRIM(MAIN!H460))), VALUE(TRIM(MAIN!H460)), 0))</f>
        <v>0</v>
      </c>
      <c r="I460">
        <f>IF(ISBLANK(MAIN!I460), 0, IF(ISNUMBER(VALUE(TRIM(MAIN!I460))), VALUE(TRIM(MAIN!I460)), 0))</f>
        <v>0</v>
      </c>
      <c r="J460">
        <f>IF(ISBLANK(MAIN!J460), 0, IF(ISNUMBER(VALUE(TRIM(MAIN!J460))), VALUE(TRIM(MAIN!J460)), 0))</f>
        <v>0</v>
      </c>
      <c r="K460" cm="1">
        <f t="array" ref="K460">IFERROR(
    VALUE(
        IFERROR(
            UPPER(
                IF(MAX(IFERROR(SEARCH("WD",MAIN!G460:J460), 0))&gt;0, "WD",
                IF(MAX(IFERROR(SEARCH("NS",MAIN!G460:J460), 0))&gt;0, "NS",
                IF(MAX(IFERROR(SEARCH("NC",MAIN!G460:J460), 0))&gt;0, "NC",
                IF(MAX(IFERROR(SEARCH("DQ",MAIN!G460:J460), 0))&gt;0, "DQ",
                IF(ISNUMBER(SEARCH("WD",MAIN!K460)), "WD",
                IF(ISNUMBER(SEARCH("NS",MAIN!K460)), "NS",
                IF(ISNUMBER(SEARCH("NC",MAIN!K460)), "NC",
                IF(ISNUMBER(SEARCH("DQ",MAIN!K460)), "DQ",
                IF(ISNUMBER(SEARCH("A",MAIN!K460)), 0,
                IF(OR(MAIN!K460=0,MAIN!K460=""), 0, --TRIM(MAIN!K460)))))))))))),
            0
        )
    ),
    IFERROR(
        UPPER(
            IF(MAX(IFERROR(SEARCH("WD",MAIN!G460:J460), 0))&gt;0, "WD",
            IF(MAX(IFERROR(SEARCH("NS",MAIN!G460:J460), 0))&gt;0, "NS",
            IF(MAX(IFERROR(SEARCH("NC",MAIN!G460:J460), 0))&gt;0, "NC",
            IF(MAX(IFERROR(SEARCH("DQ",MAIN!G460:J460), 0))&gt;0, "DQ",
            IF(ISNUMBER(SEARCH("WD",MAIN!K460)), "WD",
            IF(ISNUMBER(SEARCH("NS",MAIN!K460)), "NS",
            IF(ISNUMBER(SEARCH("NC",MAIN!K460)), "NC",
            IF(ISNUMBER(SEARCH("DQ",MAIN!K460)), "DQ",
            IF(ISNUMBER(SEARCH("A",MAIN!K460)), 0,
            IF(OR(MAIN!K460=0,MAIN!K460=""), 0, --TRIM(MAIN!K460)))))))))))),
        0
    )
)</f>
        <v>0</v>
      </c>
    </row>
    <row r="461" spans="1:11" x14ac:dyDescent="0.25">
      <c r="A461" t="str">
        <f>IF(ISBLANK(MAIN!A461), "--", IFERROR(PROPER(SUBSTITUTE(SUBSTITUTE(SUBSTITUTE(SUBSTITUTE(SUBSTITUTE(SUBSTITUTE(SUBSTITUTE(SUBSTITUTE(SUBSTITUTE(SUBSTITUTE(LEFT(MAIN!A461, FIND(",",MAIN!A461) -1), "0", ""), "1", ""), "2", ""), "3", ""), "4", ""), "5", ""), "6", ""), "7", ""), "8", ""), "9", "")), PROPER(SUBSTITUTE(SUBSTITUTE(SUBSTITUTE(SUBSTITUTE(SUBSTITUTE(SUBSTITUTE(SUBSTITUTE(SUBSTITUTE(SUBSTITUTE(SUBSTITUTE(MAIN!A461, "0", ""), "1", ""), "2", ""), "3", ""), "4", ""), "5", ""), "6", ""), "7", ""), "8", ""), "9", ""))))</f>
        <v>--</v>
      </c>
      <c r="B461" t="str">
        <f>IF(ISBLANK(MAIN!B461), "--", IFERROR(PROPER(SUBSTITUTE(SUBSTITUTE(SUBSTITUTE(SUBSTITUTE(SUBSTITUTE(SUBSTITUTE(SUBSTITUTE(SUBSTITUTE(SUBSTITUTE(SUBSTITUTE(LEFT(MAIN!B461, FIND(",",MAIN!B461) -1), "0", ""), "1", ""), "2", ""), "3", ""), "4", ""), "5", ""), "6", ""), "7", ""), "8", ""), "9", "")), PROPER(SUBSTITUTE(SUBSTITUTE(SUBSTITUTE(SUBSTITUTE(SUBSTITUTE(SUBSTITUTE(SUBSTITUTE(SUBSTITUTE(SUBSTITUTE(SUBSTITUTE(MAIN!B461, "0", ""), "1", ""), "2", ""), "3", ""), "4", ""), "5", ""), "6", ""), "7", ""), "8", ""), "9", ""))))</f>
        <v>--</v>
      </c>
      <c r="C461" t="str">
        <f>IF(ISBLANK(MAIN!C461), "--", IFERROR(PROPER(SUBSTITUTE(SUBSTITUTE(SUBSTITUTE(SUBSTITUTE(SUBSTITUTE(SUBSTITUTE(SUBSTITUTE(SUBSTITUTE(SUBSTITUTE(SUBSTITUTE(LEFT(MAIN!C461, FIND(",",MAIN!C461) -1), "0", ""), "1", ""), "2", ""), "3", ""), "4", ""), "5", ""), "6", ""), "7", ""), "8", ""), "9", "")), PROPER(SUBSTITUTE(SUBSTITUTE(SUBSTITUTE(SUBSTITUTE(SUBSTITUTE(SUBSTITUTE(SUBSTITUTE(SUBSTITUTE(SUBSTITUTE(SUBSTITUTE(MAIN!C461, "0", ""), "1", ""), "2", ""), "3", ""), "4", ""), "5", ""), "6", ""), "7", ""), "8", ""), "9", ""))))</f>
        <v>--</v>
      </c>
      <c r="D461" t="str">
        <f>IF(ISBLANK(MAIN!D461), "--", IF(ISNUMBER(MATCH(SUBSTITUTE(LEFT(MAIN!D461, IFERROR(FIND(",", MAIN!D461)-1, LEN(MAIN!D461))), " ", ""), lookup_values!$B$2:$B$51, 0)), UPPER(SUBSTITUTE(LEFT(MAIN!D461, IFERROR(FIND(",", MAIN!D461)-1, LEN(MAIN!D461))), " ", "")), IF(ISNA(VLOOKUP(SUBSTITUTE(LEFT(MAIN!D461, IFERROR(FIND(",", MAIN!D461)-1, LEN(MAIN!D461))), " ", ""), lookup_values!$A$2:$B$51, 2, FALSE)), "--", VLOOKUP(SUBSTITUTE(LEFT(MAIN!D461, IFERROR(FIND(",", MAIN!D461)-1, LEN(MAIN!D461))), " ", ""), lookup_values!$A$2:$B$51, 2, FALSE))))</f>
        <v>--</v>
      </c>
      <c r="E461" t="str">
        <f>IF(CLEAN_DATA!D461&lt;&gt;"--","US",IF(ISBLANK(MAIN!E461), "--", IF(ISNUMBER(MATCH(SUBSTITUTE(LEFT(MAIN!E461, IFERROR(FIND(",", MAIN!E461)-1, LEN(MAIN!E461))), " ", ""), lookup_values!$E$2:$E$197, 0)), UPPER(SUBSTITUTE(LEFT(MAIN!E461, IFERROR(FIND(",", MAIN!E461)-1, LEN(MAIN!E461))), " ", "")), IF(ISNA(VLOOKUP(SUBSTITUTE(LEFT(MAIN!E461, IFERROR(FIND(",", MAIN!E461)-1, LEN(MAIN!E461))), " ", ""), lookup_values!$D$2:$E$197, 2, FALSE)), "--", VLOOKUP(SUBSTITUTE(LEFT(MAIN!E461, IFERROR(FIND(",", MAIN!E461)-1, LEN(MAIN!E461))), " ", ""), lookup_values!$D$2:$E$197, 2, FALSE)))))</f>
        <v>--</v>
      </c>
      <c r="F461" t="str">
        <f>IF(ISBLANK(MAIN!F461), "", IF(AND(ISNUMBER(VALUE(TRIM(MAIN!F461))), LEN(TRIM(MAIN!F461))=4), VALUE(TRIM(MAIN!F461)), ""))</f>
        <v/>
      </c>
      <c r="G461">
        <f>IF(ISBLANK(MAIN!G461), 0, IF(ISNUMBER(VALUE(TRIM(MAIN!G461))), VALUE(TRIM(MAIN!G461)), 0))</f>
        <v>0</v>
      </c>
      <c r="H461">
        <f>IF(ISBLANK(MAIN!H461), 0, IF(ISNUMBER(VALUE(TRIM(MAIN!H461))), VALUE(TRIM(MAIN!H461)), 0))</f>
        <v>0</v>
      </c>
      <c r="I461">
        <f>IF(ISBLANK(MAIN!I461), 0, IF(ISNUMBER(VALUE(TRIM(MAIN!I461))), VALUE(TRIM(MAIN!I461)), 0))</f>
        <v>0</v>
      </c>
      <c r="J461">
        <f>IF(ISBLANK(MAIN!J461), 0, IF(ISNUMBER(VALUE(TRIM(MAIN!J461))), VALUE(TRIM(MAIN!J461)), 0))</f>
        <v>0</v>
      </c>
      <c r="K461" cm="1">
        <f t="array" ref="K461">IFERROR(
    VALUE(
        IFERROR(
            UPPER(
                IF(MAX(IFERROR(SEARCH("WD",MAIN!G461:J461), 0))&gt;0, "WD",
                IF(MAX(IFERROR(SEARCH("NS",MAIN!G461:J461), 0))&gt;0, "NS",
                IF(MAX(IFERROR(SEARCH("NC",MAIN!G461:J461), 0))&gt;0, "NC",
                IF(MAX(IFERROR(SEARCH("DQ",MAIN!G461:J461), 0))&gt;0, "DQ",
                IF(ISNUMBER(SEARCH("WD",MAIN!K461)), "WD",
                IF(ISNUMBER(SEARCH("NS",MAIN!K461)), "NS",
                IF(ISNUMBER(SEARCH("NC",MAIN!K461)), "NC",
                IF(ISNUMBER(SEARCH("DQ",MAIN!K461)), "DQ",
                IF(ISNUMBER(SEARCH("A",MAIN!K461)), 0,
                IF(OR(MAIN!K461=0,MAIN!K461=""), 0, --TRIM(MAIN!K461)))))))))))),
            0
        )
    ),
    IFERROR(
        UPPER(
            IF(MAX(IFERROR(SEARCH("WD",MAIN!G461:J461), 0))&gt;0, "WD",
            IF(MAX(IFERROR(SEARCH("NS",MAIN!G461:J461), 0))&gt;0, "NS",
            IF(MAX(IFERROR(SEARCH("NC",MAIN!G461:J461), 0))&gt;0, "NC",
            IF(MAX(IFERROR(SEARCH("DQ",MAIN!G461:J461), 0))&gt;0, "DQ",
            IF(ISNUMBER(SEARCH("WD",MAIN!K461)), "WD",
            IF(ISNUMBER(SEARCH("NS",MAIN!K461)), "NS",
            IF(ISNUMBER(SEARCH("NC",MAIN!K461)), "NC",
            IF(ISNUMBER(SEARCH("DQ",MAIN!K461)), "DQ",
            IF(ISNUMBER(SEARCH("A",MAIN!K461)), 0,
            IF(OR(MAIN!K461=0,MAIN!K461=""), 0, --TRIM(MAIN!K461)))))))))))),
        0
    )
)</f>
        <v>0</v>
      </c>
    </row>
    <row r="462" spans="1:11" x14ac:dyDescent="0.25">
      <c r="A462" t="str">
        <f>IF(ISBLANK(MAIN!A462), "--", IFERROR(PROPER(SUBSTITUTE(SUBSTITUTE(SUBSTITUTE(SUBSTITUTE(SUBSTITUTE(SUBSTITUTE(SUBSTITUTE(SUBSTITUTE(SUBSTITUTE(SUBSTITUTE(LEFT(MAIN!A462, FIND(",",MAIN!A462) -1), "0", ""), "1", ""), "2", ""), "3", ""), "4", ""), "5", ""), "6", ""), "7", ""), "8", ""), "9", "")), PROPER(SUBSTITUTE(SUBSTITUTE(SUBSTITUTE(SUBSTITUTE(SUBSTITUTE(SUBSTITUTE(SUBSTITUTE(SUBSTITUTE(SUBSTITUTE(SUBSTITUTE(MAIN!A462, "0", ""), "1", ""), "2", ""), "3", ""), "4", ""), "5", ""), "6", ""), "7", ""), "8", ""), "9", ""))))</f>
        <v>--</v>
      </c>
      <c r="B462" t="str">
        <f>IF(ISBLANK(MAIN!B462), "--", IFERROR(PROPER(SUBSTITUTE(SUBSTITUTE(SUBSTITUTE(SUBSTITUTE(SUBSTITUTE(SUBSTITUTE(SUBSTITUTE(SUBSTITUTE(SUBSTITUTE(SUBSTITUTE(LEFT(MAIN!B462, FIND(",",MAIN!B462) -1), "0", ""), "1", ""), "2", ""), "3", ""), "4", ""), "5", ""), "6", ""), "7", ""), "8", ""), "9", "")), PROPER(SUBSTITUTE(SUBSTITUTE(SUBSTITUTE(SUBSTITUTE(SUBSTITUTE(SUBSTITUTE(SUBSTITUTE(SUBSTITUTE(SUBSTITUTE(SUBSTITUTE(MAIN!B462, "0", ""), "1", ""), "2", ""), "3", ""), "4", ""), "5", ""), "6", ""), "7", ""), "8", ""), "9", ""))))</f>
        <v>--</v>
      </c>
      <c r="C462" t="str">
        <f>IF(ISBLANK(MAIN!C462), "--", IFERROR(PROPER(SUBSTITUTE(SUBSTITUTE(SUBSTITUTE(SUBSTITUTE(SUBSTITUTE(SUBSTITUTE(SUBSTITUTE(SUBSTITUTE(SUBSTITUTE(SUBSTITUTE(LEFT(MAIN!C462, FIND(",",MAIN!C462) -1), "0", ""), "1", ""), "2", ""), "3", ""), "4", ""), "5", ""), "6", ""), "7", ""), "8", ""), "9", "")), PROPER(SUBSTITUTE(SUBSTITUTE(SUBSTITUTE(SUBSTITUTE(SUBSTITUTE(SUBSTITUTE(SUBSTITUTE(SUBSTITUTE(SUBSTITUTE(SUBSTITUTE(MAIN!C462, "0", ""), "1", ""), "2", ""), "3", ""), "4", ""), "5", ""), "6", ""), "7", ""), "8", ""), "9", ""))))</f>
        <v>--</v>
      </c>
      <c r="D462" t="str">
        <f>IF(ISBLANK(MAIN!D462), "--", IF(ISNUMBER(MATCH(SUBSTITUTE(LEFT(MAIN!D462, IFERROR(FIND(",", MAIN!D462)-1, LEN(MAIN!D462))), " ", ""), lookup_values!$B$2:$B$51, 0)), UPPER(SUBSTITUTE(LEFT(MAIN!D462, IFERROR(FIND(",", MAIN!D462)-1, LEN(MAIN!D462))), " ", "")), IF(ISNA(VLOOKUP(SUBSTITUTE(LEFT(MAIN!D462, IFERROR(FIND(",", MAIN!D462)-1, LEN(MAIN!D462))), " ", ""), lookup_values!$A$2:$B$51, 2, FALSE)), "--", VLOOKUP(SUBSTITUTE(LEFT(MAIN!D462, IFERROR(FIND(",", MAIN!D462)-1, LEN(MAIN!D462))), " ", ""), lookup_values!$A$2:$B$51, 2, FALSE))))</f>
        <v>--</v>
      </c>
      <c r="E462" t="str">
        <f>IF(CLEAN_DATA!D462&lt;&gt;"--","US",IF(ISBLANK(MAIN!E462), "--", IF(ISNUMBER(MATCH(SUBSTITUTE(LEFT(MAIN!E462, IFERROR(FIND(",", MAIN!E462)-1, LEN(MAIN!E462))), " ", ""), lookup_values!$E$2:$E$197, 0)), UPPER(SUBSTITUTE(LEFT(MAIN!E462, IFERROR(FIND(",", MAIN!E462)-1, LEN(MAIN!E462))), " ", "")), IF(ISNA(VLOOKUP(SUBSTITUTE(LEFT(MAIN!E462, IFERROR(FIND(",", MAIN!E462)-1, LEN(MAIN!E462))), " ", ""), lookup_values!$D$2:$E$197, 2, FALSE)), "--", VLOOKUP(SUBSTITUTE(LEFT(MAIN!E462, IFERROR(FIND(",", MAIN!E462)-1, LEN(MAIN!E462))), " ", ""), lookup_values!$D$2:$E$197, 2, FALSE)))))</f>
        <v>--</v>
      </c>
      <c r="F462" t="str">
        <f>IF(ISBLANK(MAIN!F462), "", IF(AND(ISNUMBER(VALUE(TRIM(MAIN!F462))), LEN(TRIM(MAIN!F462))=4), VALUE(TRIM(MAIN!F462)), ""))</f>
        <v/>
      </c>
      <c r="G462">
        <f>IF(ISBLANK(MAIN!G462), 0, IF(ISNUMBER(VALUE(TRIM(MAIN!G462))), VALUE(TRIM(MAIN!G462)), 0))</f>
        <v>0</v>
      </c>
      <c r="H462">
        <f>IF(ISBLANK(MAIN!H462), 0, IF(ISNUMBER(VALUE(TRIM(MAIN!H462))), VALUE(TRIM(MAIN!H462)), 0))</f>
        <v>0</v>
      </c>
      <c r="I462">
        <f>IF(ISBLANK(MAIN!I462), 0, IF(ISNUMBER(VALUE(TRIM(MAIN!I462))), VALUE(TRIM(MAIN!I462)), 0))</f>
        <v>0</v>
      </c>
      <c r="J462">
        <f>IF(ISBLANK(MAIN!J462), 0, IF(ISNUMBER(VALUE(TRIM(MAIN!J462))), VALUE(TRIM(MAIN!J462)), 0))</f>
        <v>0</v>
      </c>
      <c r="K462" cm="1">
        <f t="array" ref="K462">IFERROR(
    VALUE(
        IFERROR(
            UPPER(
                IF(MAX(IFERROR(SEARCH("WD",MAIN!G462:J462), 0))&gt;0, "WD",
                IF(MAX(IFERROR(SEARCH("NS",MAIN!G462:J462), 0))&gt;0, "NS",
                IF(MAX(IFERROR(SEARCH("NC",MAIN!G462:J462), 0))&gt;0, "NC",
                IF(MAX(IFERROR(SEARCH("DQ",MAIN!G462:J462), 0))&gt;0, "DQ",
                IF(ISNUMBER(SEARCH("WD",MAIN!K462)), "WD",
                IF(ISNUMBER(SEARCH("NS",MAIN!K462)), "NS",
                IF(ISNUMBER(SEARCH("NC",MAIN!K462)), "NC",
                IF(ISNUMBER(SEARCH("DQ",MAIN!K462)), "DQ",
                IF(ISNUMBER(SEARCH("A",MAIN!K462)), 0,
                IF(OR(MAIN!K462=0,MAIN!K462=""), 0, --TRIM(MAIN!K462)))))))))))),
            0
        )
    ),
    IFERROR(
        UPPER(
            IF(MAX(IFERROR(SEARCH("WD",MAIN!G462:J462), 0))&gt;0, "WD",
            IF(MAX(IFERROR(SEARCH("NS",MAIN!G462:J462), 0))&gt;0, "NS",
            IF(MAX(IFERROR(SEARCH("NC",MAIN!G462:J462), 0))&gt;0, "NC",
            IF(MAX(IFERROR(SEARCH("DQ",MAIN!G462:J462), 0))&gt;0, "DQ",
            IF(ISNUMBER(SEARCH("WD",MAIN!K462)), "WD",
            IF(ISNUMBER(SEARCH("NS",MAIN!K462)), "NS",
            IF(ISNUMBER(SEARCH("NC",MAIN!K462)), "NC",
            IF(ISNUMBER(SEARCH("DQ",MAIN!K462)), "DQ",
            IF(ISNUMBER(SEARCH("A",MAIN!K462)), 0,
            IF(OR(MAIN!K462=0,MAIN!K462=""), 0, --TRIM(MAIN!K462)))))))))))),
        0
    )
)</f>
        <v>0</v>
      </c>
    </row>
    <row r="463" spans="1:11" x14ac:dyDescent="0.25">
      <c r="A463" t="str">
        <f>IF(ISBLANK(MAIN!A463), "--", IFERROR(PROPER(SUBSTITUTE(SUBSTITUTE(SUBSTITUTE(SUBSTITUTE(SUBSTITUTE(SUBSTITUTE(SUBSTITUTE(SUBSTITUTE(SUBSTITUTE(SUBSTITUTE(LEFT(MAIN!A463, FIND(",",MAIN!A463) -1), "0", ""), "1", ""), "2", ""), "3", ""), "4", ""), "5", ""), "6", ""), "7", ""), "8", ""), "9", "")), PROPER(SUBSTITUTE(SUBSTITUTE(SUBSTITUTE(SUBSTITUTE(SUBSTITUTE(SUBSTITUTE(SUBSTITUTE(SUBSTITUTE(SUBSTITUTE(SUBSTITUTE(MAIN!A463, "0", ""), "1", ""), "2", ""), "3", ""), "4", ""), "5", ""), "6", ""), "7", ""), "8", ""), "9", ""))))</f>
        <v>--</v>
      </c>
      <c r="B463" t="str">
        <f>IF(ISBLANK(MAIN!B463), "--", IFERROR(PROPER(SUBSTITUTE(SUBSTITUTE(SUBSTITUTE(SUBSTITUTE(SUBSTITUTE(SUBSTITUTE(SUBSTITUTE(SUBSTITUTE(SUBSTITUTE(SUBSTITUTE(LEFT(MAIN!B463, FIND(",",MAIN!B463) -1), "0", ""), "1", ""), "2", ""), "3", ""), "4", ""), "5", ""), "6", ""), "7", ""), "8", ""), "9", "")), PROPER(SUBSTITUTE(SUBSTITUTE(SUBSTITUTE(SUBSTITUTE(SUBSTITUTE(SUBSTITUTE(SUBSTITUTE(SUBSTITUTE(SUBSTITUTE(SUBSTITUTE(MAIN!B463, "0", ""), "1", ""), "2", ""), "3", ""), "4", ""), "5", ""), "6", ""), "7", ""), "8", ""), "9", ""))))</f>
        <v>--</v>
      </c>
      <c r="C463" t="str">
        <f>IF(ISBLANK(MAIN!C463), "--", IFERROR(PROPER(SUBSTITUTE(SUBSTITUTE(SUBSTITUTE(SUBSTITUTE(SUBSTITUTE(SUBSTITUTE(SUBSTITUTE(SUBSTITUTE(SUBSTITUTE(SUBSTITUTE(LEFT(MAIN!C463, FIND(",",MAIN!C463) -1), "0", ""), "1", ""), "2", ""), "3", ""), "4", ""), "5", ""), "6", ""), "7", ""), "8", ""), "9", "")), PROPER(SUBSTITUTE(SUBSTITUTE(SUBSTITUTE(SUBSTITUTE(SUBSTITUTE(SUBSTITUTE(SUBSTITUTE(SUBSTITUTE(SUBSTITUTE(SUBSTITUTE(MAIN!C463, "0", ""), "1", ""), "2", ""), "3", ""), "4", ""), "5", ""), "6", ""), "7", ""), "8", ""), "9", ""))))</f>
        <v>--</v>
      </c>
      <c r="D463" t="str">
        <f>IF(ISBLANK(MAIN!D463), "--", IF(ISNUMBER(MATCH(SUBSTITUTE(LEFT(MAIN!D463, IFERROR(FIND(",", MAIN!D463)-1, LEN(MAIN!D463))), " ", ""), lookup_values!$B$2:$B$51, 0)), UPPER(SUBSTITUTE(LEFT(MAIN!D463, IFERROR(FIND(",", MAIN!D463)-1, LEN(MAIN!D463))), " ", "")), IF(ISNA(VLOOKUP(SUBSTITUTE(LEFT(MAIN!D463, IFERROR(FIND(",", MAIN!D463)-1, LEN(MAIN!D463))), " ", ""), lookup_values!$A$2:$B$51, 2, FALSE)), "--", VLOOKUP(SUBSTITUTE(LEFT(MAIN!D463, IFERROR(FIND(",", MAIN!D463)-1, LEN(MAIN!D463))), " ", ""), lookup_values!$A$2:$B$51, 2, FALSE))))</f>
        <v>--</v>
      </c>
      <c r="E463" t="str">
        <f>IF(CLEAN_DATA!D463&lt;&gt;"--","US",IF(ISBLANK(MAIN!E463), "--", IF(ISNUMBER(MATCH(SUBSTITUTE(LEFT(MAIN!E463, IFERROR(FIND(",", MAIN!E463)-1, LEN(MAIN!E463))), " ", ""), lookup_values!$E$2:$E$197, 0)), UPPER(SUBSTITUTE(LEFT(MAIN!E463, IFERROR(FIND(",", MAIN!E463)-1, LEN(MAIN!E463))), " ", "")), IF(ISNA(VLOOKUP(SUBSTITUTE(LEFT(MAIN!E463, IFERROR(FIND(",", MAIN!E463)-1, LEN(MAIN!E463))), " ", ""), lookup_values!$D$2:$E$197, 2, FALSE)), "--", VLOOKUP(SUBSTITUTE(LEFT(MAIN!E463, IFERROR(FIND(",", MAIN!E463)-1, LEN(MAIN!E463))), " ", ""), lookup_values!$D$2:$E$197, 2, FALSE)))))</f>
        <v>--</v>
      </c>
      <c r="F463" t="str">
        <f>IF(ISBLANK(MAIN!F463), "", IF(AND(ISNUMBER(VALUE(TRIM(MAIN!F463))), LEN(TRIM(MAIN!F463))=4), VALUE(TRIM(MAIN!F463)), ""))</f>
        <v/>
      </c>
      <c r="G463">
        <f>IF(ISBLANK(MAIN!G463), 0, IF(ISNUMBER(VALUE(TRIM(MAIN!G463))), VALUE(TRIM(MAIN!G463)), 0))</f>
        <v>0</v>
      </c>
      <c r="H463">
        <f>IF(ISBLANK(MAIN!H463), 0, IF(ISNUMBER(VALUE(TRIM(MAIN!H463))), VALUE(TRIM(MAIN!H463)), 0))</f>
        <v>0</v>
      </c>
      <c r="I463">
        <f>IF(ISBLANK(MAIN!I463), 0, IF(ISNUMBER(VALUE(TRIM(MAIN!I463))), VALUE(TRIM(MAIN!I463)), 0))</f>
        <v>0</v>
      </c>
      <c r="J463">
        <f>IF(ISBLANK(MAIN!J463), 0, IF(ISNUMBER(VALUE(TRIM(MAIN!J463))), VALUE(TRIM(MAIN!J463)), 0))</f>
        <v>0</v>
      </c>
      <c r="K463" cm="1">
        <f t="array" ref="K463">IFERROR(
    VALUE(
        IFERROR(
            UPPER(
                IF(MAX(IFERROR(SEARCH("WD",MAIN!G463:J463), 0))&gt;0, "WD",
                IF(MAX(IFERROR(SEARCH("NS",MAIN!G463:J463), 0))&gt;0, "NS",
                IF(MAX(IFERROR(SEARCH("NC",MAIN!G463:J463), 0))&gt;0, "NC",
                IF(MAX(IFERROR(SEARCH("DQ",MAIN!G463:J463), 0))&gt;0, "DQ",
                IF(ISNUMBER(SEARCH("WD",MAIN!K463)), "WD",
                IF(ISNUMBER(SEARCH("NS",MAIN!K463)), "NS",
                IF(ISNUMBER(SEARCH("NC",MAIN!K463)), "NC",
                IF(ISNUMBER(SEARCH("DQ",MAIN!K463)), "DQ",
                IF(ISNUMBER(SEARCH("A",MAIN!K463)), 0,
                IF(OR(MAIN!K463=0,MAIN!K463=""), 0, --TRIM(MAIN!K463)))))))))))),
            0
        )
    ),
    IFERROR(
        UPPER(
            IF(MAX(IFERROR(SEARCH("WD",MAIN!G463:J463), 0))&gt;0, "WD",
            IF(MAX(IFERROR(SEARCH("NS",MAIN!G463:J463), 0))&gt;0, "NS",
            IF(MAX(IFERROR(SEARCH("NC",MAIN!G463:J463), 0))&gt;0, "NC",
            IF(MAX(IFERROR(SEARCH("DQ",MAIN!G463:J463), 0))&gt;0, "DQ",
            IF(ISNUMBER(SEARCH("WD",MAIN!K463)), "WD",
            IF(ISNUMBER(SEARCH("NS",MAIN!K463)), "NS",
            IF(ISNUMBER(SEARCH("NC",MAIN!K463)), "NC",
            IF(ISNUMBER(SEARCH("DQ",MAIN!K463)), "DQ",
            IF(ISNUMBER(SEARCH("A",MAIN!K463)), 0,
            IF(OR(MAIN!K463=0,MAIN!K463=""), 0, --TRIM(MAIN!K463)))))))))))),
        0
    )
)</f>
        <v>0</v>
      </c>
    </row>
    <row r="464" spans="1:11" x14ac:dyDescent="0.25">
      <c r="A464" t="str">
        <f>IF(ISBLANK(MAIN!A464), "--", IFERROR(PROPER(SUBSTITUTE(SUBSTITUTE(SUBSTITUTE(SUBSTITUTE(SUBSTITUTE(SUBSTITUTE(SUBSTITUTE(SUBSTITUTE(SUBSTITUTE(SUBSTITUTE(LEFT(MAIN!A464, FIND(",",MAIN!A464) -1), "0", ""), "1", ""), "2", ""), "3", ""), "4", ""), "5", ""), "6", ""), "7", ""), "8", ""), "9", "")), PROPER(SUBSTITUTE(SUBSTITUTE(SUBSTITUTE(SUBSTITUTE(SUBSTITUTE(SUBSTITUTE(SUBSTITUTE(SUBSTITUTE(SUBSTITUTE(SUBSTITUTE(MAIN!A464, "0", ""), "1", ""), "2", ""), "3", ""), "4", ""), "5", ""), "6", ""), "7", ""), "8", ""), "9", ""))))</f>
        <v>--</v>
      </c>
      <c r="B464" t="str">
        <f>IF(ISBLANK(MAIN!B464), "--", IFERROR(PROPER(SUBSTITUTE(SUBSTITUTE(SUBSTITUTE(SUBSTITUTE(SUBSTITUTE(SUBSTITUTE(SUBSTITUTE(SUBSTITUTE(SUBSTITUTE(SUBSTITUTE(LEFT(MAIN!B464, FIND(",",MAIN!B464) -1), "0", ""), "1", ""), "2", ""), "3", ""), "4", ""), "5", ""), "6", ""), "7", ""), "8", ""), "9", "")), PROPER(SUBSTITUTE(SUBSTITUTE(SUBSTITUTE(SUBSTITUTE(SUBSTITUTE(SUBSTITUTE(SUBSTITUTE(SUBSTITUTE(SUBSTITUTE(SUBSTITUTE(MAIN!B464, "0", ""), "1", ""), "2", ""), "3", ""), "4", ""), "5", ""), "6", ""), "7", ""), "8", ""), "9", ""))))</f>
        <v>--</v>
      </c>
      <c r="C464" t="str">
        <f>IF(ISBLANK(MAIN!C464), "--", IFERROR(PROPER(SUBSTITUTE(SUBSTITUTE(SUBSTITUTE(SUBSTITUTE(SUBSTITUTE(SUBSTITUTE(SUBSTITUTE(SUBSTITUTE(SUBSTITUTE(SUBSTITUTE(LEFT(MAIN!C464, FIND(",",MAIN!C464) -1), "0", ""), "1", ""), "2", ""), "3", ""), "4", ""), "5", ""), "6", ""), "7", ""), "8", ""), "9", "")), PROPER(SUBSTITUTE(SUBSTITUTE(SUBSTITUTE(SUBSTITUTE(SUBSTITUTE(SUBSTITUTE(SUBSTITUTE(SUBSTITUTE(SUBSTITUTE(SUBSTITUTE(MAIN!C464, "0", ""), "1", ""), "2", ""), "3", ""), "4", ""), "5", ""), "6", ""), "7", ""), "8", ""), "9", ""))))</f>
        <v>--</v>
      </c>
      <c r="D464" t="str">
        <f>IF(ISBLANK(MAIN!D464), "--", IF(ISNUMBER(MATCH(SUBSTITUTE(LEFT(MAIN!D464, IFERROR(FIND(",", MAIN!D464)-1, LEN(MAIN!D464))), " ", ""), lookup_values!$B$2:$B$51, 0)), UPPER(SUBSTITUTE(LEFT(MAIN!D464, IFERROR(FIND(",", MAIN!D464)-1, LEN(MAIN!D464))), " ", "")), IF(ISNA(VLOOKUP(SUBSTITUTE(LEFT(MAIN!D464, IFERROR(FIND(",", MAIN!D464)-1, LEN(MAIN!D464))), " ", ""), lookup_values!$A$2:$B$51, 2, FALSE)), "--", VLOOKUP(SUBSTITUTE(LEFT(MAIN!D464, IFERROR(FIND(",", MAIN!D464)-1, LEN(MAIN!D464))), " ", ""), lookup_values!$A$2:$B$51, 2, FALSE))))</f>
        <v>--</v>
      </c>
      <c r="E464" t="str">
        <f>IF(CLEAN_DATA!D464&lt;&gt;"--","US",IF(ISBLANK(MAIN!E464), "--", IF(ISNUMBER(MATCH(SUBSTITUTE(LEFT(MAIN!E464, IFERROR(FIND(",", MAIN!E464)-1, LEN(MAIN!E464))), " ", ""), lookup_values!$E$2:$E$197, 0)), UPPER(SUBSTITUTE(LEFT(MAIN!E464, IFERROR(FIND(",", MAIN!E464)-1, LEN(MAIN!E464))), " ", "")), IF(ISNA(VLOOKUP(SUBSTITUTE(LEFT(MAIN!E464, IFERROR(FIND(",", MAIN!E464)-1, LEN(MAIN!E464))), " ", ""), lookup_values!$D$2:$E$197, 2, FALSE)), "--", VLOOKUP(SUBSTITUTE(LEFT(MAIN!E464, IFERROR(FIND(",", MAIN!E464)-1, LEN(MAIN!E464))), " ", ""), lookup_values!$D$2:$E$197, 2, FALSE)))))</f>
        <v>--</v>
      </c>
      <c r="F464" t="str">
        <f>IF(ISBLANK(MAIN!F464), "", IF(AND(ISNUMBER(VALUE(TRIM(MAIN!F464))), LEN(TRIM(MAIN!F464))=4), VALUE(TRIM(MAIN!F464)), ""))</f>
        <v/>
      </c>
      <c r="G464">
        <f>IF(ISBLANK(MAIN!G464), 0, IF(ISNUMBER(VALUE(TRIM(MAIN!G464))), VALUE(TRIM(MAIN!G464)), 0))</f>
        <v>0</v>
      </c>
      <c r="H464">
        <f>IF(ISBLANK(MAIN!H464), 0, IF(ISNUMBER(VALUE(TRIM(MAIN!H464))), VALUE(TRIM(MAIN!H464)), 0))</f>
        <v>0</v>
      </c>
      <c r="I464">
        <f>IF(ISBLANK(MAIN!I464), 0, IF(ISNUMBER(VALUE(TRIM(MAIN!I464))), VALUE(TRIM(MAIN!I464)), 0))</f>
        <v>0</v>
      </c>
      <c r="J464">
        <f>IF(ISBLANK(MAIN!J464), 0, IF(ISNUMBER(VALUE(TRIM(MAIN!J464))), VALUE(TRIM(MAIN!J464)), 0))</f>
        <v>0</v>
      </c>
      <c r="K464" cm="1">
        <f t="array" ref="K464">IFERROR(
    VALUE(
        IFERROR(
            UPPER(
                IF(MAX(IFERROR(SEARCH("WD",MAIN!G464:J464), 0))&gt;0, "WD",
                IF(MAX(IFERROR(SEARCH("NS",MAIN!G464:J464), 0))&gt;0, "NS",
                IF(MAX(IFERROR(SEARCH("NC",MAIN!G464:J464), 0))&gt;0, "NC",
                IF(MAX(IFERROR(SEARCH("DQ",MAIN!G464:J464), 0))&gt;0, "DQ",
                IF(ISNUMBER(SEARCH("WD",MAIN!K464)), "WD",
                IF(ISNUMBER(SEARCH("NS",MAIN!K464)), "NS",
                IF(ISNUMBER(SEARCH("NC",MAIN!K464)), "NC",
                IF(ISNUMBER(SEARCH("DQ",MAIN!K464)), "DQ",
                IF(ISNUMBER(SEARCH("A",MAIN!K464)), 0,
                IF(OR(MAIN!K464=0,MAIN!K464=""), 0, --TRIM(MAIN!K464)))))))))))),
            0
        )
    ),
    IFERROR(
        UPPER(
            IF(MAX(IFERROR(SEARCH("WD",MAIN!G464:J464), 0))&gt;0, "WD",
            IF(MAX(IFERROR(SEARCH("NS",MAIN!G464:J464), 0))&gt;0, "NS",
            IF(MAX(IFERROR(SEARCH("NC",MAIN!G464:J464), 0))&gt;0, "NC",
            IF(MAX(IFERROR(SEARCH("DQ",MAIN!G464:J464), 0))&gt;0, "DQ",
            IF(ISNUMBER(SEARCH("WD",MAIN!K464)), "WD",
            IF(ISNUMBER(SEARCH("NS",MAIN!K464)), "NS",
            IF(ISNUMBER(SEARCH("NC",MAIN!K464)), "NC",
            IF(ISNUMBER(SEARCH("DQ",MAIN!K464)), "DQ",
            IF(ISNUMBER(SEARCH("A",MAIN!K464)), 0,
            IF(OR(MAIN!K464=0,MAIN!K464=""), 0, --TRIM(MAIN!K464)))))))))))),
        0
    )
)</f>
        <v>0</v>
      </c>
    </row>
    <row r="465" spans="1:11" x14ac:dyDescent="0.25">
      <c r="A465" t="str">
        <f>IF(ISBLANK(MAIN!A465), "--", IFERROR(PROPER(SUBSTITUTE(SUBSTITUTE(SUBSTITUTE(SUBSTITUTE(SUBSTITUTE(SUBSTITUTE(SUBSTITUTE(SUBSTITUTE(SUBSTITUTE(SUBSTITUTE(LEFT(MAIN!A465, FIND(",",MAIN!A465) -1), "0", ""), "1", ""), "2", ""), "3", ""), "4", ""), "5", ""), "6", ""), "7", ""), "8", ""), "9", "")), PROPER(SUBSTITUTE(SUBSTITUTE(SUBSTITUTE(SUBSTITUTE(SUBSTITUTE(SUBSTITUTE(SUBSTITUTE(SUBSTITUTE(SUBSTITUTE(SUBSTITUTE(MAIN!A465, "0", ""), "1", ""), "2", ""), "3", ""), "4", ""), "5", ""), "6", ""), "7", ""), "8", ""), "9", ""))))</f>
        <v>--</v>
      </c>
      <c r="B465" t="str">
        <f>IF(ISBLANK(MAIN!B465), "--", IFERROR(PROPER(SUBSTITUTE(SUBSTITUTE(SUBSTITUTE(SUBSTITUTE(SUBSTITUTE(SUBSTITUTE(SUBSTITUTE(SUBSTITUTE(SUBSTITUTE(SUBSTITUTE(LEFT(MAIN!B465, FIND(",",MAIN!B465) -1), "0", ""), "1", ""), "2", ""), "3", ""), "4", ""), "5", ""), "6", ""), "7", ""), "8", ""), "9", "")), PROPER(SUBSTITUTE(SUBSTITUTE(SUBSTITUTE(SUBSTITUTE(SUBSTITUTE(SUBSTITUTE(SUBSTITUTE(SUBSTITUTE(SUBSTITUTE(SUBSTITUTE(MAIN!B465, "0", ""), "1", ""), "2", ""), "3", ""), "4", ""), "5", ""), "6", ""), "7", ""), "8", ""), "9", ""))))</f>
        <v>--</v>
      </c>
      <c r="C465" t="str">
        <f>IF(ISBLANK(MAIN!C465), "--", IFERROR(PROPER(SUBSTITUTE(SUBSTITUTE(SUBSTITUTE(SUBSTITUTE(SUBSTITUTE(SUBSTITUTE(SUBSTITUTE(SUBSTITUTE(SUBSTITUTE(SUBSTITUTE(LEFT(MAIN!C465, FIND(",",MAIN!C465) -1), "0", ""), "1", ""), "2", ""), "3", ""), "4", ""), "5", ""), "6", ""), "7", ""), "8", ""), "9", "")), PROPER(SUBSTITUTE(SUBSTITUTE(SUBSTITUTE(SUBSTITUTE(SUBSTITUTE(SUBSTITUTE(SUBSTITUTE(SUBSTITUTE(SUBSTITUTE(SUBSTITUTE(MAIN!C465, "0", ""), "1", ""), "2", ""), "3", ""), "4", ""), "5", ""), "6", ""), "7", ""), "8", ""), "9", ""))))</f>
        <v>--</v>
      </c>
      <c r="D465" t="str">
        <f>IF(ISBLANK(MAIN!D465), "--", IF(ISNUMBER(MATCH(SUBSTITUTE(LEFT(MAIN!D465, IFERROR(FIND(",", MAIN!D465)-1, LEN(MAIN!D465))), " ", ""), lookup_values!$B$2:$B$51, 0)), UPPER(SUBSTITUTE(LEFT(MAIN!D465, IFERROR(FIND(",", MAIN!D465)-1, LEN(MAIN!D465))), " ", "")), IF(ISNA(VLOOKUP(SUBSTITUTE(LEFT(MAIN!D465, IFERROR(FIND(",", MAIN!D465)-1, LEN(MAIN!D465))), " ", ""), lookup_values!$A$2:$B$51, 2, FALSE)), "--", VLOOKUP(SUBSTITUTE(LEFT(MAIN!D465, IFERROR(FIND(",", MAIN!D465)-1, LEN(MAIN!D465))), " ", ""), lookup_values!$A$2:$B$51, 2, FALSE))))</f>
        <v>--</v>
      </c>
      <c r="E465" t="str">
        <f>IF(CLEAN_DATA!D465&lt;&gt;"--","US",IF(ISBLANK(MAIN!E465), "--", IF(ISNUMBER(MATCH(SUBSTITUTE(LEFT(MAIN!E465, IFERROR(FIND(",", MAIN!E465)-1, LEN(MAIN!E465))), " ", ""), lookup_values!$E$2:$E$197, 0)), UPPER(SUBSTITUTE(LEFT(MAIN!E465, IFERROR(FIND(",", MAIN!E465)-1, LEN(MAIN!E465))), " ", "")), IF(ISNA(VLOOKUP(SUBSTITUTE(LEFT(MAIN!E465, IFERROR(FIND(",", MAIN!E465)-1, LEN(MAIN!E465))), " ", ""), lookup_values!$D$2:$E$197, 2, FALSE)), "--", VLOOKUP(SUBSTITUTE(LEFT(MAIN!E465, IFERROR(FIND(",", MAIN!E465)-1, LEN(MAIN!E465))), " ", ""), lookup_values!$D$2:$E$197, 2, FALSE)))))</f>
        <v>--</v>
      </c>
      <c r="F465" t="str">
        <f>IF(ISBLANK(MAIN!F465), "", IF(AND(ISNUMBER(VALUE(TRIM(MAIN!F465))), LEN(TRIM(MAIN!F465))=4), VALUE(TRIM(MAIN!F465)), ""))</f>
        <v/>
      </c>
      <c r="G465">
        <f>IF(ISBLANK(MAIN!G465), 0, IF(ISNUMBER(VALUE(TRIM(MAIN!G465))), VALUE(TRIM(MAIN!G465)), 0))</f>
        <v>0</v>
      </c>
      <c r="H465">
        <f>IF(ISBLANK(MAIN!H465), 0, IF(ISNUMBER(VALUE(TRIM(MAIN!H465))), VALUE(TRIM(MAIN!H465)), 0))</f>
        <v>0</v>
      </c>
      <c r="I465">
        <f>IF(ISBLANK(MAIN!I465), 0, IF(ISNUMBER(VALUE(TRIM(MAIN!I465))), VALUE(TRIM(MAIN!I465)), 0))</f>
        <v>0</v>
      </c>
      <c r="J465">
        <f>IF(ISBLANK(MAIN!J465), 0, IF(ISNUMBER(VALUE(TRIM(MAIN!J465))), VALUE(TRIM(MAIN!J465)), 0))</f>
        <v>0</v>
      </c>
      <c r="K465" cm="1">
        <f t="array" ref="K465">IFERROR(
    VALUE(
        IFERROR(
            UPPER(
                IF(MAX(IFERROR(SEARCH("WD",MAIN!G465:J465), 0))&gt;0, "WD",
                IF(MAX(IFERROR(SEARCH("NS",MAIN!G465:J465), 0))&gt;0, "NS",
                IF(MAX(IFERROR(SEARCH("NC",MAIN!G465:J465), 0))&gt;0, "NC",
                IF(MAX(IFERROR(SEARCH("DQ",MAIN!G465:J465), 0))&gt;0, "DQ",
                IF(ISNUMBER(SEARCH("WD",MAIN!K465)), "WD",
                IF(ISNUMBER(SEARCH("NS",MAIN!K465)), "NS",
                IF(ISNUMBER(SEARCH("NC",MAIN!K465)), "NC",
                IF(ISNUMBER(SEARCH("DQ",MAIN!K465)), "DQ",
                IF(ISNUMBER(SEARCH("A",MAIN!K465)), 0,
                IF(OR(MAIN!K465=0,MAIN!K465=""), 0, --TRIM(MAIN!K465)))))))))))),
            0
        )
    ),
    IFERROR(
        UPPER(
            IF(MAX(IFERROR(SEARCH("WD",MAIN!G465:J465), 0))&gt;0, "WD",
            IF(MAX(IFERROR(SEARCH("NS",MAIN!G465:J465), 0))&gt;0, "NS",
            IF(MAX(IFERROR(SEARCH("NC",MAIN!G465:J465), 0))&gt;0, "NC",
            IF(MAX(IFERROR(SEARCH("DQ",MAIN!G465:J465), 0))&gt;0, "DQ",
            IF(ISNUMBER(SEARCH("WD",MAIN!K465)), "WD",
            IF(ISNUMBER(SEARCH("NS",MAIN!K465)), "NS",
            IF(ISNUMBER(SEARCH("NC",MAIN!K465)), "NC",
            IF(ISNUMBER(SEARCH("DQ",MAIN!K465)), "DQ",
            IF(ISNUMBER(SEARCH("A",MAIN!K465)), 0,
            IF(OR(MAIN!K465=0,MAIN!K465=""), 0, --TRIM(MAIN!K465)))))))))))),
        0
    )
)</f>
        <v>0</v>
      </c>
    </row>
    <row r="466" spans="1:11" x14ac:dyDescent="0.25">
      <c r="A466" t="str">
        <f>IF(ISBLANK(MAIN!A466), "--", IFERROR(PROPER(SUBSTITUTE(SUBSTITUTE(SUBSTITUTE(SUBSTITUTE(SUBSTITUTE(SUBSTITUTE(SUBSTITUTE(SUBSTITUTE(SUBSTITUTE(SUBSTITUTE(LEFT(MAIN!A466, FIND(",",MAIN!A466) -1), "0", ""), "1", ""), "2", ""), "3", ""), "4", ""), "5", ""), "6", ""), "7", ""), "8", ""), "9", "")), PROPER(SUBSTITUTE(SUBSTITUTE(SUBSTITUTE(SUBSTITUTE(SUBSTITUTE(SUBSTITUTE(SUBSTITUTE(SUBSTITUTE(SUBSTITUTE(SUBSTITUTE(MAIN!A466, "0", ""), "1", ""), "2", ""), "3", ""), "4", ""), "5", ""), "6", ""), "7", ""), "8", ""), "9", ""))))</f>
        <v>--</v>
      </c>
      <c r="B466" t="str">
        <f>IF(ISBLANK(MAIN!B466), "--", IFERROR(PROPER(SUBSTITUTE(SUBSTITUTE(SUBSTITUTE(SUBSTITUTE(SUBSTITUTE(SUBSTITUTE(SUBSTITUTE(SUBSTITUTE(SUBSTITUTE(SUBSTITUTE(LEFT(MAIN!B466, FIND(",",MAIN!B466) -1), "0", ""), "1", ""), "2", ""), "3", ""), "4", ""), "5", ""), "6", ""), "7", ""), "8", ""), "9", "")), PROPER(SUBSTITUTE(SUBSTITUTE(SUBSTITUTE(SUBSTITUTE(SUBSTITUTE(SUBSTITUTE(SUBSTITUTE(SUBSTITUTE(SUBSTITUTE(SUBSTITUTE(MAIN!B466, "0", ""), "1", ""), "2", ""), "3", ""), "4", ""), "5", ""), "6", ""), "7", ""), "8", ""), "9", ""))))</f>
        <v>--</v>
      </c>
      <c r="C466" t="str">
        <f>IF(ISBLANK(MAIN!C466), "--", IFERROR(PROPER(SUBSTITUTE(SUBSTITUTE(SUBSTITUTE(SUBSTITUTE(SUBSTITUTE(SUBSTITUTE(SUBSTITUTE(SUBSTITUTE(SUBSTITUTE(SUBSTITUTE(LEFT(MAIN!C466, FIND(",",MAIN!C466) -1), "0", ""), "1", ""), "2", ""), "3", ""), "4", ""), "5", ""), "6", ""), "7", ""), "8", ""), "9", "")), PROPER(SUBSTITUTE(SUBSTITUTE(SUBSTITUTE(SUBSTITUTE(SUBSTITUTE(SUBSTITUTE(SUBSTITUTE(SUBSTITUTE(SUBSTITUTE(SUBSTITUTE(MAIN!C466, "0", ""), "1", ""), "2", ""), "3", ""), "4", ""), "5", ""), "6", ""), "7", ""), "8", ""), "9", ""))))</f>
        <v>--</v>
      </c>
      <c r="D466" t="str">
        <f>IF(ISBLANK(MAIN!D466), "--", IF(ISNUMBER(MATCH(SUBSTITUTE(LEFT(MAIN!D466, IFERROR(FIND(",", MAIN!D466)-1, LEN(MAIN!D466))), " ", ""), lookup_values!$B$2:$B$51, 0)), UPPER(SUBSTITUTE(LEFT(MAIN!D466, IFERROR(FIND(",", MAIN!D466)-1, LEN(MAIN!D466))), " ", "")), IF(ISNA(VLOOKUP(SUBSTITUTE(LEFT(MAIN!D466, IFERROR(FIND(",", MAIN!D466)-1, LEN(MAIN!D466))), " ", ""), lookup_values!$A$2:$B$51, 2, FALSE)), "--", VLOOKUP(SUBSTITUTE(LEFT(MAIN!D466, IFERROR(FIND(",", MAIN!D466)-1, LEN(MAIN!D466))), " ", ""), lookup_values!$A$2:$B$51, 2, FALSE))))</f>
        <v>--</v>
      </c>
      <c r="E466" t="str">
        <f>IF(CLEAN_DATA!D466&lt;&gt;"--","US",IF(ISBLANK(MAIN!E466), "--", IF(ISNUMBER(MATCH(SUBSTITUTE(LEFT(MAIN!E466, IFERROR(FIND(",", MAIN!E466)-1, LEN(MAIN!E466))), " ", ""), lookup_values!$E$2:$E$197, 0)), UPPER(SUBSTITUTE(LEFT(MAIN!E466, IFERROR(FIND(",", MAIN!E466)-1, LEN(MAIN!E466))), " ", "")), IF(ISNA(VLOOKUP(SUBSTITUTE(LEFT(MAIN!E466, IFERROR(FIND(",", MAIN!E466)-1, LEN(MAIN!E466))), " ", ""), lookup_values!$D$2:$E$197, 2, FALSE)), "--", VLOOKUP(SUBSTITUTE(LEFT(MAIN!E466, IFERROR(FIND(",", MAIN!E466)-1, LEN(MAIN!E466))), " ", ""), lookup_values!$D$2:$E$197, 2, FALSE)))))</f>
        <v>--</v>
      </c>
      <c r="F466" t="str">
        <f>IF(ISBLANK(MAIN!F466), "", IF(AND(ISNUMBER(VALUE(TRIM(MAIN!F466))), LEN(TRIM(MAIN!F466))=4), VALUE(TRIM(MAIN!F466)), ""))</f>
        <v/>
      </c>
      <c r="G466">
        <f>IF(ISBLANK(MAIN!G466), 0, IF(ISNUMBER(VALUE(TRIM(MAIN!G466))), VALUE(TRIM(MAIN!G466)), 0))</f>
        <v>0</v>
      </c>
      <c r="H466">
        <f>IF(ISBLANK(MAIN!H466), 0, IF(ISNUMBER(VALUE(TRIM(MAIN!H466))), VALUE(TRIM(MAIN!H466)), 0))</f>
        <v>0</v>
      </c>
      <c r="I466">
        <f>IF(ISBLANK(MAIN!I466), 0, IF(ISNUMBER(VALUE(TRIM(MAIN!I466))), VALUE(TRIM(MAIN!I466)), 0))</f>
        <v>0</v>
      </c>
      <c r="J466">
        <f>IF(ISBLANK(MAIN!J466), 0, IF(ISNUMBER(VALUE(TRIM(MAIN!J466))), VALUE(TRIM(MAIN!J466)), 0))</f>
        <v>0</v>
      </c>
      <c r="K466" cm="1">
        <f t="array" ref="K466">IFERROR(
    VALUE(
        IFERROR(
            UPPER(
                IF(MAX(IFERROR(SEARCH("WD",MAIN!G466:J466), 0))&gt;0, "WD",
                IF(MAX(IFERROR(SEARCH("NS",MAIN!G466:J466), 0))&gt;0, "NS",
                IF(MAX(IFERROR(SEARCH("NC",MAIN!G466:J466), 0))&gt;0, "NC",
                IF(MAX(IFERROR(SEARCH("DQ",MAIN!G466:J466), 0))&gt;0, "DQ",
                IF(ISNUMBER(SEARCH("WD",MAIN!K466)), "WD",
                IF(ISNUMBER(SEARCH("NS",MAIN!K466)), "NS",
                IF(ISNUMBER(SEARCH("NC",MAIN!K466)), "NC",
                IF(ISNUMBER(SEARCH("DQ",MAIN!K466)), "DQ",
                IF(ISNUMBER(SEARCH("A",MAIN!K466)), 0,
                IF(OR(MAIN!K466=0,MAIN!K466=""), 0, --TRIM(MAIN!K466)))))))))))),
            0
        )
    ),
    IFERROR(
        UPPER(
            IF(MAX(IFERROR(SEARCH("WD",MAIN!G466:J466), 0))&gt;0, "WD",
            IF(MAX(IFERROR(SEARCH("NS",MAIN!G466:J466), 0))&gt;0, "NS",
            IF(MAX(IFERROR(SEARCH("NC",MAIN!G466:J466), 0))&gt;0, "NC",
            IF(MAX(IFERROR(SEARCH("DQ",MAIN!G466:J466), 0))&gt;0, "DQ",
            IF(ISNUMBER(SEARCH("WD",MAIN!K466)), "WD",
            IF(ISNUMBER(SEARCH("NS",MAIN!K466)), "NS",
            IF(ISNUMBER(SEARCH("NC",MAIN!K466)), "NC",
            IF(ISNUMBER(SEARCH("DQ",MAIN!K466)), "DQ",
            IF(ISNUMBER(SEARCH("A",MAIN!K466)), 0,
            IF(OR(MAIN!K466=0,MAIN!K466=""), 0, --TRIM(MAIN!K466)))))))))))),
        0
    )
)</f>
        <v>0</v>
      </c>
    </row>
    <row r="467" spans="1:11" x14ac:dyDescent="0.25">
      <c r="A467" t="str">
        <f>IF(ISBLANK(MAIN!A467), "--", IFERROR(PROPER(SUBSTITUTE(SUBSTITUTE(SUBSTITUTE(SUBSTITUTE(SUBSTITUTE(SUBSTITUTE(SUBSTITUTE(SUBSTITUTE(SUBSTITUTE(SUBSTITUTE(LEFT(MAIN!A467, FIND(",",MAIN!A467) -1), "0", ""), "1", ""), "2", ""), "3", ""), "4", ""), "5", ""), "6", ""), "7", ""), "8", ""), "9", "")), PROPER(SUBSTITUTE(SUBSTITUTE(SUBSTITUTE(SUBSTITUTE(SUBSTITUTE(SUBSTITUTE(SUBSTITUTE(SUBSTITUTE(SUBSTITUTE(SUBSTITUTE(MAIN!A467, "0", ""), "1", ""), "2", ""), "3", ""), "4", ""), "5", ""), "6", ""), "7", ""), "8", ""), "9", ""))))</f>
        <v>--</v>
      </c>
      <c r="B467" t="str">
        <f>IF(ISBLANK(MAIN!B467), "--", IFERROR(PROPER(SUBSTITUTE(SUBSTITUTE(SUBSTITUTE(SUBSTITUTE(SUBSTITUTE(SUBSTITUTE(SUBSTITUTE(SUBSTITUTE(SUBSTITUTE(SUBSTITUTE(LEFT(MAIN!B467, FIND(",",MAIN!B467) -1), "0", ""), "1", ""), "2", ""), "3", ""), "4", ""), "5", ""), "6", ""), "7", ""), "8", ""), "9", "")), PROPER(SUBSTITUTE(SUBSTITUTE(SUBSTITUTE(SUBSTITUTE(SUBSTITUTE(SUBSTITUTE(SUBSTITUTE(SUBSTITUTE(SUBSTITUTE(SUBSTITUTE(MAIN!B467, "0", ""), "1", ""), "2", ""), "3", ""), "4", ""), "5", ""), "6", ""), "7", ""), "8", ""), "9", ""))))</f>
        <v>--</v>
      </c>
      <c r="C467" t="str">
        <f>IF(ISBLANK(MAIN!C467), "--", IFERROR(PROPER(SUBSTITUTE(SUBSTITUTE(SUBSTITUTE(SUBSTITUTE(SUBSTITUTE(SUBSTITUTE(SUBSTITUTE(SUBSTITUTE(SUBSTITUTE(SUBSTITUTE(LEFT(MAIN!C467, FIND(",",MAIN!C467) -1), "0", ""), "1", ""), "2", ""), "3", ""), "4", ""), "5", ""), "6", ""), "7", ""), "8", ""), "9", "")), PROPER(SUBSTITUTE(SUBSTITUTE(SUBSTITUTE(SUBSTITUTE(SUBSTITUTE(SUBSTITUTE(SUBSTITUTE(SUBSTITUTE(SUBSTITUTE(SUBSTITUTE(MAIN!C467, "0", ""), "1", ""), "2", ""), "3", ""), "4", ""), "5", ""), "6", ""), "7", ""), "8", ""), "9", ""))))</f>
        <v>--</v>
      </c>
      <c r="D467" t="str">
        <f>IF(ISBLANK(MAIN!D467), "--", IF(ISNUMBER(MATCH(SUBSTITUTE(LEFT(MAIN!D467, IFERROR(FIND(",", MAIN!D467)-1, LEN(MAIN!D467))), " ", ""), lookup_values!$B$2:$B$51, 0)), UPPER(SUBSTITUTE(LEFT(MAIN!D467, IFERROR(FIND(",", MAIN!D467)-1, LEN(MAIN!D467))), " ", "")), IF(ISNA(VLOOKUP(SUBSTITUTE(LEFT(MAIN!D467, IFERROR(FIND(",", MAIN!D467)-1, LEN(MAIN!D467))), " ", ""), lookup_values!$A$2:$B$51, 2, FALSE)), "--", VLOOKUP(SUBSTITUTE(LEFT(MAIN!D467, IFERROR(FIND(",", MAIN!D467)-1, LEN(MAIN!D467))), " ", ""), lookup_values!$A$2:$B$51, 2, FALSE))))</f>
        <v>--</v>
      </c>
      <c r="E467" t="str">
        <f>IF(CLEAN_DATA!D467&lt;&gt;"--","US",IF(ISBLANK(MAIN!E467), "--", IF(ISNUMBER(MATCH(SUBSTITUTE(LEFT(MAIN!E467, IFERROR(FIND(",", MAIN!E467)-1, LEN(MAIN!E467))), " ", ""), lookup_values!$E$2:$E$197, 0)), UPPER(SUBSTITUTE(LEFT(MAIN!E467, IFERROR(FIND(",", MAIN!E467)-1, LEN(MAIN!E467))), " ", "")), IF(ISNA(VLOOKUP(SUBSTITUTE(LEFT(MAIN!E467, IFERROR(FIND(",", MAIN!E467)-1, LEN(MAIN!E467))), " ", ""), lookup_values!$D$2:$E$197, 2, FALSE)), "--", VLOOKUP(SUBSTITUTE(LEFT(MAIN!E467, IFERROR(FIND(",", MAIN!E467)-1, LEN(MAIN!E467))), " ", ""), lookup_values!$D$2:$E$197, 2, FALSE)))))</f>
        <v>--</v>
      </c>
      <c r="F467" t="str">
        <f>IF(ISBLANK(MAIN!F467), "", IF(AND(ISNUMBER(VALUE(TRIM(MAIN!F467))), LEN(TRIM(MAIN!F467))=4), VALUE(TRIM(MAIN!F467)), ""))</f>
        <v/>
      </c>
      <c r="G467">
        <f>IF(ISBLANK(MAIN!G467), 0, IF(ISNUMBER(VALUE(TRIM(MAIN!G467))), VALUE(TRIM(MAIN!G467)), 0))</f>
        <v>0</v>
      </c>
      <c r="H467">
        <f>IF(ISBLANK(MAIN!H467), 0, IF(ISNUMBER(VALUE(TRIM(MAIN!H467))), VALUE(TRIM(MAIN!H467)), 0))</f>
        <v>0</v>
      </c>
      <c r="I467">
        <f>IF(ISBLANK(MAIN!I467), 0, IF(ISNUMBER(VALUE(TRIM(MAIN!I467))), VALUE(TRIM(MAIN!I467)), 0))</f>
        <v>0</v>
      </c>
      <c r="J467">
        <f>IF(ISBLANK(MAIN!J467), 0, IF(ISNUMBER(VALUE(TRIM(MAIN!J467))), VALUE(TRIM(MAIN!J467)), 0))</f>
        <v>0</v>
      </c>
      <c r="K467" cm="1">
        <f t="array" ref="K467">IFERROR(
    VALUE(
        IFERROR(
            UPPER(
                IF(MAX(IFERROR(SEARCH("WD",MAIN!G467:J467), 0))&gt;0, "WD",
                IF(MAX(IFERROR(SEARCH("NS",MAIN!G467:J467), 0))&gt;0, "NS",
                IF(MAX(IFERROR(SEARCH("NC",MAIN!G467:J467), 0))&gt;0, "NC",
                IF(MAX(IFERROR(SEARCH("DQ",MAIN!G467:J467), 0))&gt;0, "DQ",
                IF(ISNUMBER(SEARCH("WD",MAIN!K467)), "WD",
                IF(ISNUMBER(SEARCH("NS",MAIN!K467)), "NS",
                IF(ISNUMBER(SEARCH("NC",MAIN!K467)), "NC",
                IF(ISNUMBER(SEARCH("DQ",MAIN!K467)), "DQ",
                IF(ISNUMBER(SEARCH("A",MAIN!K467)), 0,
                IF(OR(MAIN!K467=0,MAIN!K467=""), 0, --TRIM(MAIN!K467)))))))))))),
            0
        )
    ),
    IFERROR(
        UPPER(
            IF(MAX(IFERROR(SEARCH("WD",MAIN!G467:J467), 0))&gt;0, "WD",
            IF(MAX(IFERROR(SEARCH("NS",MAIN!G467:J467), 0))&gt;0, "NS",
            IF(MAX(IFERROR(SEARCH("NC",MAIN!G467:J467), 0))&gt;0, "NC",
            IF(MAX(IFERROR(SEARCH("DQ",MAIN!G467:J467), 0))&gt;0, "DQ",
            IF(ISNUMBER(SEARCH("WD",MAIN!K467)), "WD",
            IF(ISNUMBER(SEARCH("NS",MAIN!K467)), "NS",
            IF(ISNUMBER(SEARCH("NC",MAIN!K467)), "NC",
            IF(ISNUMBER(SEARCH("DQ",MAIN!K467)), "DQ",
            IF(ISNUMBER(SEARCH("A",MAIN!K467)), 0,
            IF(OR(MAIN!K467=0,MAIN!K467=""), 0, --TRIM(MAIN!K467)))))))))))),
        0
    )
)</f>
        <v>0</v>
      </c>
    </row>
    <row r="468" spans="1:11" x14ac:dyDescent="0.25">
      <c r="A468" t="str">
        <f>IF(ISBLANK(MAIN!A468), "--", IFERROR(PROPER(SUBSTITUTE(SUBSTITUTE(SUBSTITUTE(SUBSTITUTE(SUBSTITUTE(SUBSTITUTE(SUBSTITUTE(SUBSTITUTE(SUBSTITUTE(SUBSTITUTE(LEFT(MAIN!A468, FIND(",",MAIN!A468) -1), "0", ""), "1", ""), "2", ""), "3", ""), "4", ""), "5", ""), "6", ""), "7", ""), "8", ""), "9", "")), PROPER(SUBSTITUTE(SUBSTITUTE(SUBSTITUTE(SUBSTITUTE(SUBSTITUTE(SUBSTITUTE(SUBSTITUTE(SUBSTITUTE(SUBSTITUTE(SUBSTITUTE(MAIN!A468, "0", ""), "1", ""), "2", ""), "3", ""), "4", ""), "5", ""), "6", ""), "7", ""), "8", ""), "9", ""))))</f>
        <v>--</v>
      </c>
      <c r="B468" t="str">
        <f>IF(ISBLANK(MAIN!B468), "--", IFERROR(PROPER(SUBSTITUTE(SUBSTITUTE(SUBSTITUTE(SUBSTITUTE(SUBSTITUTE(SUBSTITUTE(SUBSTITUTE(SUBSTITUTE(SUBSTITUTE(SUBSTITUTE(LEFT(MAIN!B468, FIND(",",MAIN!B468) -1), "0", ""), "1", ""), "2", ""), "3", ""), "4", ""), "5", ""), "6", ""), "7", ""), "8", ""), "9", "")), PROPER(SUBSTITUTE(SUBSTITUTE(SUBSTITUTE(SUBSTITUTE(SUBSTITUTE(SUBSTITUTE(SUBSTITUTE(SUBSTITUTE(SUBSTITUTE(SUBSTITUTE(MAIN!B468, "0", ""), "1", ""), "2", ""), "3", ""), "4", ""), "5", ""), "6", ""), "7", ""), "8", ""), "9", ""))))</f>
        <v>--</v>
      </c>
      <c r="C468" t="str">
        <f>IF(ISBLANK(MAIN!C468), "--", IFERROR(PROPER(SUBSTITUTE(SUBSTITUTE(SUBSTITUTE(SUBSTITUTE(SUBSTITUTE(SUBSTITUTE(SUBSTITUTE(SUBSTITUTE(SUBSTITUTE(SUBSTITUTE(LEFT(MAIN!C468, FIND(",",MAIN!C468) -1), "0", ""), "1", ""), "2", ""), "3", ""), "4", ""), "5", ""), "6", ""), "7", ""), "8", ""), "9", "")), PROPER(SUBSTITUTE(SUBSTITUTE(SUBSTITUTE(SUBSTITUTE(SUBSTITUTE(SUBSTITUTE(SUBSTITUTE(SUBSTITUTE(SUBSTITUTE(SUBSTITUTE(MAIN!C468, "0", ""), "1", ""), "2", ""), "3", ""), "4", ""), "5", ""), "6", ""), "7", ""), "8", ""), "9", ""))))</f>
        <v>--</v>
      </c>
      <c r="D468" t="str">
        <f>IF(ISBLANK(MAIN!D468), "--", IF(ISNUMBER(MATCH(SUBSTITUTE(LEFT(MAIN!D468, IFERROR(FIND(",", MAIN!D468)-1, LEN(MAIN!D468))), " ", ""), lookup_values!$B$2:$B$51, 0)), UPPER(SUBSTITUTE(LEFT(MAIN!D468, IFERROR(FIND(",", MAIN!D468)-1, LEN(MAIN!D468))), " ", "")), IF(ISNA(VLOOKUP(SUBSTITUTE(LEFT(MAIN!D468, IFERROR(FIND(",", MAIN!D468)-1, LEN(MAIN!D468))), " ", ""), lookup_values!$A$2:$B$51, 2, FALSE)), "--", VLOOKUP(SUBSTITUTE(LEFT(MAIN!D468, IFERROR(FIND(",", MAIN!D468)-1, LEN(MAIN!D468))), " ", ""), lookup_values!$A$2:$B$51, 2, FALSE))))</f>
        <v>--</v>
      </c>
      <c r="E468" t="str">
        <f>IF(CLEAN_DATA!D468&lt;&gt;"--","US",IF(ISBLANK(MAIN!E468), "--", IF(ISNUMBER(MATCH(SUBSTITUTE(LEFT(MAIN!E468, IFERROR(FIND(",", MAIN!E468)-1, LEN(MAIN!E468))), " ", ""), lookup_values!$E$2:$E$197, 0)), UPPER(SUBSTITUTE(LEFT(MAIN!E468, IFERROR(FIND(",", MAIN!E468)-1, LEN(MAIN!E468))), " ", "")), IF(ISNA(VLOOKUP(SUBSTITUTE(LEFT(MAIN!E468, IFERROR(FIND(",", MAIN!E468)-1, LEN(MAIN!E468))), " ", ""), lookup_values!$D$2:$E$197, 2, FALSE)), "--", VLOOKUP(SUBSTITUTE(LEFT(MAIN!E468, IFERROR(FIND(",", MAIN!E468)-1, LEN(MAIN!E468))), " ", ""), lookup_values!$D$2:$E$197, 2, FALSE)))))</f>
        <v>--</v>
      </c>
      <c r="F468" t="str">
        <f>IF(ISBLANK(MAIN!F468), "", IF(AND(ISNUMBER(VALUE(TRIM(MAIN!F468))), LEN(TRIM(MAIN!F468))=4), VALUE(TRIM(MAIN!F468)), ""))</f>
        <v/>
      </c>
      <c r="G468">
        <f>IF(ISBLANK(MAIN!G468), 0, IF(ISNUMBER(VALUE(TRIM(MAIN!G468))), VALUE(TRIM(MAIN!G468)), 0))</f>
        <v>0</v>
      </c>
      <c r="H468">
        <f>IF(ISBLANK(MAIN!H468), 0, IF(ISNUMBER(VALUE(TRIM(MAIN!H468))), VALUE(TRIM(MAIN!H468)), 0))</f>
        <v>0</v>
      </c>
      <c r="I468">
        <f>IF(ISBLANK(MAIN!I468), 0, IF(ISNUMBER(VALUE(TRIM(MAIN!I468))), VALUE(TRIM(MAIN!I468)), 0))</f>
        <v>0</v>
      </c>
      <c r="J468">
        <f>IF(ISBLANK(MAIN!J468), 0, IF(ISNUMBER(VALUE(TRIM(MAIN!J468))), VALUE(TRIM(MAIN!J468)), 0))</f>
        <v>0</v>
      </c>
      <c r="K468" cm="1">
        <f t="array" ref="K468">IFERROR(
    VALUE(
        IFERROR(
            UPPER(
                IF(MAX(IFERROR(SEARCH("WD",MAIN!G468:J468), 0))&gt;0, "WD",
                IF(MAX(IFERROR(SEARCH("NS",MAIN!G468:J468), 0))&gt;0, "NS",
                IF(MAX(IFERROR(SEARCH("NC",MAIN!G468:J468), 0))&gt;0, "NC",
                IF(MAX(IFERROR(SEARCH("DQ",MAIN!G468:J468), 0))&gt;0, "DQ",
                IF(ISNUMBER(SEARCH("WD",MAIN!K468)), "WD",
                IF(ISNUMBER(SEARCH("NS",MAIN!K468)), "NS",
                IF(ISNUMBER(SEARCH("NC",MAIN!K468)), "NC",
                IF(ISNUMBER(SEARCH("DQ",MAIN!K468)), "DQ",
                IF(ISNUMBER(SEARCH("A",MAIN!K468)), 0,
                IF(OR(MAIN!K468=0,MAIN!K468=""), 0, --TRIM(MAIN!K468)))))))))))),
            0
        )
    ),
    IFERROR(
        UPPER(
            IF(MAX(IFERROR(SEARCH("WD",MAIN!G468:J468), 0))&gt;0, "WD",
            IF(MAX(IFERROR(SEARCH("NS",MAIN!G468:J468), 0))&gt;0, "NS",
            IF(MAX(IFERROR(SEARCH("NC",MAIN!G468:J468), 0))&gt;0, "NC",
            IF(MAX(IFERROR(SEARCH("DQ",MAIN!G468:J468), 0))&gt;0, "DQ",
            IF(ISNUMBER(SEARCH("WD",MAIN!K468)), "WD",
            IF(ISNUMBER(SEARCH("NS",MAIN!K468)), "NS",
            IF(ISNUMBER(SEARCH("NC",MAIN!K468)), "NC",
            IF(ISNUMBER(SEARCH("DQ",MAIN!K468)), "DQ",
            IF(ISNUMBER(SEARCH("A",MAIN!K468)), 0,
            IF(OR(MAIN!K468=0,MAIN!K468=""), 0, --TRIM(MAIN!K468)))))))))))),
        0
    )
)</f>
        <v>0</v>
      </c>
    </row>
    <row r="469" spans="1:11" x14ac:dyDescent="0.25">
      <c r="A469" t="str">
        <f>IF(ISBLANK(MAIN!A469), "--", IFERROR(PROPER(SUBSTITUTE(SUBSTITUTE(SUBSTITUTE(SUBSTITUTE(SUBSTITUTE(SUBSTITUTE(SUBSTITUTE(SUBSTITUTE(SUBSTITUTE(SUBSTITUTE(LEFT(MAIN!A469, FIND(",",MAIN!A469) -1), "0", ""), "1", ""), "2", ""), "3", ""), "4", ""), "5", ""), "6", ""), "7", ""), "8", ""), "9", "")), PROPER(SUBSTITUTE(SUBSTITUTE(SUBSTITUTE(SUBSTITUTE(SUBSTITUTE(SUBSTITUTE(SUBSTITUTE(SUBSTITUTE(SUBSTITUTE(SUBSTITUTE(MAIN!A469, "0", ""), "1", ""), "2", ""), "3", ""), "4", ""), "5", ""), "6", ""), "7", ""), "8", ""), "9", ""))))</f>
        <v>--</v>
      </c>
      <c r="B469" t="str">
        <f>IF(ISBLANK(MAIN!B469), "--", IFERROR(PROPER(SUBSTITUTE(SUBSTITUTE(SUBSTITUTE(SUBSTITUTE(SUBSTITUTE(SUBSTITUTE(SUBSTITUTE(SUBSTITUTE(SUBSTITUTE(SUBSTITUTE(LEFT(MAIN!B469, FIND(",",MAIN!B469) -1), "0", ""), "1", ""), "2", ""), "3", ""), "4", ""), "5", ""), "6", ""), "7", ""), "8", ""), "9", "")), PROPER(SUBSTITUTE(SUBSTITUTE(SUBSTITUTE(SUBSTITUTE(SUBSTITUTE(SUBSTITUTE(SUBSTITUTE(SUBSTITUTE(SUBSTITUTE(SUBSTITUTE(MAIN!B469, "0", ""), "1", ""), "2", ""), "3", ""), "4", ""), "5", ""), "6", ""), "7", ""), "8", ""), "9", ""))))</f>
        <v>--</v>
      </c>
      <c r="C469" t="str">
        <f>IF(ISBLANK(MAIN!C469), "--", IFERROR(PROPER(SUBSTITUTE(SUBSTITUTE(SUBSTITUTE(SUBSTITUTE(SUBSTITUTE(SUBSTITUTE(SUBSTITUTE(SUBSTITUTE(SUBSTITUTE(SUBSTITUTE(LEFT(MAIN!C469, FIND(",",MAIN!C469) -1), "0", ""), "1", ""), "2", ""), "3", ""), "4", ""), "5", ""), "6", ""), "7", ""), "8", ""), "9", "")), PROPER(SUBSTITUTE(SUBSTITUTE(SUBSTITUTE(SUBSTITUTE(SUBSTITUTE(SUBSTITUTE(SUBSTITUTE(SUBSTITUTE(SUBSTITUTE(SUBSTITUTE(MAIN!C469, "0", ""), "1", ""), "2", ""), "3", ""), "4", ""), "5", ""), "6", ""), "7", ""), "8", ""), "9", ""))))</f>
        <v>--</v>
      </c>
      <c r="D469" t="str">
        <f>IF(ISBLANK(MAIN!D469), "--", IF(ISNUMBER(MATCH(SUBSTITUTE(LEFT(MAIN!D469, IFERROR(FIND(",", MAIN!D469)-1, LEN(MAIN!D469))), " ", ""), lookup_values!$B$2:$B$51, 0)), UPPER(SUBSTITUTE(LEFT(MAIN!D469, IFERROR(FIND(",", MAIN!D469)-1, LEN(MAIN!D469))), " ", "")), IF(ISNA(VLOOKUP(SUBSTITUTE(LEFT(MAIN!D469, IFERROR(FIND(",", MAIN!D469)-1, LEN(MAIN!D469))), " ", ""), lookup_values!$A$2:$B$51, 2, FALSE)), "--", VLOOKUP(SUBSTITUTE(LEFT(MAIN!D469, IFERROR(FIND(",", MAIN!D469)-1, LEN(MAIN!D469))), " ", ""), lookup_values!$A$2:$B$51, 2, FALSE))))</f>
        <v>--</v>
      </c>
      <c r="E469" t="str">
        <f>IF(CLEAN_DATA!D469&lt;&gt;"--","US",IF(ISBLANK(MAIN!E469), "--", IF(ISNUMBER(MATCH(SUBSTITUTE(LEFT(MAIN!E469, IFERROR(FIND(",", MAIN!E469)-1, LEN(MAIN!E469))), " ", ""), lookup_values!$E$2:$E$197, 0)), UPPER(SUBSTITUTE(LEFT(MAIN!E469, IFERROR(FIND(",", MAIN!E469)-1, LEN(MAIN!E469))), " ", "")), IF(ISNA(VLOOKUP(SUBSTITUTE(LEFT(MAIN!E469, IFERROR(FIND(",", MAIN!E469)-1, LEN(MAIN!E469))), " ", ""), lookup_values!$D$2:$E$197, 2, FALSE)), "--", VLOOKUP(SUBSTITUTE(LEFT(MAIN!E469, IFERROR(FIND(",", MAIN!E469)-1, LEN(MAIN!E469))), " ", ""), lookup_values!$D$2:$E$197, 2, FALSE)))))</f>
        <v>--</v>
      </c>
      <c r="F469" t="str">
        <f>IF(ISBLANK(MAIN!F469), "", IF(AND(ISNUMBER(VALUE(TRIM(MAIN!F469))), LEN(TRIM(MAIN!F469))=4), VALUE(TRIM(MAIN!F469)), ""))</f>
        <v/>
      </c>
      <c r="G469">
        <f>IF(ISBLANK(MAIN!G469), 0, IF(ISNUMBER(VALUE(TRIM(MAIN!G469))), VALUE(TRIM(MAIN!G469)), 0))</f>
        <v>0</v>
      </c>
      <c r="H469">
        <f>IF(ISBLANK(MAIN!H469), 0, IF(ISNUMBER(VALUE(TRIM(MAIN!H469))), VALUE(TRIM(MAIN!H469)), 0))</f>
        <v>0</v>
      </c>
      <c r="I469">
        <f>IF(ISBLANK(MAIN!I469), 0, IF(ISNUMBER(VALUE(TRIM(MAIN!I469))), VALUE(TRIM(MAIN!I469)), 0))</f>
        <v>0</v>
      </c>
      <c r="J469">
        <f>IF(ISBLANK(MAIN!J469), 0, IF(ISNUMBER(VALUE(TRIM(MAIN!J469))), VALUE(TRIM(MAIN!J469)), 0))</f>
        <v>0</v>
      </c>
      <c r="K469" cm="1">
        <f t="array" ref="K469">IFERROR(
    VALUE(
        IFERROR(
            UPPER(
                IF(MAX(IFERROR(SEARCH("WD",MAIN!G469:J469), 0))&gt;0, "WD",
                IF(MAX(IFERROR(SEARCH("NS",MAIN!G469:J469), 0))&gt;0, "NS",
                IF(MAX(IFERROR(SEARCH("NC",MAIN!G469:J469), 0))&gt;0, "NC",
                IF(MAX(IFERROR(SEARCH("DQ",MAIN!G469:J469), 0))&gt;0, "DQ",
                IF(ISNUMBER(SEARCH("WD",MAIN!K469)), "WD",
                IF(ISNUMBER(SEARCH("NS",MAIN!K469)), "NS",
                IF(ISNUMBER(SEARCH("NC",MAIN!K469)), "NC",
                IF(ISNUMBER(SEARCH("DQ",MAIN!K469)), "DQ",
                IF(ISNUMBER(SEARCH("A",MAIN!K469)), 0,
                IF(OR(MAIN!K469=0,MAIN!K469=""), 0, --TRIM(MAIN!K469)))))))))))),
            0
        )
    ),
    IFERROR(
        UPPER(
            IF(MAX(IFERROR(SEARCH("WD",MAIN!G469:J469), 0))&gt;0, "WD",
            IF(MAX(IFERROR(SEARCH("NS",MAIN!G469:J469), 0))&gt;0, "NS",
            IF(MAX(IFERROR(SEARCH("NC",MAIN!G469:J469), 0))&gt;0, "NC",
            IF(MAX(IFERROR(SEARCH("DQ",MAIN!G469:J469), 0))&gt;0, "DQ",
            IF(ISNUMBER(SEARCH("WD",MAIN!K469)), "WD",
            IF(ISNUMBER(SEARCH("NS",MAIN!K469)), "NS",
            IF(ISNUMBER(SEARCH("NC",MAIN!K469)), "NC",
            IF(ISNUMBER(SEARCH("DQ",MAIN!K469)), "DQ",
            IF(ISNUMBER(SEARCH("A",MAIN!K469)), 0,
            IF(OR(MAIN!K469=0,MAIN!K469=""), 0, --TRIM(MAIN!K469)))))))))))),
        0
    )
)</f>
        <v>0</v>
      </c>
    </row>
    <row r="470" spans="1:11" x14ac:dyDescent="0.25">
      <c r="A470" t="str">
        <f>IF(ISBLANK(MAIN!A470), "--", IFERROR(PROPER(SUBSTITUTE(SUBSTITUTE(SUBSTITUTE(SUBSTITUTE(SUBSTITUTE(SUBSTITUTE(SUBSTITUTE(SUBSTITUTE(SUBSTITUTE(SUBSTITUTE(LEFT(MAIN!A470, FIND(",",MAIN!A470) -1), "0", ""), "1", ""), "2", ""), "3", ""), "4", ""), "5", ""), "6", ""), "7", ""), "8", ""), "9", "")), PROPER(SUBSTITUTE(SUBSTITUTE(SUBSTITUTE(SUBSTITUTE(SUBSTITUTE(SUBSTITUTE(SUBSTITUTE(SUBSTITUTE(SUBSTITUTE(SUBSTITUTE(MAIN!A470, "0", ""), "1", ""), "2", ""), "3", ""), "4", ""), "5", ""), "6", ""), "7", ""), "8", ""), "9", ""))))</f>
        <v>--</v>
      </c>
      <c r="B470" t="str">
        <f>IF(ISBLANK(MAIN!B470), "--", IFERROR(PROPER(SUBSTITUTE(SUBSTITUTE(SUBSTITUTE(SUBSTITUTE(SUBSTITUTE(SUBSTITUTE(SUBSTITUTE(SUBSTITUTE(SUBSTITUTE(SUBSTITUTE(LEFT(MAIN!B470, FIND(",",MAIN!B470) -1), "0", ""), "1", ""), "2", ""), "3", ""), "4", ""), "5", ""), "6", ""), "7", ""), "8", ""), "9", "")), PROPER(SUBSTITUTE(SUBSTITUTE(SUBSTITUTE(SUBSTITUTE(SUBSTITUTE(SUBSTITUTE(SUBSTITUTE(SUBSTITUTE(SUBSTITUTE(SUBSTITUTE(MAIN!B470, "0", ""), "1", ""), "2", ""), "3", ""), "4", ""), "5", ""), "6", ""), "7", ""), "8", ""), "9", ""))))</f>
        <v>--</v>
      </c>
      <c r="C470" t="str">
        <f>IF(ISBLANK(MAIN!C470), "--", IFERROR(PROPER(SUBSTITUTE(SUBSTITUTE(SUBSTITUTE(SUBSTITUTE(SUBSTITUTE(SUBSTITUTE(SUBSTITUTE(SUBSTITUTE(SUBSTITUTE(SUBSTITUTE(LEFT(MAIN!C470, FIND(",",MAIN!C470) -1), "0", ""), "1", ""), "2", ""), "3", ""), "4", ""), "5", ""), "6", ""), "7", ""), "8", ""), "9", "")), PROPER(SUBSTITUTE(SUBSTITUTE(SUBSTITUTE(SUBSTITUTE(SUBSTITUTE(SUBSTITUTE(SUBSTITUTE(SUBSTITUTE(SUBSTITUTE(SUBSTITUTE(MAIN!C470, "0", ""), "1", ""), "2", ""), "3", ""), "4", ""), "5", ""), "6", ""), "7", ""), "8", ""), "9", ""))))</f>
        <v>--</v>
      </c>
      <c r="D470" t="str">
        <f>IF(ISBLANK(MAIN!D470), "--", IF(ISNUMBER(MATCH(SUBSTITUTE(LEFT(MAIN!D470, IFERROR(FIND(",", MAIN!D470)-1, LEN(MAIN!D470))), " ", ""), lookup_values!$B$2:$B$51, 0)), UPPER(SUBSTITUTE(LEFT(MAIN!D470, IFERROR(FIND(",", MAIN!D470)-1, LEN(MAIN!D470))), " ", "")), IF(ISNA(VLOOKUP(SUBSTITUTE(LEFT(MAIN!D470, IFERROR(FIND(",", MAIN!D470)-1, LEN(MAIN!D470))), " ", ""), lookup_values!$A$2:$B$51, 2, FALSE)), "--", VLOOKUP(SUBSTITUTE(LEFT(MAIN!D470, IFERROR(FIND(",", MAIN!D470)-1, LEN(MAIN!D470))), " ", ""), lookup_values!$A$2:$B$51, 2, FALSE))))</f>
        <v>--</v>
      </c>
      <c r="E470" t="str">
        <f>IF(CLEAN_DATA!D470&lt;&gt;"--","US",IF(ISBLANK(MAIN!E470), "--", IF(ISNUMBER(MATCH(SUBSTITUTE(LEFT(MAIN!E470, IFERROR(FIND(",", MAIN!E470)-1, LEN(MAIN!E470))), " ", ""), lookup_values!$E$2:$E$197, 0)), UPPER(SUBSTITUTE(LEFT(MAIN!E470, IFERROR(FIND(",", MAIN!E470)-1, LEN(MAIN!E470))), " ", "")), IF(ISNA(VLOOKUP(SUBSTITUTE(LEFT(MAIN!E470, IFERROR(FIND(",", MAIN!E470)-1, LEN(MAIN!E470))), " ", ""), lookup_values!$D$2:$E$197, 2, FALSE)), "--", VLOOKUP(SUBSTITUTE(LEFT(MAIN!E470, IFERROR(FIND(",", MAIN!E470)-1, LEN(MAIN!E470))), " ", ""), lookup_values!$D$2:$E$197, 2, FALSE)))))</f>
        <v>--</v>
      </c>
      <c r="F470" t="str">
        <f>IF(ISBLANK(MAIN!F470), "", IF(AND(ISNUMBER(VALUE(TRIM(MAIN!F470))), LEN(TRIM(MAIN!F470))=4), VALUE(TRIM(MAIN!F470)), ""))</f>
        <v/>
      </c>
      <c r="G470">
        <f>IF(ISBLANK(MAIN!G470), 0, IF(ISNUMBER(VALUE(TRIM(MAIN!G470))), VALUE(TRIM(MAIN!G470)), 0))</f>
        <v>0</v>
      </c>
      <c r="H470">
        <f>IF(ISBLANK(MAIN!H470), 0, IF(ISNUMBER(VALUE(TRIM(MAIN!H470))), VALUE(TRIM(MAIN!H470)), 0))</f>
        <v>0</v>
      </c>
      <c r="I470">
        <f>IF(ISBLANK(MAIN!I470), 0, IF(ISNUMBER(VALUE(TRIM(MAIN!I470))), VALUE(TRIM(MAIN!I470)), 0))</f>
        <v>0</v>
      </c>
      <c r="J470">
        <f>IF(ISBLANK(MAIN!J470), 0, IF(ISNUMBER(VALUE(TRIM(MAIN!J470))), VALUE(TRIM(MAIN!J470)), 0))</f>
        <v>0</v>
      </c>
      <c r="K470" cm="1">
        <f t="array" ref="K470">IFERROR(
    VALUE(
        IFERROR(
            UPPER(
                IF(MAX(IFERROR(SEARCH("WD",MAIN!G470:J470), 0))&gt;0, "WD",
                IF(MAX(IFERROR(SEARCH("NS",MAIN!G470:J470), 0))&gt;0, "NS",
                IF(MAX(IFERROR(SEARCH("NC",MAIN!G470:J470), 0))&gt;0, "NC",
                IF(MAX(IFERROR(SEARCH("DQ",MAIN!G470:J470), 0))&gt;0, "DQ",
                IF(ISNUMBER(SEARCH("WD",MAIN!K470)), "WD",
                IF(ISNUMBER(SEARCH("NS",MAIN!K470)), "NS",
                IF(ISNUMBER(SEARCH("NC",MAIN!K470)), "NC",
                IF(ISNUMBER(SEARCH("DQ",MAIN!K470)), "DQ",
                IF(ISNUMBER(SEARCH("A",MAIN!K470)), 0,
                IF(OR(MAIN!K470=0,MAIN!K470=""), 0, --TRIM(MAIN!K470)))))))))))),
            0
        )
    ),
    IFERROR(
        UPPER(
            IF(MAX(IFERROR(SEARCH("WD",MAIN!G470:J470), 0))&gt;0, "WD",
            IF(MAX(IFERROR(SEARCH("NS",MAIN!G470:J470), 0))&gt;0, "NS",
            IF(MAX(IFERROR(SEARCH("NC",MAIN!G470:J470), 0))&gt;0, "NC",
            IF(MAX(IFERROR(SEARCH("DQ",MAIN!G470:J470), 0))&gt;0, "DQ",
            IF(ISNUMBER(SEARCH("WD",MAIN!K470)), "WD",
            IF(ISNUMBER(SEARCH("NS",MAIN!K470)), "NS",
            IF(ISNUMBER(SEARCH("NC",MAIN!K470)), "NC",
            IF(ISNUMBER(SEARCH("DQ",MAIN!K470)), "DQ",
            IF(ISNUMBER(SEARCH("A",MAIN!K470)), 0,
            IF(OR(MAIN!K470=0,MAIN!K470=""), 0, --TRIM(MAIN!K470)))))))))))),
        0
    )
)</f>
        <v>0</v>
      </c>
    </row>
    <row r="471" spans="1:11" x14ac:dyDescent="0.25">
      <c r="A471" t="str">
        <f>IF(ISBLANK(MAIN!A471), "--", IFERROR(PROPER(SUBSTITUTE(SUBSTITUTE(SUBSTITUTE(SUBSTITUTE(SUBSTITUTE(SUBSTITUTE(SUBSTITUTE(SUBSTITUTE(SUBSTITUTE(SUBSTITUTE(LEFT(MAIN!A471, FIND(",",MAIN!A471) -1), "0", ""), "1", ""), "2", ""), "3", ""), "4", ""), "5", ""), "6", ""), "7", ""), "8", ""), "9", "")), PROPER(SUBSTITUTE(SUBSTITUTE(SUBSTITUTE(SUBSTITUTE(SUBSTITUTE(SUBSTITUTE(SUBSTITUTE(SUBSTITUTE(SUBSTITUTE(SUBSTITUTE(MAIN!A471, "0", ""), "1", ""), "2", ""), "3", ""), "4", ""), "5", ""), "6", ""), "7", ""), "8", ""), "9", ""))))</f>
        <v>--</v>
      </c>
      <c r="B471" t="str">
        <f>IF(ISBLANK(MAIN!B471), "--", IFERROR(PROPER(SUBSTITUTE(SUBSTITUTE(SUBSTITUTE(SUBSTITUTE(SUBSTITUTE(SUBSTITUTE(SUBSTITUTE(SUBSTITUTE(SUBSTITUTE(SUBSTITUTE(LEFT(MAIN!B471, FIND(",",MAIN!B471) -1), "0", ""), "1", ""), "2", ""), "3", ""), "4", ""), "5", ""), "6", ""), "7", ""), "8", ""), "9", "")), PROPER(SUBSTITUTE(SUBSTITUTE(SUBSTITUTE(SUBSTITUTE(SUBSTITUTE(SUBSTITUTE(SUBSTITUTE(SUBSTITUTE(SUBSTITUTE(SUBSTITUTE(MAIN!B471, "0", ""), "1", ""), "2", ""), "3", ""), "4", ""), "5", ""), "6", ""), "7", ""), "8", ""), "9", ""))))</f>
        <v>--</v>
      </c>
      <c r="C471" t="str">
        <f>IF(ISBLANK(MAIN!C471), "--", IFERROR(PROPER(SUBSTITUTE(SUBSTITUTE(SUBSTITUTE(SUBSTITUTE(SUBSTITUTE(SUBSTITUTE(SUBSTITUTE(SUBSTITUTE(SUBSTITUTE(SUBSTITUTE(LEFT(MAIN!C471, FIND(",",MAIN!C471) -1), "0", ""), "1", ""), "2", ""), "3", ""), "4", ""), "5", ""), "6", ""), "7", ""), "8", ""), "9", "")), PROPER(SUBSTITUTE(SUBSTITUTE(SUBSTITUTE(SUBSTITUTE(SUBSTITUTE(SUBSTITUTE(SUBSTITUTE(SUBSTITUTE(SUBSTITUTE(SUBSTITUTE(MAIN!C471, "0", ""), "1", ""), "2", ""), "3", ""), "4", ""), "5", ""), "6", ""), "7", ""), "8", ""), "9", ""))))</f>
        <v>--</v>
      </c>
      <c r="D471" t="str">
        <f>IF(ISBLANK(MAIN!D471), "--", IF(ISNUMBER(MATCH(SUBSTITUTE(LEFT(MAIN!D471, IFERROR(FIND(",", MAIN!D471)-1, LEN(MAIN!D471))), " ", ""), lookup_values!$B$2:$B$51, 0)), UPPER(SUBSTITUTE(LEFT(MAIN!D471, IFERROR(FIND(",", MAIN!D471)-1, LEN(MAIN!D471))), " ", "")), IF(ISNA(VLOOKUP(SUBSTITUTE(LEFT(MAIN!D471, IFERROR(FIND(",", MAIN!D471)-1, LEN(MAIN!D471))), " ", ""), lookup_values!$A$2:$B$51, 2, FALSE)), "--", VLOOKUP(SUBSTITUTE(LEFT(MAIN!D471, IFERROR(FIND(",", MAIN!D471)-1, LEN(MAIN!D471))), " ", ""), lookup_values!$A$2:$B$51, 2, FALSE))))</f>
        <v>--</v>
      </c>
      <c r="E471" t="str">
        <f>IF(CLEAN_DATA!D471&lt;&gt;"--","US",IF(ISBLANK(MAIN!E471), "--", IF(ISNUMBER(MATCH(SUBSTITUTE(LEFT(MAIN!E471, IFERROR(FIND(",", MAIN!E471)-1, LEN(MAIN!E471))), " ", ""), lookup_values!$E$2:$E$197, 0)), UPPER(SUBSTITUTE(LEFT(MAIN!E471, IFERROR(FIND(",", MAIN!E471)-1, LEN(MAIN!E471))), " ", "")), IF(ISNA(VLOOKUP(SUBSTITUTE(LEFT(MAIN!E471, IFERROR(FIND(",", MAIN!E471)-1, LEN(MAIN!E471))), " ", ""), lookup_values!$D$2:$E$197, 2, FALSE)), "--", VLOOKUP(SUBSTITUTE(LEFT(MAIN!E471, IFERROR(FIND(",", MAIN!E471)-1, LEN(MAIN!E471))), " ", ""), lookup_values!$D$2:$E$197, 2, FALSE)))))</f>
        <v>--</v>
      </c>
      <c r="F471" t="str">
        <f>IF(ISBLANK(MAIN!F471), "", IF(AND(ISNUMBER(VALUE(TRIM(MAIN!F471))), LEN(TRIM(MAIN!F471))=4), VALUE(TRIM(MAIN!F471)), ""))</f>
        <v/>
      </c>
      <c r="G471">
        <f>IF(ISBLANK(MAIN!G471), 0, IF(ISNUMBER(VALUE(TRIM(MAIN!G471))), VALUE(TRIM(MAIN!G471)), 0))</f>
        <v>0</v>
      </c>
      <c r="H471">
        <f>IF(ISBLANK(MAIN!H471), 0, IF(ISNUMBER(VALUE(TRIM(MAIN!H471))), VALUE(TRIM(MAIN!H471)), 0))</f>
        <v>0</v>
      </c>
      <c r="I471">
        <f>IF(ISBLANK(MAIN!I471), 0, IF(ISNUMBER(VALUE(TRIM(MAIN!I471))), VALUE(TRIM(MAIN!I471)), 0))</f>
        <v>0</v>
      </c>
      <c r="J471">
        <f>IF(ISBLANK(MAIN!J471), 0, IF(ISNUMBER(VALUE(TRIM(MAIN!J471))), VALUE(TRIM(MAIN!J471)), 0))</f>
        <v>0</v>
      </c>
      <c r="K471" cm="1">
        <f t="array" ref="K471">IFERROR(
    VALUE(
        IFERROR(
            UPPER(
                IF(MAX(IFERROR(SEARCH("WD",MAIN!G471:J471), 0))&gt;0, "WD",
                IF(MAX(IFERROR(SEARCH("NS",MAIN!G471:J471), 0))&gt;0, "NS",
                IF(MAX(IFERROR(SEARCH("NC",MAIN!G471:J471), 0))&gt;0, "NC",
                IF(MAX(IFERROR(SEARCH("DQ",MAIN!G471:J471), 0))&gt;0, "DQ",
                IF(ISNUMBER(SEARCH("WD",MAIN!K471)), "WD",
                IF(ISNUMBER(SEARCH("NS",MAIN!K471)), "NS",
                IF(ISNUMBER(SEARCH("NC",MAIN!K471)), "NC",
                IF(ISNUMBER(SEARCH("DQ",MAIN!K471)), "DQ",
                IF(ISNUMBER(SEARCH("A",MAIN!K471)), 0,
                IF(OR(MAIN!K471=0,MAIN!K471=""), 0, --TRIM(MAIN!K471)))))))))))),
            0
        )
    ),
    IFERROR(
        UPPER(
            IF(MAX(IFERROR(SEARCH("WD",MAIN!G471:J471), 0))&gt;0, "WD",
            IF(MAX(IFERROR(SEARCH("NS",MAIN!G471:J471), 0))&gt;0, "NS",
            IF(MAX(IFERROR(SEARCH("NC",MAIN!G471:J471), 0))&gt;0, "NC",
            IF(MAX(IFERROR(SEARCH("DQ",MAIN!G471:J471), 0))&gt;0, "DQ",
            IF(ISNUMBER(SEARCH("WD",MAIN!K471)), "WD",
            IF(ISNUMBER(SEARCH("NS",MAIN!K471)), "NS",
            IF(ISNUMBER(SEARCH("NC",MAIN!K471)), "NC",
            IF(ISNUMBER(SEARCH("DQ",MAIN!K471)), "DQ",
            IF(ISNUMBER(SEARCH("A",MAIN!K471)), 0,
            IF(OR(MAIN!K471=0,MAIN!K471=""), 0, --TRIM(MAIN!K471)))))))))))),
        0
    )
)</f>
        <v>0</v>
      </c>
    </row>
    <row r="472" spans="1:11" x14ac:dyDescent="0.25">
      <c r="A472" t="str">
        <f>IF(ISBLANK(MAIN!A472), "--", IFERROR(PROPER(SUBSTITUTE(SUBSTITUTE(SUBSTITUTE(SUBSTITUTE(SUBSTITUTE(SUBSTITUTE(SUBSTITUTE(SUBSTITUTE(SUBSTITUTE(SUBSTITUTE(LEFT(MAIN!A472, FIND(",",MAIN!A472) -1), "0", ""), "1", ""), "2", ""), "3", ""), "4", ""), "5", ""), "6", ""), "7", ""), "8", ""), "9", "")), PROPER(SUBSTITUTE(SUBSTITUTE(SUBSTITUTE(SUBSTITUTE(SUBSTITUTE(SUBSTITUTE(SUBSTITUTE(SUBSTITUTE(SUBSTITUTE(SUBSTITUTE(MAIN!A472, "0", ""), "1", ""), "2", ""), "3", ""), "4", ""), "5", ""), "6", ""), "7", ""), "8", ""), "9", ""))))</f>
        <v>--</v>
      </c>
      <c r="B472" t="str">
        <f>IF(ISBLANK(MAIN!B472), "--", IFERROR(PROPER(SUBSTITUTE(SUBSTITUTE(SUBSTITUTE(SUBSTITUTE(SUBSTITUTE(SUBSTITUTE(SUBSTITUTE(SUBSTITUTE(SUBSTITUTE(SUBSTITUTE(LEFT(MAIN!B472, FIND(",",MAIN!B472) -1), "0", ""), "1", ""), "2", ""), "3", ""), "4", ""), "5", ""), "6", ""), "7", ""), "8", ""), "9", "")), PROPER(SUBSTITUTE(SUBSTITUTE(SUBSTITUTE(SUBSTITUTE(SUBSTITUTE(SUBSTITUTE(SUBSTITUTE(SUBSTITUTE(SUBSTITUTE(SUBSTITUTE(MAIN!B472, "0", ""), "1", ""), "2", ""), "3", ""), "4", ""), "5", ""), "6", ""), "7", ""), "8", ""), "9", ""))))</f>
        <v>--</v>
      </c>
      <c r="C472" t="str">
        <f>IF(ISBLANK(MAIN!C472), "--", IFERROR(PROPER(SUBSTITUTE(SUBSTITUTE(SUBSTITUTE(SUBSTITUTE(SUBSTITUTE(SUBSTITUTE(SUBSTITUTE(SUBSTITUTE(SUBSTITUTE(SUBSTITUTE(LEFT(MAIN!C472, FIND(",",MAIN!C472) -1), "0", ""), "1", ""), "2", ""), "3", ""), "4", ""), "5", ""), "6", ""), "7", ""), "8", ""), "9", "")), PROPER(SUBSTITUTE(SUBSTITUTE(SUBSTITUTE(SUBSTITUTE(SUBSTITUTE(SUBSTITUTE(SUBSTITUTE(SUBSTITUTE(SUBSTITUTE(SUBSTITUTE(MAIN!C472, "0", ""), "1", ""), "2", ""), "3", ""), "4", ""), "5", ""), "6", ""), "7", ""), "8", ""), "9", ""))))</f>
        <v>--</v>
      </c>
      <c r="D472" t="str">
        <f>IF(ISBLANK(MAIN!D472), "--", IF(ISNUMBER(MATCH(SUBSTITUTE(LEFT(MAIN!D472, IFERROR(FIND(",", MAIN!D472)-1, LEN(MAIN!D472))), " ", ""), lookup_values!$B$2:$B$51, 0)), UPPER(SUBSTITUTE(LEFT(MAIN!D472, IFERROR(FIND(",", MAIN!D472)-1, LEN(MAIN!D472))), " ", "")), IF(ISNA(VLOOKUP(SUBSTITUTE(LEFT(MAIN!D472, IFERROR(FIND(",", MAIN!D472)-1, LEN(MAIN!D472))), " ", ""), lookup_values!$A$2:$B$51, 2, FALSE)), "--", VLOOKUP(SUBSTITUTE(LEFT(MAIN!D472, IFERROR(FIND(",", MAIN!D472)-1, LEN(MAIN!D472))), " ", ""), lookup_values!$A$2:$B$51, 2, FALSE))))</f>
        <v>--</v>
      </c>
      <c r="E472" t="str">
        <f>IF(CLEAN_DATA!D472&lt;&gt;"--","US",IF(ISBLANK(MAIN!E472), "--", IF(ISNUMBER(MATCH(SUBSTITUTE(LEFT(MAIN!E472, IFERROR(FIND(",", MAIN!E472)-1, LEN(MAIN!E472))), " ", ""), lookup_values!$E$2:$E$197, 0)), UPPER(SUBSTITUTE(LEFT(MAIN!E472, IFERROR(FIND(",", MAIN!E472)-1, LEN(MAIN!E472))), " ", "")), IF(ISNA(VLOOKUP(SUBSTITUTE(LEFT(MAIN!E472, IFERROR(FIND(",", MAIN!E472)-1, LEN(MAIN!E472))), " ", ""), lookup_values!$D$2:$E$197, 2, FALSE)), "--", VLOOKUP(SUBSTITUTE(LEFT(MAIN!E472, IFERROR(FIND(",", MAIN!E472)-1, LEN(MAIN!E472))), " ", ""), lookup_values!$D$2:$E$197, 2, FALSE)))))</f>
        <v>--</v>
      </c>
      <c r="F472" t="str">
        <f>IF(ISBLANK(MAIN!F472), "", IF(AND(ISNUMBER(VALUE(TRIM(MAIN!F472))), LEN(TRIM(MAIN!F472))=4), VALUE(TRIM(MAIN!F472)), ""))</f>
        <v/>
      </c>
      <c r="G472">
        <f>IF(ISBLANK(MAIN!G472), 0, IF(ISNUMBER(VALUE(TRIM(MAIN!G472))), VALUE(TRIM(MAIN!G472)), 0))</f>
        <v>0</v>
      </c>
      <c r="H472">
        <f>IF(ISBLANK(MAIN!H472), 0, IF(ISNUMBER(VALUE(TRIM(MAIN!H472))), VALUE(TRIM(MAIN!H472)), 0))</f>
        <v>0</v>
      </c>
      <c r="I472">
        <f>IF(ISBLANK(MAIN!I472), 0, IF(ISNUMBER(VALUE(TRIM(MAIN!I472))), VALUE(TRIM(MAIN!I472)), 0))</f>
        <v>0</v>
      </c>
      <c r="J472">
        <f>IF(ISBLANK(MAIN!J472), 0, IF(ISNUMBER(VALUE(TRIM(MAIN!J472))), VALUE(TRIM(MAIN!J472)), 0))</f>
        <v>0</v>
      </c>
      <c r="K472" cm="1">
        <f t="array" ref="K472">IFERROR(
    VALUE(
        IFERROR(
            UPPER(
                IF(MAX(IFERROR(SEARCH("WD",MAIN!G472:J472), 0))&gt;0, "WD",
                IF(MAX(IFERROR(SEARCH("NS",MAIN!G472:J472), 0))&gt;0, "NS",
                IF(MAX(IFERROR(SEARCH("NC",MAIN!G472:J472), 0))&gt;0, "NC",
                IF(MAX(IFERROR(SEARCH("DQ",MAIN!G472:J472), 0))&gt;0, "DQ",
                IF(ISNUMBER(SEARCH("WD",MAIN!K472)), "WD",
                IF(ISNUMBER(SEARCH("NS",MAIN!K472)), "NS",
                IF(ISNUMBER(SEARCH("NC",MAIN!K472)), "NC",
                IF(ISNUMBER(SEARCH("DQ",MAIN!K472)), "DQ",
                IF(ISNUMBER(SEARCH("A",MAIN!K472)), 0,
                IF(OR(MAIN!K472=0,MAIN!K472=""), 0, --TRIM(MAIN!K472)))))))))))),
            0
        )
    ),
    IFERROR(
        UPPER(
            IF(MAX(IFERROR(SEARCH("WD",MAIN!G472:J472), 0))&gt;0, "WD",
            IF(MAX(IFERROR(SEARCH("NS",MAIN!G472:J472), 0))&gt;0, "NS",
            IF(MAX(IFERROR(SEARCH("NC",MAIN!G472:J472), 0))&gt;0, "NC",
            IF(MAX(IFERROR(SEARCH("DQ",MAIN!G472:J472), 0))&gt;0, "DQ",
            IF(ISNUMBER(SEARCH("WD",MAIN!K472)), "WD",
            IF(ISNUMBER(SEARCH("NS",MAIN!K472)), "NS",
            IF(ISNUMBER(SEARCH("NC",MAIN!K472)), "NC",
            IF(ISNUMBER(SEARCH("DQ",MAIN!K472)), "DQ",
            IF(ISNUMBER(SEARCH("A",MAIN!K472)), 0,
            IF(OR(MAIN!K472=0,MAIN!K472=""), 0, --TRIM(MAIN!K472)))))))))))),
        0
    )
)</f>
        <v>0</v>
      </c>
    </row>
    <row r="473" spans="1:11" x14ac:dyDescent="0.25">
      <c r="A473" t="str">
        <f>IF(ISBLANK(MAIN!A473), "--", IFERROR(PROPER(SUBSTITUTE(SUBSTITUTE(SUBSTITUTE(SUBSTITUTE(SUBSTITUTE(SUBSTITUTE(SUBSTITUTE(SUBSTITUTE(SUBSTITUTE(SUBSTITUTE(LEFT(MAIN!A473, FIND(",",MAIN!A473) -1), "0", ""), "1", ""), "2", ""), "3", ""), "4", ""), "5", ""), "6", ""), "7", ""), "8", ""), "9", "")), PROPER(SUBSTITUTE(SUBSTITUTE(SUBSTITUTE(SUBSTITUTE(SUBSTITUTE(SUBSTITUTE(SUBSTITUTE(SUBSTITUTE(SUBSTITUTE(SUBSTITUTE(MAIN!A473, "0", ""), "1", ""), "2", ""), "3", ""), "4", ""), "5", ""), "6", ""), "7", ""), "8", ""), "9", ""))))</f>
        <v>--</v>
      </c>
      <c r="B473" t="str">
        <f>IF(ISBLANK(MAIN!B473), "--", IFERROR(PROPER(SUBSTITUTE(SUBSTITUTE(SUBSTITUTE(SUBSTITUTE(SUBSTITUTE(SUBSTITUTE(SUBSTITUTE(SUBSTITUTE(SUBSTITUTE(SUBSTITUTE(LEFT(MAIN!B473, FIND(",",MAIN!B473) -1), "0", ""), "1", ""), "2", ""), "3", ""), "4", ""), "5", ""), "6", ""), "7", ""), "8", ""), "9", "")), PROPER(SUBSTITUTE(SUBSTITUTE(SUBSTITUTE(SUBSTITUTE(SUBSTITUTE(SUBSTITUTE(SUBSTITUTE(SUBSTITUTE(SUBSTITUTE(SUBSTITUTE(MAIN!B473, "0", ""), "1", ""), "2", ""), "3", ""), "4", ""), "5", ""), "6", ""), "7", ""), "8", ""), "9", ""))))</f>
        <v>--</v>
      </c>
      <c r="C473" t="str">
        <f>IF(ISBLANK(MAIN!C473), "--", IFERROR(PROPER(SUBSTITUTE(SUBSTITUTE(SUBSTITUTE(SUBSTITUTE(SUBSTITUTE(SUBSTITUTE(SUBSTITUTE(SUBSTITUTE(SUBSTITUTE(SUBSTITUTE(LEFT(MAIN!C473, FIND(",",MAIN!C473) -1), "0", ""), "1", ""), "2", ""), "3", ""), "4", ""), "5", ""), "6", ""), "7", ""), "8", ""), "9", "")), PROPER(SUBSTITUTE(SUBSTITUTE(SUBSTITUTE(SUBSTITUTE(SUBSTITUTE(SUBSTITUTE(SUBSTITUTE(SUBSTITUTE(SUBSTITUTE(SUBSTITUTE(MAIN!C473, "0", ""), "1", ""), "2", ""), "3", ""), "4", ""), "5", ""), "6", ""), "7", ""), "8", ""), "9", ""))))</f>
        <v>--</v>
      </c>
      <c r="D473" t="str">
        <f>IF(ISBLANK(MAIN!D473), "--", IF(ISNUMBER(MATCH(SUBSTITUTE(LEFT(MAIN!D473, IFERROR(FIND(",", MAIN!D473)-1, LEN(MAIN!D473))), " ", ""), lookup_values!$B$2:$B$51, 0)), UPPER(SUBSTITUTE(LEFT(MAIN!D473, IFERROR(FIND(",", MAIN!D473)-1, LEN(MAIN!D473))), " ", "")), IF(ISNA(VLOOKUP(SUBSTITUTE(LEFT(MAIN!D473, IFERROR(FIND(",", MAIN!D473)-1, LEN(MAIN!D473))), " ", ""), lookup_values!$A$2:$B$51, 2, FALSE)), "--", VLOOKUP(SUBSTITUTE(LEFT(MAIN!D473, IFERROR(FIND(",", MAIN!D473)-1, LEN(MAIN!D473))), " ", ""), lookup_values!$A$2:$B$51, 2, FALSE))))</f>
        <v>--</v>
      </c>
      <c r="E473" t="str">
        <f>IF(CLEAN_DATA!D473&lt;&gt;"--","US",IF(ISBLANK(MAIN!E473), "--", IF(ISNUMBER(MATCH(SUBSTITUTE(LEFT(MAIN!E473, IFERROR(FIND(",", MAIN!E473)-1, LEN(MAIN!E473))), " ", ""), lookup_values!$E$2:$E$197, 0)), UPPER(SUBSTITUTE(LEFT(MAIN!E473, IFERROR(FIND(",", MAIN!E473)-1, LEN(MAIN!E473))), " ", "")), IF(ISNA(VLOOKUP(SUBSTITUTE(LEFT(MAIN!E473, IFERROR(FIND(",", MAIN!E473)-1, LEN(MAIN!E473))), " ", ""), lookup_values!$D$2:$E$197, 2, FALSE)), "--", VLOOKUP(SUBSTITUTE(LEFT(MAIN!E473, IFERROR(FIND(",", MAIN!E473)-1, LEN(MAIN!E473))), " ", ""), lookup_values!$D$2:$E$197, 2, FALSE)))))</f>
        <v>--</v>
      </c>
      <c r="F473" t="str">
        <f>IF(ISBLANK(MAIN!F473), "", IF(AND(ISNUMBER(VALUE(TRIM(MAIN!F473))), LEN(TRIM(MAIN!F473))=4), VALUE(TRIM(MAIN!F473)), ""))</f>
        <v/>
      </c>
      <c r="G473">
        <f>IF(ISBLANK(MAIN!G473), 0, IF(ISNUMBER(VALUE(TRIM(MAIN!G473))), VALUE(TRIM(MAIN!G473)), 0))</f>
        <v>0</v>
      </c>
      <c r="H473">
        <f>IF(ISBLANK(MAIN!H473), 0, IF(ISNUMBER(VALUE(TRIM(MAIN!H473))), VALUE(TRIM(MAIN!H473)), 0))</f>
        <v>0</v>
      </c>
      <c r="I473">
        <f>IF(ISBLANK(MAIN!I473), 0, IF(ISNUMBER(VALUE(TRIM(MAIN!I473))), VALUE(TRIM(MAIN!I473)), 0))</f>
        <v>0</v>
      </c>
      <c r="J473">
        <f>IF(ISBLANK(MAIN!J473), 0, IF(ISNUMBER(VALUE(TRIM(MAIN!J473))), VALUE(TRIM(MAIN!J473)), 0))</f>
        <v>0</v>
      </c>
      <c r="K473" cm="1">
        <f t="array" ref="K473">IFERROR(
    VALUE(
        IFERROR(
            UPPER(
                IF(MAX(IFERROR(SEARCH("WD",MAIN!G473:J473), 0))&gt;0, "WD",
                IF(MAX(IFERROR(SEARCH("NS",MAIN!G473:J473), 0))&gt;0, "NS",
                IF(MAX(IFERROR(SEARCH("NC",MAIN!G473:J473), 0))&gt;0, "NC",
                IF(MAX(IFERROR(SEARCH("DQ",MAIN!G473:J473), 0))&gt;0, "DQ",
                IF(ISNUMBER(SEARCH("WD",MAIN!K473)), "WD",
                IF(ISNUMBER(SEARCH("NS",MAIN!K473)), "NS",
                IF(ISNUMBER(SEARCH("NC",MAIN!K473)), "NC",
                IF(ISNUMBER(SEARCH("DQ",MAIN!K473)), "DQ",
                IF(ISNUMBER(SEARCH("A",MAIN!K473)), 0,
                IF(OR(MAIN!K473=0,MAIN!K473=""), 0, --TRIM(MAIN!K473)))))))))))),
            0
        )
    ),
    IFERROR(
        UPPER(
            IF(MAX(IFERROR(SEARCH("WD",MAIN!G473:J473), 0))&gt;0, "WD",
            IF(MAX(IFERROR(SEARCH("NS",MAIN!G473:J473), 0))&gt;0, "NS",
            IF(MAX(IFERROR(SEARCH("NC",MAIN!G473:J473), 0))&gt;0, "NC",
            IF(MAX(IFERROR(SEARCH("DQ",MAIN!G473:J473), 0))&gt;0, "DQ",
            IF(ISNUMBER(SEARCH("WD",MAIN!K473)), "WD",
            IF(ISNUMBER(SEARCH("NS",MAIN!K473)), "NS",
            IF(ISNUMBER(SEARCH("NC",MAIN!K473)), "NC",
            IF(ISNUMBER(SEARCH("DQ",MAIN!K473)), "DQ",
            IF(ISNUMBER(SEARCH("A",MAIN!K473)), 0,
            IF(OR(MAIN!K473=0,MAIN!K473=""), 0, --TRIM(MAIN!K473)))))))))))),
        0
    )
)</f>
        <v>0</v>
      </c>
    </row>
    <row r="474" spans="1:11" x14ac:dyDescent="0.25">
      <c r="A474" t="str">
        <f>IF(ISBLANK(MAIN!A474), "--", IFERROR(PROPER(SUBSTITUTE(SUBSTITUTE(SUBSTITUTE(SUBSTITUTE(SUBSTITUTE(SUBSTITUTE(SUBSTITUTE(SUBSTITUTE(SUBSTITUTE(SUBSTITUTE(LEFT(MAIN!A474, FIND(",",MAIN!A474) -1), "0", ""), "1", ""), "2", ""), "3", ""), "4", ""), "5", ""), "6", ""), "7", ""), "8", ""), "9", "")), PROPER(SUBSTITUTE(SUBSTITUTE(SUBSTITUTE(SUBSTITUTE(SUBSTITUTE(SUBSTITUTE(SUBSTITUTE(SUBSTITUTE(SUBSTITUTE(SUBSTITUTE(MAIN!A474, "0", ""), "1", ""), "2", ""), "3", ""), "4", ""), "5", ""), "6", ""), "7", ""), "8", ""), "9", ""))))</f>
        <v>--</v>
      </c>
      <c r="B474" t="str">
        <f>IF(ISBLANK(MAIN!B474), "--", IFERROR(PROPER(SUBSTITUTE(SUBSTITUTE(SUBSTITUTE(SUBSTITUTE(SUBSTITUTE(SUBSTITUTE(SUBSTITUTE(SUBSTITUTE(SUBSTITUTE(SUBSTITUTE(LEFT(MAIN!B474, FIND(",",MAIN!B474) -1), "0", ""), "1", ""), "2", ""), "3", ""), "4", ""), "5", ""), "6", ""), "7", ""), "8", ""), "9", "")), PROPER(SUBSTITUTE(SUBSTITUTE(SUBSTITUTE(SUBSTITUTE(SUBSTITUTE(SUBSTITUTE(SUBSTITUTE(SUBSTITUTE(SUBSTITUTE(SUBSTITUTE(MAIN!B474, "0", ""), "1", ""), "2", ""), "3", ""), "4", ""), "5", ""), "6", ""), "7", ""), "8", ""), "9", ""))))</f>
        <v>--</v>
      </c>
      <c r="C474" t="str">
        <f>IF(ISBLANK(MAIN!C474), "--", IFERROR(PROPER(SUBSTITUTE(SUBSTITUTE(SUBSTITUTE(SUBSTITUTE(SUBSTITUTE(SUBSTITUTE(SUBSTITUTE(SUBSTITUTE(SUBSTITUTE(SUBSTITUTE(LEFT(MAIN!C474, FIND(",",MAIN!C474) -1), "0", ""), "1", ""), "2", ""), "3", ""), "4", ""), "5", ""), "6", ""), "7", ""), "8", ""), "9", "")), PROPER(SUBSTITUTE(SUBSTITUTE(SUBSTITUTE(SUBSTITUTE(SUBSTITUTE(SUBSTITUTE(SUBSTITUTE(SUBSTITUTE(SUBSTITUTE(SUBSTITUTE(MAIN!C474, "0", ""), "1", ""), "2", ""), "3", ""), "4", ""), "5", ""), "6", ""), "7", ""), "8", ""), "9", ""))))</f>
        <v>--</v>
      </c>
      <c r="D474" t="str">
        <f>IF(ISBLANK(MAIN!D474), "--", IF(ISNUMBER(MATCH(SUBSTITUTE(LEFT(MAIN!D474, IFERROR(FIND(",", MAIN!D474)-1, LEN(MAIN!D474))), " ", ""), lookup_values!$B$2:$B$51, 0)), UPPER(SUBSTITUTE(LEFT(MAIN!D474, IFERROR(FIND(",", MAIN!D474)-1, LEN(MAIN!D474))), " ", "")), IF(ISNA(VLOOKUP(SUBSTITUTE(LEFT(MAIN!D474, IFERROR(FIND(",", MAIN!D474)-1, LEN(MAIN!D474))), " ", ""), lookup_values!$A$2:$B$51, 2, FALSE)), "--", VLOOKUP(SUBSTITUTE(LEFT(MAIN!D474, IFERROR(FIND(",", MAIN!D474)-1, LEN(MAIN!D474))), " ", ""), lookup_values!$A$2:$B$51, 2, FALSE))))</f>
        <v>--</v>
      </c>
      <c r="E474" t="str">
        <f>IF(CLEAN_DATA!D474&lt;&gt;"--","US",IF(ISBLANK(MAIN!E474), "--", IF(ISNUMBER(MATCH(SUBSTITUTE(LEFT(MAIN!E474, IFERROR(FIND(",", MAIN!E474)-1, LEN(MAIN!E474))), " ", ""), lookup_values!$E$2:$E$197, 0)), UPPER(SUBSTITUTE(LEFT(MAIN!E474, IFERROR(FIND(",", MAIN!E474)-1, LEN(MAIN!E474))), " ", "")), IF(ISNA(VLOOKUP(SUBSTITUTE(LEFT(MAIN!E474, IFERROR(FIND(",", MAIN!E474)-1, LEN(MAIN!E474))), " ", ""), lookup_values!$D$2:$E$197, 2, FALSE)), "--", VLOOKUP(SUBSTITUTE(LEFT(MAIN!E474, IFERROR(FIND(",", MAIN!E474)-1, LEN(MAIN!E474))), " ", ""), lookup_values!$D$2:$E$197, 2, FALSE)))))</f>
        <v>--</v>
      </c>
      <c r="F474" t="str">
        <f>IF(ISBLANK(MAIN!F474), "", IF(AND(ISNUMBER(VALUE(TRIM(MAIN!F474))), LEN(TRIM(MAIN!F474))=4), VALUE(TRIM(MAIN!F474)), ""))</f>
        <v/>
      </c>
      <c r="G474">
        <f>IF(ISBLANK(MAIN!G474), 0, IF(ISNUMBER(VALUE(TRIM(MAIN!G474))), VALUE(TRIM(MAIN!G474)), 0))</f>
        <v>0</v>
      </c>
      <c r="H474">
        <f>IF(ISBLANK(MAIN!H474), 0, IF(ISNUMBER(VALUE(TRIM(MAIN!H474))), VALUE(TRIM(MAIN!H474)), 0))</f>
        <v>0</v>
      </c>
      <c r="I474">
        <f>IF(ISBLANK(MAIN!I474), 0, IF(ISNUMBER(VALUE(TRIM(MAIN!I474))), VALUE(TRIM(MAIN!I474)), 0))</f>
        <v>0</v>
      </c>
      <c r="J474">
        <f>IF(ISBLANK(MAIN!J474), 0, IF(ISNUMBER(VALUE(TRIM(MAIN!J474))), VALUE(TRIM(MAIN!J474)), 0))</f>
        <v>0</v>
      </c>
      <c r="K474" cm="1">
        <f t="array" ref="K474">IFERROR(
    VALUE(
        IFERROR(
            UPPER(
                IF(MAX(IFERROR(SEARCH("WD",MAIN!G474:J474), 0))&gt;0, "WD",
                IF(MAX(IFERROR(SEARCH("NS",MAIN!G474:J474), 0))&gt;0, "NS",
                IF(MAX(IFERROR(SEARCH("NC",MAIN!G474:J474), 0))&gt;0, "NC",
                IF(MAX(IFERROR(SEARCH("DQ",MAIN!G474:J474), 0))&gt;0, "DQ",
                IF(ISNUMBER(SEARCH("WD",MAIN!K474)), "WD",
                IF(ISNUMBER(SEARCH("NS",MAIN!K474)), "NS",
                IF(ISNUMBER(SEARCH("NC",MAIN!K474)), "NC",
                IF(ISNUMBER(SEARCH("DQ",MAIN!K474)), "DQ",
                IF(ISNUMBER(SEARCH("A",MAIN!K474)), 0,
                IF(OR(MAIN!K474=0,MAIN!K474=""), 0, --TRIM(MAIN!K474)))))))))))),
            0
        )
    ),
    IFERROR(
        UPPER(
            IF(MAX(IFERROR(SEARCH("WD",MAIN!G474:J474), 0))&gt;0, "WD",
            IF(MAX(IFERROR(SEARCH("NS",MAIN!G474:J474), 0))&gt;0, "NS",
            IF(MAX(IFERROR(SEARCH("NC",MAIN!G474:J474), 0))&gt;0, "NC",
            IF(MAX(IFERROR(SEARCH("DQ",MAIN!G474:J474), 0))&gt;0, "DQ",
            IF(ISNUMBER(SEARCH("WD",MAIN!K474)), "WD",
            IF(ISNUMBER(SEARCH("NS",MAIN!K474)), "NS",
            IF(ISNUMBER(SEARCH("NC",MAIN!K474)), "NC",
            IF(ISNUMBER(SEARCH("DQ",MAIN!K474)), "DQ",
            IF(ISNUMBER(SEARCH("A",MAIN!K474)), 0,
            IF(OR(MAIN!K474=0,MAIN!K474=""), 0, --TRIM(MAIN!K474)))))))))))),
        0
    )
)</f>
        <v>0</v>
      </c>
    </row>
    <row r="475" spans="1:11" x14ac:dyDescent="0.25">
      <c r="A475" t="str">
        <f>IF(ISBLANK(MAIN!A475), "--", IFERROR(PROPER(SUBSTITUTE(SUBSTITUTE(SUBSTITUTE(SUBSTITUTE(SUBSTITUTE(SUBSTITUTE(SUBSTITUTE(SUBSTITUTE(SUBSTITUTE(SUBSTITUTE(LEFT(MAIN!A475, FIND(",",MAIN!A475) -1), "0", ""), "1", ""), "2", ""), "3", ""), "4", ""), "5", ""), "6", ""), "7", ""), "8", ""), "9", "")), PROPER(SUBSTITUTE(SUBSTITUTE(SUBSTITUTE(SUBSTITUTE(SUBSTITUTE(SUBSTITUTE(SUBSTITUTE(SUBSTITUTE(SUBSTITUTE(SUBSTITUTE(MAIN!A475, "0", ""), "1", ""), "2", ""), "3", ""), "4", ""), "5", ""), "6", ""), "7", ""), "8", ""), "9", ""))))</f>
        <v>--</v>
      </c>
      <c r="B475" t="str">
        <f>IF(ISBLANK(MAIN!B475), "--", IFERROR(PROPER(SUBSTITUTE(SUBSTITUTE(SUBSTITUTE(SUBSTITUTE(SUBSTITUTE(SUBSTITUTE(SUBSTITUTE(SUBSTITUTE(SUBSTITUTE(SUBSTITUTE(LEFT(MAIN!B475, FIND(",",MAIN!B475) -1), "0", ""), "1", ""), "2", ""), "3", ""), "4", ""), "5", ""), "6", ""), "7", ""), "8", ""), "9", "")), PROPER(SUBSTITUTE(SUBSTITUTE(SUBSTITUTE(SUBSTITUTE(SUBSTITUTE(SUBSTITUTE(SUBSTITUTE(SUBSTITUTE(SUBSTITUTE(SUBSTITUTE(MAIN!B475, "0", ""), "1", ""), "2", ""), "3", ""), "4", ""), "5", ""), "6", ""), "7", ""), "8", ""), "9", ""))))</f>
        <v>--</v>
      </c>
      <c r="C475" t="str">
        <f>IF(ISBLANK(MAIN!C475), "--", IFERROR(PROPER(SUBSTITUTE(SUBSTITUTE(SUBSTITUTE(SUBSTITUTE(SUBSTITUTE(SUBSTITUTE(SUBSTITUTE(SUBSTITUTE(SUBSTITUTE(SUBSTITUTE(LEFT(MAIN!C475, FIND(",",MAIN!C475) -1), "0", ""), "1", ""), "2", ""), "3", ""), "4", ""), "5", ""), "6", ""), "7", ""), "8", ""), "9", "")), PROPER(SUBSTITUTE(SUBSTITUTE(SUBSTITUTE(SUBSTITUTE(SUBSTITUTE(SUBSTITUTE(SUBSTITUTE(SUBSTITUTE(SUBSTITUTE(SUBSTITUTE(MAIN!C475, "0", ""), "1", ""), "2", ""), "3", ""), "4", ""), "5", ""), "6", ""), "7", ""), "8", ""), "9", ""))))</f>
        <v>--</v>
      </c>
      <c r="D475" t="str">
        <f>IF(ISBLANK(MAIN!D475), "--", IF(ISNUMBER(MATCH(SUBSTITUTE(LEFT(MAIN!D475, IFERROR(FIND(",", MAIN!D475)-1, LEN(MAIN!D475))), " ", ""), lookup_values!$B$2:$B$51, 0)), UPPER(SUBSTITUTE(LEFT(MAIN!D475, IFERROR(FIND(",", MAIN!D475)-1, LEN(MAIN!D475))), " ", "")), IF(ISNA(VLOOKUP(SUBSTITUTE(LEFT(MAIN!D475, IFERROR(FIND(",", MAIN!D475)-1, LEN(MAIN!D475))), " ", ""), lookup_values!$A$2:$B$51, 2, FALSE)), "--", VLOOKUP(SUBSTITUTE(LEFT(MAIN!D475, IFERROR(FIND(",", MAIN!D475)-1, LEN(MAIN!D475))), " ", ""), lookup_values!$A$2:$B$51, 2, FALSE))))</f>
        <v>--</v>
      </c>
      <c r="E475" t="str">
        <f>IF(CLEAN_DATA!D475&lt;&gt;"--","US",IF(ISBLANK(MAIN!E475), "--", IF(ISNUMBER(MATCH(SUBSTITUTE(LEFT(MAIN!E475, IFERROR(FIND(",", MAIN!E475)-1, LEN(MAIN!E475))), " ", ""), lookup_values!$E$2:$E$197, 0)), UPPER(SUBSTITUTE(LEFT(MAIN!E475, IFERROR(FIND(",", MAIN!E475)-1, LEN(MAIN!E475))), " ", "")), IF(ISNA(VLOOKUP(SUBSTITUTE(LEFT(MAIN!E475, IFERROR(FIND(",", MAIN!E475)-1, LEN(MAIN!E475))), " ", ""), lookup_values!$D$2:$E$197, 2, FALSE)), "--", VLOOKUP(SUBSTITUTE(LEFT(MAIN!E475, IFERROR(FIND(",", MAIN!E475)-1, LEN(MAIN!E475))), " ", ""), lookup_values!$D$2:$E$197, 2, FALSE)))))</f>
        <v>--</v>
      </c>
      <c r="F475" t="str">
        <f>IF(ISBLANK(MAIN!F475), "", IF(AND(ISNUMBER(VALUE(TRIM(MAIN!F475))), LEN(TRIM(MAIN!F475))=4), VALUE(TRIM(MAIN!F475)), ""))</f>
        <v/>
      </c>
      <c r="G475">
        <f>IF(ISBLANK(MAIN!G475), 0, IF(ISNUMBER(VALUE(TRIM(MAIN!G475))), VALUE(TRIM(MAIN!G475)), 0))</f>
        <v>0</v>
      </c>
      <c r="H475">
        <f>IF(ISBLANK(MAIN!H475), 0, IF(ISNUMBER(VALUE(TRIM(MAIN!H475))), VALUE(TRIM(MAIN!H475)), 0))</f>
        <v>0</v>
      </c>
      <c r="I475">
        <f>IF(ISBLANK(MAIN!I475), 0, IF(ISNUMBER(VALUE(TRIM(MAIN!I475))), VALUE(TRIM(MAIN!I475)), 0))</f>
        <v>0</v>
      </c>
      <c r="J475">
        <f>IF(ISBLANK(MAIN!J475), 0, IF(ISNUMBER(VALUE(TRIM(MAIN!J475))), VALUE(TRIM(MAIN!J475)), 0))</f>
        <v>0</v>
      </c>
      <c r="K475" cm="1">
        <f t="array" ref="K475">IFERROR(
    VALUE(
        IFERROR(
            UPPER(
                IF(MAX(IFERROR(SEARCH("WD",MAIN!G475:J475), 0))&gt;0, "WD",
                IF(MAX(IFERROR(SEARCH("NS",MAIN!G475:J475), 0))&gt;0, "NS",
                IF(MAX(IFERROR(SEARCH("NC",MAIN!G475:J475), 0))&gt;0, "NC",
                IF(MAX(IFERROR(SEARCH("DQ",MAIN!G475:J475), 0))&gt;0, "DQ",
                IF(ISNUMBER(SEARCH("WD",MAIN!K475)), "WD",
                IF(ISNUMBER(SEARCH("NS",MAIN!K475)), "NS",
                IF(ISNUMBER(SEARCH("NC",MAIN!K475)), "NC",
                IF(ISNUMBER(SEARCH("DQ",MAIN!K475)), "DQ",
                IF(ISNUMBER(SEARCH("A",MAIN!K475)), 0,
                IF(OR(MAIN!K475=0,MAIN!K475=""), 0, --TRIM(MAIN!K475)))))))))))),
            0
        )
    ),
    IFERROR(
        UPPER(
            IF(MAX(IFERROR(SEARCH("WD",MAIN!G475:J475), 0))&gt;0, "WD",
            IF(MAX(IFERROR(SEARCH("NS",MAIN!G475:J475), 0))&gt;0, "NS",
            IF(MAX(IFERROR(SEARCH("NC",MAIN!G475:J475), 0))&gt;0, "NC",
            IF(MAX(IFERROR(SEARCH("DQ",MAIN!G475:J475), 0))&gt;0, "DQ",
            IF(ISNUMBER(SEARCH("WD",MAIN!K475)), "WD",
            IF(ISNUMBER(SEARCH("NS",MAIN!K475)), "NS",
            IF(ISNUMBER(SEARCH("NC",MAIN!K475)), "NC",
            IF(ISNUMBER(SEARCH("DQ",MAIN!K475)), "DQ",
            IF(ISNUMBER(SEARCH("A",MAIN!K475)), 0,
            IF(OR(MAIN!K475=0,MAIN!K475=""), 0, --TRIM(MAIN!K475)))))))))))),
        0
    )
)</f>
        <v>0</v>
      </c>
    </row>
    <row r="476" spans="1:11" x14ac:dyDescent="0.25">
      <c r="A476" t="str">
        <f>IF(ISBLANK(MAIN!A476), "--", IFERROR(PROPER(SUBSTITUTE(SUBSTITUTE(SUBSTITUTE(SUBSTITUTE(SUBSTITUTE(SUBSTITUTE(SUBSTITUTE(SUBSTITUTE(SUBSTITUTE(SUBSTITUTE(LEFT(MAIN!A476, FIND(",",MAIN!A476) -1), "0", ""), "1", ""), "2", ""), "3", ""), "4", ""), "5", ""), "6", ""), "7", ""), "8", ""), "9", "")), PROPER(SUBSTITUTE(SUBSTITUTE(SUBSTITUTE(SUBSTITUTE(SUBSTITUTE(SUBSTITUTE(SUBSTITUTE(SUBSTITUTE(SUBSTITUTE(SUBSTITUTE(MAIN!A476, "0", ""), "1", ""), "2", ""), "3", ""), "4", ""), "5", ""), "6", ""), "7", ""), "8", ""), "9", ""))))</f>
        <v>--</v>
      </c>
      <c r="B476" t="str">
        <f>IF(ISBLANK(MAIN!B476), "--", IFERROR(PROPER(SUBSTITUTE(SUBSTITUTE(SUBSTITUTE(SUBSTITUTE(SUBSTITUTE(SUBSTITUTE(SUBSTITUTE(SUBSTITUTE(SUBSTITUTE(SUBSTITUTE(LEFT(MAIN!B476, FIND(",",MAIN!B476) -1), "0", ""), "1", ""), "2", ""), "3", ""), "4", ""), "5", ""), "6", ""), "7", ""), "8", ""), "9", "")), PROPER(SUBSTITUTE(SUBSTITUTE(SUBSTITUTE(SUBSTITUTE(SUBSTITUTE(SUBSTITUTE(SUBSTITUTE(SUBSTITUTE(SUBSTITUTE(SUBSTITUTE(MAIN!B476, "0", ""), "1", ""), "2", ""), "3", ""), "4", ""), "5", ""), "6", ""), "7", ""), "8", ""), "9", ""))))</f>
        <v>--</v>
      </c>
      <c r="C476" t="str">
        <f>IF(ISBLANK(MAIN!C476), "--", IFERROR(PROPER(SUBSTITUTE(SUBSTITUTE(SUBSTITUTE(SUBSTITUTE(SUBSTITUTE(SUBSTITUTE(SUBSTITUTE(SUBSTITUTE(SUBSTITUTE(SUBSTITUTE(LEFT(MAIN!C476, FIND(",",MAIN!C476) -1), "0", ""), "1", ""), "2", ""), "3", ""), "4", ""), "5", ""), "6", ""), "7", ""), "8", ""), "9", "")), PROPER(SUBSTITUTE(SUBSTITUTE(SUBSTITUTE(SUBSTITUTE(SUBSTITUTE(SUBSTITUTE(SUBSTITUTE(SUBSTITUTE(SUBSTITUTE(SUBSTITUTE(MAIN!C476, "0", ""), "1", ""), "2", ""), "3", ""), "4", ""), "5", ""), "6", ""), "7", ""), "8", ""), "9", ""))))</f>
        <v>--</v>
      </c>
      <c r="D476" t="str">
        <f>IF(ISBLANK(MAIN!D476), "--", IF(ISNUMBER(MATCH(SUBSTITUTE(LEFT(MAIN!D476, IFERROR(FIND(",", MAIN!D476)-1, LEN(MAIN!D476))), " ", ""), lookup_values!$B$2:$B$51, 0)), UPPER(SUBSTITUTE(LEFT(MAIN!D476, IFERROR(FIND(",", MAIN!D476)-1, LEN(MAIN!D476))), " ", "")), IF(ISNA(VLOOKUP(SUBSTITUTE(LEFT(MAIN!D476, IFERROR(FIND(",", MAIN!D476)-1, LEN(MAIN!D476))), " ", ""), lookup_values!$A$2:$B$51, 2, FALSE)), "--", VLOOKUP(SUBSTITUTE(LEFT(MAIN!D476, IFERROR(FIND(",", MAIN!D476)-1, LEN(MAIN!D476))), " ", ""), lookup_values!$A$2:$B$51, 2, FALSE))))</f>
        <v>--</v>
      </c>
      <c r="E476" t="str">
        <f>IF(CLEAN_DATA!D476&lt;&gt;"--","US",IF(ISBLANK(MAIN!E476), "--", IF(ISNUMBER(MATCH(SUBSTITUTE(LEFT(MAIN!E476, IFERROR(FIND(",", MAIN!E476)-1, LEN(MAIN!E476))), " ", ""), lookup_values!$E$2:$E$197, 0)), UPPER(SUBSTITUTE(LEFT(MAIN!E476, IFERROR(FIND(",", MAIN!E476)-1, LEN(MAIN!E476))), " ", "")), IF(ISNA(VLOOKUP(SUBSTITUTE(LEFT(MAIN!E476, IFERROR(FIND(",", MAIN!E476)-1, LEN(MAIN!E476))), " ", ""), lookup_values!$D$2:$E$197, 2, FALSE)), "--", VLOOKUP(SUBSTITUTE(LEFT(MAIN!E476, IFERROR(FIND(",", MAIN!E476)-1, LEN(MAIN!E476))), " ", ""), lookup_values!$D$2:$E$197, 2, FALSE)))))</f>
        <v>--</v>
      </c>
      <c r="F476" t="str">
        <f>IF(ISBLANK(MAIN!F476), "", IF(AND(ISNUMBER(VALUE(TRIM(MAIN!F476))), LEN(TRIM(MAIN!F476))=4), VALUE(TRIM(MAIN!F476)), ""))</f>
        <v/>
      </c>
      <c r="G476">
        <f>IF(ISBLANK(MAIN!G476), 0, IF(ISNUMBER(VALUE(TRIM(MAIN!G476))), VALUE(TRIM(MAIN!G476)), 0))</f>
        <v>0</v>
      </c>
      <c r="H476">
        <f>IF(ISBLANK(MAIN!H476), 0, IF(ISNUMBER(VALUE(TRIM(MAIN!H476))), VALUE(TRIM(MAIN!H476)), 0))</f>
        <v>0</v>
      </c>
      <c r="I476">
        <f>IF(ISBLANK(MAIN!I476), 0, IF(ISNUMBER(VALUE(TRIM(MAIN!I476))), VALUE(TRIM(MAIN!I476)), 0))</f>
        <v>0</v>
      </c>
      <c r="J476">
        <f>IF(ISBLANK(MAIN!J476), 0, IF(ISNUMBER(VALUE(TRIM(MAIN!J476))), VALUE(TRIM(MAIN!J476)), 0))</f>
        <v>0</v>
      </c>
      <c r="K476" cm="1">
        <f t="array" ref="K476">IFERROR(
    VALUE(
        IFERROR(
            UPPER(
                IF(MAX(IFERROR(SEARCH("WD",MAIN!G476:J476), 0))&gt;0, "WD",
                IF(MAX(IFERROR(SEARCH("NS",MAIN!G476:J476), 0))&gt;0, "NS",
                IF(MAX(IFERROR(SEARCH("NC",MAIN!G476:J476), 0))&gt;0, "NC",
                IF(MAX(IFERROR(SEARCH("DQ",MAIN!G476:J476), 0))&gt;0, "DQ",
                IF(ISNUMBER(SEARCH("WD",MAIN!K476)), "WD",
                IF(ISNUMBER(SEARCH("NS",MAIN!K476)), "NS",
                IF(ISNUMBER(SEARCH("NC",MAIN!K476)), "NC",
                IF(ISNUMBER(SEARCH("DQ",MAIN!K476)), "DQ",
                IF(ISNUMBER(SEARCH("A",MAIN!K476)), 0,
                IF(OR(MAIN!K476=0,MAIN!K476=""), 0, --TRIM(MAIN!K476)))))))))))),
            0
        )
    ),
    IFERROR(
        UPPER(
            IF(MAX(IFERROR(SEARCH("WD",MAIN!G476:J476), 0))&gt;0, "WD",
            IF(MAX(IFERROR(SEARCH("NS",MAIN!G476:J476), 0))&gt;0, "NS",
            IF(MAX(IFERROR(SEARCH("NC",MAIN!G476:J476), 0))&gt;0, "NC",
            IF(MAX(IFERROR(SEARCH("DQ",MAIN!G476:J476), 0))&gt;0, "DQ",
            IF(ISNUMBER(SEARCH("WD",MAIN!K476)), "WD",
            IF(ISNUMBER(SEARCH("NS",MAIN!K476)), "NS",
            IF(ISNUMBER(SEARCH("NC",MAIN!K476)), "NC",
            IF(ISNUMBER(SEARCH("DQ",MAIN!K476)), "DQ",
            IF(ISNUMBER(SEARCH("A",MAIN!K476)), 0,
            IF(OR(MAIN!K476=0,MAIN!K476=""), 0, --TRIM(MAIN!K476)))))))))))),
        0
    )
)</f>
        <v>0</v>
      </c>
    </row>
    <row r="477" spans="1:11" x14ac:dyDescent="0.25">
      <c r="A477" t="str">
        <f>IF(ISBLANK(MAIN!A477), "--", IFERROR(PROPER(SUBSTITUTE(SUBSTITUTE(SUBSTITUTE(SUBSTITUTE(SUBSTITUTE(SUBSTITUTE(SUBSTITUTE(SUBSTITUTE(SUBSTITUTE(SUBSTITUTE(LEFT(MAIN!A477, FIND(",",MAIN!A477) -1), "0", ""), "1", ""), "2", ""), "3", ""), "4", ""), "5", ""), "6", ""), "7", ""), "8", ""), "9", "")), PROPER(SUBSTITUTE(SUBSTITUTE(SUBSTITUTE(SUBSTITUTE(SUBSTITUTE(SUBSTITUTE(SUBSTITUTE(SUBSTITUTE(SUBSTITUTE(SUBSTITUTE(MAIN!A477, "0", ""), "1", ""), "2", ""), "3", ""), "4", ""), "5", ""), "6", ""), "7", ""), "8", ""), "9", ""))))</f>
        <v>--</v>
      </c>
      <c r="B477" t="str">
        <f>IF(ISBLANK(MAIN!B477), "--", IFERROR(PROPER(SUBSTITUTE(SUBSTITUTE(SUBSTITUTE(SUBSTITUTE(SUBSTITUTE(SUBSTITUTE(SUBSTITUTE(SUBSTITUTE(SUBSTITUTE(SUBSTITUTE(LEFT(MAIN!B477, FIND(",",MAIN!B477) -1), "0", ""), "1", ""), "2", ""), "3", ""), "4", ""), "5", ""), "6", ""), "7", ""), "8", ""), "9", "")), PROPER(SUBSTITUTE(SUBSTITUTE(SUBSTITUTE(SUBSTITUTE(SUBSTITUTE(SUBSTITUTE(SUBSTITUTE(SUBSTITUTE(SUBSTITUTE(SUBSTITUTE(MAIN!B477, "0", ""), "1", ""), "2", ""), "3", ""), "4", ""), "5", ""), "6", ""), "7", ""), "8", ""), "9", ""))))</f>
        <v>--</v>
      </c>
      <c r="C477" t="str">
        <f>IF(ISBLANK(MAIN!C477), "--", IFERROR(PROPER(SUBSTITUTE(SUBSTITUTE(SUBSTITUTE(SUBSTITUTE(SUBSTITUTE(SUBSTITUTE(SUBSTITUTE(SUBSTITUTE(SUBSTITUTE(SUBSTITUTE(LEFT(MAIN!C477, FIND(",",MAIN!C477) -1), "0", ""), "1", ""), "2", ""), "3", ""), "4", ""), "5", ""), "6", ""), "7", ""), "8", ""), "9", "")), PROPER(SUBSTITUTE(SUBSTITUTE(SUBSTITUTE(SUBSTITUTE(SUBSTITUTE(SUBSTITUTE(SUBSTITUTE(SUBSTITUTE(SUBSTITUTE(SUBSTITUTE(MAIN!C477, "0", ""), "1", ""), "2", ""), "3", ""), "4", ""), "5", ""), "6", ""), "7", ""), "8", ""), "9", ""))))</f>
        <v>--</v>
      </c>
      <c r="D477" t="str">
        <f>IF(ISBLANK(MAIN!D477), "--", IF(ISNUMBER(MATCH(SUBSTITUTE(LEFT(MAIN!D477, IFERROR(FIND(",", MAIN!D477)-1, LEN(MAIN!D477))), " ", ""), lookup_values!$B$2:$B$51, 0)), UPPER(SUBSTITUTE(LEFT(MAIN!D477, IFERROR(FIND(",", MAIN!D477)-1, LEN(MAIN!D477))), " ", "")), IF(ISNA(VLOOKUP(SUBSTITUTE(LEFT(MAIN!D477, IFERROR(FIND(",", MAIN!D477)-1, LEN(MAIN!D477))), " ", ""), lookup_values!$A$2:$B$51, 2, FALSE)), "--", VLOOKUP(SUBSTITUTE(LEFT(MAIN!D477, IFERROR(FIND(",", MAIN!D477)-1, LEN(MAIN!D477))), " ", ""), lookup_values!$A$2:$B$51, 2, FALSE))))</f>
        <v>--</v>
      </c>
      <c r="E477" t="str">
        <f>IF(CLEAN_DATA!D477&lt;&gt;"--","US",IF(ISBLANK(MAIN!E477), "--", IF(ISNUMBER(MATCH(SUBSTITUTE(LEFT(MAIN!E477, IFERROR(FIND(",", MAIN!E477)-1, LEN(MAIN!E477))), " ", ""), lookup_values!$E$2:$E$197, 0)), UPPER(SUBSTITUTE(LEFT(MAIN!E477, IFERROR(FIND(",", MAIN!E477)-1, LEN(MAIN!E477))), " ", "")), IF(ISNA(VLOOKUP(SUBSTITUTE(LEFT(MAIN!E477, IFERROR(FIND(",", MAIN!E477)-1, LEN(MAIN!E477))), " ", ""), lookup_values!$D$2:$E$197, 2, FALSE)), "--", VLOOKUP(SUBSTITUTE(LEFT(MAIN!E477, IFERROR(FIND(",", MAIN!E477)-1, LEN(MAIN!E477))), " ", ""), lookup_values!$D$2:$E$197, 2, FALSE)))))</f>
        <v>--</v>
      </c>
      <c r="F477" t="str">
        <f>IF(ISBLANK(MAIN!F477), "", IF(AND(ISNUMBER(VALUE(TRIM(MAIN!F477))), LEN(TRIM(MAIN!F477))=4), VALUE(TRIM(MAIN!F477)), ""))</f>
        <v/>
      </c>
      <c r="G477">
        <f>IF(ISBLANK(MAIN!G477), 0, IF(ISNUMBER(VALUE(TRIM(MAIN!G477))), VALUE(TRIM(MAIN!G477)), 0))</f>
        <v>0</v>
      </c>
      <c r="H477">
        <f>IF(ISBLANK(MAIN!H477), 0, IF(ISNUMBER(VALUE(TRIM(MAIN!H477))), VALUE(TRIM(MAIN!H477)), 0))</f>
        <v>0</v>
      </c>
      <c r="I477">
        <f>IF(ISBLANK(MAIN!I477), 0, IF(ISNUMBER(VALUE(TRIM(MAIN!I477))), VALUE(TRIM(MAIN!I477)), 0))</f>
        <v>0</v>
      </c>
      <c r="J477">
        <f>IF(ISBLANK(MAIN!J477), 0, IF(ISNUMBER(VALUE(TRIM(MAIN!J477))), VALUE(TRIM(MAIN!J477)), 0))</f>
        <v>0</v>
      </c>
      <c r="K477" cm="1">
        <f t="array" ref="K477">IFERROR(
    VALUE(
        IFERROR(
            UPPER(
                IF(MAX(IFERROR(SEARCH("WD",MAIN!G477:J477), 0))&gt;0, "WD",
                IF(MAX(IFERROR(SEARCH("NS",MAIN!G477:J477), 0))&gt;0, "NS",
                IF(MAX(IFERROR(SEARCH("NC",MAIN!G477:J477), 0))&gt;0, "NC",
                IF(MAX(IFERROR(SEARCH("DQ",MAIN!G477:J477), 0))&gt;0, "DQ",
                IF(ISNUMBER(SEARCH("WD",MAIN!K477)), "WD",
                IF(ISNUMBER(SEARCH("NS",MAIN!K477)), "NS",
                IF(ISNUMBER(SEARCH("NC",MAIN!K477)), "NC",
                IF(ISNUMBER(SEARCH("DQ",MAIN!K477)), "DQ",
                IF(ISNUMBER(SEARCH("A",MAIN!K477)), 0,
                IF(OR(MAIN!K477=0,MAIN!K477=""), 0, --TRIM(MAIN!K477)))))))))))),
            0
        )
    ),
    IFERROR(
        UPPER(
            IF(MAX(IFERROR(SEARCH("WD",MAIN!G477:J477), 0))&gt;0, "WD",
            IF(MAX(IFERROR(SEARCH("NS",MAIN!G477:J477), 0))&gt;0, "NS",
            IF(MAX(IFERROR(SEARCH("NC",MAIN!G477:J477), 0))&gt;0, "NC",
            IF(MAX(IFERROR(SEARCH("DQ",MAIN!G477:J477), 0))&gt;0, "DQ",
            IF(ISNUMBER(SEARCH("WD",MAIN!K477)), "WD",
            IF(ISNUMBER(SEARCH("NS",MAIN!K477)), "NS",
            IF(ISNUMBER(SEARCH("NC",MAIN!K477)), "NC",
            IF(ISNUMBER(SEARCH("DQ",MAIN!K477)), "DQ",
            IF(ISNUMBER(SEARCH("A",MAIN!K477)), 0,
            IF(OR(MAIN!K477=0,MAIN!K477=""), 0, --TRIM(MAIN!K477)))))))))))),
        0
    )
)</f>
        <v>0</v>
      </c>
    </row>
    <row r="478" spans="1:11" x14ac:dyDescent="0.25">
      <c r="A478" t="str">
        <f>IF(ISBLANK(MAIN!A478), "--", IFERROR(PROPER(SUBSTITUTE(SUBSTITUTE(SUBSTITUTE(SUBSTITUTE(SUBSTITUTE(SUBSTITUTE(SUBSTITUTE(SUBSTITUTE(SUBSTITUTE(SUBSTITUTE(LEFT(MAIN!A478, FIND(",",MAIN!A478) -1), "0", ""), "1", ""), "2", ""), "3", ""), "4", ""), "5", ""), "6", ""), "7", ""), "8", ""), "9", "")), PROPER(SUBSTITUTE(SUBSTITUTE(SUBSTITUTE(SUBSTITUTE(SUBSTITUTE(SUBSTITUTE(SUBSTITUTE(SUBSTITUTE(SUBSTITUTE(SUBSTITUTE(MAIN!A478, "0", ""), "1", ""), "2", ""), "3", ""), "4", ""), "5", ""), "6", ""), "7", ""), "8", ""), "9", ""))))</f>
        <v>--</v>
      </c>
      <c r="B478" t="str">
        <f>IF(ISBLANK(MAIN!B478), "--", IFERROR(PROPER(SUBSTITUTE(SUBSTITUTE(SUBSTITUTE(SUBSTITUTE(SUBSTITUTE(SUBSTITUTE(SUBSTITUTE(SUBSTITUTE(SUBSTITUTE(SUBSTITUTE(LEFT(MAIN!B478, FIND(",",MAIN!B478) -1), "0", ""), "1", ""), "2", ""), "3", ""), "4", ""), "5", ""), "6", ""), "7", ""), "8", ""), "9", "")), PROPER(SUBSTITUTE(SUBSTITUTE(SUBSTITUTE(SUBSTITUTE(SUBSTITUTE(SUBSTITUTE(SUBSTITUTE(SUBSTITUTE(SUBSTITUTE(SUBSTITUTE(MAIN!B478, "0", ""), "1", ""), "2", ""), "3", ""), "4", ""), "5", ""), "6", ""), "7", ""), "8", ""), "9", ""))))</f>
        <v>--</v>
      </c>
      <c r="C478" t="str">
        <f>IF(ISBLANK(MAIN!C478), "--", IFERROR(PROPER(SUBSTITUTE(SUBSTITUTE(SUBSTITUTE(SUBSTITUTE(SUBSTITUTE(SUBSTITUTE(SUBSTITUTE(SUBSTITUTE(SUBSTITUTE(SUBSTITUTE(LEFT(MAIN!C478, FIND(",",MAIN!C478) -1), "0", ""), "1", ""), "2", ""), "3", ""), "4", ""), "5", ""), "6", ""), "7", ""), "8", ""), "9", "")), PROPER(SUBSTITUTE(SUBSTITUTE(SUBSTITUTE(SUBSTITUTE(SUBSTITUTE(SUBSTITUTE(SUBSTITUTE(SUBSTITUTE(SUBSTITUTE(SUBSTITUTE(MAIN!C478, "0", ""), "1", ""), "2", ""), "3", ""), "4", ""), "5", ""), "6", ""), "7", ""), "8", ""), "9", ""))))</f>
        <v>--</v>
      </c>
      <c r="D478" t="str">
        <f>IF(ISBLANK(MAIN!D478), "--", IF(ISNUMBER(MATCH(SUBSTITUTE(LEFT(MAIN!D478, IFERROR(FIND(",", MAIN!D478)-1, LEN(MAIN!D478))), " ", ""), lookup_values!$B$2:$B$51, 0)), UPPER(SUBSTITUTE(LEFT(MAIN!D478, IFERROR(FIND(",", MAIN!D478)-1, LEN(MAIN!D478))), " ", "")), IF(ISNA(VLOOKUP(SUBSTITUTE(LEFT(MAIN!D478, IFERROR(FIND(",", MAIN!D478)-1, LEN(MAIN!D478))), " ", ""), lookup_values!$A$2:$B$51, 2, FALSE)), "--", VLOOKUP(SUBSTITUTE(LEFT(MAIN!D478, IFERROR(FIND(",", MAIN!D478)-1, LEN(MAIN!D478))), " ", ""), lookup_values!$A$2:$B$51, 2, FALSE))))</f>
        <v>--</v>
      </c>
      <c r="E478" t="str">
        <f>IF(CLEAN_DATA!D478&lt;&gt;"--","US",IF(ISBLANK(MAIN!E478), "--", IF(ISNUMBER(MATCH(SUBSTITUTE(LEFT(MAIN!E478, IFERROR(FIND(",", MAIN!E478)-1, LEN(MAIN!E478))), " ", ""), lookup_values!$E$2:$E$197, 0)), UPPER(SUBSTITUTE(LEFT(MAIN!E478, IFERROR(FIND(",", MAIN!E478)-1, LEN(MAIN!E478))), " ", "")), IF(ISNA(VLOOKUP(SUBSTITUTE(LEFT(MAIN!E478, IFERROR(FIND(",", MAIN!E478)-1, LEN(MAIN!E478))), " ", ""), lookup_values!$D$2:$E$197, 2, FALSE)), "--", VLOOKUP(SUBSTITUTE(LEFT(MAIN!E478, IFERROR(FIND(",", MAIN!E478)-1, LEN(MAIN!E478))), " ", ""), lookup_values!$D$2:$E$197, 2, FALSE)))))</f>
        <v>--</v>
      </c>
      <c r="F478" t="str">
        <f>IF(ISBLANK(MAIN!F478), "", IF(AND(ISNUMBER(VALUE(TRIM(MAIN!F478))), LEN(TRIM(MAIN!F478))=4), VALUE(TRIM(MAIN!F478)), ""))</f>
        <v/>
      </c>
      <c r="G478">
        <f>IF(ISBLANK(MAIN!G478), 0, IF(ISNUMBER(VALUE(TRIM(MAIN!G478))), VALUE(TRIM(MAIN!G478)), 0))</f>
        <v>0</v>
      </c>
      <c r="H478">
        <f>IF(ISBLANK(MAIN!H478), 0, IF(ISNUMBER(VALUE(TRIM(MAIN!H478))), VALUE(TRIM(MAIN!H478)), 0))</f>
        <v>0</v>
      </c>
      <c r="I478">
        <f>IF(ISBLANK(MAIN!I478), 0, IF(ISNUMBER(VALUE(TRIM(MAIN!I478))), VALUE(TRIM(MAIN!I478)), 0))</f>
        <v>0</v>
      </c>
      <c r="J478">
        <f>IF(ISBLANK(MAIN!J478), 0, IF(ISNUMBER(VALUE(TRIM(MAIN!J478))), VALUE(TRIM(MAIN!J478)), 0))</f>
        <v>0</v>
      </c>
      <c r="K478" cm="1">
        <f t="array" ref="K478">IFERROR(
    VALUE(
        IFERROR(
            UPPER(
                IF(MAX(IFERROR(SEARCH("WD",MAIN!G478:J478), 0))&gt;0, "WD",
                IF(MAX(IFERROR(SEARCH("NS",MAIN!G478:J478), 0))&gt;0, "NS",
                IF(MAX(IFERROR(SEARCH("NC",MAIN!G478:J478), 0))&gt;0, "NC",
                IF(MAX(IFERROR(SEARCH("DQ",MAIN!G478:J478), 0))&gt;0, "DQ",
                IF(ISNUMBER(SEARCH("WD",MAIN!K478)), "WD",
                IF(ISNUMBER(SEARCH("NS",MAIN!K478)), "NS",
                IF(ISNUMBER(SEARCH("NC",MAIN!K478)), "NC",
                IF(ISNUMBER(SEARCH("DQ",MAIN!K478)), "DQ",
                IF(ISNUMBER(SEARCH("A",MAIN!K478)), 0,
                IF(OR(MAIN!K478=0,MAIN!K478=""), 0, --TRIM(MAIN!K478)))))))))))),
            0
        )
    ),
    IFERROR(
        UPPER(
            IF(MAX(IFERROR(SEARCH("WD",MAIN!G478:J478), 0))&gt;0, "WD",
            IF(MAX(IFERROR(SEARCH("NS",MAIN!G478:J478), 0))&gt;0, "NS",
            IF(MAX(IFERROR(SEARCH("NC",MAIN!G478:J478), 0))&gt;0, "NC",
            IF(MAX(IFERROR(SEARCH("DQ",MAIN!G478:J478), 0))&gt;0, "DQ",
            IF(ISNUMBER(SEARCH("WD",MAIN!K478)), "WD",
            IF(ISNUMBER(SEARCH("NS",MAIN!K478)), "NS",
            IF(ISNUMBER(SEARCH("NC",MAIN!K478)), "NC",
            IF(ISNUMBER(SEARCH("DQ",MAIN!K478)), "DQ",
            IF(ISNUMBER(SEARCH("A",MAIN!K478)), 0,
            IF(OR(MAIN!K478=0,MAIN!K478=""), 0, --TRIM(MAIN!K478)))))))))))),
        0
    )
)</f>
        <v>0</v>
      </c>
    </row>
    <row r="479" spans="1:11" x14ac:dyDescent="0.25">
      <c r="A479" t="str">
        <f>IF(ISBLANK(MAIN!A479), "--", IFERROR(PROPER(SUBSTITUTE(SUBSTITUTE(SUBSTITUTE(SUBSTITUTE(SUBSTITUTE(SUBSTITUTE(SUBSTITUTE(SUBSTITUTE(SUBSTITUTE(SUBSTITUTE(LEFT(MAIN!A479, FIND(",",MAIN!A479) -1), "0", ""), "1", ""), "2", ""), "3", ""), "4", ""), "5", ""), "6", ""), "7", ""), "8", ""), "9", "")), PROPER(SUBSTITUTE(SUBSTITUTE(SUBSTITUTE(SUBSTITUTE(SUBSTITUTE(SUBSTITUTE(SUBSTITUTE(SUBSTITUTE(SUBSTITUTE(SUBSTITUTE(MAIN!A479, "0", ""), "1", ""), "2", ""), "3", ""), "4", ""), "5", ""), "6", ""), "7", ""), "8", ""), "9", ""))))</f>
        <v>--</v>
      </c>
      <c r="B479" t="str">
        <f>IF(ISBLANK(MAIN!B479), "--", IFERROR(PROPER(SUBSTITUTE(SUBSTITUTE(SUBSTITUTE(SUBSTITUTE(SUBSTITUTE(SUBSTITUTE(SUBSTITUTE(SUBSTITUTE(SUBSTITUTE(SUBSTITUTE(LEFT(MAIN!B479, FIND(",",MAIN!B479) -1), "0", ""), "1", ""), "2", ""), "3", ""), "4", ""), "5", ""), "6", ""), "7", ""), "8", ""), "9", "")), PROPER(SUBSTITUTE(SUBSTITUTE(SUBSTITUTE(SUBSTITUTE(SUBSTITUTE(SUBSTITUTE(SUBSTITUTE(SUBSTITUTE(SUBSTITUTE(SUBSTITUTE(MAIN!B479, "0", ""), "1", ""), "2", ""), "3", ""), "4", ""), "5", ""), "6", ""), "7", ""), "8", ""), "9", ""))))</f>
        <v>--</v>
      </c>
      <c r="C479" t="str">
        <f>IF(ISBLANK(MAIN!C479), "--", IFERROR(PROPER(SUBSTITUTE(SUBSTITUTE(SUBSTITUTE(SUBSTITUTE(SUBSTITUTE(SUBSTITUTE(SUBSTITUTE(SUBSTITUTE(SUBSTITUTE(SUBSTITUTE(LEFT(MAIN!C479, FIND(",",MAIN!C479) -1), "0", ""), "1", ""), "2", ""), "3", ""), "4", ""), "5", ""), "6", ""), "7", ""), "8", ""), "9", "")), PROPER(SUBSTITUTE(SUBSTITUTE(SUBSTITUTE(SUBSTITUTE(SUBSTITUTE(SUBSTITUTE(SUBSTITUTE(SUBSTITUTE(SUBSTITUTE(SUBSTITUTE(MAIN!C479, "0", ""), "1", ""), "2", ""), "3", ""), "4", ""), "5", ""), "6", ""), "7", ""), "8", ""), "9", ""))))</f>
        <v>--</v>
      </c>
      <c r="D479" t="str">
        <f>IF(ISBLANK(MAIN!D479), "--", IF(ISNUMBER(MATCH(SUBSTITUTE(LEFT(MAIN!D479, IFERROR(FIND(",", MAIN!D479)-1, LEN(MAIN!D479))), " ", ""), lookup_values!$B$2:$B$51, 0)), UPPER(SUBSTITUTE(LEFT(MAIN!D479, IFERROR(FIND(",", MAIN!D479)-1, LEN(MAIN!D479))), " ", "")), IF(ISNA(VLOOKUP(SUBSTITUTE(LEFT(MAIN!D479, IFERROR(FIND(",", MAIN!D479)-1, LEN(MAIN!D479))), " ", ""), lookup_values!$A$2:$B$51, 2, FALSE)), "--", VLOOKUP(SUBSTITUTE(LEFT(MAIN!D479, IFERROR(FIND(",", MAIN!D479)-1, LEN(MAIN!D479))), " ", ""), lookup_values!$A$2:$B$51, 2, FALSE))))</f>
        <v>--</v>
      </c>
      <c r="E479" t="str">
        <f>IF(CLEAN_DATA!D479&lt;&gt;"--","US",IF(ISBLANK(MAIN!E479), "--", IF(ISNUMBER(MATCH(SUBSTITUTE(LEFT(MAIN!E479, IFERROR(FIND(",", MAIN!E479)-1, LEN(MAIN!E479))), " ", ""), lookup_values!$E$2:$E$197, 0)), UPPER(SUBSTITUTE(LEFT(MAIN!E479, IFERROR(FIND(",", MAIN!E479)-1, LEN(MAIN!E479))), " ", "")), IF(ISNA(VLOOKUP(SUBSTITUTE(LEFT(MAIN!E479, IFERROR(FIND(",", MAIN!E479)-1, LEN(MAIN!E479))), " ", ""), lookup_values!$D$2:$E$197, 2, FALSE)), "--", VLOOKUP(SUBSTITUTE(LEFT(MAIN!E479, IFERROR(FIND(",", MAIN!E479)-1, LEN(MAIN!E479))), " ", ""), lookup_values!$D$2:$E$197, 2, FALSE)))))</f>
        <v>--</v>
      </c>
      <c r="F479" t="str">
        <f>IF(ISBLANK(MAIN!F479), "", IF(AND(ISNUMBER(VALUE(TRIM(MAIN!F479))), LEN(TRIM(MAIN!F479))=4), VALUE(TRIM(MAIN!F479)), ""))</f>
        <v/>
      </c>
      <c r="G479">
        <f>IF(ISBLANK(MAIN!G479), 0, IF(ISNUMBER(VALUE(TRIM(MAIN!G479))), VALUE(TRIM(MAIN!G479)), 0))</f>
        <v>0</v>
      </c>
      <c r="H479">
        <f>IF(ISBLANK(MAIN!H479), 0, IF(ISNUMBER(VALUE(TRIM(MAIN!H479))), VALUE(TRIM(MAIN!H479)), 0))</f>
        <v>0</v>
      </c>
      <c r="I479">
        <f>IF(ISBLANK(MAIN!I479), 0, IF(ISNUMBER(VALUE(TRIM(MAIN!I479))), VALUE(TRIM(MAIN!I479)), 0))</f>
        <v>0</v>
      </c>
      <c r="J479">
        <f>IF(ISBLANK(MAIN!J479), 0, IF(ISNUMBER(VALUE(TRIM(MAIN!J479))), VALUE(TRIM(MAIN!J479)), 0))</f>
        <v>0</v>
      </c>
      <c r="K479" cm="1">
        <f t="array" ref="K479">IFERROR(
    VALUE(
        IFERROR(
            UPPER(
                IF(MAX(IFERROR(SEARCH("WD",MAIN!G479:J479), 0))&gt;0, "WD",
                IF(MAX(IFERROR(SEARCH("NS",MAIN!G479:J479), 0))&gt;0, "NS",
                IF(MAX(IFERROR(SEARCH("NC",MAIN!G479:J479), 0))&gt;0, "NC",
                IF(MAX(IFERROR(SEARCH("DQ",MAIN!G479:J479), 0))&gt;0, "DQ",
                IF(ISNUMBER(SEARCH("WD",MAIN!K479)), "WD",
                IF(ISNUMBER(SEARCH("NS",MAIN!K479)), "NS",
                IF(ISNUMBER(SEARCH("NC",MAIN!K479)), "NC",
                IF(ISNUMBER(SEARCH("DQ",MAIN!K479)), "DQ",
                IF(ISNUMBER(SEARCH("A",MAIN!K479)), 0,
                IF(OR(MAIN!K479=0,MAIN!K479=""), 0, --TRIM(MAIN!K479)))))))))))),
            0
        )
    ),
    IFERROR(
        UPPER(
            IF(MAX(IFERROR(SEARCH("WD",MAIN!G479:J479), 0))&gt;0, "WD",
            IF(MAX(IFERROR(SEARCH("NS",MAIN!G479:J479), 0))&gt;0, "NS",
            IF(MAX(IFERROR(SEARCH("NC",MAIN!G479:J479), 0))&gt;0, "NC",
            IF(MAX(IFERROR(SEARCH("DQ",MAIN!G479:J479), 0))&gt;0, "DQ",
            IF(ISNUMBER(SEARCH("WD",MAIN!K479)), "WD",
            IF(ISNUMBER(SEARCH("NS",MAIN!K479)), "NS",
            IF(ISNUMBER(SEARCH("NC",MAIN!K479)), "NC",
            IF(ISNUMBER(SEARCH("DQ",MAIN!K479)), "DQ",
            IF(ISNUMBER(SEARCH("A",MAIN!K479)), 0,
            IF(OR(MAIN!K479=0,MAIN!K479=""), 0, --TRIM(MAIN!K479)))))))))))),
        0
    )
)</f>
        <v>0</v>
      </c>
    </row>
    <row r="480" spans="1:11" x14ac:dyDescent="0.25">
      <c r="A480" t="str">
        <f>IF(ISBLANK(MAIN!A480), "--", IFERROR(PROPER(SUBSTITUTE(SUBSTITUTE(SUBSTITUTE(SUBSTITUTE(SUBSTITUTE(SUBSTITUTE(SUBSTITUTE(SUBSTITUTE(SUBSTITUTE(SUBSTITUTE(LEFT(MAIN!A480, FIND(",",MAIN!A480) -1), "0", ""), "1", ""), "2", ""), "3", ""), "4", ""), "5", ""), "6", ""), "7", ""), "8", ""), "9", "")), PROPER(SUBSTITUTE(SUBSTITUTE(SUBSTITUTE(SUBSTITUTE(SUBSTITUTE(SUBSTITUTE(SUBSTITUTE(SUBSTITUTE(SUBSTITUTE(SUBSTITUTE(MAIN!A480, "0", ""), "1", ""), "2", ""), "3", ""), "4", ""), "5", ""), "6", ""), "7", ""), "8", ""), "9", ""))))</f>
        <v>--</v>
      </c>
      <c r="B480" t="str">
        <f>IF(ISBLANK(MAIN!B480), "--", IFERROR(PROPER(SUBSTITUTE(SUBSTITUTE(SUBSTITUTE(SUBSTITUTE(SUBSTITUTE(SUBSTITUTE(SUBSTITUTE(SUBSTITUTE(SUBSTITUTE(SUBSTITUTE(LEFT(MAIN!B480, FIND(",",MAIN!B480) -1), "0", ""), "1", ""), "2", ""), "3", ""), "4", ""), "5", ""), "6", ""), "7", ""), "8", ""), "9", "")), PROPER(SUBSTITUTE(SUBSTITUTE(SUBSTITUTE(SUBSTITUTE(SUBSTITUTE(SUBSTITUTE(SUBSTITUTE(SUBSTITUTE(SUBSTITUTE(SUBSTITUTE(MAIN!B480, "0", ""), "1", ""), "2", ""), "3", ""), "4", ""), "5", ""), "6", ""), "7", ""), "8", ""), "9", ""))))</f>
        <v>--</v>
      </c>
      <c r="C480" t="str">
        <f>IF(ISBLANK(MAIN!C480), "--", IFERROR(PROPER(SUBSTITUTE(SUBSTITUTE(SUBSTITUTE(SUBSTITUTE(SUBSTITUTE(SUBSTITUTE(SUBSTITUTE(SUBSTITUTE(SUBSTITUTE(SUBSTITUTE(LEFT(MAIN!C480, FIND(",",MAIN!C480) -1), "0", ""), "1", ""), "2", ""), "3", ""), "4", ""), "5", ""), "6", ""), "7", ""), "8", ""), "9", "")), PROPER(SUBSTITUTE(SUBSTITUTE(SUBSTITUTE(SUBSTITUTE(SUBSTITUTE(SUBSTITUTE(SUBSTITUTE(SUBSTITUTE(SUBSTITUTE(SUBSTITUTE(MAIN!C480, "0", ""), "1", ""), "2", ""), "3", ""), "4", ""), "5", ""), "6", ""), "7", ""), "8", ""), "9", ""))))</f>
        <v>--</v>
      </c>
      <c r="D480" t="str">
        <f>IF(ISBLANK(MAIN!D480), "--", IF(ISNUMBER(MATCH(SUBSTITUTE(LEFT(MAIN!D480, IFERROR(FIND(",", MAIN!D480)-1, LEN(MAIN!D480))), " ", ""), lookup_values!$B$2:$B$51, 0)), UPPER(SUBSTITUTE(LEFT(MAIN!D480, IFERROR(FIND(",", MAIN!D480)-1, LEN(MAIN!D480))), " ", "")), IF(ISNA(VLOOKUP(SUBSTITUTE(LEFT(MAIN!D480, IFERROR(FIND(",", MAIN!D480)-1, LEN(MAIN!D480))), " ", ""), lookup_values!$A$2:$B$51, 2, FALSE)), "--", VLOOKUP(SUBSTITUTE(LEFT(MAIN!D480, IFERROR(FIND(",", MAIN!D480)-1, LEN(MAIN!D480))), " ", ""), lookup_values!$A$2:$B$51, 2, FALSE))))</f>
        <v>--</v>
      </c>
      <c r="E480" t="str">
        <f>IF(CLEAN_DATA!D480&lt;&gt;"--","US",IF(ISBLANK(MAIN!E480), "--", IF(ISNUMBER(MATCH(SUBSTITUTE(LEFT(MAIN!E480, IFERROR(FIND(",", MAIN!E480)-1, LEN(MAIN!E480))), " ", ""), lookup_values!$E$2:$E$197, 0)), UPPER(SUBSTITUTE(LEFT(MAIN!E480, IFERROR(FIND(",", MAIN!E480)-1, LEN(MAIN!E480))), " ", "")), IF(ISNA(VLOOKUP(SUBSTITUTE(LEFT(MAIN!E480, IFERROR(FIND(",", MAIN!E480)-1, LEN(MAIN!E480))), " ", ""), lookup_values!$D$2:$E$197, 2, FALSE)), "--", VLOOKUP(SUBSTITUTE(LEFT(MAIN!E480, IFERROR(FIND(",", MAIN!E480)-1, LEN(MAIN!E480))), " ", ""), lookup_values!$D$2:$E$197, 2, FALSE)))))</f>
        <v>--</v>
      </c>
      <c r="F480" t="str">
        <f>IF(ISBLANK(MAIN!F480), "", IF(AND(ISNUMBER(VALUE(TRIM(MAIN!F480))), LEN(TRIM(MAIN!F480))=4), VALUE(TRIM(MAIN!F480)), ""))</f>
        <v/>
      </c>
      <c r="G480">
        <f>IF(ISBLANK(MAIN!G480), 0, IF(ISNUMBER(VALUE(TRIM(MAIN!G480))), VALUE(TRIM(MAIN!G480)), 0))</f>
        <v>0</v>
      </c>
      <c r="H480">
        <f>IF(ISBLANK(MAIN!H480), 0, IF(ISNUMBER(VALUE(TRIM(MAIN!H480))), VALUE(TRIM(MAIN!H480)), 0))</f>
        <v>0</v>
      </c>
      <c r="I480">
        <f>IF(ISBLANK(MAIN!I480), 0, IF(ISNUMBER(VALUE(TRIM(MAIN!I480))), VALUE(TRIM(MAIN!I480)), 0))</f>
        <v>0</v>
      </c>
      <c r="J480">
        <f>IF(ISBLANK(MAIN!J480), 0, IF(ISNUMBER(VALUE(TRIM(MAIN!J480))), VALUE(TRIM(MAIN!J480)), 0))</f>
        <v>0</v>
      </c>
      <c r="K480" cm="1">
        <f t="array" ref="K480">IFERROR(
    VALUE(
        IFERROR(
            UPPER(
                IF(MAX(IFERROR(SEARCH("WD",MAIN!G480:J480), 0))&gt;0, "WD",
                IF(MAX(IFERROR(SEARCH("NS",MAIN!G480:J480), 0))&gt;0, "NS",
                IF(MAX(IFERROR(SEARCH("NC",MAIN!G480:J480), 0))&gt;0, "NC",
                IF(MAX(IFERROR(SEARCH("DQ",MAIN!G480:J480), 0))&gt;0, "DQ",
                IF(ISNUMBER(SEARCH("WD",MAIN!K480)), "WD",
                IF(ISNUMBER(SEARCH("NS",MAIN!K480)), "NS",
                IF(ISNUMBER(SEARCH("NC",MAIN!K480)), "NC",
                IF(ISNUMBER(SEARCH("DQ",MAIN!K480)), "DQ",
                IF(ISNUMBER(SEARCH("A",MAIN!K480)), 0,
                IF(OR(MAIN!K480=0,MAIN!K480=""), 0, --TRIM(MAIN!K480)))))))))))),
            0
        )
    ),
    IFERROR(
        UPPER(
            IF(MAX(IFERROR(SEARCH("WD",MAIN!G480:J480), 0))&gt;0, "WD",
            IF(MAX(IFERROR(SEARCH("NS",MAIN!G480:J480), 0))&gt;0, "NS",
            IF(MAX(IFERROR(SEARCH("NC",MAIN!G480:J480), 0))&gt;0, "NC",
            IF(MAX(IFERROR(SEARCH("DQ",MAIN!G480:J480), 0))&gt;0, "DQ",
            IF(ISNUMBER(SEARCH("WD",MAIN!K480)), "WD",
            IF(ISNUMBER(SEARCH("NS",MAIN!K480)), "NS",
            IF(ISNUMBER(SEARCH("NC",MAIN!K480)), "NC",
            IF(ISNUMBER(SEARCH("DQ",MAIN!K480)), "DQ",
            IF(ISNUMBER(SEARCH("A",MAIN!K480)), 0,
            IF(OR(MAIN!K480=0,MAIN!K480=""), 0, --TRIM(MAIN!K480)))))))))))),
        0
    )
)</f>
        <v>0</v>
      </c>
    </row>
    <row r="481" spans="1:11" x14ac:dyDescent="0.25">
      <c r="A481" t="str">
        <f>IF(ISBLANK(MAIN!A481), "--", IFERROR(PROPER(SUBSTITUTE(SUBSTITUTE(SUBSTITUTE(SUBSTITUTE(SUBSTITUTE(SUBSTITUTE(SUBSTITUTE(SUBSTITUTE(SUBSTITUTE(SUBSTITUTE(LEFT(MAIN!A481, FIND(",",MAIN!A481) -1), "0", ""), "1", ""), "2", ""), "3", ""), "4", ""), "5", ""), "6", ""), "7", ""), "8", ""), "9", "")), PROPER(SUBSTITUTE(SUBSTITUTE(SUBSTITUTE(SUBSTITUTE(SUBSTITUTE(SUBSTITUTE(SUBSTITUTE(SUBSTITUTE(SUBSTITUTE(SUBSTITUTE(MAIN!A481, "0", ""), "1", ""), "2", ""), "3", ""), "4", ""), "5", ""), "6", ""), "7", ""), "8", ""), "9", ""))))</f>
        <v>--</v>
      </c>
      <c r="B481" t="str">
        <f>IF(ISBLANK(MAIN!B481), "--", IFERROR(PROPER(SUBSTITUTE(SUBSTITUTE(SUBSTITUTE(SUBSTITUTE(SUBSTITUTE(SUBSTITUTE(SUBSTITUTE(SUBSTITUTE(SUBSTITUTE(SUBSTITUTE(LEFT(MAIN!B481, FIND(",",MAIN!B481) -1), "0", ""), "1", ""), "2", ""), "3", ""), "4", ""), "5", ""), "6", ""), "7", ""), "8", ""), "9", "")), PROPER(SUBSTITUTE(SUBSTITUTE(SUBSTITUTE(SUBSTITUTE(SUBSTITUTE(SUBSTITUTE(SUBSTITUTE(SUBSTITUTE(SUBSTITUTE(SUBSTITUTE(MAIN!B481, "0", ""), "1", ""), "2", ""), "3", ""), "4", ""), "5", ""), "6", ""), "7", ""), "8", ""), "9", ""))))</f>
        <v>--</v>
      </c>
      <c r="C481" t="str">
        <f>IF(ISBLANK(MAIN!C481), "--", IFERROR(PROPER(SUBSTITUTE(SUBSTITUTE(SUBSTITUTE(SUBSTITUTE(SUBSTITUTE(SUBSTITUTE(SUBSTITUTE(SUBSTITUTE(SUBSTITUTE(SUBSTITUTE(LEFT(MAIN!C481, FIND(",",MAIN!C481) -1), "0", ""), "1", ""), "2", ""), "3", ""), "4", ""), "5", ""), "6", ""), "7", ""), "8", ""), "9", "")), PROPER(SUBSTITUTE(SUBSTITUTE(SUBSTITUTE(SUBSTITUTE(SUBSTITUTE(SUBSTITUTE(SUBSTITUTE(SUBSTITUTE(SUBSTITUTE(SUBSTITUTE(MAIN!C481, "0", ""), "1", ""), "2", ""), "3", ""), "4", ""), "5", ""), "6", ""), "7", ""), "8", ""), "9", ""))))</f>
        <v>--</v>
      </c>
      <c r="D481" t="str">
        <f>IF(ISBLANK(MAIN!D481), "--", IF(ISNUMBER(MATCH(SUBSTITUTE(LEFT(MAIN!D481, IFERROR(FIND(",", MAIN!D481)-1, LEN(MAIN!D481))), " ", ""), lookup_values!$B$2:$B$51, 0)), UPPER(SUBSTITUTE(LEFT(MAIN!D481, IFERROR(FIND(",", MAIN!D481)-1, LEN(MAIN!D481))), " ", "")), IF(ISNA(VLOOKUP(SUBSTITUTE(LEFT(MAIN!D481, IFERROR(FIND(",", MAIN!D481)-1, LEN(MAIN!D481))), " ", ""), lookup_values!$A$2:$B$51, 2, FALSE)), "--", VLOOKUP(SUBSTITUTE(LEFT(MAIN!D481, IFERROR(FIND(",", MAIN!D481)-1, LEN(MAIN!D481))), " ", ""), lookup_values!$A$2:$B$51, 2, FALSE))))</f>
        <v>--</v>
      </c>
      <c r="E481" t="str">
        <f>IF(CLEAN_DATA!D481&lt;&gt;"--","US",IF(ISBLANK(MAIN!E481), "--", IF(ISNUMBER(MATCH(SUBSTITUTE(LEFT(MAIN!E481, IFERROR(FIND(",", MAIN!E481)-1, LEN(MAIN!E481))), " ", ""), lookup_values!$E$2:$E$197, 0)), UPPER(SUBSTITUTE(LEFT(MAIN!E481, IFERROR(FIND(",", MAIN!E481)-1, LEN(MAIN!E481))), " ", "")), IF(ISNA(VLOOKUP(SUBSTITUTE(LEFT(MAIN!E481, IFERROR(FIND(",", MAIN!E481)-1, LEN(MAIN!E481))), " ", ""), lookup_values!$D$2:$E$197, 2, FALSE)), "--", VLOOKUP(SUBSTITUTE(LEFT(MAIN!E481, IFERROR(FIND(",", MAIN!E481)-1, LEN(MAIN!E481))), " ", ""), lookup_values!$D$2:$E$197, 2, FALSE)))))</f>
        <v>--</v>
      </c>
      <c r="F481" t="str">
        <f>IF(ISBLANK(MAIN!F481), "", IF(AND(ISNUMBER(VALUE(TRIM(MAIN!F481))), LEN(TRIM(MAIN!F481))=4), VALUE(TRIM(MAIN!F481)), ""))</f>
        <v/>
      </c>
      <c r="G481">
        <f>IF(ISBLANK(MAIN!G481), 0, IF(ISNUMBER(VALUE(TRIM(MAIN!G481))), VALUE(TRIM(MAIN!G481)), 0))</f>
        <v>0</v>
      </c>
      <c r="H481">
        <f>IF(ISBLANK(MAIN!H481), 0, IF(ISNUMBER(VALUE(TRIM(MAIN!H481))), VALUE(TRIM(MAIN!H481)), 0))</f>
        <v>0</v>
      </c>
      <c r="I481">
        <f>IF(ISBLANK(MAIN!I481), 0, IF(ISNUMBER(VALUE(TRIM(MAIN!I481))), VALUE(TRIM(MAIN!I481)), 0))</f>
        <v>0</v>
      </c>
      <c r="J481">
        <f>IF(ISBLANK(MAIN!J481), 0, IF(ISNUMBER(VALUE(TRIM(MAIN!J481))), VALUE(TRIM(MAIN!J481)), 0))</f>
        <v>0</v>
      </c>
      <c r="K481" cm="1">
        <f t="array" ref="K481">IFERROR(
    VALUE(
        IFERROR(
            UPPER(
                IF(MAX(IFERROR(SEARCH("WD",MAIN!G481:J481), 0))&gt;0, "WD",
                IF(MAX(IFERROR(SEARCH("NS",MAIN!G481:J481), 0))&gt;0, "NS",
                IF(MAX(IFERROR(SEARCH("NC",MAIN!G481:J481), 0))&gt;0, "NC",
                IF(MAX(IFERROR(SEARCH("DQ",MAIN!G481:J481), 0))&gt;0, "DQ",
                IF(ISNUMBER(SEARCH("WD",MAIN!K481)), "WD",
                IF(ISNUMBER(SEARCH("NS",MAIN!K481)), "NS",
                IF(ISNUMBER(SEARCH("NC",MAIN!K481)), "NC",
                IF(ISNUMBER(SEARCH("DQ",MAIN!K481)), "DQ",
                IF(ISNUMBER(SEARCH("A",MAIN!K481)), 0,
                IF(OR(MAIN!K481=0,MAIN!K481=""), 0, --TRIM(MAIN!K481)))))))))))),
            0
        )
    ),
    IFERROR(
        UPPER(
            IF(MAX(IFERROR(SEARCH("WD",MAIN!G481:J481), 0))&gt;0, "WD",
            IF(MAX(IFERROR(SEARCH("NS",MAIN!G481:J481), 0))&gt;0, "NS",
            IF(MAX(IFERROR(SEARCH("NC",MAIN!G481:J481), 0))&gt;0, "NC",
            IF(MAX(IFERROR(SEARCH("DQ",MAIN!G481:J481), 0))&gt;0, "DQ",
            IF(ISNUMBER(SEARCH("WD",MAIN!K481)), "WD",
            IF(ISNUMBER(SEARCH("NS",MAIN!K481)), "NS",
            IF(ISNUMBER(SEARCH("NC",MAIN!K481)), "NC",
            IF(ISNUMBER(SEARCH("DQ",MAIN!K481)), "DQ",
            IF(ISNUMBER(SEARCH("A",MAIN!K481)), 0,
            IF(OR(MAIN!K481=0,MAIN!K481=""), 0, --TRIM(MAIN!K481)))))))))))),
        0
    )
)</f>
        <v>0</v>
      </c>
    </row>
    <row r="482" spans="1:11" x14ac:dyDescent="0.25">
      <c r="A482" t="str">
        <f>IF(ISBLANK(MAIN!A482), "--", IFERROR(PROPER(SUBSTITUTE(SUBSTITUTE(SUBSTITUTE(SUBSTITUTE(SUBSTITUTE(SUBSTITUTE(SUBSTITUTE(SUBSTITUTE(SUBSTITUTE(SUBSTITUTE(LEFT(MAIN!A482, FIND(",",MAIN!A482) -1), "0", ""), "1", ""), "2", ""), "3", ""), "4", ""), "5", ""), "6", ""), "7", ""), "8", ""), "9", "")), PROPER(SUBSTITUTE(SUBSTITUTE(SUBSTITUTE(SUBSTITUTE(SUBSTITUTE(SUBSTITUTE(SUBSTITUTE(SUBSTITUTE(SUBSTITUTE(SUBSTITUTE(MAIN!A482, "0", ""), "1", ""), "2", ""), "3", ""), "4", ""), "5", ""), "6", ""), "7", ""), "8", ""), "9", ""))))</f>
        <v>--</v>
      </c>
      <c r="B482" t="str">
        <f>IF(ISBLANK(MAIN!B482), "--", IFERROR(PROPER(SUBSTITUTE(SUBSTITUTE(SUBSTITUTE(SUBSTITUTE(SUBSTITUTE(SUBSTITUTE(SUBSTITUTE(SUBSTITUTE(SUBSTITUTE(SUBSTITUTE(LEFT(MAIN!B482, FIND(",",MAIN!B482) -1), "0", ""), "1", ""), "2", ""), "3", ""), "4", ""), "5", ""), "6", ""), "7", ""), "8", ""), "9", "")), PROPER(SUBSTITUTE(SUBSTITUTE(SUBSTITUTE(SUBSTITUTE(SUBSTITUTE(SUBSTITUTE(SUBSTITUTE(SUBSTITUTE(SUBSTITUTE(SUBSTITUTE(MAIN!B482, "0", ""), "1", ""), "2", ""), "3", ""), "4", ""), "5", ""), "6", ""), "7", ""), "8", ""), "9", ""))))</f>
        <v>--</v>
      </c>
      <c r="C482" t="str">
        <f>IF(ISBLANK(MAIN!C482), "--", IFERROR(PROPER(SUBSTITUTE(SUBSTITUTE(SUBSTITUTE(SUBSTITUTE(SUBSTITUTE(SUBSTITUTE(SUBSTITUTE(SUBSTITUTE(SUBSTITUTE(SUBSTITUTE(LEFT(MAIN!C482, FIND(",",MAIN!C482) -1), "0", ""), "1", ""), "2", ""), "3", ""), "4", ""), "5", ""), "6", ""), "7", ""), "8", ""), "9", "")), PROPER(SUBSTITUTE(SUBSTITUTE(SUBSTITUTE(SUBSTITUTE(SUBSTITUTE(SUBSTITUTE(SUBSTITUTE(SUBSTITUTE(SUBSTITUTE(SUBSTITUTE(MAIN!C482, "0", ""), "1", ""), "2", ""), "3", ""), "4", ""), "5", ""), "6", ""), "7", ""), "8", ""), "9", ""))))</f>
        <v>--</v>
      </c>
      <c r="D482" t="str">
        <f>IF(ISBLANK(MAIN!D482), "--", IF(ISNUMBER(MATCH(SUBSTITUTE(LEFT(MAIN!D482, IFERROR(FIND(",", MAIN!D482)-1, LEN(MAIN!D482))), " ", ""), lookup_values!$B$2:$B$51, 0)), UPPER(SUBSTITUTE(LEFT(MAIN!D482, IFERROR(FIND(",", MAIN!D482)-1, LEN(MAIN!D482))), " ", "")), IF(ISNA(VLOOKUP(SUBSTITUTE(LEFT(MAIN!D482, IFERROR(FIND(",", MAIN!D482)-1, LEN(MAIN!D482))), " ", ""), lookup_values!$A$2:$B$51, 2, FALSE)), "--", VLOOKUP(SUBSTITUTE(LEFT(MAIN!D482, IFERROR(FIND(",", MAIN!D482)-1, LEN(MAIN!D482))), " ", ""), lookup_values!$A$2:$B$51, 2, FALSE))))</f>
        <v>--</v>
      </c>
      <c r="E482" t="str">
        <f>IF(CLEAN_DATA!D482&lt;&gt;"--","US",IF(ISBLANK(MAIN!E482), "--", IF(ISNUMBER(MATCH(SUBSTITUTE(LEFT(MAIN!E482, IFERROR(FIND(",", MAIN!E482)-1, LEN(MAIN!E482))), " ", ""), lookup_values!$E$2:$E$197, 0)), UPPER(SUBSTITUTE(LEFT(MAIN!E482, IFERROR(FIND(",", MAIN!E482)-1, LEN(MAIN!E482))), " ", "")), IF(ISNA(VLOOKUP(SUBSTITUTE(LEFT(MAIN!E482, IFERROR(FIND(",", MAIN!E482)-1, LEN(MAIN!E482))), " ", ""), lookup_values!$D$2:$E$197, 2, FALSE)), "--", VLOOKUP(SUBSTITUTE(LEFT(MAIN!E482, IFERROR(FIND(",", MAIN!E482)-1, LEN(MAIN!E482))), " ", ""), lookup_values!$D$2:$E$197, 2, FALSE)))))</f>
        <v>--</v>
      </c>
      <c r="F482" t="str">
        <f>IF(ISBLANK(MAIN!F482), "", IF(AND(ISNUMBER(VALUE(TRIM(MAIN!F482))), LEN(TRIM(MAIN!F482))=4), VALUE(TRIM(MAIN!F482)), ""))</f>
        <v/>
      </c>
      <c r="G482">
        <f>IF(ISBLANK(MAIN!G482), 0, IF(ISNUMBER(VALUE(TRIM(MAIN!G482))), VALUE(TRIM(MAIN!G482)), 0))</f>
        <v>0</v>
      </c>
      <c r="H482">
        <f>IF(ISBLANK(MAIN!H482), 0, IF(ISNUMBER(VALUE(TRIM(MAIN!H482))), VALUE(TRIM(MAIN!H482)), 0))</f>
        <v>0</v>
      </c>
      <c r="I482">
        <f>IF(ISBLANK(MAIN!I482), 0, IF(ISNUMBER(VALUE(TRIM(MAIN!I482))), VALUE(TRIM(MAIN!I482)), 0))</f>
        <v>0</v>
      </c>
      <c r="J482">
        <f>IF(ISBLANK(MAIN!J482), 0, IF(ISNUMBER(VALUE(TRIM(MAIN!J482))), VALUE(TRIM(MAIN!J482)), 0))</f>
        <v>0</v>
      </c>
      <c r="K482" cm="1">
        <f t="array" ref="K482">IFERROR(
    VALUE(
        IFERROR(
            UPPER(
                IF(MAX(IFERROR(SEARCH("WD",MAIN!G482:J482), 0))&gt;0, "WD",
                IF(MAX(IFERROR(SEARCH("NS",MAIN!G482:J482), 0))&gt;0, "NS",
                IF(MAX(IFERROR(SEARCH("NC",MAIN!G482:J482), 0))&gt;0, "NC",
                IF(MAX(IFERROR(SEARCH("DQ",MAIN!G482:J482), 0))&gt;0, "DQ",
                IF(ISNUMBER(SEARCH("WD",MAIN!K482)), "WD",
                IF(ISNUMBER(SEARCH("NS",MAIN!K482)), "NS",
                IF(ISNUMBER(SEARCH("NC",MAIN!K482)), "NC",
                IF(ISNUMBER(SEARCH("DQ",MAIN!K482)), "DQ",
                IF(ISNUMBER(SEARCH("A",MAIN!K482)), 0,
                IF(OR(MAIN!K482=0,MAIN!K482=""), 0, --TRIM(MAIN!K482)))))))))))),
            0
        )
    ),
    IFERROR(
        UPPER(
            IF(MAX(IFERROR(SEARCH("WD",MAIN!G482:J482), 0))&gt;0, "WD",
            IF(MAX(IFERROR(SEARCH("NS",MAIN!G482:J482), 0))&gt;0, "NS",
            IF(MAX(IFERROR(SEARCH("NC",MAIN!G482:J482), 0))&gt;0, "NC",
            IF(MAX(IFERROR(SEARCH("DQ",MAIN!G482:J482), 0))&gt;0, "DQ",
            IF(ISNUMBER(SEARCH("WD",MAIN!K482)), "WD",
            IF(ISNUMBER(SEARCH("NS",MAIN!K482)), "NS",
            IF(ISNUMBER(SEARCH("NC",MAIN!K482)), "NC",
            IF(ISNUMBER(SEARCH("DQ",MAIN!K482)), "DQ",
            IF(ISNUMBER(SEARCH("A",MAIN!K482)), 0,
            IF(OR(MAIN!K482=0,MAIN!K482=""), 0, --TRIM(MAIN!K482)))))))))))),
        0
    )
)</f>
        <v>0</v>
      </c>
    </row>
    <row r="483" spans="1:11" x14ac:dyDescent="0.25">
      <c r="A483" t="str">
        <f>IF(ISBLANK(MAIN!A483), "--", IFERROR(PROPER(SUBSTITUTE(SUBSTITUTE(SUBSTITUTE(SUBSTITUTE(SUBSTITUTE(SUBSTITUTE(SUBSTITUTE(SUBSTITUTE(SUBSTITUTE(SUBSTITUTE(LEFT(MAIN!A483, FIND(",",MAIN!A483) -1), "0", ""), "1", ""), "2", ""), "3", ""), "4", ""), "5", ""), "6", ""), "7", ""), "8", ""), "9", "")), PROPER(SUBSTITUTE(SUBSTITUTE(SUBSTITUTE(SUBSTITUTE(SUBSTITUTE(SUBSTITUTE(SUBSTITUTE(SUBSTITUTE(SUBSTITUTE(SUBSTITUTE(MAIN!A483, "0", ""), "1", ""), "2", ""), "3", ""), "4", ""), "5", ""), "6", ""), "7", ""), "8", ""), "9", ""))))</f>
        <v>--</v>
      </c>
      <c r="B483" t="str">
        <f>IF(ISBLANK(MAIN!B483), "--", IFERROR(PROPER(SUBSTITUTE(SUBSTITUTE(SUBSTITUTE(SUBSTITUTE(SUBSTITUTE(SUBSTITUTE(SUBSTITUTE(SUBSTITUTE(SUBSTITUTE(SUBSTITUTE(LEFT(MAIN!B483, FIND(",",MAIN!B483) -1), "0", ""), "1", ""), "2", ""), "3", ""), "4", ""), "5", ""), "6", ""), "7", ""), "8", ""), "9", "")), PROPER(SUBSTITUTE(SUBSTITUTE(SUBSTITUTE(SUBSTITUTE(SUBSTITUTE(SUBSTITUTE(SUBSTITUTE(SUBSTITUTE(SUBSTITUTE(SUBSTITUTE(MAIN!B483, "0", ""), "1", ""), "2", ""), "3", ""), "4", ""), "5", ""), "6", ""), "7", ""), "8", ""), "9", ""))))</f>
        <v>--</v>
      </c>
      <c r="C483" t="str">
        <f>IF(ISBLANK(MAIN!C483), "--", IFERROR(PROPER(SUBSTITUTE(SUBSTITUTE(SUBSTITUTE(SUBSTITUTE(SUBSTITUTE(SUBSTITUTE(SUBSTITUTE(SUBSTITUTE(SUBSTITUTE(SUBSTITUTE(LEFT(MAIN!C483, FIND(",",MAIN!C483) -1), "0", ""), "1", ""), "2", ""), "3", ""), "4", ""), "5", ""), "6", ""), "7", ""), "8", ""), "9", "")), PROPER(SUBSTITUTE(SUBSTITUTE(SUBSTITUTE(SUBSTITUTE(SUBSTITUTE(SUBSTITUTE(SUBSTITUTE(SUBSTITUTE(SUBSTITUTE(SUBSTITUTE(MAIN!C483, "0", ""), "1", ""), "2", ""), "3", ""), "4", ""), "5", ""), "6", ""), "7", ""), "8", ""), "9", ""))))</f>
        <v>--</v>
      </c>
      <c r="D483" t="str">
        <f>IF(ISBLANK(MAIN!D483), "--", IF(ISNUMBER(MATCH(SUBSTITUTE(LEFT(MAIN!D483, IFERROR(FIND(",", MAIN!D483)-1, LEN(MAIN!D483))), " ", ""), lookup_values!$B$2:$B$51, 0)), UPPER(SUBSTITUTE(LEFT(MAIN!D483, IFERROR(FIND(",", MAIN!D483)-1, LEN(MAIN!D483))), " ", "")), IF(ISNA(VLOOKUP(SUBSTITUTE(LEFT(MAIN!D483, IFERROR(FIND(",", MAIN!D483)-1, LEN(MAIN!D483))), " ", ""), lookup_values!$A$2:$B$51, 2, FALSE)), "--", VLOOKUP(SUBSTITUTE(LEFT(MAIN!D483, IFERROR(FIND(",", MAIN!D483)-1, LEN(MAIN!D483))), " ", ""), lookup_values!$A$2:$B$51, 2, FALSE))))</f>
        <v>--</v>
      </c>
      <c r="E483" t="str">
        <f>IF(CLEAN_DATA!D483&lt;&gt;"--","US",IF(ISBLANK(MAIN!E483), "--", IF(ISNUMBER(MATCH(SUBSTITUTE(LEFT(MAIN!E483, IFERROR(FIND(",", MAIN!E483)-1, LEN(MAIN!E483))), " ", ""), lookup_values!$E$2:$E$197, 0)), UPPER(SUBSTITUTE(LEFT(MAIN!E483, IFERROR(FIND(",", MAIN!E483)-1, LEN(MAIN!E483))), " ", "")), IF(ISNA(VLOOKUP(SUBSTITUTE(LEFT(MAIN!E483, IFERROR(FIND(",", MAIN!E483)-1, LEN(MAIN!E483))), " ", ""), lookup_values!$D$2:$E$197, 2, FALSE)), "--", VLOOKUP(SUBSTITUTE(LEFT(MAIN!E483, IFERROR(FIND(",", MAIN!E483)-1, LEN(MAIN!E483))), " ", ""), lookup_values!$D$2:$E$197, 2, FALSE)))))</f>
        <v>--</v>
      </c>
      <c r="F483" t="str">
        <f>IF(ISBLANK(MAIN!F483), "", IF(AND(ISNUMBER(VALUE(TRIM(MAIN!F483))), LEN(TRIM(MAIN!F483))=4), VALUE(TRIM(MAIN!F483)), ""))</f>
        <v/>
      </c>
      <c r="G483">
        <f>IF(ISBLANK(MAIN!G483), 0, IF(ISNUMBER(VALUE(TRIM(MAIN!G483))), VALUE(TRIM(MAIN!G483)), 0))</f>
        <v>0</v>
      </c>
      <c r="H483">
        <f>IF(ISBLANK(MAIN!H483), 0, IF(ISNUMBER(VALUE(TRIM(MAIN!H483))), VALUE(TRIM(MAIN!H483)), 0))</f>
        <v>0</v>
      </c>
      <c r="I483">
        <f>IF(ISBLANK(MAIN!I483), 0, IF(ISNUMBER(VALUE(TRIM(MAIN!I483))), VALUE(TRIM(MAIN!I483)), 0))</f>
        <v>0</v>
      </c>
      <c r="J483">
        <f>IF(ISBLANK(MAIN!J483), 0, IF(ISNUMBER(VALUE(TRIM(MAIN!J483))), VALUE(TRIM(MAIN!J483)), 0))</f>
        <v>0</v>
      </c>
      <c r="K483" cm="1">
        <f t="array" ref="K483">IFERROR(
    VALUE(
        IFERROR(
            UPPER(
                IF(MAX(IFERROR(SEARCH("WD",MAIN!G483:J483), 0))&gt;0, "WD",
                IF(MAX(IFERROR(SEARCH("NS",MAIN!G483:J483), 0))&gt;0, "NS",
                IF(MAX(IFERROR(SEARCH("NC",MAIN!G483:J483), 0))&gt;0, "NC",
                IF(MAX(IFERROR(SEARCH("DQ",MAIN!G483:J483), 0))&gt;0, "DQ",
                IF(ISNUMBER(SEARCH("WD",MAIN!K483)), "WD",
                IF(ISNUMBER(SEARCH("NS",MAIN!K483)), "NS",
                IF(ISNUMBER(SEARCH("NC",MAIN!K483)), "NC",
                IF(ISNUMBER(SEARCH("DQ",MAIN!K483)), "DQ",
                IF(ISNUMBER(SEARCH("A",MAIN!K483)), 0,
                IF(OR(MAIN!K483=0,MAIN!K483=""), 0, --TRIM(MAIN!K483)))))))))))),
            0
        )
    ),
    IFERROR(
        UPPER(
            IF(MAX(IFERROR(SEARCH("WD",MAIN!G483:J483), 0))&gt;0, "WD",
            IF(MAX(IFERROR(SEARCH("NS",MAIN!G483:J483), 0))&gt;0, "NS",
            IF(MAX(IFERROR(SEARCH("NC",MAIN!G483:J483), 0))&gt;0, "NC",
            IF(MAX(IFERROR(SEARCH("DQ",MAIN!G483:J483), 0))&gt;0, "DQ",
            IF(ISNUMBER(SEARCH("WD",MAIN!K483)), "WD",
            IF(ISNUMBER(SEARCH("NS",MAIN!K483)), "NS",
            IF(ISNUMBER(SEARCH("NC",MAIN!K483)), "NC",
            IF(ISNUMBER(SEARCH("DQ",MAIN!K483)), "DQ",
            IF(ISNUMBER(SEARCH("A",MAIN!K483)), 0,
            IF(OR(MAIN!K483=0,MAIN!K483=""), 0, --TRIM(MAIN!K483)))))))))))),
        0
    )
)</f>
        <v>0</v>
      </c>
    </row>
    <row r="484" spans="1:11" x14ac:dyDescent="0.25">
      <c r="A484" t="str">
        <f>IF(ISBLANK(MAIN!A484), "--", IFERROR(PROPER(SUBSTITUTE(SUBSTITUTE(SUBSTITUTE(SUBSTITUTE(SUBSTITUTE(SUBSTITUTE(SUBSTITUTE(SUBSTITUTE(SUBSTITUTE(SUBSTITUTE(LEFT(MAIN!A484, FIND(",",MAIN!A484) -1), "0", ""), "1", ""), "2", ""), "3", ""), "4", ""), "5", ""), "6", ""), "7", ""), "8", ""), "9", "")), PROPER(SUBSTITUTE(SUBSTITUTE(SUBSTITUTE(SUBSTITUTE(SUBSTITUTE(SUBSTITUTE(SUBSTITUTE(SUBSTITUTE(SUBSTITUTE(SUBSTITUTE(MAIN!A484, "0", ""), "1", ""), "2", ""), "3", ""), "4", ""), "5", ""), "6", ""), "7", ""), "8", ""), "9", ""))))</f>
        <v>--</v>
      </c>
      <c r="B484" t="str">
        <f>IF(ISBLANK(MAIN!B484), "--", IFERROR(PROPER(SUBSTITUTE(SUBSTITUTE(SUBSTITUTE(SUBSTITUTE(SUBSTITUTE(SUBSTITUTE(SUBSTITUTE(SUBSTITUTE(SUBSTITUTE(SUBSTITUTE(LEFT(MAIN!B484, FIND(",",MAIN!B484) -1), "0", ""), "1", ""), "2", ""), "3", ""), "4", ""), "5", ""), "6", ""), "7", ""), "8", ""), "9", "")), PROPER(SUBSTITUTE(SUBSTITUTE(SUBSTITUTE(SUBSTITUTE(SUBSTITUTE(SUBSTITUTE(SUBSTITUTE(SUBSTITUTE(SUBSTITUTE(SUBSTITUTE(MAIN!B484, "0", ""), "1", ""), "2", ""), "3", ""), "4", ""), "5", ""), "6", ""), "7", ""), "8", ""), "9", ""))))</f>
        <v>--</v>
      </c>
      <c r="C484" t="str">
        <f>IF(ISBLANK(MAIN!C484), "--", IFERROR(PROPER(SUBSTITUTE(SUBSTITUTE(SUBSTITUTE(SUBSTITUTE(SUBSTITUTE(SUBSTITUTE(SUBSTITUTE(SUBSTITUTE(SUBSTITUTE(SUBSTITUTE(LEFT(MAIN!C484, FIND(",",MAIN!C484) -1), "0", ""), "1", ""), "2", ""), "3", ""), "4", ""), "5", ""), "6", ""), "7", ""), "8", ""), "9", "")), PROPER(SUBSTITUTE(SUBSTITUTE(SUBSTITUTE(SUBSTITUTE(SUBSTITUTE(SUBSTITUTE(SUBSTITUTE(SUBSTITUTE(SUBSTITUTE(SUBSTITUTE(MAIN!C484, "0", ""), "1", ""), "2", ""), "3", ""), "4", ""), "5", ""), "6", ""), "7", ""), "8", ""), "9", ""))))</f>
        <v>--</v>
      </c>
      <c r="D484" t="str">
        <f>IF(ISBLANK(MAIN!D484), "--", IF(ISNUMBER(MATCH(SUBSTITUTE(LEFT(MAIN!D484, IFERROR(FIND(",", MAIN!D484)-1, LEN(MAIN!D484))), " ", ""), lookup_values!$B$2:$B$51, 0)), UPPER(SUBSTITUTE(LEFT(MAIN!D484, IFERROR(FIND(",", MAIN!D484)-1, LEN(MAIN!D484))), " ", "")), IF(ISNA(VLOOKUP(SUBSTITUTE(LEFT(MAIN!D484, IFERROR(FIND(",", MAIN!D484)-1, LEN(MAIN!D484))), " ", ""), lookup_values!$A$2:$B$51, 2, FALSE)), "--", VLOOKUP(SUBSTITUTE(LEFT(MAIN!D484, IFERROR(FIND(",", MAIN!D484)-1, LEN(MAIN!D484))), " ", ""), lookup_values!$A$2:$B$51, 2, FALSE))))</f>
        <v>--</v>
      </c>
      <c r="E484" t="str">
        <f>IF(CLEAN_DATA!D484&lt;&gt;"--","US",IF(ISBLANK(MAIN!E484), "--", IF(ISNUMBER(MATCH(SUBSTITUTE(LEFT(MAIN!E484, IFERROR(FIND(",", MAIN!E484)-1, LEN(MAIN!E484))), " ", ""), lookup_values!$E$2:$E$197, 0)), UPPER(SUBSTITUTE(LEFT(MAIN!E484, IFERROR(FIND(",", MAIN!E484)-1, LEN(MAIN!E484))), " ", "")), IF(ISNA(VLOOKUP(SUBSTITUTE(LEFT(MAIN!E484, IFERROR(FIND(",", MAIN!E484)-1, LEN(MAIN!E484))), " ", ""), lookup_values!$D$2:$E$197, 2, FALSE)), "--", VLOOKUP(SUBSTITUTE(LEFT(MAIN!E484, IFERROR(FIND(",", MAIN!E484)-1, LEN(MAIN!E484))), " ", ""), lookup_values!$D$2:$E$197, 2, FALSE)))))</f>
        <v>--</v>
      </c>
      <c r="F484" t="str">
        <f>IF(ISBLANK(MAIN!F484), "", IF(AND(ISNUMBER(VALUE(TRIM(MAIN!F484))), LEN(TRIM(MAIN!F484))=4), VALUE(TRIM(MAIN!F484)), ""))</f>
        <v/>
      </c>
      <c r="G484">
        <f>IF(ISBLANK(MAIN!G484), 0, IF(ISNUMBER(VALUE(TRIM(MAIN!G484))), VALUE(TRIM(MAIN!G484)), 0))</f>
        <v>0</v>
      </c>
      <c r="H484">
        <f>IF(ISBLANK(MAIN!H484), 0, IF(ISNUMBER(VALUE(TRIM(MAIN!H484))), VALUE(TRIM(MAIN!H484)), 0))</f>
        <v>0</v>
      </c>
      <c r="I484">
        <f>IF(ISBLANK(MAIN!I484), 0, IF(ISNUMBER(VALUE(TRIM(MAIN!I484))), VALUE(TRIM(MAIN!I484)), 0))</f>
        <v>0</v>
      </c>
      <c r="J484">
        <f>IF(ISBLANK(MAIN!J484), 0, IF(ISNUMBER(VALUE(TRIM(MAIN!J484))), VALUE(TRIM(MAIN!J484)), 0))</f>
        <v>0</v>
      </c>
      <c r="K484" cm="1">
        <f t="array" ref="K484">IFERROR(
    VALUE(
        IFERROR(
            UPPER(
                IF(MAX(IFERROR(SEARCH("WD",MAIN!G484:J484), 0))&gt;0, "WD",
                IF(MAX(IFERROR(SEARCH("NS",MAIN!G484:J484), 0))&gt;0, "NS",
                IF(MAX(IFERROR(SEARCH("NC",MAIN!G484:J484), 0))&gt;0, "NC",
                IF(MAX(IFERROR(SEARCH("DQ",MAIN!G484:J484), 0))&gt;0, "DQ",
                IF(ISNUMBER(SEARCH("WD",MAIN!K484)), "WD",
                IF(ISNUMBER(SEARCH("NS",MAIN!K484)), "NS",
                IF(ISNUMBER(SEARCH("NC",MAIN!K484)), "NC",
                IF(ISNUMBER(SEARCH("DQ",MAIN!K484)), "DQ",
                IF(ISNUMBER(SEARCH("A",MAIN!K484)), 0,
                IF(OR(MAIN!K484=0,MAIN!K484=""), 0, --TRIM(MAIN!K484)))))))))))),
            0
        )
    ),
    IFERROR(
        UPPER(
            IF(MAX(IFERROR(SEARCH("WD",MAIN!G484:J484), 0))&gt;0, "WD",
            IF(MAX(IFERROR(SEARCH("NS",MAIN!G484:J484), 0))&gt;0, "NS",
            IF(MAX(IFERROR(SEARCH("NC",MAIN!G484:J484), 0))&gt;0, "NC",
            IF(MAX(IFERROR(SEARCH("DQ",MAIN!G484:J484), 0))&gt;0, "DQ",
            IF(ISNUMBER(SEARCH("WD",MAIN!K484)), "WD",
            IF(ISNUMBER(SEARCH("NS",MAIN!K484)), "NS",
            IF(ISNUMBER(SEARCH("NC",MAIN!K484)), "NC",
            IF(ISNUMBER(SEARCH("DQ",MAIN!K484)), "DQ",
            IF(ISNUMBER(SEARCH("A",MAIN!K484)), 0,
            IF(OR(MAIN!K484=0,MAIN!K484=""), 0, --TRIM(MAIN!K484)))))))))))),
        0
    )
)</f>
        <v>0</v>
      </c>
    </row>
    <row r="485" spans="1:11" x14ac:dyDescent="0.25">
      <c r="A485" t="str">
        <f>IF(ISBLANK(MAIN!A485), "--", IFERROR(PROPER(SUBSTITUTE(SUBSTITUTE(SUBSTITUTE(SUBSTITUTE(SUBSTITUTE(SUBSTITUTE(SUBSTITUTE(SUBSTITUTE(SUBSTITUTE(SUBSTITUTE(LEFT(MAIN!A485, FIND(",",MAIN!A485) -1), "0", ""), "1", ""), "2", ""), "3", ""), "4", ""), "5", ""), "6", ""), "7", ""), "8", ""), "9", "")), PROPER(SUBSTITUTE(SUBSTITUTE(SUBSTITUTE(SUBSTITUTE(SUBSTITUTE(SUBSTITUTE(SUBSTITUTE(SUBSTITUTE(SUBSTITUTE(SUBSTITUTE(MAIN!A485, "0", ""), "1", ""), "2", ""), "3", ""), "4", ""), "5", ""), "6", ""), "7", ""), "8", ""), "9", ""))))</f>
        <v>--</v>
      </c>
      <c r="B485" t="str">
        <f>IF(ISBLANK(MAIN!B485), "--", IFERROR(PROPER(SUBSTITUTE(SUBSTITUTE(SUBSTITUTE(SUBSTITUTE(SUBSTITUTE(SUBSTITUTE(SUBSTITUTE(SUBSTITUTE(SUBSTITUTE(SUBSTITUTE(LEFT(MAIN!B485, FIND(",",MAIN!B485) -1), "0", ""), "1", ""), "2", ""), "3", ""), "4", ""), "5", ""), "6", ""), "7", ""), "8", ""), "9", "")), PROPER(SUBSTITUTE(SUBSTITUTE(SUBSTITUTE(SUBSTITUTE(SUBSTITUTE(SUBSTITUTE(SUBSTITUTE(SUBSTITUTE(SUBSTITUTE(SUBSTITUTE(MAIN!B485, "0", ""), "1", ""), "2", ""), "3", ""), "4", ""), "5", ""), "6", ""), "7", ""), "8", ""), "9", ""))))</f>
        <v>--</v>
      </c>
      <c r="C485" t="str">
        <f>IF(ISBLANK(MAIN!C485), "--", IFERROR(PROPER(SUBSTITUTE(SUBSTITUTE(SUBSTITUTE(SUBSTITUTE(SUBSTITUTE(SUBSTITUTE(SUBSTITUTE(SUBSTITUTE(SUBSTITUTE(SUBSTITUTE(LEFT(MAIN!C485, FIND(",",MAIN!C485) -1), "0", ""), "1", ""), "2", ""), "3", ""), "4", ""), "5", ""), "6", ""), "7", ""), "8", ""), "9", "")), PROPER(SUBSTITUTE(SUBSTITUTE(SUBSTITUTE(SUBSTITUTE(SUBSTITUTE(SUBSTITUTE(SUBSTITUTE(SUBSTITUTE(SUBSTITUTE(SUBSTITUTE(MAIN!C485, "0", ""), "1", ""), "2", ""), "3", ""), "4", ""), "5", ""), "6", ""), "7", ""), "8", ""), "9", ""))))</f>
        <v>--</v>
      </c>
      <c r="D485" t="str">
        <f>IF(ISBLANK(MAIN!D485), "--", IF(ISNUMBER(MATCH(SUBSTITUTE(LEFT(MAIN!D485, IFERROR(FIND(",", MAIN!D485)-1, LEN(MAIN!D485))), " ", ""), lookup_values!$B$2:$B$51, 0)), UPPER(SUBSTITUTE(LEFT(MAIN!D485, IFERROR(FIND(",", MAIN!D485)-1, LEN(MAIN!D485))), " ", "")), IF(ISNA(VLOOKUP(SUBSTITUTE(LEFT(MAIN!D485, IFERROR(FIND(",", MAIN!D485)-1, LEN(MAIN!D485))), " ", ""), lookup_values!$A$2:$B$51, 2, FALSE)), "--", VLOOKUP(SUBSTITUTE(LEFT(MAIN!D485, IFERROR(FIND(",", MAIN!D485)-1, LEN(MAIN!D485))), " ", ""), lookup_values!$A$2:$B$51, 2, FALSE))))</f>
        <v>--</v>
      </c>
      <c r="E485" t="str">
        <f>IF(CLEAN_DATA!D485&lt;&gt;"--","US",IF(ISBLANK(MAIN!E485), "--", IF(ISNUMBER(MATCH(SUBSTITUTE(LEFT(MAIN!E485, IFERROR(FIND(",", MAIN!E485)-1, LEN(MAIN!E485))), " ", ""), lookup_values!$E$2:$E$197, 0)), UPPER(SUBSTITUTE(LEFT(MAIN!E485, IFERROR(FIND(",", MAIN!E485)-1, LEN(MAIN!E485))), " ", "")), IF(ISNA(VLOOKUP(SUBSTITUTE(LEFT(MAIN!E485, IFERROR(FIND(",", MAIN!E485)-1, LEN(MAIN!E485))), " ", ""), lookup_values!$D$2:$E$197, 2, FALSE)), "--", VLOOKUP(SUBSTITUTE(LEFT(MAIN!E485, IFERROR(FIND(",", MAIN!E485)-1, LEN(MAIN!E485))), " ", ""), lookup_values!$D$2:$E$197, 2, FALSE)))))</f>
        <v>--</v>
      </c>
      <c r="F485" t="str">
        <f>IF(ISBLANK(MAIN!F485), "", IF(AND(ISNUMBER(VALUE(TRIM(MAIN!F485))), LEN(TRIM(MAIN!F485))=4), VALUE(TRIM(MAIN!F485)), ""))</f>
        <v/>
      </c>
      <c r="G485">
        <f>IF(ISBLANK(MAIN!G485), 0, IF(ISNUMBER(VALUE(TRIM(MAIN!G485))), VALUE(TRIM(MAIN!G485)), 0))</f>
        <v>0</v>
      </c>
      <c r="H485">
        <f>IF(ISBLANK(MAIN!H485), 0, IF(ISNUMBER(VALUE(TRIM(MAIN!H485))), VALUE(TRIM(MAIN!H485)), 0))</f>
        <v>0</v>
      </c>
      <c r="I485">
        <f>IF(ISBLANK(MAIN!I485), 0, IF(ISNUMBER(VALUE(TRIM(MAIN!I485))), VALUE(TRIM(MAIN!I485)), 0))</f>
        <v>0</v>
      </c>
      <c r="J485">
        <f>IF(ISBLANK(MAIN!J485), 0, IF(ISNUMBER(VALUE(TRIM(MAIN!J485))), VALUE(TRIM(MAIN!J485)), 0))</f>
        <v>0</v>
      </c>
      <c r="K485" cm="1">
        <f t="array" ref="K485">IFERROR(
    VALUE(
        IFERROR(
            UPPER(
                IF(MAX(IFERROR(SEARCH("WD",MAIN!G485:J485), 0))&gt;0, "WD",
                IF(MAX(IFERROR(SEARCH("NS",MAIN!G485:J485), 0))&gt;0, "NS",
                IF(MAX(IFERROR(SEARCH("NC",MAIN!G485:J485), 0))&gt;0, "NC",
                IF(MAX(IFERROR(SEARCH("DQ",MAIN!G485:J485), 0))&gt;0, "DQ",
                IF(ISNUMBER(SEARCH("WD",MAIN!K485)), "WD",
                IF(ISNUMBER(SEARCH("NS",MAIN!K485)), "NS",
                IF(ISNUMBER(SEARCH("NC",MAIN!K485)), "NC",
                IF(ISNUMBER(SEARCH("DQ",MAIN!K485)), "DQ",
                IF(ISNUMBER(SEARCH("A",MAIN!K485)), 0,
                IF(OR(MAIN!K485=0,MAIN!K485=""), 0, --TRIM(MAIN!K485)))))))))))),
            0
        )
    ),
    IFERROR(
        UPPER(
            IF(MAX(IFERROR(SEARCH("WD",MAIN!G485:J485), 0))&gt;0, "WD",
            IF(MAX(IFERROR(SEARCH("NS",MAIN!G485:J485), 0))&gt;0, "NS",
            IF(MAX(IFERROR(SEARCH("NC",MAIN!G485:J485), 0))&gt;0, "NC",
            IF(MAX(IFERROR(SEARCH("DQ",MAIN!G485:J485), 0))&gt;0, "DQ",
            IF(ISNUMBER(SEARCH("WD",MAIN!K485)), "WD",
            IF(ISNUMBER(SEARCH("NS",MAIN!K485)), "NS",
            IF(ISNUMBER(SEARCH("NC",MAIN!K485)), "NC",
            IF(ISNUMBER(SEARCH("DQ",MAIN!K485)), "DQ",
            IF(ISNUMBER(SEARCH("A",MAIN!K485)), 0,
            IF(OR(MAIN!K485=0,MAIN!K485=""), 0, --TRIM(MAIN!K485)))))))))))),
        0
    )
)</f>
        <v>0</v>
      </c>
    </row>
    <row r="486" spans="1:11" x14ac:dyDescent="0.25">
      <c r="A486" t="str">
        <f>IF(ISBLANK(MAIN!A486), "--", IFERROR(PROPER(SUBSTITUTE(SUBSTITUTE(SUBSTITUTE(SUBSTITUTE(SUBSTITUTE(SUBSTITUTE(SUBSTITUTE(SUBSTITUTE(SUBSTITUTE(SUBSTITUTE(LEFT(MAIN!A486, FIND(",",MAIN!A486) -1), "0", ""), "1", ""), "2", ""), "3", ""), "4", ""), "5", ""), "6", ""), "7", ""), "8", ""), "9", "")), PROPER(SUBSTITUTE(SUBSTITUTE(SUBSTITUTE(SUBSTITUTE(SUBSTITUTE(SUBSTITUTE(SUBSTITUTE(SUBSTITUTE(SUBSTITUTE(SUBSTITUTE(MAIN!A486, "0", ""), "1", ""), "2", ""), "3", ""), "4", ""), "5", ""), "6", ""), "7", ""), "8", ""), "9", ""))))</f>
        <v>--</v>
      </c>
      <c r="B486" t="str">
        <f>IF(ISBLANK(MAIN!B486), "--", IFERROR(PROPER(SUBSTITUTE(SUBSTITUTE(SUBSTITUTE(SUBSTITUTE(SUBSTITUTE(SUBSTITUTE(SUBSTITUTE(SUBSTITUTE(SUBSTITUTE(SUBSTITUTE(LEFT(MAIN!B486, FIND(",",MAIN!B486) -1), "0", ""), "1", ""), "2", ""), "3", ""), "4", ""), "5", ""), "6", ""), "7", ""), "8", ""), "9", "")), PROPER(SUBSTITUTE(SUBSTITUTE(SUBSTITUTE(SUBSTITUTE(SUBSTITUTE(SUBSTITUTE(SUBSTITUTE(SUBSTITUTE(SUBSTITUTE(SUBSTITUTE(MAIN!B486, "0", ""), "1", ""), "2", ""), "3", ""), "4", ""), "5", ""), "6", ""), "7", ""), "8", ""), "9", ""))))</f>
        <v>--</v>
      </c>
      <c r="C486" t="str">
        <f>IF(ISBLANK(MAIN!C486), "--", IFERROR(PROPER(SUBSTITUTE(SUBSTITUTE(SUBSTITUTE(SUBSTITUTE(SUBSTITUTE(SUBSTITUTE(SUBSTITUTE(SUBSTITUTE(SUBSTITUTE(SUBSTITUTE(LEFT(MAIN!C486, FIND(",",MAIN!C486) -1), "0", ""), "1", ""), "2", ""), "3", ""), "4", ""), "5", ""), "6", ""), "7", ""), "8", ""), "9", "")), PROPER(SUBSTITUTE(SUBSTITUTE(SUBSTITUTE(SUBSTITUTE(SUBSTITUTE(SUBSTITUTE(SUBSTITUTE(SUBSTITUTE(SUBSTITUTE(SUBSTITUTE(MAIN!C486, "0", ""), "1", ""), "2", ""), "3", ""), "4", ""), "5", ""), "6", ""), "7", ""), "8", ""), "9", ""))))</f>
        <v>--</v>
      </c>
      <c r="D486" t="str">
        <f>IF(ISBLANK(MAIN!D486), "--", IF(ISNUMBER(MATCH(SUBSTITUTE(LEFT(MAIN!D486, IFERROR(FIND(",", MAIN!D486)-1, LEN(MAIN!D486))), " ", ""), lookup_values!$B$2:$B$51, 0)), UPPER(SUBSTITUTE(LEFT(MAIN!D486, IFERROR(FIND(",", MAIN!D486)-1, LEN(MAIN!D486))), " ", "")), IF(ISNA(VLOOKUP(SUBSTITUTE(LEFT(MAIN!D486, IFERROR(FIND(",", MAIN!D486)-1, LEN(MAIN!D486))), " ", ""), lookup_values!$A$2:$B$51, 2, FALSE)), "--", VLOOKUP(SUBSTITUTE(LEFT(MAIN!D486, IFERROR(FIND(",", MAIN!D486)-1, LEN(MAIN!D486))), " ", ""), lookup_values!$A$2:$B$51, 2, FALSE))))</f>
        <v>--</v>
      </c>
      <c r="E486" t="str">
        <f>IF(CLEAN_DATA!D486&lt;&gt;"--","US",IF(ISBLANK(MAIN!E486), "--", IF(ISNUMBER(MATCH(SUBSTITUTE(LEFT(MAIN!E486, IFERROR(FIND(",", MAIN!E486)-1, LEN(MAIN!E486))), " ", ""), lookup_values!$E$2:$E$197, 0)), UPPER(SUBSTITUTE(LEFT(MAIN!E486, IFERROR(FIND(",", MAIN!E486)-1, LEN(MAIN!E486))), " ", "")), IF(ISNA(VLOOKUP(SUBSTITUTE(LEFT(MAIN!E486, IFERROR(FIND(",", MAIN!E486)-1, LEN(MAIN!E486))), " ", ""), lookup_values!$D$2:$E$197, 2, FALSE)), "--", VLOOKUP(SUBSTITUTE(LEFT(MAIN!E486, IFERROR(FIND(",", MAIN!E486)-1, LEN(MAIN!E486))), " ", ""), lookup_values!$D$2:$E$197, 2, FALSE)))))</f>
        <v>--</v>
      </c>
      <c r="F486" t="str">
        <f>IF(ISBLANK(MAIN!F486), "", IF(AND(ISNUMBER(VALUE(TRIM(MAIN!F486))), LEN(TRIM(MAIN!F486))=4), VALUE(TRIM(MAIN!F486)), ""))</f>
        <v/>
      </c>
      <c r="G486">
        <f>IF(ISBLANK(MAIN!G486), 0, IF(ISNUMBER(VALUE(TRIM(MAIN!G486))), VALUE(TRIM(MAIN!G486)), 0))</f>
        <v>0</v>
      </c>
      <c r="H486">
        <f>IF(ISBLANK(MAIN!H486), 0, IF(ISNUMBER(VALUE(TRIM(MAIN!H486))), VALUE(TRIM(MAIN!H486)), 0))</f>
        <v>0</v>
      </c>
      <c r="I486">
        <f>IF(ISBLANK(MAIN!I486), 0, IF(ISNUMBER(VALUE(TRIM(MAIN!I486))), VALUE(TRIM(MAIN!I486)), 0))</f>
        <v>0</v>
      </c>
      <c r="J486">
        <f>IF(ISBLANK(MAIN!J486), 0, IF(ISNUMBER(VALUE(TRIM(MAIN!J486))), VALUE(TRIM(MAIN!J486)), 0))</f>
        <v>0</v>
      </c>
      <c r="K486" cm="1">
        <f t="array" ref="K486">IFERROR(
    VALUE(
        IFERROR(
            UPPER(
                IF(MAX(IFERROR(SEARCH("WD",MAIN!G486:J486), 0))&gt;0, "WD",
                IF(MAX(IFERROR(SEARCH("NS",MAIN!G486:J486), 0))&gt;0, "NS",
                IF(MAX(IFERROR(SEARCH("NC",MAIN!G486:J486), 0))&gt;0, "NC",
                IF(MAX(IFERROR(SEARCH("DQ",MAIN!G486:J486), 0))&gt;0, "DQ",
                IF(ISNUMBER(SEARCH("WD",MAIN!K486)), "WD",
                IF(ISNUMBER(SEARCH("NS",MAIN!K486)), "NS",
                IF(ISNUMBER(SEARCH("NC",MAIN!K486)), "NC",
                IF(ISNUMBER(SEARCH("DQ",MAIN!K486)), "DQ",
                IF(ISNUMBER(SEARCH("A",MAIN!K486)), 0,
                IF(OR(MAIN!K486=0,MAIN!K486=""), 0, --TRIM(MAIN!K486)))))))))))),
            0
        )
    ),
    IFERROR(
        UPPER(
            IF(MAX(IFERROR(SEARCH("WD",MAIN!G486:J486), 0))&gt;0, "WD",
            IF(MAX(IFERROR(SEARCH("NS",MAIN!G486:J486), 0))&gt;0, "NS",
            IF(MAX(IFERROR(SEARCH("NC",MAIN!G486:J486), 0))&gt;0, "NC",
            IF(MAX(IFERROR(SEARCH("DQ",MAIN!G486:J486), 0))&gt;0, "DQ",
            IF(ISNUMBER(SEARCH("WD",MAIN!K486)), "WD",
            IF(ISNUMBER(SEARCH("NS",MAIN!K486)), "NS",
            IF(ISNUMBER(SEARCH("NC",MAIN!K486)), "NC",
            IF(ISNUMBER(SEARCH("DQ",MAIN!K486)), "DQ",
            IF(ISNUMBER(SEARCH("A",MAIN!K486)), 0,
            IF(OR(MAIN!K486=0,MAIN!K486=""), 0, --TRIM(MAIN!K486)))))))))))),
        0
    )
)</f>
        <v>0</v>
      </c>
    </row>
    <row r="487" spans="1:11" x14ac:dyDescent="0.25">
      <c r="A487" t="str">
        <f>IF(ISBLANK(MAIN!A487), "--", IFERROR(PROPER(SUBSTITUTE(SUBSTITUTE(SUBSTITUTE(SUBSTITUTE(SUBSTITUTE(SUBSTITUTE(SUBSTITUTE(SUBSTITUTE(SUBSTITUTE(SUBSTITUTE(LEFT(MAIN!A487, FIND(",",MAIN!A487) -1), "0", ""), "1", ""), "2", ""), "3", ""), "4", ""), "5", ""), "6", ""), "7", ""), "8", ""), "9", "")), PROPER(SUBSTITUTE(SUBSTITUTE(SUBSTITUTE(SUBSTITUTE(SUBSTITUTE(SUBSTITUTE(SUBSTITUTE(SUBSTITUTE(SUBSTITUTE(SUBSTITUTE(MAIN!A487, "0", ""), "1", ""), "2", ""), "3", ""), "4", ""), "5", ""), "6", ""), "7", ""), "8", ""), "9", ""))))</f>
        <v>--</v>
      </c>
      <c r="B487" t="str">
        <f>IF(ISBLANK(MAIN!B487), "--", IFERROR(PROPER(SUBSTITUTE(SUBSTITUTE(SUBSTITUTE(SUBSTITUTE(SUBSTITUTE(SUBSTITUTE(SUBSTITUTE(SUBSTITUTE(SUBSTITUTE(SUBSTITUTE(LEFT(MAIN!B487, FIND(",",MAIN!B487) -1), "0", ""), "1", ""), "2", ""), "3", ""), "4", ""), "5", ""), "6", ""), "7", ""), "8", ""), "9", "")), PROPER(SUBSTITUTE(SUBSTITUTE(SUBSTITUTE(SUBSTITUTE(SUBSTITUTE(SUBSTITUTE(SUBSTITUTE(SUBSTITUTE(SUBSTITUTE(SUBSTITUTE(MAIN!B487, "0", ""), "1", ""), "2", ""), "3", ""), "4", ""), "5", ""), "6", ""), "7", ""), "8", ""), "9", ""))))</f>
        <v>--</v>
      </c>
      <c r="C487" t="str">
        <f>IF(ISBLANK(MAIN!C487), "--", IFERROR(PROPER(SUBSTITUTE(SUBSTITUTE(SUBSTITUTE(SUBSTITUTE(SUBSTITUTE(SUBSTITUTE(SUBSTITUTE(SUBSTITUTE(SUBSTITUTE(SUBSTITUTE(LEFT(MAIN!C487, FIND(",",MAIN!C487) -1), "0", ""), "1", ""), "2", ""), "3", ""), "4", ""), "5", ""), "6", ""), "7", ""), "8", ""), "9", "")), PROPER(SUBSTITUTE(SUBSTITUTE(SUBSTITUTE(SUBSTITUTE(SUBSTITUTE(SUBSTITUTE(SUBSTITUTE(SUBSTITUTE(SUBSTITUTE(SUBSTITUTE(MAIN!C487, "0", ""), "1", ""), "2", ""), "3", ""), "4", ""), "5", ""), "6", ""), "7", ""), "8", ""), "9", ""))))</f>
        <v>--</v>
      </c>
      <c r="D487" t="str">
        <f>IF(ISBLANK(MAIN!D487), "--", IF(ISNUMBER(MATCH(SUBSTITUTE(LEFT(MAIN!D487, IFERROR(FIND(",", MAIN!D487)-1, LEN(MAIN!D487))), " ", ""), lookup_values!$B$2:$B$51, 0)), UPPER(SUBSTITUTE(LEFT(MAIN!D487, IFERROR(FIND(",", MAIN!D487)-1, LEN(MAIN!D487))), " ", "")), IF(ISNA(VLOOKUP(SUBSTITUTE(LEFT(MAIN!D487, IFERROR(FIND(",", MAIN!D487)-1, LEN(MAIN!D487))), " ", ""), lookup_values!$A$2:$B$51, 2, FALSE)), "--", VLOOKUP(SUBSTITUTE(LEFT(MAIN!D487, IFERROR(FIND(",", MAIN!D487)-1, LEN(MAIN!D487))), " ", ""), lookup_values!$A$2:$B$51, 2, FALSE))))</f>
        <v>--</v>
      </c>
      <c r="E487" t="str">
        <f>IF(CLEAN_DATA!D487&lt;&gt;"--","US",IF(ISBLANK(MAIN!E487), "--", IF(ISNUMBER(MATCH(SUBSTITUTE(LEFT(MAIN!E487, IFERROR(FIND(",", MAIN!E487)-1, LEN(MAIN!E487))), " ", ""), lookup_values!$E$2:$E$197, 0)), UPPER(SUBSTITUTE(LEFT(MAIN!E487, IFERROR(FIND(",", MAIN!E487)-1, LEN(MAIN!E487))), " ", "")), IF(ISNA(VLOOKUP(SUBSTITUTE(LEFT(MAIN!E487, IFERROR(FIND(",", MAIN!E487)-1, LEN(MAIN!E487))), " ", ""), lookup_values!$D$2:$E$197, 2, FALSE)), "--", VLOOKUP(SUBSTITUTE(LEFT(MAIN!E487, IFERROR(FIND(",", MAIN!E487)-1, LEN(MAIN!E487))), " ", ""), lookup_values!$D$2:$E$197, 2, FALSE)))))</f>
        <v>--</v>
      </c>
      <c r="F487" t="str">
        <f>IF(ISBLANK(MAIN!F487), "", IF(AND(ISNUMBER(VALUE(TRIM(MAIN!F487))), LEN(TRIM(MAIN!F487))=4), VALUE(TRIM(MAIN!F487)), ""))</f>
        <v/>
      </c>
      <c r="G487">
        <f>IF(ISBLANK(MAIN!G487), 0, IF(ISNUMBER(VALUE(TRIM(MAIN!G487))), VALUE(TRIM(MAIN!G487)), 0))</f>
        <v>0</v>
      </c>
      <c r="H487">
        <f>IF(ISBLANK(MAIN!H487), 0, IF(ISNUMBER(VALUE(TRIM(MAIN!H487))), VALUE(TRIM(MAIN!H487)), 0))</f>
        <v>0</v>
      </c>
      <c r="I487">
        <f>IF(ISBLANK(MAIN!I487), 0, IF(ISNUMBER(VALUE(TRIM(MAIN!I487))), VALUE(TRIM(MAIN!I487)), 0))</f>
        <v>0</v>
      </c>
      <c r="J487">
        <f>IF(ISBLANK(MAIN!J487), 0, IF(ISNUMBER(VALUE(TRIM(MAIN!J487))), VALUE(TRIM(MAIN!J487)), 0))</f>
        <v>0</v>
      </c>
      <c r="K487" cm="1">
        <f t="array" ref="K487">IFERROR(
    VALUE(
        IFERROR(
            UPPER(
                IF(MAX(IFERROR(SEARCH("WD",MAIN!G487:J487), 0))&gt;0, "WD",
                IF(MAX(IFERROR(SEARCH("NS",MAIN!G487:J487), 0))&gt;0, "NS",
                IF(MAX(IFERROR(SEARCH("NC",MAIN!G487:J487), 0))&gt;0, "NC",
                IF(MAX(IFERROR(SEARCH("DQ",MAIN!G487:J487), 0))&gt;0, "DQ",
                IF(ISNUMBER(SEARCH("WD",MAIN!K487)), "WD",
                IF(ISNUMBER(SEARCH("NS",MAIN!K487)), "NS",
                IF(ISNUMBER(SEARCH("NC",MAIN!K487)), "NC",
                IF(ISNUMBER(SEARCH("DQ",MAIN!K487)), "DQ",
                IF(ISNUMBER(SEARCH("A",MAIN!K487)), 0,
                IF(OR(MAIN!K487=0,MAIN!K487=""), 0, --TRIM(MAIN!K487)))))))))))),
            0
        )
    ),
    IFERROR(
        UPPER(
            IF(MAX(IFERROR(SEARCH("WD",MAIN!G487:J487), 0))&gt;0, "WD",
            IF(MAX(IFERROR(SEARCH("NS",MAIN!G487:J487), 0))&gt;0, "NS",
            IF(MAX(IFERROR(SEARCH("NC",MAIN!G487:J487), 0))&gt;0, "NC",
            IF(MAX(IFERROR(SEARCH("DQ",MAIN!G487:J487), 0))&gt;0, "DQ",
            IF(ISNUMBER(SEARCH("WD",MAIN!K487)), "WD",
            IF(ISNUMBER(SEARCH("NS",MAIN!K487)), "NS",
            IF(ISNUMBER(SEARCH("NC",MAIN!K487)), "NC",
            IF(ISNUMBER(SEARCH("DQ",MAIN!K487)), "DQ",
            IF(ISNUMBER(SEARCH("A",MAIN!K487)), 0,
            IF(OR(MAIN!K487=0,MAIN!K487=""), 0, --TRIM(MAIN!K487)))))))))))),
        0
    )
)</f>
        <v>0</v>
      </c>
    </row>
    <row r="488" spans="1:11" x14ac:dyDescent="0.25">
      <c r="A488" t="str">
        <f>IF(ISBLANK(MAIN!A488), "--", IFERROR(PROPER(SUBSTITUTE(SUBSTITUTE(SUBSTITUTE(SUBSTITUTE(SUBSTITUTE(SUBSTITUTE(SUBSTITUTE(SUBSTITUTE(SUBSTITUTE(SUBSTITUTE(LEFT(MAIN!A488, FIND(",",MAIN!A488) -1), "0", ""), "1", ""), "2", ""), "3", ""), "4", ""), "5", ""), "6", ""), "7", ""), "8", ""), "9", "")), PROPER(SUBSTITUTE(SUBSTITUTE(SUBSTITUTE(SUBSTITUTE(SUBSTITUTE(SUBSTITUTE(SUBSTITUTE(SUBSTITUTE(SUBSTITUTE(SUBSTITUTE(MAIN!A488, "0", ""), "1", ""), "2", ""), "3", ""), "4", ""), "5", ""), "6", ""), "7", ""), "8", ""), "9", ""))))</f>
        <v>--</v>
      </c>
      <c r="B488" t="str">
        <f>IF(ISBLANK(MAIN!B488), "--", IFERROR(PROPER(SUBSTITUTE(SUBSTITUTE(SUBSTITUTE(SUBSTITUTE(SUBSTITUTE(SUBSTITUTE(SUBSTITUTE(SUBSTITUTE(SUBSTITUTE(SUBSTITUTE(LEFT(MAIN!B488, FIND(",",MAIN!B488) -1), "0", ""), "1", ""), "2", ""), "3", ""), "4", ""), "5", ""), "6", ""), "7", ""), "8", ""), "9", "")), PROPER(SUBSTITUTE(SUBSTITUTE(SUBSTITUTE(SUBSTITUTE(SUBSTITUTE(SUBSTITUTE(SUBSTITUTE(SUBSTITUTE(SUBSTITUTE(SUBSTITUTE(MAIN!B488, "0", ""), "1", ""), "2", ""), "3", ""), "4", ""), "5", ""), "6", ""), "7", ""), "8", ""), "9", ""))))</f>
        <v>--</v>
      </c>
      <c r="C488" t="str">
        <f>IF(ISBLANK(MAIN!C488), "--", IFERROR(PROPER(SUBSTITUTE(SUBSTITUTE(SUBSTITUTE(SUBSTITUTE(SUBSTITUTE(SUBSTITUTE(SUBSTITUTE(SUBSTITUTE(SUBSTITUTE(SUBSTITUTE(LEFT(MAIN!C488, FIND(",",MAIN!C488) -1), "0", ""), "1", ""), "2", ""), "3", ""), "4", ""), "5", ""), "6", ""), "7", ""), "8", ""), "9", "")), PROPER(SUBSTITUTE(SUBSTITUTE(SUBSTITUTE(SUBSTITUTE(SUBSTITUTE(SUBSTITUTE(SUBSTITUTE(SUBSTITUTE(SUBSTITUTE(SUBSTITUTE(MAIN!C488, "0", ""), "1", ""), "2", ""), "3", ""), "4", ""), "5", ""), "6", ""), "7", ""), "8", ""), "9", ""))))</f>
        <v>--</v>
      </c>
      <c r="D488" t="str">
        <f>IF(ISBLANK(MAIN!D488), "--", IF(ISNUMBER(MATCH(SUBSTITUTE(LEFT(MAIN!D488, IFERROR(FIND(",", MAIN!D488)-1, LEN(MAIN!D488))), " ", ""), lookup_values!$B$2:$B$51, 0)), UPPER(SUBSTITUTE(LEFT(MAIN!D488, IFERROR(FIND(",", MAIN!D488)-1, LEN(MAIN!D488))), " ", "")), IF(ISNA(VLOOKUP(SUBSTITUTE(LEFT(MAIN!D488, IFERROR(FIND(",", MAIN!D488)-1, LEN(MAIN!D488))), " ", ""), lookup_values!$A$2:$B$51, 2, FALSE)), "--", VLOOKUP(SUBSTITUTE(LEFT(MAIN!D488, IFERROR(FIND(",", MAIN!D488)-1, LEN(MAIN!D488))), " ", ""), lookup_values!$A$2:$B$51, 2, FALSE))))</f>
        <v>--</v>
      </c>
      <c r="E488" t="str">
        <f>IF(CLEAN_DATA!D488&lt;&gt;"--","US",IF(ISBLANK(MAIN!E488), "--", IF(ISNUMBER(MATCH(SUBSTITUTE(LEFT(MAIN!E488, IFERROR(FIND(",", MAIN!E488)-1, LEN(MAIN!E488))), " ", ""), lookup_values!$E$2:$E$197, 0)), UPPER(SUBSTITUTE(LEFT(MAIN!E488, IFERROR(FIND(",", MAIN!E488)-1, LEN(MAIN!E488))), " ", "")), IF(ISNA(VLOOKUP(SUBSTITUTE(LEFT(MAIN!E488, IFERROR(FIND(",", MAIN!E488)-1, LEN(MAIN!E488))), " ", ""), lookup_values!$D$2:$E$197, 2, FALSE)), "--", VLOOKUP(SUBSTITUTE(LEFT(MAIN!E488, IFERROR(FIND(",", MAIN!E488)-1, LEN(MAIN!E488))), " ", ""), lookup_values!$D$2:$E$197, 2, FALSE)))))</f>
        <v>--</v>
      </c>
      <c r="F488" t="str">
        <f>IF(ISBLANK(MAIN!F488), "", IF(AND(ISNUMBER(VALUE(TRIM(MAIN!F488))), LEN(TRIM(MAIN!F488))=4), VALUE(TRIM(MAIN!F488)), ""))</f>
        <v/>
      </c>
      <c r="G488">
        <f>IF(ISBLANK(MAIN!G488), 0, IF(ISNUMBER(VALUE(TRIM(MAIN!G488))), VALUE(TRIM(MAIN!G488)), 0))</f>
        <v>0</v>
      </c>
      <c r="H488">
        <f>IF(ISBLANK(MAIN!H488), 0, IF(ISNUMBER(VALUE(TRIM(MAIN!H488))), VALUE(TRIM(MAIN!H488)), 0))</f>
        <v>0</v>
      </c>
      <c r="I488">
        <f>IF(ISBLANK(MAIN!I488), 0, IF(ISNUMBER(VALUE(TRIM(MAIN!I488))), VALUE(TRIM(MAIN!I488)), 0))</f>
        <v>0</v>
      </c>
      <c r="J488">
        <f>IF(ISBLANK(MAIN!J488), 0, IF(ISNUMBER(VALUE(TRIM(MAIN!J488))), VALUE(TRIM(MAIN!J488)), 0))</f>
        <v>0</v>
      </c>
      <c r="K488" cm="1">
        <f t="array" ref="K488">IFERROR(
    VALUE(
        IFERROR(
            UPPER(
                IF(MAX(IFERROR(SEARCH("WD",MAIN!G488:J488), 0))&gt;0, "WD",
                IF(MAX(IFERROR(SEARCH("NS",MAIN!G488:J488), 0))&gt;0, "NS",
                IF(MAX(IFERROR(SEARCH("NC",MAIN!G488:J488), 0))&gt;0, "NC",
                IF(MAX(IFERROR(SEARCH("DQ",MAIN!G488:J488), 0))&gt;0, "DQ",
                IF(ISNUMBER(SEARCH("WD",MAIN!K488)), "WD",
                IF(ISNUMBER(SEARCH("NS",MAIN!K488)), "NS",
                IF(ISNUMBER(SEARCH("NC",MAIN!K488)), "NC",
                IF(ISNUMBER(SEARCH("DQ",MAIN!K488)), "DQ",
                IF(ISNUMBER(SEARCH("A",MAIN!K488)), 0,
                IF(OR(MAIN!K488=0,MAIN!K488=""), 0, --TRIM(MAIN!K488)))))))))))),
            0
        )
    ),
    IFERROR(
        UPPER(
            IF(MAX(IFERROR(SEARCH("WD",MAIN!G488:J488), 0))&gt;0, "WD",
            IF(MAX(IFERROR(SEARCH("NS",MAIN!G488:J488), 0))&gt;0, "NS",
            IF(MAX(IFERROR(SEARCH("NC",MAIN!G488:J488), 0))&gt;0, "NC",
            IF(MAX(IFERROR(SEARCH("DQ",MAIN!G488:J488), 0))&gt;0, "DQ",
            IF(ISNUMBER(SEARCH("WD",MAIN!K488)), "WD",
            IF(ISNUMBER(SEARCH("NS",MAIN!K488)), "NS",
            IF(ISNUMBER(SEARCH("NC",MAIN!K488)), "NC",
            IF(ISNUMBER(SEARCH("DQ",MAIN!K488)), "DQ",
            IF(ISNUMBER(SEARCH("A",MAIN!K488)), 0,
            IF(OR(MAIN!K488=0,MAIN!K488=""), 0, --TRIM(MAIN!K488)))))))))))),
        0
    )
)</f>
        <v>0</v>
      </c>
    </row>
    <row r="489" spans="1:11" x14ac:dyDescent="0.25">
      <c r="A489" t="str">
        <f>IF(ISBLANK(MAIN!A489), "--", IFERROR(PROPER(SUBSTITUTE(SUBSTITUTE(SUBSTITUTE(SUBSTITUTE(SUBSTITUTE(SUBSTITUTE(SUBSTITUTE(SUBSTITUTE(SUBSTITUTE(SUBSTITUTE(LEFT(MAIN!A489, FIND(",",MAIN!A489) -1), "0", ""), "1", ""), "2", ""), "3", ""), "4", ""), "5", ""), "6", ""), "7", ""), "8", ""), "9", "")), PROPER(SUBSTITUTE(SUBSTITUTE(SUBSTITUTE(SUBSTITUTE(SUBSTITUTE(SUBSTITUTE(SUBSTITUTE(SUBSTITUTE(SUBSTITUTE(SUBSTITUTE(MAIN!A489, "0", ""), "1", ""), "2", ""), "3", ""), "4", ""), "5", ""), "6", ""), "7", ""), "8", ""), "9", ""))))</f>
        <v>--</v>
      </c>
      <c r="B489" t="str">
        <f>IF(ISBLANK(MAIN!B489), "--", IFERROR(PROPER(SUBSTITUTE(SUBSTITUTE(SUBSTITUTE(SUBSTITUTE(SUBSTITUTE(SUBSTITUTE(SUBSTITUTE(SUBSTITUTE(SUBSTITUTE(SUBSTITUTE(LEFT(MAIN!B489, FIND(",",MAIN!B489) -1), "0", ""), "1", ""), "2", ""), "3", ""), "4", ""), "5", ""), "6", ""), "7", ""), "8", ""), "9", "")), PROPER(SUBSTITUTE(SUBSTITUTE(SUBSTITUTE(SUBSTITUTE(SUBSTITUTE(SUBSTITUTE(SUBSTITUTE(SUBSTITUTE(SUBSTITUTE(SUBSTITUTE(MAIN!B489, "0", ""), "1", ""), "2", ""), "3", ""), "4", ""), "5", ""), "6", ""), "7", ""), "8", ""), "9", ""))))</f>
        <v>--</v>
      </c>
      <c r="C489" t="str">
        <f>IF(ISBLANK(MAIN!C489), "--", IFERROR(PROPER(SUBSTITUTE(SUBSTITUTE(SUBSTITUTE(SUBSTITUTE(SUBSTITUTE(SUBSTITUTE(SUBSTITUTE(SUBSTITUTE(SUBSTITUTE(SUBSTITUTE(LEFT(MAIN!C489, FIND(",",MAIN!C489) -1), "0", ""), "1", ""), "2", ""), "3", ""), "4", ""), "5", ""), "6", ""), "7", ""), "8", ""), "9", "")), PROPER(SUBSTITUTE(SUBSTITUTE(SUBSTITUTE(SUBSTITUTE(SUBSTITUTE(SUBSTITUTE(SUBSTITUTE(SUBSTITUTE(SUBSTITUTE(SUBSTITUTE(MAIN!C489, "0", ""), "1", ""), "2", ""), "3", ""), "4", ""), "5", ""), "6", ""), "7", ""), "8", ""), "9", ""))))</f>
        <v>--</v>
      </c>
      <c r="D489" t="str">
        <f>IF(ISBLANK(MAIN!D489), "--", IF(ISNUMBER(MATCH(SUBSTITUTE(LEFT(MAIN!D489, IFERROR(FIND(",", MAIN!D489)-1, LEN(MAIN!D489))), " ", ""), lookup_values!$B$2:$B$51, 0)), UPPER(SUBSTITUTE(LEFT(MAIN!D489, IFERROR(FIND(",", MAIN!D489)-1, LEN(MAIN!D489))), " ", "")), IF(ISNA(VLOOKUP(SUBSTITUTE(LEFT(MAIN!D489, IFERROR(FIND(",", MAIN!D489)-1, LEN(MAIN!D489))), " ", ""), lookup_values!$A$2:$B$51, 2, FALSE)), "--", VLOOKUP(SUBSTITUTE(LEFT(MAIN!D489, IFERROR(FIND(",", MAIN!D489)-1, LEN(MAIN!D489))), " ", ""), lookup_values!$A$2:$B$51, 2, FALSE))))</f>
        <v>--</v>
      </c>
      <c r="E489" t="str">
        <f>IF(CLEAN_DATA!D489&lt;&gt;"--","US",IF(ISBLANK(MAIN!E489), "--", IF(ISNUMBER(MATCH(SUBSTITUTE(LEFT(MAIN!E489, IFERROR(FIND(",", MAIN!E489)-1, LEN(MAIN!E489))), " ", ""), lookup_values!$E$2:$E$197, 0)), UPPER(SUBSTITUTE(LEFT(MAIN!E489, IFERROR(FIND(",", MAIN!E489)-1, LEN(MAIN!E489))), " ", "")), IF(ISNA(VLOOKUP(SUBSTITUTE(LEFT(MAIN!E489, IFERROR(FIND(",", MAIN!E489)-1, LEN(MAIN!E489))), " ", ""), lookup_values!$D$2:$E$197, 2, FALSE)), "--", VLOOKUP(SUBSTITUTE(LEFT(MAIN!E489, IFERROR(FIND(",", MAIN!E489)-1, LEN(MAIN!E489))), " ", ""), lookup_values!$D$2:$E$197, 2, FALSE)))))</f>
        <v>--</v>
      </c>
      <c r="F489" t="str">
        <f>IF(ISBLANK(MAIN!F489), "", IF(AND(ISNUMBER(VALUE(TRIM(MAIN!F489))), LEN(TRIM(MAIN!F489))=4), VALUE(TRIM(MAIN!F489)), ""))</f>
        <v/>
      </c>
      <c r="G489">
        <f>IF(ISBLANK(MAIN!G489), 0, IF(ISNUMBER(VALUE(TRIM(MAIN!G489))), VALUE(TRIM(MAIN!G489)), 0))</f>
        <v>0</v>
      </c>
      <c r="H489">
        <f>IF(ISBLANK(MAIN!H489), 0, IF(ISNUMBER(VALUE(TRIM(MAIN!H489))), VALUE(TRIM(MAIN!H489)), 0))</f>
        <v>0</v>
      </c>
      <c r="I489">
        <f>IF(ISBLANK(MAIN!I489), 0, IF(ISNUMBER(VALUE(TRIM(MAIN!I489))), VALUE(TRIM(MAIN!I489)), 0))</f>
        <v>0</v>
      </c>
      <c r="J489">
        <f>IF(ISBLANK(MAIN!J489), 0, IF(ISNUMBER(VALUE(TRIM(MAIN!J489))), VALUE(TRIM(MAIN!J489)), 0))</f>
        <v>0</v>
      </c>
      <c r="K489" cm="1">
        <f t="array" ref="K489">IFERROR(
    VALUE(
        IFERROR(
            UPPER(
                IF(MAX(IFERROR(SEARCH("WD",MAIN!G489:J489), 0))&gt;0, "WD",
                IF(MAX(IFERROR(SEARCH("NS",MAIN!G489:J489), 0))&gt;0, "NS",
                IF(MAX(IFERROR(SEARCH("NC",MAIN!G489:J489), 0))&gt;0, "NC",
                IF(MAX(IFERROR(SEARCH("DQ",MAIN!G489:J489), 0))&gt;0, "DQ",
                IF(ISNUMBER(SEARCH("WD",MAIN!K489)), "WD",
                IF(ISNUMBER(SEARCH("NS",MAIN!K489)), "NS",
                IF(ISNUMBER(SEARCH("NC",MAIN!K489)), "NC",
                IF(ISNUMBER(SEARCH("DQ",MAIN!K489)), "DQ",
                IF(ISNUMBER(SEARCH("A",MAIN!K489)), 0,
                IF(OR(MAIN!K489=0,MAIN!K489=""), 0, --TRIM(MAIN!K489)))))))))))),
            0
        )
    ),
    IFERROR(
        UPPER(
            IF(MAX(IFERROR(SEARCH("WD",MAIN!G489:J489), 0))&gt;0, "WD",
            IF(MAX(IFERROR(SEARCH("NS",MAIN!G489:J489), 0))&gt;0, "NS",
            IF(MAX(IFERROR(SEARCH("NC",MAIN!G489:J489), 0))&gt;0, "NC",
            IF(MAX(IFERROR(SEARCH("DQ",MAIN!G489:J489), 0))&gt;0, "DQ",
            IF(ISNUMBER(SEARCH("WD",MAIN!K489)), "WD",
            IF(ISNUMBER(SEARCH("NS",MAIN!K489)), "NS",
            IF(ISNUMBER(SEARCH("NC",MAIN!K489)), "NC",
            IF(ISNUMBER(SEARCH("DQ",MAIN!K489)), "DQ",
            IF(ISNUMBER(SEARCH("A",MAIN!K489)), 0,
            IF(OR(MAIN!K489=0,MAIN!K489=""), 0, --TRIM(MAIN!K489)))))))))))),
        0
    )
)</f>
        <v>0</v>
      </c>
    </row>
    <row r="490" spans="1:11" x14ac:dyDescent="0.25">
      <c r="A490" t="str">
        <f>IF(ISBLANK(MAIN!A490), "--", IFERROR(PROPER(SUBSTITUTE(SUBSTITUTE(SUBSTITUTE(SUBSTITUTE(SUBSTITUTE(SUBSTITUTE(SUBSTITUTE(SUBSTITUTE(SUBSTITUTE(SUBSTITUTE(LEFT(MAIN!A490, FIND(",",MAIN!A490) -1), "0", ""), "1", ""), "2", ""), "3", ""), "4", ""), "5", ""), "6", ""), "7", ""), "8", ""), "9", "")), PROPER(SUBSTITUTE(SUBSTITUTE(SUBSTITUTE(SUBSTITUTE(SUBSTITUTE(SUBSTITUTE(SUBSTITUTE(SUBSTITUTE(SUBSTITUTE(SUBSTITUTE(MAIN!A490, "0", ""), "1", ""), "2", ""), "3", ""), "4", ""), "5", ""), "6", ""), "7", ""), "8", ""), "9", ""))))</f>
        <v>--</v>
      </c>
      <c r="B490" t="str">
        <f>IF(ISBLANK(MAIN!B490), "--", IFERROR(PROPER(SUBSTITUTE(SUBSTITUTE(SUBSTITUTE(SUBSTITUTE(SUBSTITUTE(SUBSTITUTE(SUBSTITUTE(SUBSTITUTE(SUBSTITUTE(SUBSTITUTE(LEFT(MAIN!B490, FIND(",",MAIN!B490) -1), "0", ""), "1", ""), "2", ""), "3", ""), "4", ""), "5", ""), "6", ""), "7", ""), "8", ""), "9", "")), PROPER(SUBSTITUTE(SUBSTITUTE(SUBSTITUTE(SUBSTITUTE(SUBSTITUTE(SUBSTITUTE(SUBSTITUTE(SUBSTITUTE(SUBSTITUTE(SUBSTITUTE(MAIN!B490, "0", ""), "1", ""), "2", ""), "3", ""), "4", ""), "5", ""), "6", ""), "7", ""), "8", ""), "9", ""))))</f>
        <v>--</v>
      </c>
      <c r="C490" t="str">
        <f>IF(ISBLANK(MAIN!C490), "--", IFERROR(PROPER(SUBSTITUTE(SUBSTITUTE(SUBSTITUTE(SUBSTITUTE(SUBSTITUTE(SUBSTITUTE(SUBSTITUTE(SUBSTITUTE(SUBSTITUTE(SUBSTITUTE(LEFT(MAIN!C490, FIND(",",MAIN!C490) -1), "0", ""), "1", ""), "2", ""), "3", ""), "4", ""), "5", ""), "6", ""), "7", ""), "8", ""), "9", "")), PROPER(SUBSTITUTE(SUBSTITUTE(SUBSTITUTE(SUBSTITUTE(SUBSTITUTE(SUBSTITUTE(SUBSTITUTE(SUBSTITUTE(SUBSTITUTE(SUBSTITUTE(MAIN!C490, "0", ""), "1", ""), "2", ""), "3", ""), "4", ""), "5", ""), "6", ""), "7", ""), "8", ""), "9", ""))))</f>
        <v>--</v>
      </c>
      <c r="D490" t="str">
        <f>IF(ISBLANK(MAIN!D490), "--", IF(ISNUMBER(MATCH(SUBSTITUTE(LEFT(MAIN!D490, IFERROR(FIND(",", MAIN!D490)-1, LEN(MAIN!D490))), " ", ""), lookup_values!$B$2:$B$51, 0)), UPPER(SUBSTITUTE(LEFT(MAIN!D490, IFERROR(FIND(",", MAIN!D490)-1, LEN(MAIN!D490))), " ", "")), IF(ISNA(VLOOKUP(SUBSTITUTE(LEFT(MAIN!D490, IFERROR(FIND(",", MAIN!D490)-1, LEN(MAIN!D490))), " ", ""), lookup_values!$A$2:$B$51, 2, FALSE)), "--", VLOOKUP(SUBSTITUTE(LEFT(MAIN!D490, IFERROR(FIND(",", MAIN!D490)-1, LEN(MAIN!D490))), " ", ""), lookup_values!$A$2:$B$51, 2, FALSE))))</f>
        <v>--</v>
      </c>
      <c r="E490" t="str">
        <f>IF(CLEAN_DATA!D490&lt;&gt;"--","US",IF(ISBLANK(MAIN!E490), "--", IF(ISNUMBER(MATCH(SUBSTITUTE(LEFT(MAIN!E490, IFERROR(FIND(",", MAIN!E490)-1, LEN(MAIN!E490))), " ", ""), lookup_values!$E$2:$E$197, 0)), UPPER(SUBSTITUTE(LEFT(MAIN!E490, IFERROR(FIND(",", MAIN!E490)-1, LEN(MAIN!E490))), " ", "")), IF(ISNA(VLOOKUP(SUBSTITUTE(LEFT(MAIN!E490, IFERROR(FIND(",", MAIN!E490)-1, LEN(MAIN!E490))), " ", ""), lookup_values!$D$2:$E$197, 2, FALSE)), "--", VLOOKUP(SUBSTITUTE(LEFT(MAIN!E490, IFERROR(FIND(",", MAIN!E490)-1, LEN(MAIN!E490))), " ", ""), lookup_values!$D$2:$E$197, 2, FALSE)))))</f>
        <v>--</v>
      </c>
      <c r="F490" t="str">
        <f>IF(ISBLANK(MAIN!F490), "", IF(AND(ISNUMBER(VALUE(TRIM(MAIN!F490))), LEN(TRIM(MAIN!F490))=4), VALUE(TRIM(MAIN!F490)), ""))</f>
        <v/>
      </c>
      <c r="G490">
        <f>IF(ISBLANK(MAIN!G490), 0, IF(ISNUMBER(VALUE(TRIM(MAIN!G490))), VALUE(TRIM(MAIN!G490)), 0))</f>
        <v>0</v>
      </c>
      <c r="H490">
        <f>IF(ISBLANK(MAIN!H490), 0, IF(ISNUMBER(VALUE(TRIM(MAIN!H490))), VALUE(TRIM(MAIN!H490)), 0))</f>
        <v>0</v>
      </c>
      <c r="I490">
        <f>IF(ISBLANK(MAIN!I490), 0, IF(ISNUMBER(VALUE(TRIM(MAIN!I490))), VALUE(TRIM(MAIN!I490)), 0))</f>
        <v>0</v>
      </c>
      <c r="J490">
        <f>IF(ISBLANK(MAIN!J490), 0, IF(ISNUMBER(VALUE(TRIM(MAIN!J490))), VALUE(TRIM(MAIN!J490)), 0))</f>
        <v>0</v>
      </c>
      <c r="K490" cm="1">
        <f t="array" ref="K490">IFERROR(
    VALUE(
        IFERROR(
            UPPER(
                IF(MAX(IFERROR(SEARCH("WD",MAIN!G490:J490), 0))&gt;0, "WD",
                IF(MAX(IFERROR(SEARCH("NS",MAIN!G490:J490), 0))&gt;0, "NS",
                IF(MAX(IFERROR(SEARCH("NC",MAIN!G490:J490), 0))&gt;0, "NC",
                IF(MAX(IFERROR(SEARCH("DQ",MAIN!G490:J490), 0))&gt;0, "DQ",
                IF(ISNUMBER(SEARCH("WD",MAIN!K490)), "WD",
                IF(ISNUMBER(SEARCH("NS",MAIN!K490)), "NS",
                IF(ISNUMBER(SEARCH("NC",MAIN!K490)), "NC",
                IF(ISNUMBER(SEARCH("DQ",MAIN!K490)), "DQ",
                IF(ISNUMBER(SEARCH("A",MAIN!K490)), 0,
                IF(OR(MAIN!K490=0,MAIN!K490=""), 0, --TRIM(MAIN!K490)))))))))))),
            0
        )
    ),
    IFERROR(
        UPPER(
            IF(MAX(IFERROR(SEARCH("WD",MAIN!G490:J490), 0))&gt;0, "WD",
            IF(MAX(IFERROR(SEARCH("NS",MAIN!G490:J490), 0))&gt;0, "NS",
            IF(MAX(IFERROR(SEARCH("NC",MAIN!G490:J490), 0))&gt;0, "NC",
            IF(MAX(IFERROR(SEARCH("DQ",MAIN!G490:J490), 0))&gt;0, "DQ",
            IF(ISNUMBER(SEARCH("WD",MAIN!K490)), "WD",
            IF(ISNUMBER(SEARCH("NS",MAIN!K490)), "NS",
            IF(ISNUMBER(SEARCH("NC",MAIN!K490)), "NC",
            IF(ISNUMBER(SEARCH("DQ",MAIN!K490)), "DQ",
            IF(ISNUMBER(SEARCH("A",MAIN!K490)), 0,
            IF(OR(MAIN!K490=0,MAIN!K490=""), 0, --TRIM(MAIN!K490)))))))))))),
        0
    )
)</f>
        <v>0</v>
      </c>
    </row>
    <row r="491" spans="1:11" x14ac:dyDescent="0.25">
      <c r="A491" t="str">
        <f>IF(ISBLANK(MAIN!A491), "--", IFERROR(PROPER(SUBSTITUTE(SUBSTITUTE(SUBSTITUTE(SUBSTITUTE(SUBSTITUTE(SUBSTITUTE(SUBSTITUTE(SUBSTITUTE(SUBSTITUTE(SUBSTITUTE(LEFT(MAIN!A491, FIND(",",MAIN!A491) -1), "0", ""), "1", ""), "2", ""), "3", ""), "4", ""), "5", ""), "6", ""), "7", ""), "8", ""), "9", "")), PROPER(SUBSTITUTE(SUBSTITUTE(SUBSTITUTE(SUBSTITUTE(SUBSTITUTE(SUBSTITUTE(SUBSTITUTE(SUBSTITUTE(SUBSTITUTE(SUBSTITUTE(MAIN!A491, "0", ""), "1", ""), "2", ""), "3", ""), "4", ""), "5", ""), "6", ""), "7", ""), "8", ""), "9", ""))))</f>
        <v>--</v>
      </c>
      <c r="B491" t="str">
        <f>IF(ISBLANK(MAIN!B491), "--", IFERROR(PROPER(SUBSTITUTE(SUBSTITUTE(SUBSTITUTE(SUBSTITUTE(SUBSTITUTE(SUBSTITUTE(SUBSTITUTE(SUBSTITUTE(SUBSTITUTE(SUBSTITUTE(LEFT(MAIN!B491, FIND(",",MAIN!B491) -1), "0", ""), "1", ""), "2", ""), "3", ""), "4", ""), "5", ""), "6", ""), "7", ""), "8", ""), "9", "")), PROPER(SUBSTITUTE(SUBSTITUTE(SUBSTITUTE(SUBSTITUTE(SUBSTITUTE(SUBSTITUTE(SUBSTITUTE(SUBSTITUTE(SUBSTITUTE(SUBSTITUTE(MAIN!B491, "0", ""), "1", ""), "2", ""), "3", ""), "4", ""), "5", ""), "6", ""), "7", ""), "8", ""), "9", ""))))</f>
        <v>--</v>
      </c>
      <c r="C491" t="str">
        <f>IF(ISBLANK(MAIN!C491), "--", IFERROR(PROPER(SUBSTITUTE(SUBSTITUTE(SUBSTITUTE(SUBSTITUTE(SUBSTITUTE(SUBSTITUTE(SUBSTITUTE(SUBSTITUTE(SUBSTITUTE(SUBSTITUTE(LEFT(MAIN!C491, FIND(",",MAIN!C491) -1), "0", ""), "1", ""), "2", ""), "3", ""), "4", ""), "5", ""), "6", ""), "7", ""), "8", ""), "9", "")), PROPER(SUBSTITUTE(SUBSTITUTE(SUBSTITUTE(SUBSTITUTE(SUBSTITUTE(SUBSTITUTE(SUBSTITUTE(SUBSTITUTE(SUBSTITUTE(SUBSTITUTE(MAIN!C491, "0", ""), "1", ""), "2", ""), "3", ""), "4", ""), "5", ""), "6", ""), "7", ""), "8", ""), "9", ""))))</f>
        <v>--</v>
      </c>
      <c r="D491" t="str">
        <f>IF(ISBLANK(MAIN!D491), "--", IF(ISNUMBER(MATCH(SUBSTITUTE(LEFT(MAIN!D491, IFERROR(FIND(",", MAIN!D491)-1, LEN(MAIN!D491))), " ", ""), lookup_values!$B$2:$B$51, 0)), UPPER(SUBSTITUTE(LEFT(MAIN!D491, IFERROR(FIND(",", MAIN!D491)-1, LEN(MAIN!D491))), " ", "")), IF(ISNA(VLOOKUP(SUBSTITUTE(LEFT(MAIN!D491, IFERROR(FIND(",", MAIN!D491)-1, LEN(MAIN!D491))), " ", ""), lookup_values!$A$2:$B$51, 2, FALSE)), "--", VLOOKUP(SUBSTITUTE(LEFT(MAIN!D491, IFERROR(FIND(",", MAIN!D491)-1, LEN(MAIN!D491))), " ", ""), lookup_values!$A$2:$B$51, 2, FALSE))))</f>
        <v>--</v>
      </c>
      <c r="E491" t="str">
        <f>IF(CLEAN_DATA!D491&lt;&gt;"--","US",IF(ISBLANK(MAIN!E491), "--", IF(ISNUMBER(MATCH(SUBSTITUTE(LEFT(MAIN!E491, IFERROR(FIND(",", MAIN!E491)-1, LEN(MAIN!E491))), " ", ""), lookup_values!$E$2:$E$197, 0)), UPPER(SUBSTITUTE(LEFT(MAIN!E491, IFERROR(FIND(",", MAIN!E491)-1, LEN(MAIN!E491))), " ", "")), IF(ISNA(VLOOKUP(SUBSTITUTE(LEFT(MAIN!E491, IFERROR(FIND(",", MAIN!E491)-1, LEN(MAIN!E491))), " ", ""), lookup_values!$D$2:$E$197, 2, FALSE)), "--", VLOOKUP(SUBSTITUTE(LEFT(MAIN!E491, IFERROR(FIND(",", MAIN!E491)-1, LEN(MAIN!E491))), " ", ""), lookup_values!$D$2:$E$197, 2, FALSE)))))</f>
        <v>--</v>
      </c>
      <c r="F491" t="str">
        <f>IF(ISBLANK(MAIN!F491), "", IF(AND(ISNUMBER(VALUE(TRIM(MAIN!F491))), LEN(TRIM(MAIN!F491))=4), VALUE(TRIM(MAIN!F491)), ""))</f>
        <v/>
      </c>
      <c r="G491">
        <f>IF(ISBLANK(MAIN!G491), 0, IF(ISNUMBER(VALUE(TRIM(MAIN!G491))), VALUE(TRIM(MAIN!G491)), 0))</f>
        <v>0</v>
      </c>
      <c r="H491">
        <f>IF(ISBLANK(MAIN!H491), 0, IF(ISNUMBER(VALUE(TRIM(MAIN!H491))), VALUE(TRIM(MAIN!H491)), 0))</f>
        <v>0</v>
      </c>
      <c r="I491">
        <f>IF(ISBLANK(MAIN!I491), 0, IF(ISNUMBER(VALUE(TRIM(MAIN!I491))), VALUE(TRIM(MAIN!I491)), 0))</f>
        <v>0</v>
      </c>
      <c r="J491">
        <f>IF(ISBLANK(MAIN!J491), 0, IF(ISNUMBER(VALUE(TRIM(MAIN!J491))), VALUE(TRIM(MAIN!J491)), 0))</f>
        <v>0</v>
      </c>
      <c r="K491" cm="1">
        <f t="array" ref="K491">IFERROR(
    VALUE(
        IFERROR(
            UPPER(
                IF(MAX(IFERROR(SEARCH("WD",MAIN!G491:J491), 0))&gt;0, "WD",
                IF(MAX(IFERROR(SEARCH("NS",MAIN!G491:J491), 0))&gt;0, "NS",
                IF(MAX(IFERROR(SEARCH("NC",MAIN!G491:J491), 0))&gt;0, "NC",
                IF(MAX(IFERROR(SEARCH("DQ",MAIN!G491:J491), 0))&gt;0, "DQ",
                IF(ISNUMBER(SEARCH("WD",MAIN!K491)), "WD",
                IF(ISNUMBER(SEARCH("NS",MAIN!K491)), "NS",
                IF(ISNUMBER(SEARCH("NC",MAIN!K491)), "NC",
                IF(ISNUMBER(SEARCH("DQ",MAIN!K491)), "DQ",
                IF(ISNUMBER(SEARCH("A",MAIN!K491)), 0,
                IF(OR(MAIN!K491=0,MAIN!K491=""), 0, --TRIM(MAIN!K491)))))))))))),
            0
        )
    ),
    IFERROR(
        UPPER(
            IF(MAX(IFERROR(SEARCH("WD",MAIN!G491:J491), 0))&gt;0, "WD",
            IF(MAX(IFERROR(SEARCH("NS",MAIN!G491:J491), 0))&gt;0, "NS",
            IF(MAX(IFERROR(SEARCH("NC",MAIN!G491:J491), 0))&gt;0, "NC",
            IF(MAX(IFERROR(SEARCH("DQ",MAIN!G491:J491), 0))&gt;0, "DQ",
            IF(ISNUMBER(SEARCH("WD",MAIN!K491)), "WD",
            IF(ISNUMBER(SEARCH("NS",MAIN!K491)), "NS",
            IF(ISNUMBER(SEARCH("NC",MAIN!K491)), "NC",
            IF(ISNUMBER(SEARCH("DQ",MAIN!K491)), "DQ",
            IF(ISNUMBER(SEARCH("A",MAIN!K491)), 0,
            IF(OR(MAIN!K491=0,MAIN!K491=""), 0, --TRIM(MAIN!K491)))))))))))),
        0
    )
)</f>
        <v>0</v>
      </c>
    </row>
    <row r="492" spans="1:11" x14ac:dyDescent="0.25">
      <c r="A492" t="str">
        <f>IF(ISBLANK(MAIN!A492), "--", IFERROR(PROPER(SUBSTITUTE(SUBSTITUTE(SUBSTITUTE(SUBSTITUTE(SUBSTITUTE(SUBSTITUTE(SUBSTITUTE(SUBSTITUTE(SUBSTITUTE(SUBSTITUTE(LEFT(MAIN!A492, FIND(",",MAIN!A492) -1), "0", ""), "1", ""), "2", ""), "3", ""), "4", ""), "5", ""), "6", ""), "7", ""), "8", ""), "9", "")), PROPER(SUBSTITUTE(SUBSTITUTE(SUBSTITUTE(SUBSTITUTE(SUBSTITUTE(SUBSTITUTE(SUBSTITUTE(SUBSTITUTE(SUBSTITUTE(SUBSTITUTE(MAIN!A492, "0", ""), "1", ""), "2", ""), "3", ""), "4", ""), "5", ""), "6", ""), "7", ""), "8", ""), "9", ""))))</f>
        <v>--</v>
      </c>
      <c r="B492" t="str">
        <f>IF(ISBLANK(MAIN!B492), "--", IFERROR(PROPER(SUBSTITUTE(SUBSTITUTE(SUBSTITUTE(SUBSTITUTE(SUBSTITUTE(SUBSTITUTE(SUBSTITUTE(SUBSTITUTE(SUBSTITUTE(SUBSTITUTE(LEFT(MAIN!B492, FIND(",",MAIN!B492) -1), "0", ""), "1", ""), "2", ""), "3", ""), "4", ""), "5", ""), "6", ""), "7", ""), "8", ""), "9", "")), PROPER(SUBSTITUTE(SUBSTITUTE(SUBSTITUTE(SUBSTITUTE(SUBSTITUTE(SUBSTITUTE(SUBSTITUTE(SUBSTITUTE(SUBSTITUTE(SUBSTITUTE(MAIN!B492, "0", ""), "1", ""), "2", ""), "3", ""), "4", ""), "5", ""), "6", ""), "7", ""), "8", ""), "9", ""))))</f>
        <v>--</v>
      </c>
      <c r="C492" t="str">
        <f>IF(ISBLANK(MAIN!C492), "--", IFERROR(PROPER(SUBSTITUTE(SUBSTITUTE(SUBSTITUTE(SUBSTITUTE(SUBSTITUTE(SUBSTITUTE(SUBSTITUTE(SUBSTITUTE(SUBSTITUTE(SUBSTITUTE(LEFT(MAIN!C492, FIND(",",MAIN!C492) -1), "0", ""), "1", ""), "2", ""), "3", ""), "4", ""), "5", ""), "6", ""), "7", ""), "8", ""), "9", "")), PROPER(SUBSTITUTE(SUBSTITUTE(SUBSTITUTE(SUBSTITUTE(SUBSTITUTE(SUBSTITUTE(SUBSTITUTE(SUBSTITUTE(SUBSTITUTE(SUBSTITUTE(MAIN!C492, "0", ""), "1", ""), "2", ""), "3", ""), "4", ""), "5", ""), "6", ""), "7", ""), "8", ""), "9", ""))))</f>
        <v>--</v>
      </c>
      <c r="D492" t="str">
        <f>IF(ISBLANK(MAIN!D492), "--", IF(ISNUMBER(MATCH(SUBSTITUTE(LEFT(MAIN!D492, IFERROR(FIND(",", MAIN!D492)-1, LEN(MAIN!D492))), " ", ""), lookup_values!$B$2:$B$51, 0)), UPPER(SUBSTITUTE(LEFT(MAIN!D492, IFERROR(FIND(",", MAIN!D492)-1, LEN(MAIN!D492))), " ", "")), IF(ISNA(VLOOKUP(SUBSTITUTE(LEFT(MAIN!D492, IFERROR(FIND(",", MAIN!D492)-1, LEN(MAIN!D492))), " ", ""), lookup_values!$A$2:$B$51, 2, FALSE)), "--", VLOOKUP(SUBSTITUTE(LEFT(MAIN!D492, IFERROR(FIND(",", MAIN!D492)-1, LEN(MAIN!D492))), " ", ""), lookup_values!$A$2:$B$51, 2, FALSE))))</f>
        <v>--</v>
      </c>
      <c r="E492" t="str">
        <f>IF(CLEAN_DATA!D492&lt;&gt;"--","US",IF(ISBLANK(MAIN!E492), "--", IF(ISNUMBER(MATCH(SUBSTITUTE(LEFT(MAIN!E492, IFERROR(FIND(",", MAIN!E492)-1, LEN(MAIN!E492))), " ", ""), lookup_values!$E$2:$E$197, 0)), UPPER(SUBSTITUTE(LEFT(MAIN!E492, IFERROR(FIND(",", MAIN!E492)-1, LEN(MAIN!E492))), " ", "")), IF(ISNA(VLOOKUP(SUBSTITUTE(LEFT(MAIN!E492, IFERROR(FIND(",", MAIN!E492)-1, LEN(MAIN!E492))), " ", ""), lookup_values!$D$2:$E$197, 2, FALSE)), "--", VLOOKUP(SUBSTITUTE(LEFT(MAIN!E492, IFERROR(FIND(",", MAIN!E492)-1, LEN(MAIN!E492))), " ", ""), lookup_values!$D$2:$E$197, 2, FALSE)))))</f>
        <v>--</v>
      </c>
      <c r="F492" t="str">
        <f>IF(ISBLANK(MAIN!F492), "", IF(AND(ISNUMBER(VALUE(TRIM(MAIN!F492))), LEN(TRIM(MAIN!F492))=4), VALUE(TRIM(MAIN!F492)), ""))</f>
        <v/>
      </c>
      <c r="G492">
        <f>IF(ISBLANK(MAIN!G492), 0, IF(ISNUMBER(VALUE(TRIM(MAIN!G492))), VALUE(TRIM(MAIN!G492)), 0))</f>
        <v>0</v>
      </c>
      <c r="H492">
        <f>IF(ISBLANK(MAIN!H492), 0, IF(ISNUMBER(VALUE(TRIM(MAIN!H492))), VALUE(TRIM(MAIN!H492)), 0))</f>
        <v>0</v>
      </c>
      <c r="I492">
        <f>IF(ISBLANK(MAIN!I492), 0, IF(ISNUMBER(VALUE(TRIM(MAIN!I492))), VALUE(TRIM(MAIN!I492)), 0))</f>
        <v>0</v>
      </c>
      <c r="J492">
        <f>IF(ISBLANK(MAIN!J492), 0, IF(ISNUMBER(VALUE(TRIM(MAIN!J492))), VALUE(TRIM(MAIN!J492)), 0))</f>
        <v>0</v>
      </c>
      <c r="K492" cm="1">
        <f t="array" ref="K492">IFERROR(
    VALUE(
        IFERROR(
            UPPER(
                IF(MAX(IFERROR(SEARCH("WD",MAIN!G492:J492), 0))&gt;0, "WD",
                IF(MAX(IFERROR(SEARCH("NS",MAIN!G492:J492), 0))&gt;0, "NS",
                IF(MAX(IFERROR(SEARCH("NC",MAIN!G492:J492), 0))&gt;0, "NC",
                IF(MAX(IFERROR(SEARCH("DQ",MAIN!G492:J492), 0))&gt;0, "DQ",
                IF(ISNUMBER(SEARCH("WD",MAIN!K492)), "WD",
                IF(ISNUMBER(SEARCH("NS",MAIN!K492)), "NS",
                IF(ISNUMBER(SEARCH("NC",MAIN!K492)), "NC",
                IF(ISNUMBER(SEARCH("DQ",MAIN!K492)), "DQ",
                IF(ISNUMBER(SEARCH("A",MAIN!K492)), 0,
                IF(OR(MAIN!K492=0,MAIN!K492=""), 0, --TRIM(MAIN!K492)))))))))))),
            0
        )
    ),
    IFERROR(
        UPPER(
            IF(MAX(IFERROR(SEARCH("WD",MAIN!G492:J492), 0))&gt;0, "WD",
            IF(MAX(IFERROR(SEARCH("NS",MAIN!G492:J492), 0))&gt;0, "NS",
            IF(MAX(IFERROR(SEARCH("NC",MAIN!G492:J492), 0))&gt;0, "NC",
            IF(MAX(IFERROR(SEARCH("DQ",MAIN!G492:J492), 0))&gt;0, "DQ",
            IF(ISNUMBER(SEARCH("WD",MAIN!K492)), "WD",
            IF(ISNUMBER(SEARCH("NS",MAIN!K492)), "NS",
            IF(ISNUMBER(SEARCH("NC",MAIN!K492)), "NC",
            IF(ISNUMBER(SEARCH("DQ",MAIN!K492)), "DQ",
            IF(ISNUMBER(SEARCH("A",MAIN!K492)), 0,
            IF(OR(MAIN!K492=0,MAIN!K492=""), 0, --TRIM(MAIN!K492)))))))))))),
        0
    )
)</f>
        <v>0</v>
      </c>
    </row>
    <row r="493" spans="1:11" x14ac:dyDescent="0.25">
      <c r="A493" t="str">
        <f>IF(ISBLANK(MAIN!A493), "--", IFERROR(PROPER(SUBSTITUTE(SUBSTITUTE(SUBSTITUTE(SUBSTITUTE(SUBSTITUTE(SUBSTITUTE(SUBSTITUTE(SUBSTITUTE(SUBSTITUTE(SUBSTITUTE(LEFT(MAIN!A493, FIND(",",MAIN!A493) -1), "0", ""), "1", ""), "2", ""), "3", ""), "4", ""), "5", ""), "6", ""), "7", ""), "8", ""), "9", "")), PROPER(SUBSTITUTE(SUBSTITUTE(SUBSTITUTE(SUBSTITUTE(SUBSTITUTE(SUBSTITUTE(SUBSTITUTE(SUBSTITUTE(SUBSTITUTE(SUBSTITUTE(MAIN!A493, "0", ""), "1", ""), "2", ""), "3", ""), "4", ""), "5", ""), "6", ""), "7", ""), "8", ""), "9", ""))))</f>
        <v>--</v>
      </c>
      <c r="B493" t="str">
        <f>IF(ISBLANK(MAIN!B493), "--", IFERROR(PROPER(SUBSTITUTE(SUBSTITUTE(SUBSTITUTE(SUBSTITUTE(SUBSTITUTE(SUBSTITUTE(SUBSTITUTE(SUBSTITUTE(SUBSTITUTE(SUBSTITUTE(LEFT(MAIN!B493, FIND(",",MAIN!B493) -1), "0", ""), "1", ""), "2", ""), "3", ""), "4", ""), "5", ""), "6", ""), "7", ""), "8", ""), "9", "")), PROPER(SUBSTITUTE(SUBSTITUTE(SUBSTITUTE(SUBSTITUTE(SUBSTITUTE(SUBSTITUTE(SUBSTITUTE(SUBSTITUTE(SUBSTITUTE(SUBSTITUTE(MAIN!B493, "0", ""), "1", ""), "2", ""), "3", ""), "4", ""), "5", ""), "6", ""), "7", ""), "8", ""), "9", ""))))</f>
        <v>--</v>
      </c>
      <c r="C493" t="str">
        <f>IF(ISBLANK(MAIN!C493), "--", IFERROR(PROPER(SUBSTITUTE(SUBSTITUTE(SUBSTITUTE(SUBSTITUTE(SUBSTITUTE(SUBSTITUTE(SUBSTITUTE(SUBSTITUTE(SUBSTITUTE(SUBSTITUTE(LEFT(MAIN!C493, FIND(",",MAIN!C493) -1), "0", ""), "1", ""), "2", ""), "3", ""), "4", ""), "5", ""), "6", ""), "7", ""), "8", ""), "9", "")), PROPER(SUBSTITUTE(SUBSTITUTE(SUBSTITUTE(SUBSTITUTE(SUBSTITUTE(SUBSTITUTE(SUBSTITUTE(SUBSTITUTE(SUBSTITUTE(SUBSTITUTE(MAIN!C493, "0", ""), "1", ""), "2", ""), "3", ""), "4", ""), "5", ""), "6", ""), "7", ""), "8", ""), "9", ""))))</f>
        <v>--</v>
      </c>
      <c r="D493" t="str">
        <f>IF(ISBLANK(MAIN!D493), "--", IF(ISNUMBER(MATCH(SUBSTITUTE(LEFT(MAIN!D493, IFERROR(FIND(",", MAIN!D493)-1, LEN(MAIN!D493))), " ", ""), lookup_values!$B$2:$B$51, 0)), UPPER(SUBSTITUTE(LEFT(MAIN!D493, IFERROR(FIND(",", MAIN!D493)-1, LEN(MAIN!D493))), " ", "")), IF(ISNA(VLOOKUP(SUBSTITUTE(LEFT(MAIN!D493, IFERROR(FIND(",", MAIN!D493)-1, LEN(MAIN!D493))), " ", ""), lookup_values!$A$2:$B$51, 2, FALSE)), "--", VLOOKUP(SUBSTITUTE(LEFT(MAIN!D493, IFERROR(FIND(",", MAIN!D493)-1, LEN(MAIN!D493))), " ", ""), lookup_values!$A$2:$B$51, 2, FALSE))))</f>
        <v>--</v>
      </c>
      <c r="E493" t="str">
        <f>IF(CLEAN_DATA!D493&lt;&gt;"--","US",IF(ISBLANK(MAIN!E493), "--", IF(ISNUMBER(MATCH(SUBSTITUTE(LEFT(MAIN!E493, IFERROR(FIND(",", MAIN!E493)-1, LEN(MAIN!E493))), " ", ""), lookup_values!$E$2:$E$197, 0)), UPPER(SUBSTITUTE(LEFT(MAIN!E493, IFERROR(FIND(",", MAIN!E493)-1, LEN(MAIN!E493))), " ", "")), IF(ISNA(VLOOKUP(SUBSTITUTE(LEFT(MAIN!E493, IFERROR(FIND(",", MAIN!E493)-1, LEN(MAIN!E493))), " ", ""), lookup_values!$D$2:$E$197, 2, FALSE)), "--", VLOOKUP(SUBSTITUTE(LEFT(MAIN!E493, IFERROR(FIND(",", MAIN!E493)-1, LEN(MAIN!E493))), " ", ""), lookup_values!$D$2:$E$197, 2, FALSE)))))</f>
        <v>--</v>
      </c>
      <c r="F493" t="str">
        <f>IF(ISBLANK(MAIN!F493), "", IF(AND(ISNUMBER(VALUE(TRIM(MAIN!F493))), LEN(TRIM(MAIN!F493))=4), VALUE(TRIM(MAIN!F493)), ""))</f>
        <v/>
      </c>
      <c r="G493">
        <f>IF(ISBLANK(MAIN!G493), 0, IF(ISNUMBER(VALUE(TRIM(MAIN!G493))), VALUE(TRIM(MAIN!G493)), 0))</f>
        <v>0</v>
      </c>
      <c r="H493">
        <f>IF(ISBLANK(MAIN!H493), 0, IF(ISNUMBER(VALUE(TRIM(MAIN!H493))), VALUE(TRIM(MAIN!H493)), 0))</f>
        <v>0</v>
      </c>
      <c r="I493">
        <f>IF(ISBLANK(MAIN!I493), 0, IF(ISNUMBER(VALUE(TRIM(MAIN!I493))), VALUE(TRIM(MAIN!I493)), 0))</f>
        <v>0</v>
      </c>
      <c r="J493">
        <f>IF(ISBLANK(MAIN!J493), 0, IF(ISNUMBER(VALUE(TRIM(MAIN!J493))), VALUE(TRIM(MAIN!J493)), 0))</f>
        <v>0</v>
      </c>
      <c r="K493" cm="1">
        <f t="array" ref="K493">IFERROR(
    VALUE(
        IFERROR(
            UPPER(
                IF(MAX(IFERROR(SEARCH("WD",MAIN!G493:J493), 0))&gt;0, "WD",
                IF(MAX(IFERROR(SEARCH("NS",MAIN!G493:J493), 0))&gt;0, "NS",
                IF(MAX(IFERROR(SEARCH("NC",MAIN!G493:J493), 0))&gt;0, "NC",
                IF(MAX(IFERROR(SEARCH("DQ",MAIN!G493:J493), 0))&gt;0, "DQ",
                IF(ISNUMBER(SEARCH("WD",MAIN!K493)), "WD",
                IF(ISNUMBER(SEARCH("NS",MAIN!K493)), "NS",
                IF(ISNUMBER(SEARCH("NC",MAIN!K493)), "NC",
                IF(ISNUMBER(SEARCH("DQ",MAIN!K493)), "DQ",
                IF(ISNUMBER(SEARCH("A",MAIN!K493)), 0,
                IF(OR(MAIN!K493=0,MAIN!K493=""), 0, --TRIM(MAIN!K493)))))))))))),
            0
        )
    ),
    IFERROR(
        UPPER(
            IF(MAX(IFERROR(SEARCH("WD",MAIN!G493:J493), 0))&gt;0, "WD",
            IF(MAX(IFERROR(SEARCH("NS",MAIN!G493:J493), 0))&gt;0, "NS",
            IF(MAX(IFERROR(SEARCH("NC",MAIN!G493:J493), 0))&gt;0, "NC",
            IF(MAX(IFERROR(SEARCH("DQ",MAIN!G493:J493), 0))&gt;0, "DQ",
            IF(ISNUMBER(SEARCH("WD",MAIN!K493)), "WD",
            IF(ISNUMBER(SEARCH("NS",MAIN!K493)), "NS",
            IF(ISNUMBER(SEARCH("NC",MAIN!K493)), "NC",
            IF(ISNUMBER(SEARCH("DQ",MAIN!K493)), "DQ",
            IF(ISNUMBER(SEARCH("A",MAIN!K493)), 0,
            IF(OR(MAIN!K493=0,MAIN!K493=""), 0, --TRIM(MAIN!K493)))))))))))),
        0
    )
)</f>
        <v>0</v>
      </c>
    </row>
    <row r="494" spans="1:11" x14ac:dyDescent="0.25">
      <c r="A494" t="str">
        <f>IF(ISBLANK(MAIN!A494), "--", IFERROR(PROPER(SUBSTITUTE(SUBSTITUTE(SUBSTITUTE(SUBSTITUTE(SUBSTITUTE(SUBSTITUTE(SUBSTITUTE(SUBSTITUTE(SUBSTITUTE(SUBSTITUTE(LEFT(MAIN!A494, FIND(",",MAIN!A494) -1), "0", ""), "1", ""), "2", ""), "3", ""), "4", ""), "5", ""), "6", ""), "7", ""), "8", ""), "9", "")), PROPER(SUBSTITUTE(SUBSTITUTE(SUBSTITUTE(SUBSTITUTE(SUBSTITUTE(SUBSTITUTE(SUBSTITUTE(SUBSTITUTE(SUBSTITUTE(SUBSTITUTE(MAIN!A494, "0", ""), "1", ""), "2", ""), "3", ""), "4", ""), "5", ""), "6", ""), "7", ""), "8", ""), "9", ""))))</f>
        <v>--</v>
      </c>
      <c r="B494" t="str">
        <f>IF(ISBLANK(MAIN!B494), "--", IFERROR(PROPER(SUBSTITUTE(SUBSTITUTE(SUBSTITUTE(SUBSTITUTE(SUBSTITUTE(SUBSTITUTE(SUBSTITUTE(SUBSTITUTE(SUBSTITUTE(SUBSTITUTE(LEFT(MAIN!B494, FIND(",",MAIN!B494) -1), "0", ""), "1", ""), "2", ""), "3", ""), "4", ""), "5", ""), "6", ""), "7", ""), "8", ""), "9", "")), PROPER(SUBSTITUTE(SUBSTITUTE(SUBSTITUTE(SUBSTITUTE(SUBSTITUTE(SUBSTITUTE(SUBSTITUTE(SUBSTITUTE(SUBSTITUTE(SUBSTITUTE(MAIN!B494, "0", ""), "1", ""), "2", ""), "3", ""), "4", ""), "5", ""), "6", ""), "7", ""), "8", ""), "9", ""))))</f>
        <v>--</v>
      </c>
      <c r="C494" t="str">
        <f>IF(ISBLANK(MAIN!C494), "--", IFERROR(PROPER(SUBSTITUTE(SUBSTITUTE(SUBSTITUTE(SUBSTITUTE(SUBSTITUTE(SUBSTITUTE(SUBSTITUTE(SUBSTITUTE(SUBSTITUTE(SUBSTITUTE(LEFT(MAIN!C494, FIND(",",MAIN!C494) -1), "0", ""), "1", ""), "2", ""), "3", ""), "4", ""), "5", ""), "6", ""), "7", ""), "8", ""), "9", "")), PROPER(SUBSTITUTE(SUBSTITUTE(SUBSTITUTE(SUBSTITUTE(SUBSTITUTE(SUBSTITUTE(SUBSTITUTE(SUBSTITUTE(SUBSTITUTE(SUBSTITUTE(MAIN!C494, "0", ""), "1", ""), "2", ""), "3", ""), "4", ""), "5", ""), "6", ""), "7", ""), "8", ""), "9", ""))))</f>
        <v>--</v>
      </c>
      <c r="D494" t="str">
        <f>IF(ISBLANK(MAIN!D494), "--", IF(ISNUMBER(MATCH(SUBSTITUTE(LEFT(MAIN!D494, IFERROR(FIND(",", MAIN!D494)-1, LEN(MAIN!D494))), " ", ""), lookup_values!$B$2:$B$51, 0)), UPPER(SUBSTITUTE(LEFT(MAIN!D494, IFERROR(FIND(",", MAIN!D494)-1, LEN(MAIN!D494))), " ", "")), IF(ISNA(VLOOKUP(SUBSTITUTE(LEFT(MAIN!D494, IFERROR(FIND(",", MAIN!D494)-1, LEN(MAIN!D494))), " ", ""), lookup_values!$A$2:$B$51, 2, FALSE)), "--", VLOOKUP(SUBSTITUTE(LEFT(MAIN!D494, IFERROR(FIND(",", MAIN!D494)-1, LEN(MAIN!D494))), " ", ""), lookup_values!$A$2:$B$51, 2, FALSE))))</f>
        <v>--</v>
      </c>
      <c r="E494" t="str">
        <f>IF(CLEAN_DATA!D494&lt;&gt;"--","US",IF(ISBLANK(MAIN!E494), "--", IF(ISNUMBER(MATCH(SUBSTITUTE(LEFT(MAIN!E494, IFERROR(FIND(",", MAIN!E494)-1, LEN(MAIN!E494))), " ", ""), lookup_values!$E$2:$E$197, 0)), UPPER(SUBSTITUTE(LEFT(MAIN!E494, IFERROR(FIND(",", MAIN!E494)-1, LEN(MAIN!E494))), " ", "")), IF(ISNA(VLOOKUP(SUBSTITUTE(LEFT(MAIN!E494, IFERROR(FIND(",", MAIN!E494)-1, LEN(MAIN!E494))), " ", ""), lookup_values!$D$2:$E$197, 2, FALSE)), "--", VLOOKUP(SUBSTITUTE(LEFT(MAIN!E494, IFERROR(FIND(",", MAIN!E494)-1, LEN(MAIN!E494))), " ", ""), lookup_values!$D$2:$E$197, 2, FALSE)))))</f>
        <v>--</v>
      </c>
      <c r="F494" t="str">
        <f>IF(ISBLANK(MAIN!F494), "", IF(AND(ISNUMBER(VALUE(TRIM(MAIN!F494))), LEN(TRIM(MAIN!F494))=4), VALUE(TRIM(MAIN!F494)), ""))</f>
        <v/>
      </c>
      <c r="G494">
        <f>IF(ISBLANK(MAIN!G494), 0, IF(ISNUMBER(VALUE(TRIM(MAIN!G494))), VALUE(TRIM(MAIN!G494)), 0))</f>
        <v>0</v>
      </c>
      <c r="H494">
        <f>IF(ISBLANK(MAIN!H494), 0, IF(ISNUMBER(VALUE(TRIM(MAIN!H494))), VALUE(TRIM(MAIN!H494)), 0))</f>
        <v>0</v>
      </c>
      <c r="I494">
        <f>IF(ISBLANK(MAIN!I494), 0, IF(ISNUMBER(VALUE(TRIM(MAIN!I494))), VALUE(TRIM(MAIN!I494)), 0))</f>
        <v>0</v>
      </c>
      <c r="J494">
        <f>IF(ISBLANK(MAIN!J494), 0, IF(ISNUMBER(VALUE(TRIM(MAIN!J494))), VALUE(TRIM(MAIN!J494)), 0))</f>
        <v>0</v>
      </c>
      <c r="K494" cm="1">
        <f t="array" ref="K494">IFERROR(
    VALUE(
        IFERROR(
            UPPER(
                IF(MAX(IFERROR(SEARCH("WD",MAIN!G494:J494), 0))&gt;0, "WD",
                IF(MAX(IFERROR(SEARCH("NS",MAIN!G494:J494), 0))&gt;0, "NS",
                IF(MAX(IFERROR(SEARCH("NC",MAIN!G494:J494), 0))&gt;0, "NC",
                IF(MAX(IFERROR(SEARCH("DQ",MAIN!G494:J494), 0))&gt;0, "DQ",
                IF(ISNUMBER(SEARCH("WD",MAIN!K494)), "WD",
                IF(ISNUMBER(SEARCH("NS",MAIN!K494)), "NS",
                IF(ISNUMBER(SEARCH("NC",MAIN!K494)), "NC",
                IF(ISNUMBER(SEARCH("DQ",MAIN!K494)), "DQ",
                IF(ISNUMBER(SEARCH("A",MAIN!K494)), 0,
                IF(OR(MAIN!K494=0,MAIN!K494=""), 0, --TRIM(MAIN!K494)))))))))))),
            0
        )
    ),
    IFERROR(
        UPPER(
            IF(MAX(IFERROR(SEARCH("WD",MAIN!G494:J494), 0))&gt;0, "WD",
            IF(MAX(IFERROR(SEARCH("NS",MAIN!G494:J494), 0))&gt;0, "NS",
            IF(MAX(IFERROR(SEARCH("NC",MAIN!G494:J494), 0))&gt;0, "NC",
            IF(MAX(IFERROR(SEARCH("DQ",MAIN!G494:J494), 0))&gt;0, "DQ",
            IF(ISNUMBER(SEARCH("WD",MAIN!K494)), "WD",
            IF(ISNUMBER(SEARCH("NS",MAIN!K494)), "NS",
            IF(ISNUMBER(SEARCH("NC",MAIN!K494)), "NC",
            IF(ISNUMBER(SEARCH("DQ",MAIN!K494)), "DQ",
            IF(ISNUMBER(SEARCH("A",MAIN!K494)), 0,
            IF(OR(MAIN!K494=0,MAIN!K494=""), 0, --TRIM(MAIN!K494)))))))))))),
        0
    )
)</f>
        <v>0</v>
      </c>
    </row>
    <row r="495" spans="1:11" x14ac:dyDescent="0.25">
      <c r="A495" t="str">
        <f>IF(ISBLANK(MAIN!A495), "--", IFERROR(PROPER(SUBSTITUTE(SUBSTITUTE(SUBSTITUTE(SUBSTITUTE(SUBSTITUTE(SUBSTITUTE(SUBSTITUTE(SUBSTITUTE(SUBSTITUTE(SUBSTITUTE(LEFT(MAIN!A495, FIND(",",MAIN!A495) -1), "0", ""), "1", ""), "2", ""), "3", ""), "4", ""), "5", ""), "6", ""), "7", ""), "8", ""), "9", "")), PROPER(SUBSTITUTE(SUBSTITUTE(SUBSTITUTE(SUBSTITUTE(SUBSTITUTE(SUBSTITUTE(SUBSTITUTE(SUBSTITUTE(SUBSTITUTE(SUBSTITUTE(MAIN!A495, "0", ""), "1", ""), "2", ""), "3", ""), "4", ""), "5", ""), "6", ""), "7", ""), "8", ""), "9", ""))))</f>
        <v>--</v>
      </c>
      <c r="B495" t="str">
        <f>IF(ISBLANK(MAIN!B495), "--", IFERROR(PROPER(SUBSTITUTE(SUBSTITUTE(SUBSTITUTE(SUBSTITUTE(SUBSTITUTE(SUBSTITUTE(SUBSTITUTE(SUBSTITUTE(SUBSTITUTE(SUBSTITUTE(LEFT(MAIN!B495, FIND(",",MAIN!B495) -1), "0", ""), "1", ""), "2", ""), "3", ""), "4", ""), "5", ""), "6", ""), "7", ""), "8", ""), "9", "")), PROPER(SUBSTITUTE(SUBSTITUTE(SUBSTITUTE(SUBSTITUTE(SUBSTITUTE(SUBSTITUTE(SUBSTITUTE(SUBSTITUTE(SUBSTITUTE(SUBSTITUTE(MAIN!B495, "0", ""), "1", ""), "2", ""), "3", ""), "4", ""), "5", ""), "6", ""), "7", ""), "8", ""), "9", ""))))</f>
        <v>--</v>
      </c>
      <c r="C495" t="str">
        <f>IF(ISBLANK(MAIN!C495), "--", IFERROR(PROPER(SUBSTITUTE(SUBSTITUTE(SUBSTITUTE(SUBSTITUTE(SUBSTITUTE(SUBSTITUTE(SUBSTITUTE(SUBSTITUTE(SUBSTITUTE(SUBSTITUTE(LEFT(MAIN!C495, FIND(",",MAIN!C495) -1), "0", ""), "1", ""), "2", ""), "3", ""), "4", ""), "5", ""), "6", ""), "7", ""), "8", ""), "9", "")), PROPER(SUBSTITUTE(SUBSTITUTE(SUBSTITUTE(SUBSTITUTE(SUBSTITUTE(SUBSTITUTE(SUBSTITUTE(SUBSTITUTE(SUBSTITUTE(SUBSTITUTE(MAIN!C495, "0", ""), "1", ""), "2", ""), "3", ""), "4", ""), "5", ""), "6", ""), "7", ""), "8", ""), "9", ""))))</f>
        <v>--</v>
      </c>
      <c r="D495" t="str">
        <f>IF(ISBLANK(MAIN!D495), "--", IF(ISNUMBER(MATCH(SUBSTITUTE(LEFT(MAIN!D495, IFERROR(FIND(",", MAIN!D495)-1, LEN(MAIN!D495))), " ", ""), lookup_values!$B$2:$B$51, 0)), UPPER(SUBSTITUTE(LEFT(MAIN!D495, IFERROR(FIND(",", MAIN!D495)-1, LEN(MAIN!D495))), " ", "")), IF(ISNA(VLOOKUP(SUBSTITUTE(LEFT(MAIN!D495, IFERROR(FIND(",", MAIN!D495)-1, LEN(MAIN!D495))), " ", ""), lookup_values!$A$2:$B$51, 2, FALSE)), "--", VLOOKUP(SUBSTITUTE(LEFT(MAIN!D495, IFERROR(FIND(",", MAIN!D495)-1, LEN(MAIN!D495))), " ", ""), lookup_values!$A$2:$B$51, 2, FALSE))))</f>
        <v>--</v>
      </c>
      <c r="E495" t="str">
        <f>IF(CLEAN_DATA!D495&lt;&gt;"--","US",IF(ISBLANK(MAIN!E495), "--", IF(ISNUMBER(MATCH(SUBSTITUTE(LEFT(MAIN!E495, IFERROR(FIND(",", MAIN!E495)-1, LEN(MAIN!E495))), " ", ""), lookup_values!$E$2:$E$197, 0)), UPPER(SUBSTITUTE(LEFT(MAIN!E495, IFERROR(FIND(",", MAIN!E495)-1, LEN(MAIN!E495))), " ", "")), IF(ISNA(VLOOKUP(SUBSTITUTE(LEFT(MAIN!E495, IFERROR(FIND(",", MAIN!E495)-1, LEN(MAIN!E495))), " ", ""), lookup_values!$D$2:$E$197, 2, FALSE)), "--", VLOOKUP(SUBSTITUTE(LEFT(MAIN!E495, IFERROR(FIND(",", MAIN!E495)-1, LEN(MAIN!E495))), " ", ""), lookup_values!$D$2:$E$197, 2, FALSE)))))</f>
        <v>--</v>
      </c>
      <c r="F495" t="str">
        <f>IF(ISBLANK(MAIN!F495), "", IF(AND(ISNUMBER(VALUE(TRIM(MAIN!F495))), LEN(TRIM(MAIN!F495))=4), VALUE(TRIM(MAIN!F495)), ""))</f>
        <v/>
      </c>
      <c r="G495">
        <f>IF(ISBLANK(MAIN!G495), 0, IF(ISNUMBER(VALUE(TRIM(MAIN!G495))), VALUE(TRIM(MAIN!G495)), 0))</f>
        <v>0</v>
      </c>
      <c r="H495">
        <f>IF(ISBLANK(MAIN!H495), 0, IF(ISNUMBER(VALUE(TRIM(MAIN!H495))), VALUE(TRIM(MAIN!H495)), 0))</f>
        <v>0</v>
      </c>
      <c r="I495">
        <f>IF(ISBLANK(MAIN!I495), 0, IF(ISNUMBER(VALUE(TRIM(MAIN!I495))), VALUE(TRIM(MAIN!I495)), 0))</f>
        <v>0</v>
      </c>
      <c r="J495">
        <f>IF(ISBLANK(MAIN!J495), 0, IF(ISNUMBER(VALUE(TRIM(MAIN!J495))), VALUE(TRIM(MAIN!J495)), 0))</f>
        <v>0</v>
      </c>
      <c r="K495" cm="1">
        <f t="array" ref="K495">IFERROR(
    VALUE(
        IFERROR(
            UPPER(
                IF(MAX(IFERROR(SEARCH("WD",MAIN!G495:J495), 0))&gt;0, "WD",
                IF(MAX(IFERROR(SEARCH("NS",MAIN!G495:J495), 0))&gt;0, "NS",
                IF(MAX(IFERROR(SEARCH("NC",MAIN!G495:J495), 0))&gt;0, "NC",
                IF(MAX(IFERROR(SEARCH("DQ",MAIN!G495:J495), 0))&gt;0, "DQ",
                IF(ISNUMBER(SEARCH("WD",MAIN!K495)), "WD",
                IF(ISNUMBER(SEARCH("NS",MAIN!K495)), "NS",
                IF(ISNUMBER(SEARCH("NC",MAIN!K495)), "NC",
                IF(ISNUMBER(SEARCH("DQ",MAIN!K495)), "DQ",
                IF(ISNUMBER(SEARCH("A",MAIN!K495)), 0,
                IF(OR(MAIN!K495=0,MAIN!K495=""), 0, --TRIM(MAIN!K495)))))))))))),
            0
        )
    ),
    IFERROR(
        UPPER(
            IF(MAX(IFERROR(SEARCH("WD",MAIN!G495:J495), 0))&gt;0, "WD",
            IF(MAX(IFERROR(SEARCH("NS",MAIN!G495:J495), 0))&gt;0, "NS",
            IF(MAX(IFERROR(SEARCH("NC",MAIN!G495:J495), 0))&gt;0, "NC",
            IF(MAX(IFERROR(SEARCH("DQ",MAIN!G495:J495), 0))&gt;0, "DQ",
            IF(ISNUMBER(SEARCH("WD",MAIN!K495)), "WD",
            IF(ISNUMBER(SEARCH("NS",MAIN!K495)), "NS",
            IF(ISNUMBER(SEARCH("NC",MAIN!K495)), "NC",
            IF(ISNUMBER(SEARCH("DQ",MAIN!K495)), "DQ",
            IF(ISNUMBER(SEARCH("A",MAIN!K495)), 0,
            IF(OR(MAIN!K495=0,MAIN!K495=""), 0, --TRIM(MAIN!K495)))))))))))),
        0
    )
)</f>
        <v>0</v>
      </c>
    </row>
    <row r="496" spans="1:11" x14ac:dyDescent="0.25">
      <c r="A496" t="str">
        <f>IF(ISBLANK(MAIN!A496), "--", IFERROR(PROPER(SUBSTITUTE(SUBSTITUTE(SUBSTITUTE(SUBSTITUTE(SUBSTITUTE(SUBSTITUTE(SUBSTITUTE(SUBSTITUTE(SUBSTITUTE(SUBSTITUTE(LEFT(MAIN!A496, FIND(",",MAIN!A496) -1), "0", ""), "1", ""), "2", ""), "3", ""), "4", ""), "5", ""), "6", ""), "7", ""), "8", ""), "9", "")), PROPER(SUBSTITUTE(SUBSTITUTE(SUBSTITUTE(SUBSTITUTE(SUBSTITUTE(SUBSTITUTE(SUBSTITUTE(SUBSTITUTE(SUBSTITUTE(SUBSTITUTE(MAIN!A496, "0", ""), "1", ""), "2", ""), "3", ""), "4", ""), "5", ""), "6", ""), "7", ""), "8", ""), "9", ""))))</f>
        <v>--</v>
      </c>
      <c r="B496" t="str">
        <f>IF(ISBLANK(MAIN!B496), "--", IFERROR(PROPER(SUBSTITUTE(SUBSTITUTE(SUBSTITUTE(SUBSTITUTE(SUBSTITUTE(SUBSTITUTE(SUBSTITUTE(SUBSTITUTE(SUBSTITUTE(SUBSTITUTE(LEFT(MAIN!B496, FIND(",",MAIN!B496) -1), "0", ""), "1", ""), "2", ""), "3", ""), "4", ""), "5", ""), "6", ""), "7", ""), "8", ""), "9", "")), PROPER(SUBSTITUTE(SUBSTITUTE(SUBSTITUTE(SUBSTITUTE(SUBSTITUTE(SUBSTITUTE(SUBSTITUTE(SUBSTITUTE(SUBSTITUTE(SUBSTITUTE(MAIN!B496, "0", ""), "1", ""), "2", ""), "3", ""), "4", ""), "5", ""), "6", ""), "7", ""), "8", ""), "9", ""))))</f>
        <v>--</v>
      </c>
      <c r="C496" t="str">
        <f>IF(ISBLANK(MAIN!C496), "--", IFERROR(PROPER(SUBSTITUTE(SUBSTITUTE(SUBSTITUTE(SUBSTITUTE(SUBSTITUTE(SUBSTITUTE(SUBSTITUTE(SUBSTITUTE(SUBSTITUTE(SUBSTITUTE(LEFT(MAIN!C496, FIND(",",MAIN!C496) -1), "0", ""), "1", ""), "2", ""), "3", ""), "4", ""), "5", ""), "6", ""), "7", ""), "8", ""), "9", "")), PROPER(SUBSTITUTE(SUBSTITUTE(SUBSTITUTE(SUBSTITUTE(SUBSTITUTE(SUBSTITUTE(SUBSTITUTE(SUBSTITUTE(SUBSTITUTE(SUBSTITUTE(MAIN!C496, "0", ""), "1", ""), "2", ""), "3", ""), "4", ""), "5", ""), "6", ""), "7", ""), "8", ""), "9", ""))))</f>
        <v>--</v>
      </c>
      <c r="D496" t="str">
        <f>IF(ISBLANK(MAIN!D496), "--", IF(ISNUMBER(MATCH(SUBSTITUTE(LEFT(MAIN!D496, IFERROR(FIND(",", MAIN!D496)-1, LEN(MAIN!D496))), " ", ""), lookup_values!$B$2:$B$51, 0)), UPPER(SUBSTITUTE(LEFT(MAIN!D496, IFERROR(FIND(",", MAIN!D496)-1, LEN(MAIN!D496))), " ", "")), IF(ISNA(VLOOKUP(SUBSTITUTE(LEFT(MAIN!D496, IFERROR(FIND(",", MAIN!D496)-1, LEN(MAIN!D496))), " ", ""), lookup_values!$A$2:$B$51, 2, FALSE)), "--", VLOOKUP(SUBSTITUTE(LEFT(MAIN!D496, IFERROR(FIND(",", MAIN!D496)-1, LEN(MAIN!D496))), " ", ""), lookup_values!$A$2:$B$51, 2, FALSE))))</f>
        <v>--</v>
      </c>
      <c r="E496" t="str">
        <f>IF(CLEAN_DATA!D496&lt;&gt;"--","US",IF(ISBLANK(MAIN!E496), "--", IF(ISNUMBER(MATCH(SUBSTITUTE(LEFT(MAIN!E496, IFERROR(FIND(",", MAIN!E496)-1, LEN(MAIN!E496))), " ", ""), lookup_values!$E$2:$E$197, 0)), UPPER(SUBSTITUTE(LEFT(MAIN!E496, IFERROR(FIND(",", MAIN!E496)-1, LEN(MAIN!E496))), " ", "")), IF(ISNA(VLOOKUP(SUBSTITUTE(LEFT(MAIN!E496, IFERROR(FIND(",", MAIN!E496)-1, LEN(MAIN!E496))), " ", ""), lookup_values!$D$2:$E$197, 2, FALSE)), "--", VLOOKUP(SUBSTITUTE(LEFT(MAIN!E496, IFERROR(FIND(",", MAIN!E496)-1, LEN(MAIN!E496))), " ", ""), lookup_values!$D$2:$E$197, 2, FALSE)))))</f>
        <v>--</v>
      </c>
      <c r="F496" t="str">
        <f>IF(ISBLANK(MAIN!F496), "", IF(AND(ISNUMBER(VALUE(TRIM(MAIN!F496))), LEN(TRIM(MAIN!F496))=4), VALUE(TRIM(MAIN!F496)), ""))</f>
        <v/>
      </c>
      <c r="G496">
        <f>IF(ISBLANK(MAIN!G496), 0, IF(ISNUMBER(VALUE(TRIM(MAIN!G496))), VALUE(TRIM(MAIN!G496)), 0))</f>
        <v>0</v>
      </c>
      <c r="H496">
        <f>IF(ISBLANK(MAIN!H496), 0, IF(ISNUMBER(VALUE(TRIM(MAIN!H496))), VALUE(TRIM(MAIN!H496)), 0))</f>
        <v>0</v>
      </c>
      <c r="I496">
        <f>IF(ISBLANK(MAIN!I496), 0, IF(ISNUMBER(VALUE(TRIM(MAIN!I496))), VALUE(TRIM(MAIN!I496)), 0))</f>
        <v>0</v>
      </c>
      <c r="J496">
        <f>IF(ISBLANK(MAIN!J496), 0, IF(ISNUMBER(VALUE(TRIM(MAIN!J496))), VALUE(TRIM(MAIN!J496)), 0))</f>
        <v>0</v>
      </c>
      <c r="K496" cm="1">
        <f t="array" ref="K496">IFERROR(
    VALUE(
        IFERROR(
            UPPER(
                IF(MAX(IFERROR(SEARCH("WD",MAIN!G496:J496), 0))&gt;0, "WD",
                IF(MAX(IFERROR(SEARCH("NS",MAIN!G496:J496), 0))&gt;0, "NS",
                IF(MAX(IFERROR(SEARCH("NC",MAIN!G496:J496), 0))&gt;0, "NC",
                IF(MAX(IFERROR(SEARCH("DQ",MAIN!G496:J496), 0))&gt;0, "DQ",
                IF(ISNUMBER(SEARCH("WD",MAIN!K496)), "WD",
                IF(ISNUMBER(SEARCH("NS",MAIN!K496)), "NS",
                IF(ISNUMBER(SEARCH("NC",MAIN!K496)), "NC",
                IF(ISNUMBER(SEARCH("DQ",MAIN!K496)), "DQ",
                IF(ISNUMBER(SEARCH("A",MAIN!K496)), 0,
                IF(OR(MAIN!K496=0,MAIN!K496=""), 0, --TRIM(MAIN!K496)))))))))))),
            0
        )
    ),
    IFERROR(
        UPPER(
            IF(MAX(IFERROR(SEARCH("WD",MAIN!G496:J496), 0))&gt;0, "WD",
            IF(MAX(IFERROR(SEARCH("NS",MAIN!G496:J496), 0))&gt;0, "NS",
            IF(MAX(IFERROR(SEARCH("NC",MAIN!G496:J496), 0))&gt;0, "NC",
            IF(MAX(IFERROR(SEARCH("DQ",MAIN!G496:J496), 0))&gt;0, "DQ",
            IF(ISNUMBER(SEARCH("WD",MAIN!K496)), "WD",
            IF(ISNUMBER(SEARCH("NS",MAIN!K496)), "NS",
            IF(ISNUMBER(SEARCH("NC",MAIN!K496)), "NC",
            IF(ISNUMBER(SEARCH("DQ",MAIN!K496)), "DQ",
            IF(ISNUMBER(SEARCH("A",MAIN!K496)), 0,
            IF(OR(MAIN!K496=0,MAIN!K496=""), 0, --TRIM(MAIN!K496)))))))))))),
        0
    )
)</f>
        <v>0</v>
      </c>
    </row>
    <row r="497" spans="1:11" x14ac:dyDescent="0.25">
      <c r="A497" t="str">
        <f>IF(ISBLANK(MAIN!A497), "--", IFERROR(PROPER(SUBSTITUTE(SUBSTITUTE(SUBSTITUTE(SUBSTITUTE(SUBSTITUTE(SUBSTITUTE(SUBSTITUTE(SUBSTITUTE(SUBSTITUTE(SUBSTITUTE(LEFT(MAIN!A497, FIND(",",MAIN!A497) -1), "0", ""), "1", ""), "2", ""), "3", ""), "4", ""), "5", ""), "6", ""), "7", ""), "8", ""), "9", "")), PROPER(SUBSTITUTE(SUBSTITUTE(SUBSTITUTE(SUBSTITUTE(SUBSTITUTE(SUBSTITUTE(SUBSTITUTE(SUBSTITUTE(SUBSTITUTE(SUBSTITUTE(MAIN!A497, "0", ""), "1", ""), "2", ""), "3", ""), "4", ""), "5", ""), "6", ""), "7", ""), "8", ""), "9", ""))))</f>
        <v>--</v>
      </c>
      <c r="B497" t="str">
        <f>IF(ISBLANK(MAIN!B497), "--", IFERROR(PROPER(SUBSTITUTE(SUBSTITUTE(SUBSTITUTE(SUBSTITUTE(SUBSTITUTE(SUBSTITUTE(SUBSTITUTE(SUBSTITUTE(SUBSTITUTE(SUBSTITUTE(LEFT(MAIN!B497, FIND(",",MAIN!B497) -1), "0", ""), "1", ""), "2", ""), "3", ""), "4", ""), "5", ""), "6", ""), "7", ""), "8", ""), "9", "")), PROPER(SUBSTITUTE(SUBSTITUTE(SUBSTITUTE(SUBSTITUTE(SUBSTITUTE(SUBSTITUTE(SUBSTITUTE(SUBSTITUTE(SUBSTITUTE(SUBSTITUTE(MAIN!B497, "0", ""), "1", ""), "2", ""), "3", ""), "4", ""), "5", ""), "6", ""), "7", ""), "8", ""), "9", ""))))</f>
        <v>--</v>
      </c>
      <c r="C497" t="str">
        <f>IF(ISBLANK(MAIN!C497), "--", IFERROR(PROPER(SUBSTITUTE(SUBSTITUTE(SUBSTITUTE(SUBSTITUTE(SUBSTITUTE(SUBSTITUTE(SUBSTITUTE(SUBSTITUTE(SUBSTITUTE(SUBSTITUTE(LEFT(MAIN!C497, FIND(",",MAIN!C497) -1), "0", ""), "1", ""), "2", ""), "3", ""), "4", ""), "5", ""), "6", ""), "7", ""), "8", ""), "9", "")), PROPER(SUBSTITUTE(SUBSTITUTE(SUBSTITUTE(SUBSTITUTE(SUBSTITUTE(SUBSTITUTE(SUBSTITUTE(SUBSTITUTE(SUBSTITUTE(SUBSTITUTE(MAIN!C497, "0", ""), "1", ""), "2", ""), "3", ""), "4", ""), "5", ""), "6", ""), "7", ""), "8", ""), "9", ""))))</f>
        <v>--</v>
      </c>
      <c r="D497" t="str">
        <f>IF(ISBLANK(MAIN!D497), "--", IF(ISNUMBER(MATCH(SUBSTITUTE(LEFT(MAIN!D497, IFERROR(FIND(",", MAIN!D497)-1, LEN(MAIN!D497))), " ", ""), lookup_values!$B$2:$B$51, 0)), UPPER(SUBSTITUTE(LEFT(MAIN!D497, IFERROR(FIND(",", MAIN!D497)-1, LEN(MAIN!D497))), " ", "")), IF(ISNA(VLOOKUP(SUBSTITUTE(LEFT(MAIN!D497, IFERROR(FIND(",", MAIN!D497)-1, LEN(MAIN!D497))), " ", ""), lookup_values!$A$2:$B$51, 2, FALSE)), "--", VLOOKUP(SUBSTITUTE(LEFT(MAIN!D497, IFERROR(FIND(",", MAIN!D497)-1, LEN(MAIN!D497))), " ", ""), lookup_values!$A$2:$B$51, 2, FALSE))))</f>
        <v>--</v>
      </c>
      <c r="E497" t="str">
        <f>IF(CLEAN_DATA!D497&lt;&gt;"--","US",IF(ISBLANK(MAIN!E497), "--", IF(ISNUMBER(MATCH(SUBSTITUTE(LEFT(MAIN!E497, IFERROR(FIND(",", MAIN!E497)-1, LEN(MAIN!E497))), " ", ""), lookup_values!$E$2:$E$197, 0)), UPPER(SUBSTITUTE(LEFT(MAIN!E497, IFERROR(FIND(",", MAIN!E497)-1, LEN(MAIN!E497))), " ", "")), IF(ISNA(VLOOKUP(SUBSTITUTE(LEFT(MAIN!E497, IFERROR(FIND(",", MAIN!E497)-1, LEN(MAIN!E497))), " ", ""), lookup_values!$D$2:$E$197, 2, FALSE)), "--", VLOOKUP(SUBSTITUTE(LEFT(MAIN!E497, IFERROR(FIND(",", MAIN!E497)-1, LEN(MAIN!E497))), " ", ""), lookup_values!$D$2:$E$197, 2, FALSE)))))</f>
        <v>--</v>
      </c>
      <c r="F497" t="str">
        <f>IF(ISBLANK(MAIN!F497), "", IF(AND(ISNUMBER(VALUE(TRIM(MAIN!F497))), LEN(TRIM(MAIN!F497))=4), VALUE(TRIM(MAIN!F497)), ""))</f>
        <v/>
      </c>
      <c r="G497">
        <f>IF(ISBLANK(MAIN!G497), 0, IF(ISNUMBER(VALUE(TRIM(MAIN!G497))), VALUE(TRIM(MAIN!G497)), 0))</f>
        <v>0</v>
      </c>
      <c r="H497">
        <f>IF(ISBLANK(MAIN!H497), 0, IF(ISNUMBER(VALUE(TRIM(MAIN!H497))), VALUE(TRIM(MAIN!H497)), 0))</f>
        <v>0</v>
      </c>
      <c r="I497">
        <f>IF(ISBLANK(MAIN!I497), 0, IF(ISNUMBER(VALUE(TRIM(MAIN!I497))), VALUE(TRIM(MAIN!I497)), 0))</f>
        <v>0</v>
      </c>
      <c r="J497">
        <f>IF(ISBLANK(MAIN!J497), 0, IF(ISNUMBER(VALUE(TRIM(MAIN!J497))), VALUE(TRIM(MAIN!J497)), 0))</f>
        <v>0</v>
      </c>
      <c r="K497" cm="1">
        <f t="array" ref="K497">IFERROR(
    VALUE(
        IFERROR(
            UPPER(
                IF(MAX(IFERROR(SEARCH("WD",MAIN!G497:J497), 0))&gt;0, "WD",
                IF(MAX(IFERROR(SEARCH("NS",MAIN!G497:J497), 0))&gt;0, "NS",
                IF(MAX(IFERROR(SEARCH("NC",MAIN!G497:J497), 0))&gt;0, "NC",
                IF(MAX(IFERROR(SEARCH("DQ",MAIN!G497:J497), 0))&gt;0, "DQ",
                IF(ISNUMBER(SEARCH("WD",MAIN!K497)), "WD",
                IF(ISNUMBER(SEARCH("NS",MAIN!K497)), "NS",
                IF(ISNUMBER(SEARCH("NC",MAIN!K497)), "NC",
                IF(ISNUMBER(SEARCH("DQ",MAIN!K497)), "DQ",
                IF(ISNUMBER(SEARCH("A",MAIN!K497)), 0,
                IF(OR(MAIN!K497=0,MAIN!K497=""), 0, --TRIM(MAIN!K497)))))))))))),
            0
        )
    ),
    IFERROR(
        UPPER(
            IF(MAX(IFERROR(SEARCH("WD",MAIN!G497:J497), 0))&gt;0, "WD",
            IF(MAX(IFERROR(SEARCH("NS",MAIN!G497:J497), 0))&gt;0, "NS",
            IF(MAX(IFERROR(SEARCH("NC",MAIN!G497:J497), 0))&gt;0, "NC",
            IF(MAX(IFERROR(SEARCH("DQ",MAIN!G497:J497), 0))&gt;0, "DQ",
            IF(ISNUMBER(SEARCH("WD",MAIN!K497)), "WD",
            IF(ISNUMBER(SEARCH("NS",MAIN!K497)), "NS",
            IF(ISNUMBER(SEARCH("NC",MAIN!K497)), "NC",
            IF(ISNUMBER(SEARCH("DQ",MAIN!K497)), "DQ",
            IF(ISNUMBER(SEARCH("A",MAIN!K497)), 0,
            IF(OR(MAIN!K497=0,MAIN!K497=""), 0, --TRIM(MAIN!K497)))))))))))),
        0
    )
)</f>
        <v>0</v>
      </c>
    </row>
    <row r="498" spans="1:11" x14ac:dyDescent="0.25">
      <c r="A498" t="str">
        <f>IF(ISBLANK(MAIN!A498), "--", IFERROR(PROPER(SUBSTITUTE(SUBSTITUTE(SUBSTITUTE(SUBSTITUTE(SUBSTITUTE(SUBSTITUTE(SUBSTITUTE(SUBSTITUTE(SUBSTITUTE(SUBSTITUTE(LEFT(MAIN!A498, FIND(",",MAIN!A498) -1), "0", ""), "1", ""), "2", ""), "3", ""), "4", ""), "5", ""), "6", ""), "7", ""), "8", ""), "9", "")), PROPER(SUBSTITUTE(SUBSTITUTE(SUBSTITUTE(SUBSTITUTE(SUBSTITUTE(SUBSTITUTE(SUBSTITUTE(SUBSTITUTE(SUBSTITUTE(SUBSTITUTE(MAIN!A498, "0", ""), "1", ""), "2", ""), "3", ""), "4", ""), "5", ""), "6", ""), "7", ""), "8", ""), "9", ""))))</f>
        <v>--</v>
      </c>
      <c r="B498" t="str">
        <f>IF(ISBLANK(MAIN!B498), "--", IFERROR(PROPER(SUBSTITUTE(SUBSTITUTE(SUBSTITUTE(SUBSTITUTE(SUBSTITUTE(SUBSTITUTE(SUBSTITUTE(SUBSTITUTE(SUBSTITUTE(SUBSTITUTE(LEFT(MAIN!B498, FIND(",",MAIN!B498) -1), "0", ""), "1", ""), "2", ""), "3", ""), "4", ""), "5", ""), "6", ""), "7", ""), "8", ""), "9", "")), PROPER(SUBSTITUTE(SUBSTITUTE(SUBSTITUTE(SUBSTITUTE(SUBSTITUTE(SUBSTITUTE(SUBSTITUTE(SUBSTITUTE(SUBSTITUTE(SUBSTITUTE(MAIN!B498, "0", ""), "1", ""), "2", ""), "3", ""), "4", ""), "5", ""), "6", ""), "7", ""), "8", ""), "9", ""))))</f>
        <v>--</v>
      </c>
      <c r="C498" t="str">
        <f>IF(ISBLANK(MAIN!C498), "--", IFERROR(PROPER(SUBSTITUTE(SUBSTITUTE(SUBSTITUTE(SUBSTITUTE(SUBSTITUTE(SUBSTITUTE(SUBSTITUTE(SUBSTITUTE(SUBSTITUTE(SUBSTITUTE(LEFT(MAIN!C498, FIND(",",MAIN!C498) -1), "0", ""), "1", ""), "2", ""), "3", ""), "4", ""), "5", ""), "6", ""), "7", ""), "8", ""), "9", "")), PROPER(SUBSTITUTE(SUBSTITUTE(SUBSTITUTE(SUBSTITUTE(SUBSTITUTE(SUBSTITUTE(SUBSTITUTE(SUBSTITUTE(SUBSTITUTE(SUBSTITUTE(MAIN!C498, "0", ""), "1", ""), "2", ""), "3", ""), "4", ""), "5", ""), "6", ""), "7", ""), "8", ""), "9", ""))))</f>
        <v>--</v>
      </c>
      <c r="D498" t="str">
        <f>IF(ISBLANK(MAIN!D498), "--", IF(ISNUMBER(MATCH(SUBSTITUTE(LEFT(MAIN!D498, IFERROR(FIND(",", MAIN!D498)-1, LEN(MAIN!D498))), " ", ""), lookup_values!$B$2:$B$51, 0)), UPPER(SUBSTITUTE(LEFT(MAIN!D498, IFERROR(FIND(",", MAIN!D498)-1, LEN(MAIN!D498))), " ", "")), IF(ISNA(VLOOKUP(SUBSTITUTE(LEFT(MAIN!D498, IFERROR(FIND(",", MAIN!D498)-1, LEN(MAIN!D498))), " ", ""), lookup_values!$A$2:$B$51, 2, FALSE)), "--", VLOOKUP(SUBSTITUTE(LEFT(MAIN!D498, IFERROR(FIND(",", MAIN!D498)-1, LEN(MAIN!D498))), " ", ""), lookup_values!$A$2:$B$51, 2, FALSE))))</f>
        <v>--</v>
      </c>
      <c r="E498" t="str">
        <f>IF(CLEAN_DATA!D498&lt;&gt;"--","US",IF(ISBLANK(MAIN!E498), "--", IF(ISNUMBER(MATCH(SUBSTITUTE(LEFT(MAIN!E498, IFERROR(FIND(",", MAIN!E498)-1, LEN(MAIN!E498))), " ", ""), lookup_values!$E$2:$E$197, 0)), UPPER(SUBSTITUTE(LEFT(MAIN!E498, IFERROR(FIND(",", MAIN!E498)-1, LEN(MAIN!E498))), " ", "")), IF(ISNA(VLOOKUP(SUBSTITUTE(LEFT(MAIN!E498, IFERROR(FIND(",", MAIN!E498)-1, LEN(MAIN!E498))), " ", ""), lookup_values!$D$2:$E$197, 2, FALSE)), "--", VLOOKUP(SUBSTITUTE(LEFT(MAIN!E498, IFERROR(FIND(",", MAIN!E498)-1, LEN(MAIN!E498))), " ", ""), lookup_values!$D$2:$E$197, 2, FALSE)))))</f>
        <v>--</v>
      </c>
      <c r="F498" t="str">
        <f>IF(ISBLANK(MAIN!F498), "", IF(AND(ISNUMBER(VALUE(TRIM(MAIN!F498))), LEN(TRIM(MAIN!F498))=4), VALUE(TRIM(MAIN!F498)), ""))</f>
        <v/>
      </c>
      <c r="G498">
        <f>IF(ISBLANK(MAIN!G498), 0, IF(ISNUMBER(VALUE(TRIM(MAIN!G498))), VALUE(TRIM(MAIN!G498)), 0))</f>
        <v>0</v>
      </c>
      <c r="H498">
        <f>IF(ISBLANK(MAIN!H498), 0, IF(ISNUMBER(VALUE(TRIM(MAIN!H498))), VALUE(TRIM(MAIN!H498)), 0))</f>
        <v>0</v>
      </c>
      <c r="I498">
        <f>IF(ISBLANK(MAIN!I498), 0, IF(ISNUMBER(VALUE(TRIM(MAIN!I498))), VALUE(TRIM(MAIN!I498)), 0))</f>
        <v>0</v>
      </c>
      <c r="J498">
        <f>IF(ISBLANK(MAIN!J498), 0, IF(ISNUMBER(VALUE(TRIM(MAIN!J498))), VALUE(TRIM(MAIN!J498)), 0))</f>
        <v>0</v>
      </c>
      <c r="K498" cm="1">
        <f t="array" ref="K498">IFERROR(
    VALUE(
        IFERROR(
            UPPER(
                IF(MAX(IFERROR(SEARCH("WD",MAIN!G498:J498), 0))&gt;0, "WD",
                IF(MAX(IFERROR(SEARCH("NS",MAIN!G498:J498), 0))&gt;0, "NS",
                IF(MAX(IFERROR(SEARCH("NC",MAIN!G498:J498), 0))&gt;0, "NC",
                IF(MAX(IFERROR(SEARCH("DQ",MAIN!G498:J498), 0))&gt;0, "DQ",
                IF(ISNUMBER(SEARCH("WD",MAIN!K498)), "WD",
                IF(ISNUMBER(SEARCH("NS",MAIN!K498)), "NS",
                IF(ISNUMBER(SEARCH("NC",MAIN!K498)), "NC",
                IF(ISNUMBER(SEARCH("DQ",MAIN!K498)), "DQ",
                IF(ISNUMBER(SEARCH("A",MAIN!K498)), 0,
                IF(OR(MAIN!K498=0,MAIN!K498=""), 0, --TRIM(MAIN!K498)))))))))))),
            0
        )
    ),
    IFERROR(
        UPPER(
            IF(MAX(IFERROR(SEARCH("WD",MAIN!G498:J498), 0))&gt;0, "WD",
            IF(MAX(IFERROR(SEARCH("NS",MAIN!G498:J498), 0))&gt;0, "NS",
            IF(MAX(IFERROR(SEARCH("NC",MAIN!G498:J498), 0))&gt;0, "NC",
            IF(MAX(IFERROR(SEARCH("DQ",MAIN!G498:J498), 0))&gt;0, "DQ",
            IF(ISNUMBER(SEARCH("WD",MAIN!K498)), "WD",
            IF(ISNUMBER(SEARCH("NS",MAIN!K498)), "NS",
            IF(ISNUMBER(SEARCH("NC",MAIN!K498)), "NC",
            IF(ISNUMBER(SEARCH("DQ",MAIN!K498)), "DQ",
            IF(ISNUMBER(SEARCH("A",MAIN!K498)), 0,
            IF(OR(MAIN!K498=0,MAIN!K498=""), 0, --TRIM(MAIN!K498)))))))))))),
        0
    )
)</f>
        <v>0</v>
      </c>
    </row>
    <row r="499" spans="1:11" x14ac:dyDescent="0.25">
      <c r="A499" t="str">
        <f>IF(ISBLANK(MAIN!A499), "--", IFERROR(PROPER(SUBSTITUTE(SUBSTITUTE(SUBSTITUTE(SUBSTITUTE(SUBSTITUTE(SUBSTITUTE(SUBSTITUTE(SUBSTITUTE(SUBSTITUTE(SUBSTITUTE(LEFT(MAIN!A499, FIND(",",MAIN!A499) -1), "0", ""), "1", ""), "2", ""), "3", ""), "4", ""), "5", ""), "6", ""), "7", ""), "8", ""), "9", "")), PROPER(SUBSTITUTE(SUBSTITUTE(SUBSTITUTE(SUBSTITUTE(SUBSTITUTE(SUBSTITUTE(SUBSTITUTE(SUBSTITUTE(SUBSTITUTE(SUBSTITUTE(MAIN!A499, "0", ""), "1", ""), "2", ""), "3", ""), "4", ""), "5", ""), "6", ""), "7", ""), "8", ""), "9", ""))))</f>
        <v>--</v>
      </c>
      <c r="B499" t="str">
        <f>IF(ISBLANK(MAIN!B499), "--", IFERROR(PROPER(SUBSTITUTE(SUBSTITUTE(SUBSTITUTE(SUBSTITUTE(SUBSTITUTE(SUBSTITUTE(SUBSTITUTE(SUBSTITUTE(SUBSTITUTE(SUBSTITUTE(LEFT(MAIN!B499, FIND(",",MAIN!B499) -1), "0", ""), "1", ""), "2", ""), "3", ""), "4", ""), "5", ""), "6", ""), "7", ""), "8", ""), "9", "")), PROPER(SUBSTITUTE(SUBSTITUTE(SUBSTITUTE(SUBSTITUTE(SUBSTITUTE(SUBSTITUTE(SUBSTITUTE(SUBSTITUTE(SUBSTITUTE(SUBSTITUTE(MAIN!B499, "0", ""), "1", ""), "2", ""), "3", ""), "4", ""), "5", ""), "6", ""), "7", ""), "8", ""), "9", ""))))</f>
        <v>--</v>
      </c>
      <c r="C499" t="str">
        <f>IF(ISBLANK(MAIN!C499), "--", IFERROR(PROPER(SUBSTITUTE(SUBSTITUTE(SUBSTITUTE(SUBSTITUTE(SUBSTITUTE(SUBSTITUTE(SUBSTITUTE(SUBSTITUTE(SUBSTITUTE(SUBSTITUTE(LEFT(MAIN!C499, FIND(",",MAIN!C499) -1), "0", ""), "1", ""), "2", ""), "3", ""), "4", ""), "5", ""), "6", ""), "7", ""), "8", ""), "9", "")), PROPER(SUBSTITUTE(SUBSTITUTE(SUBSTITUTE(SUBSTITUTE(SUBSTITUTE(SUBSTITUTE(SUBSTITUTE(SUBSTITUTE(SUBSTITUTE(SUBSTITUTE(MAIN!C499, "0", ""), "1", ""), "2", ""), "3", ""), "4", ""), "5", ""), "6", ""), "7", ""), "8", ""), "9", ""))))</f>
        <v>--</v>
      </c>
      <c r="D499" t="str">
        <f>IF(ISBLANK(MAIN!D499), "--", IF(ISNUMBER(MATCH(SUBSTITUTE(LEFT(MAIN!D499, IFERROR(FIND(",", MAIN!D499)-1, LEN(MAIN!D499))), " ", ""), lookup_values!$B$2:$B$51, 0)), UPPER(SUBSTITUTE(LEFT(MAIN!D499, IFERROR(FIND(",", MAIN!D499)-1, LEN(MAIN!D499))), " ", "")), IF(ISNA(VLOOKUP(SUBSTITUTE(LEFT(MAIN!D499, IFERROR(FIND(",", MAIN!D499)-1, LEN(MAIN!D499))), " ", ""), lookup_values!$A$2:$B$51, 2, FALSE)), "--", VLOOKUP(SUBSTITUTE(LEFT(MAIN!D499, IFERROR(FIND(",", MAIN!D499)-1, LEN(MAIN!D499))), " ", ""), lookup_values!$A$2:$B$51, 2, FALSE))))</f>
        <v>--</v>
      </c>
      <c r="E499" t="str">
        <f>IF(CLEAN_DATA!D499&lt;&gt;"--","US",IF(ISBLANK(MAIN!E499), "--", IF(ISNUMBER(MATCH(SUBSTITUTE(LEFT(MAIN!E499, IFERROR(FIND(",", MAIN!E499)-1, LEN(MAIN!E499))), " ", ""), lookup_values!$E$2:$E$197, 0)), UPPER(SUBSTITUTE(LEFT(MAIN!E499, IFERROR(FIND(",", MAIN!E499)-1, LEN(MAIN!E499))), " ", "")), IF(ISNA(VLOOKUP(SUBSTITUTE(LEFT(MAIN!E499, IFERROR(FIND(",", MAIN!E499)-1, LEN(MAIN!E499))), " ", ""), lookup_values!$D$2:$E$197, 2, FALSE)), "--", VLOOKUP(SUBSTITUTE(LEFT(MAIN!E499, IFERROR(FIND(",", MAIN!E499)-1, LEN(MAIN!E499))), " ", ""), lookup_values!$D$2:$E$197, 2, FALSE)))))</f>
        <v>--</v>
      </c>
      <c r="F499" t="str">
        <f>IF(ISBLANK(MAIN!F499), "", IF(AND(ISNUMBER(VALUE(TRIM(MAIN!F499))), LEN(TRIM(MAIN!F499))=4), VALUE(TRIM(MAIN!F499)), ""))</f>
        <v/>
      </c>
      <c r="G499">
        <f>IF(ISBLANK(MAIN!G499), 0, IF(ISNUMBER(VALUE(TRIM(MAIN!G499))), VALUE(TRIM(MAIN!G499)), 0))</f>
        <v>0</v>
      </c>
      <c r="H499">
        <f>IF(ISBLANK(MAIN!H499), 0, IF(ISNUMBER(VALUE(TRIM(MAIN!H499))), VALUE(TRIM(MAIN!H499)), 0))</f>
        <v>0</v>
      </c>
      <c r="I499">
        <f>IF(ISBLANK(MAIN!I499), 0, IF(ISNUMBER(VALUE(TRIM(MAIN!I499))), VALUE(TRIM(MAIN!I499)), 0))</f>
        <v>0</v>
      </c>
      <c r="J499">
        <f>IF(ISBLANK(MAIN!J499), 0, IF(ISNUMBER(VALUE(TRIM(MAIN!J499))), VALUE(TRIM(MAIN!J499)), 0))</f>
        <v>0</v>
      </c>
      <c r="K499" cm="1">
        <f t="array" ref="K499">IFERROR(
    VALUE(
        IFERROR(
            UPPER(
                IF(MAX(IFERROR(SEARCH("WD",MAIN!G499:J499), 0))&gt;0, "WD",
                IF(MAX(IFERROR(SEARCH("NS",MAIN!G499:J499), 0))&gt;0, "NS",
                IF(MAX(IFERROR(SEARCH("NC",MAIN!G499:J499), 0))&gt;0, "NC",
                IF(MAX(IFERROR(SEARCH("DQ",MAIN!G499:J499), 0))&gt;0, "DQ",
                IF(ISNUMBER(SEARCH("WD",MAIN!K499)), "WD",
                IF(ISNUMBER(SEARCH("NS",MAIN!K499)), "NS",
                IF(ISNUMBER(SEARCH("NC",MAIN!K499)), "NC",
                IF(ISNUMBER(SEARCH("DQ",MAIN!K499)), "DQ",
                IF(ISNUMBER(SEARCH("A",MAIN!K499)), 0,
                IF(OR(MAIN!K499=0,MAIN!K499=""), 0, --TRIM(MAIN!K499)))))))))))),
            0
        )
    ),
    IFERROR(
        UPPER(
            IF(MAX(IFERROR(SEARCH("WD",MAIN!G499:J499), 0))&gt;0, "WD",
            IF(MAX(IFERROR(SEARCH("NS",MAIN!G499:J499), 0))&gt;0, "NS",
            IF(MAX(IFERROR(SEARCH("NC",MAIN!G499:J499), 0))&gt;0, "NC",
            IF(MAX(IFERROR(SEARCH("DQ",MAIN!G499:J499), 0))&gt;0, "DQ",
            IF(ISNUMBER(SEARCH("WD",MAIN!K499)), "WD",
            IF(ISNUMBER(SEARCH("NS",MAIN!K499)), "NS",
            IF(ISNUMBER(SEARCH("NC",MAIN!K499)), "NC",
            IF(ISNUMBER(SEARCH("DQ",MAIN!K499)), "DQ",
            IF(ISNUMBER(SEARCH("A",MAIN!K499)), 0,
            IF(OR(MAIN!K499=0,MAIN!K499=""), 0, --TRIM(MAIN!K499)))))))))))),
        0
    )
)</f>
        <v>0</v>
      </c>
    </row>
    <row r="500" spans="1:11" x14ac:dyDescent="0.25">
      <c r="A500" t="str">
        <f>IF(ISBLANK(MAIN!A500), "--", IFERROR(PROPER(SUBSTITUTE(SUBSTITUTE(SUBSTITUTE(SUBSTITUTE(SUBSTITUTE(SUBSTITUTE(SUBSTITUTE(SUBSTITUTE(SUBSTITUTE(SUBSTITUTE(LEFT(MAIN!A500, FIND(",",MAIN!A500) -1), "0", ""), "1", ""), "2", ""), "3", ""), "4", ""), "5", ""), "6", ""), "7", ""), "8", ""), "9", "")), PROPER(SUBSTITUTE(SUBSTITUTE(SUBSTITUTE(SUBSTITUTE(SUBSTITUTE(SUBSTITUTE(SUBSTITUTE(SUBSTITUTE(SUBSTITUTE(SUBSTITUTE(MAIN!A500, "0", ""), "1", ""), "2", ""), "3", ""), "4", ""), "5", ""), "6", ""), "7", ""), "8", ""), "9", ""))))</f>
        <v>--</v>
      </c>
      <c r="B500" t="str">
        <f>IF(ISBLANK(MAIN!B500), "--", IFERROR(PROPER(SUBSTITUTE(SUBSTITUTE(SUBSTITUTE(SUBSTITUTE(SUBSTITUTE(SUBSTITUTE(SUBSTITUTE(SUBSTITUTE(SUBSTITUTE(SUBSTITUTE(LEFT(MAIN!B500, FIND(",",MAIN!B500) -1), "0", ""), "1", ""), "2", ""), "3", ""), "4", ""), "5", ""), "6", ""), "7", ""), "8", ""), "9", "")), PROPER(SUBSTITUTE(SUBSTITUTE(SUBSTITUTE(SUBSTITUTE(SUBSTITUTE(SUBSTITUTE(SUBSTITUTE(SUBSTITUTE(SUBSTITUTE(SUBSTITUTE(MAIN!B500, "0", ""), "1", ""), "2", ""), "3", ""), "4", ""), "5", ""), "6", ""), "7", ""), "8", ""), "9", ""))))</f>
        <v>--</v>
      </c>
      <c r="C500" t="str">
        <f>IF(ISBLANK(MAIN!C500), "--", IFERROR(PROPER(SUBSTITUTE(SUBSTITUTE(SUBSTITUTE(SUBSTITUTE(SUBSTITUTE(SUBSTITUTE(SUBSTITUTE(SUBSTITUTE(SUBSTITUTE(SUBSTITUTE(LEFT(MAIN!C500, FIND(",",MAIN!C500) -1), "0", ""), "1", ""), "2", ""), "3", ""), "4", ""), "5", ""), "6", ""), "7", ""), "8", ""), "9", "")), PROPER(SUBSTITUTE(SUBSTITUTE(SUBSTITUTE(SUBSTITUTE(SUBSTITUTE(SUBSTITUTE(SUBSTITUTE(SUBSTITUTE(SUBSTITUTE(SUBSTITUTE(MAIN!C500, "0", ""), "1", ""), "2", ""), "3", ""), "4", ""), "5", ""), "6", ""), "7", ""), "8", ""), "9", ""))))</f>
        <v>--</v>
      </c>
      <c r="D500" t="str">
        <f>IF(ISBLANK(MAIN!D500), "--", IF(ISNUMBER(MATCH(SUBSTITUTE(LEFT(MAIN!D500, IFERROR(FIND(",", MAIN!D500)-1, LEN(MAIN!D500))), " ", ""), lookup_values!$B$2:$B$51, 0)), UPPER(SUBSTITUTE(LEFT(MAIN!D500, IFERROR(FIND(",", MAIN!D500)-1, LEN(MAIN!D500))), " ", "")), IF(ISNA(VLOOKUP(SUBSTITUTE(LEFT(MAIN!D500, IFERROR(FIND(",", MAIN!D500)-1, LEN(MAIN!D500))), " ", ""), lookup_values!$A$2:$B$51, 2, FALSE)), "--", VLOOKUP(SUBSTITUTE(LEFT(MAIN!D500, IFERROR(FIND(",", MAIN!D500)-1, LEN(MAIN!D500))), " ", ""), lookup_values!$A$2:$B$51, 2, FALSE))))</f>
        <v>--</v>
      </c>
      <c r="E500" t="str">
        <f>IF(CLEAN_DATA!D500&lt;&gt;"--","US",IF(ISBLANK(MAIN!E500), "--", IF(ISNUMBER(MATCH(SUBSTITUTE(LEFT(MAIN!E500, IFERROR(FIND(",", MAIN!E500)-1, LEN(MAIN!E500))), " ", ""), lookup_values!$E$2:$E$197, 0)), UPPER(SUBSTITUTE(LEFT(MAIN!E500, IFERROR(FIND(",", MAIN!E500)-1, LEN(MAIN!E500))), " ", "")), IF(ISNA(VLOOKUP(SUBSTITUTE(LEFT(MAIN!E500, IFERROR(FIND(",", MAIN!E500)-1, LEN(MAIN!E500))), " ", ""), lookup_values!$D$2:$E$197, 2, FALSE)), "--", VLOOKUP(SUBSTITUTE(LEFT(MAIN!E500, IFERROR(FIND(",", MAIN!E500)-1, LEN(MAIN!E500))), " ", ""), lookup_values!$D$2:$E$197, 2, FALSE)))))</f>
        <v>--</v>
      </c>
      <c r="F500" t="str">
        <f>IF(ISBLANK(MAIN!F500), "", IF(AND(ISNUMBER(VALUE(TRIM(MAIN!F500))), LEN(TRIM(MAIN!F500))=4), VALUE(TRIM(MAIN!F500)), ""))</f>
        <v/>
      </c>
      <c r="G500">
        <f>IF(ISBLANK(MAIN!G500), 0, IF(ISNUMBER(VALUE(TRIM(MAIN!G500))), VALUE(TRIM(MAIN!G500)), 0))</f>
        <v>0</v>
      </c>
      <c r="H500">
        <f>IF(ISBLANK(MAIN!H500), 0, IF(ISNUMBER(VALUE(TRIM(MAIN!H500))), VALUE(TRIM(MAIN!H500)), 0))</f>
        <v>0</v>
      </c>
      <c r="I500">
        <f>IF(ISBLANK(MAIN!I500), 0, IF(ISNUMBER(VALUE(TRIM(MAIN!I500))), VALUE(TRIM(MAIN!I500)), 0))</f>
        <v>0</v>
      </c>
      <c r="J500">
        <f>IF(ISBLANK(MAIN!J500), 0, IF(ISNUMBER(VALUE(TRIM(MAIN!J500))), VALUE(TRIM(MAIN!J500)), 0))</f>
        <v>0</v>
      </c>
      <c r="K500" cm="1">
        <f t="array" ref="K500">IFERROR(
    VALUE(
        IFERROR(
            UPPER(
                IF(MAX(IFERROR(SEARCH("WD",MAIN!G500:J500), 0))&gt;0, "WD",
                IF(MAX(IFERROR(SEARCH("NS",MAIN!G500:J500), 0))&gt;0, "NS",
                IF(MAX(IFERROR(SEARCH("NC",MAIN!G500:J500), 0))&gt;0, "NC",
                IF(MAX(IFERROR(SEARCH("DQ",MAIN!G500:J500), 0))&gt;0, "DQ",
                IF(ISNUMBER(SEARCH("WD",MAIN!K500)), "WD",
                IF(ISNUMBER(SEARCH("NS",MAIN!K500)), "NS",
                IF(ISNUMBER(SEARCH("NC",MAIN!K500)), "NC",
                IF(ISNUMBER(SEARCH("DQ",MAIN!K500)), "DQ",
                IF(ISNUMBER(SEARCH("A",MAIN!K500)), 0,
                IF(OR(MAIN!K500=0,MAIN!K500=""), 0, --TRIM(MAIN!K500)))))))))))),
            0
        )
    ),
    IFERROR(
        UPPER(
            IF(MAX(IFERROR(SEARCH("WD",MAIN!G500:J500), 0))&gt;0, "WD",
            IF(MAX(IFERROR(SEARCH("NS",MAIN!G500:J500), 0))&gt;0, "NS",
            IF(MAX(IFERROR(SEARCH("NC",MAIN!G500:J500), 0))&gt;0, "NC",
            IF(MAX(IFERROR(SEARCH("DQ",MAIN!G500:J500), 0))&gt;0, "DQ",
            IF(ISNUMBER(SEARCH("WD",MAIN!K500)), "WD",
            IF(ISNUMBER(SEARCH("NS",MAIN!K500)), "NS",
            IF(ISNUMBER(SEARCH("NC",MAIN!K500)), "NC",
            IF(ISNUMBER(SEARCH("DQ",MAIN!K500)), "DQ",
            IF(ISNUMBER(SEARCH("A",MAIN!K500)), 0,
            IF(OR(MAIN!K500=0,MAIN!K500=""), 0, --TRIM(MAIN!K500)))))))))))),
        0
    )
)</f>
        <v>0</v>
      </c>
    </row>
    <row r="501" spans="1:11" x14ac:dyDescent="0.25">
      <c r="A501" t="str">
        <f>IF(ISBLANK(MAIN!A501), "--", IFERROR(PROPER(SUBSTITUTE(SUBSTITUTE(SUBSTITUTE(SUBSTITUTE(SUBSTITUTE(SUBSTITUTE(SUBSTITUTE(SUBSTITUTE(SUBSTITUTE(SUBSTITUTE(LEFT(MAIN!A501, FIND(",",MAIN!A501) -1), "0", ""), "1", ""), "2", ""), "3", ""), "4", ""), "5", ""), "6", ""), "7", ""), "8", ""), "9", "")), PROPER(SUBSTITUTE(SUBSTITUTE(SUBSTITUTE(SUBSTITUTE(SUBSTITUTE(SUBSTITUTE(SUBSTITUTE(SUBSTITUTE(SUBSTITUTE(SUBSTITUTE(MAIN!A501, "0", ""), "1", ""), "2", ""), "3", ""), "4", ""), "5", ""), "6", ""), "7", ""), "8", ""), "9", ""))))</f>
        <v>--</v>
      </c>
      <c r="B501" t="str">
        <f>IF(ISBLANK(MAIN!B501), "--", IFERROR(PROPER(SUBSTITUTE(SUBSTITUTE(SUBSTITUTE(SUBSTITUTE(SUBSTITUTE(SUBSTITUTE(SUBSTITUTE(SUBSTITUTE(SUBSTITUTE(SUBSTITUTE(LEFT(MAIN!B501, FIND(",",MAIN!B501) -1), "0", ""), "1", ""), "2", ""), "3", ""), "4", ""), "5", ""), "6", ""), "7", ""), "8", ""), "9", "")), PROPER(SUBSTITUTE(SUBSTITUTE(SUBSTITUTE(SUBSTITUTE(SUBSTITUTE(SUBSTITUTE(SUBSTITUTE(SUBSTITUTE(SUBSTITUTE(SUBSTITUTE(MAIN!B501, "0", ""), "1", ""), "2", ""), "3", ""), "4", ""), "5", ""), "6", ""), "7", ""), "8", ""), "9", ""))))</f>
        <v>--</v>
      </c>
      <c r="C501" t="str">
        <f>IF(ISBLANK(MAIN!C501), "--", IFERROR(PROPER(SUBSTITUTE(SUBSTITUTE(SUBSTITUTE(SUBSTITUTE(SUBSTITUTE(SUBSTITUTE(SUBSTITUTE(SUBSTITUTE(SUBSTITUTE(SUBSTITUTE(LEFT(MAIN!C501, FIND(",",MAIN!C501) -1), "0", ""), "1", ""), "2", ""), "3", ""), "4", ""), "5", ""), "6", ""), "7", ""), "8", ""), "9", "")), PROPER(SUBSTITUTE(SUBSTITUTE(SUBSTITUTE(SUBSTITUTE(SUBSTITUTE(SUBSTITUTE(SUBSTITUTE(SUBSTITUTE(SUBSTITUTE(SUBSTITUTE(MAIN!C501, "0", ""), "1", ""), "2", ""), "3", ""), "4", ""), "5", ""), "6", ""), "7", ""), "8", ""), "9", ""))))</f>
        <v>--</v>
      </c>
      <c r="D501" t="str">
        <f>IF(ISBLANK(MAIN!D501), "--", IF(ISNUMBER(MATCH(SUBSTITUTE(LEFT(MAIN!D501, IFERROR(FIND(",", MAIN!D501)-1, LEN(MAIN!D501))), " ", ""), lookup_values!$B$2:$B$51, 0)), UPPER(SUBSTITUTE(LEFT(MAIN!D501, IFERROR(FIND(",", MAIN!D501)-1, LEN(MAIN!D501))), " ", "")), IF(ISNA(VLOOKUP(SUBSTITUTE(LEFT(MAIN!D501, IFERROR(FIND(",", MAIN!D501)-1, LEN(MAIN!D501))), " ", ""), lookup_values!$A$2:$B$51, 2, FALSE)), "--", VLOOKUP(SUBSTITUTE(LEFT(MAIN!D501, IFERROR(FIND(",", MAIN!D501)-1, LEN(MAIN!D501))), " ", ""), lookup_values!$A$2:$B$51, 2, FALSE))))</f>
        <v>--</v>
      </c>
      <c r="E501" t="str">
        <f>IF(CLEAN_DATA!D501&lt;&gt;"--","US",IF(ISBLANK(MAIN!E501), "--", IF(ISNUMBER(MATCH(SUBSTITUTE(LEFT(MAIN!E501, IFERROR(FIND(",", MAIN!E501)-1, LEN(MAIN!E501))), " ", ""), lookup_values!$E$2:$E$197, 0)), UPPER(SUBSTITUTE(LEFT(MAIN!E501, IFERROR(FIND(",", MAIN!E501)-1, LEN(MAIN!E501))), " ", "")), IF(ISNA(VLOOKUP(SUBSTITUTE(LEFT(MAIN!E501, IFERROR(FIND(",", MAIN!E501)-1, LEN(MAIN!E501))), " ", ""), lookup_values!$D$2:$E$197, 2, FALSE)), "--", VLOOKUP(SUBSTITUTE(LEFT(MAIN!E501, IFERROR(FIND(",", MAIN!E501)-1, LEN(MAIN!E501))), " ", ""), lookup_values!$D$2:$E$197, 2, FALSE)))))</f>
        <v>--</v>
      </c>
      <c r="F501" t="str">
        <f>IF(ISBLANK(MAIN!F501), "", IF(AND(ISNUMBER(VALUE(TRIM(MAIN!F501))), LEN(TRIM(MAIN!F501))=4), VALUE(TRIM(MAIN!F501)), ""))</f>
        <v/>
      </c>
      <c r="G501">
        <f>IF(ISBLANK(MAIN!G501), 0, IF(ISNUMBER(VALUE(TRIM(MAIN!G501))), VALUE(TRIM(MAIN!G501)), 0))</f>
        <v>0</v>
      </c>
      <c r="H501">
        <f>IF(ISBLANK(MAIN!H501), 0, IF(ISNUMBER(VALUE(TRIM(MAIN!H501))), VALUE(TRIM(MAIN!H501)), 0))</f>
        <v>0</v>
      </c>
      <c r="I501">
        <f>IF(ISBLANK(MAIN!I501), 0, IF(ISNUMBER(VALUE(TRIM(MAIN!I501))), VALUE(TRIM(MAIN!I501)), 0))</f>
        <v>0</v>
      </c>
      <c r="J501">
        <f>IF(ISBLANK(MAIN!J501), 0, IF(ISNUMBER(VALUE(TRIM(MAIN!J501))), VALUE(TRIM(MAIN!J501)), 0))</f>
        <v>0</v>
      </c>
      <c r="K501" cm="1">
        <f t="array" ref="K501">IFERROR(
    VALUE(
        IFERROR(
            UPPER(
                IF(MAX(IFERROR(SEARCH("WD",MAIN!G501:J501), 0))&gt;0, "WD",
                IF(MAX(IFERROR(SEARCH("NS",MAIN!G501:J501), 0))&gt;0, "NS",
                IF(MAX(IFERROR(SEARCH("NC",MAIN!G501:J501), 0))&gt;0, "NC",
                IF(MAX(IFERROR(SEARCH("DQ",MAIN!G501:J501), 0))&gt;0, "DQ",
                IF(ISNUMBER(SEARCH("WD",MAIN!K501)), "WD",
                IF(ISNUMBER(SEARCH("NS",MAIN!K501)), "NS",
                IF(ISNUMBER(SEARCH("NC",MAIN!K501)), "NC",
                IF(ISNUMBER(SEARCH("DQ",MAIN!K501)), "DQ",
                IF(ISNUMBER(SEARCH("A",MAIN!K501)), 0,
                IF(OR(MAIN!K501=0,MAIN!K501=""), 0, --TRIM(MAIN!K501)))))))))))),
            0
        )
    ),
    IFERROR(
        UPPER(
            IF(MAX(IFERROR(SEARCH("WD",MAIN!G501:J501), 0))&gt;0, "WD",
            IF(MAX(IFERROR(SEARCH("NS",MAIN!G501:J501), 0))&gt;0, "NS",
            IF(MAX(IFERROR(SEARCH("NC",MAIN!G501:J501), 0))&gt;0, "NC",
            IF(MAX(IFERROR(SEARCH("DQ",MAIN!G501:J501), 0))&gt;0, "DQ",
            IF(ISNUMBER(SEARCH("WD",MAIN!K501)), "WD",
            IF(ISNUMBER(SEARCH("NS",MAIN!K501)), "NS",
            IF(ISNUMBER(SEARCH("NC",MAIN!K501)), "NC",
            IF(ISNUMBER(SEARCH("DQ",MAIN!K501)), "DQ",
            IF(ISNUMBER(SEARCH("A",MAIN!K501)), 0,
            IF(OR(MAIN!K501=0,MAIN!K501=""), 0, --TRIM(MAIN!K501)))))))))))),
        0
    )
)</f>
        <v>0</v>
      </c>
    </row>
    <row r="502" spans="1:11" x14ac:dyDescent="0.25">
      <c r="A502" t="str">
        <f>IF(ISBLANK(MAIN!A502), "--", IFERROR(PROPER(SUBSTITUTE(SUBSTITUTE(SUBSTITUTE(SUBSTITUTE(SUBSTITUTE(SUBSTITUTE(SUBSTITUTE(SUBSTITUTE(SUBSTITUTE(SUBSTITUTE(LEFT(MAIN!A502, FIND(",",MAIN!A502) -1), "0", ""), "1", ""), "2", ""), "3", ""), "4", ""), "5", ""), "6", ""), "7", ""), "8", ""), "9", "")), PROPER(SUBSTITUTE(SUBSTITUTE(SUBSTITUTE(SUBSTITUTE(SUBSTITUTE(SUBSTITUTE(SUBSTITUTE(SUBSTITUTE(SUBSTITUTE(SUBSTITUTE(MAIN!A502, "0", ""), "1", ""), "2", ""), "3", ""), "4", ""), "5", ""), "6", ""), "7", ""), "8", ""), "9", ""))))</f>
        <v>--</v>
      </c>
      <c r="B502" t="str">
        <f>IF(ISBLANK(MAIN!B502), "--", IFERROR(PROPER(SUBSTITUTE(SUBSTITUTE(SUBSTITUTE(SUBSTITUTE(SUBSTITUTE(SUBSTITUTE(SUBSTITUTE(SUBSTITUTE(SUBSTITUTE(SUBSTITUTE(LEFT(MAIN!B502, FIND(",",MAIN!B502) -1), "0", ""), "1", ""), "2", ""), "3", ""), "4", ""), "5", ""), "6", ""), "7", ""), "8", ""), "9", "")), PROPER(SUBSTITUTE(SUBSTITUTE(SUBSTITUTE(SUBSTITUTE(SUBSTITUTE(SUBSTITUTE(SUBSTITUTE(SUBSTITUTE(SUBSTITUTE(SUBSTITUTE(MAIN!B502, "0", ""), "1", ""), "2", ""), "3", ""), "4", ""), "5", ""), "6", ""), "7", ""), "8", ""), "9", ""))))</f>
        <v>--</v>
      </c>
      <c r="C502" t="str">
        <f>IF(ISBLANK(MAIN!C502), "--", IFERROR(PROPER(SUBSTITUTE(SUBSTITUTE(SUBSTITUTE(SUBSTITUTE(SUBSTITUTE(SUBSTITUTE(SUBSTITUTE(SUBSTITUTE(SUBSTITUTE(SUBSTITUTE(LEFT(MAIN!C502, FIND(",",MAIN!C502) -1), "0", ""), "1", ""), "2", ""), "3", ""), "4", ""), "5", ""), "6", ""), "7", ""), "8", ""), "9", "")), PROPER(SUBSTITUTE(SUBSTITUTE(SUBSTITUTE(SUBSTITUTE(SUBSTITUTE(SUBSTITUTE(SUBSTITUTE(SUBSTITUTE(SUBSTITUTE(SUBSTITUTE(MAIN!C502, "0", ""), "1", ""), "2", ""), "3", ""), "4", ""), "5", ""), "6", ""), "7", ""), "8", ""), "9", ""))))</f>
        <v>--</v>
      </c>
      <c r="D502" t="str">
        <f>IF(ISBLANK(MAIN!D502), "--", IF(ISNUMBER(MATCH(SUBSTITUTE(LEFT(MAIN!D502, IFERROR(FIND(",", MAIN!D502)-1, LEN(MAIN!D502))), " ", ""), lookup_values!$B$2:$B$51, 0)), UPPER(SUBSTITUTE(LEFT(MAIN!D502, IFERROR(FIND(",", MAIN!D502)-1, LEN(MAIN!D502))), " ", "")), IF(ISNA(VLOOKUP(SUBSTITUTE(LEFT(MAIN!D502, IFERROR(FIND(",", MAIN!D502)-1, LEN(MAIN!D502))), " ", ""), lookup_values!$A$2:$B$51, 2, FALSE)), "--", VLOOKUP(SUBSTITUTE(LEFT(MAIN!D502, IFERROR(FIND(",", MAIN!D502)-1, LEN(MAIN!D502))), " ", ""), lookup_values!$A$2:$B$51, 2, FALSE))))</f>
        <v>--</v>
      </c>
      <c r="E502" t="str">
        <f>IF(CLEAN_DATA!D502&lt;&gt;"--","US",IF(ISBLANK(MAIN!E502), "--", IF(ISNUMBER(MATCH(SUBSTITUTE(LEFT(MAIN!E502, IFERROR(FIND(",", MAIN!E502)-1, LEN(MAIN!E502))), " ", ""), lookup_values!$E$2:$E$197, 0)), UPPER(SUBSTITUTE(LEFT(MAIN!E502, IFERROR(FIND(",", MAIN!E502)-1, LEN(MAIN!E502))), " ", "")), IF(ISNA(VLOOKUP(SUBSTITUTE(LEFT(MAIN!E502, IFERROR(FIND(",", MAIN!E502)-1, LEN(MAIN!E502))), " ", ""), lookup_values!$D$2:$E$197, 2, FALSE)), "--", VLOOKUP(SUBSTITUTE(LEFT(MAIN!E502, IFERROR(FIND(",", MAIN!E502)-1, LEN(MAIN!E502))), " ", ""), lookup_values!$D$2:$E$197, 2, FALSE)))))</f>
        <v>--</v>
      </c>
      <c r="F502" t="str">
        <f>IF(ISBLANK(MAIN!F502), "", IF(AND(ISNUMBER(VALUE(TRIM(MAIN!F502))), LEN(TRIM(MAIN!F502))=4), VALUE(TRIM(MAIN!F502)), ""))</f>
        <v/>
      </c>
      <c r="G502">
        <f>IF(ISBLANK(MAIN!G502), 0, IF(ISNUMBER(VALUE(TRIM(MAIN!G502))), VALUE(TRIM(MAIN!G502)), 0))</f>
        <v>0</v>
      </c>
      <c r="H502">
        <f>IF(ISBLANK(MAIN!H502), 0, IF(ISNUMBER(VALUE(TRIM(MAIN!H502))), VALUE(TRIM(MAIN!H502)), 0))</f>
        <v>0</v>
      </c>
      <c r="I502">
        <f>IF(ISBLANK(MAIN!I502), 0, IF(ISNUMBER(VALUE(TRIM(MAIN!I502))), VALUE(TRIM(MAIN!I502)), 0))</f>
        <v>0</v>
      </c>
      <c r="J502">
        <f>IF(ISBLANK(MAIN!J502), 0, IF(ISNUMBER(VALUE(TRIM(MAIN!J502))), VALUE(TRIM(MAIN!J502)), 0))</f>
        <v>0</v>
      </c>
      <c r="K502" cm="1">
        <f t="array" ref="K502">IFERROR(
    VALUE(
        IFERROR(
            UPPER(
                IF(MAX(IFERROR(SEARCH("WD",MAIN!G502:J502), 0))&gt;0, "WD",
                IF(MAX(IFERROR(SEARCH("NS",MAIN!G502:J502), 0))&gt;0, "NS",
                IF(MAX(IFERROR(SEARCH("NC",MAIN!G502:J502), 0))&gt;0, "NC",
                IF(MAX(IFERROR(SEARCH("DQ",MAIN!G502:J502), 0))&gt;0, "DQ",
                IF(ISNUMBER(SEARCH("WD",MAIN!K502)), "WD",
                IF(ISNUMBER(SEARCH("NS",MAIN!K502)), "NS",
                IF(ISNUMBER(SEARCH("NC",MAIN!K502)), "NC",
                IF(ISNUMBER(SEARCH("DQ",MAIN!K502)), "DQ",
                IF(ISNUMBER(SEARCH("A",MAIN!K502)), 0,
                IF(OR(MAIN!K502=0,MAIN!K502=""), 0, --TRIM(MAIN!K502)))))))))))),
            0
        )
    ),
    IFERROR(
        UPPER(
            IF(MAX(IFERROR(SEARCH("WD",MAIN!G502:J502), 0))&gt;0, "WD",
            IF(MAX(IFERROR(SEARCH("NS",MAIN!G502:J502), 0))&gt;0, "NS",
            IF(MAX(IFERROR(SEARCH("NC",MAIN!G502:J502), 0))&gt;0, "NC",
            IF(MAX(IFERROR(SEARCH("DQ",MAIN!G502:J502), 0))&gt;0, "DQ",
            IF(ISNUMBER(SEARCH("WD",MAIN!K502)), "WD",
            IF(ISNUMBER(SEARCH("NS",MAIN!K502)), "NS",
            IF(ISNUMBER(SEARCH("NC",MAIN!K502)), "NC",
            IF(ISNUMBER(SEARCH("DQ",MAIN!K502)), "DQ",
            IF(ISNUMBER(SEARCH("A",MAIN!K502)), 0,
            IF(OR(MAIN!K502=0,MAIN!K502=""), 0, --TRIM(MAIN!K502)))))))))))),
        0
    )
)</f>
        <v>0</v>
      </c>
    </row>
    <row r="503" spans="1:11" x14ac:dyDescent="0.25">
      <c r="A503" t="str">
        <f>IF(ISBLANK(MAIN!A503), "--", IFERROR(PROPER(SUBSTITUTE(SUBSTITUTE(SUBSTITUTE(SUBSTITUTE(SUBSTITUTE(SUBSTITUTE(SUBSTITUTE(SUBSTITUTE(SUBSTITUTE(SUBSTITUTE(LEFT(MAIN!A503, FIND(",",MAIN!A503) -1), "0", ""), "1", ""), "2", ""), "3", ""), "4", ""), "5", ""), "6", ""), "7", ""), "8", ""), "9", "")), PROPER(SUBSTITUTE(SUBSTITUTE(SUBSTITUTE(SUBSTITUTE(SUBSTITUTE(SUBSTITUTE(SUBSTITUTE(SUBSTITUTE(SUBSTITUTE(SUBSTITUTE(MAIN!A503, "0", ""), "1", ""), "2", ""), "3", ""), "4", ""), "5", ""), "6", ""), "7", ""), "8", ""), "9", ""))))</f>
        <v>--</v>
      </c>
      <c r="B503" t="str">
        <f>IF(ISBLANK(MAIN!B503), "--", IFERROR(PROPER(SUBSTITUTE(SUBSTITUTE(SUBSTITUTE(SUBSTITUTE(SUBSTITUTE(SUBSTITUTE(SUBSTITUTE(SUBSTITUTE(SUBSTITUTE(SUBSTITUTE(LEFT(MAIN!B503, FIND(",",MAIN!B503) -1), "0", ""), "1", ""), "2", ""), "3", ""), "4", ""), "5", ""), "6", ""), "7", ""), "8", ""), "9", "")), PROPER(SUBSTITUTE(SUBSTITUTE(SUBSTITUTE(SUBSTITUTE(SUBSTITUTE(SUBSTITUTE(SUBSTITUTE(SUBSTITUTE(SUBSTITUTE(SUBSTITUTE(MAIN!B503, "0", ""), "1", ""), "2", ""), "3", ""), "4", ""), "5", ""), "6", ""), "7", ""), "8", ""), "9", ""))))</f>
        <v>--</v>
      </c>
      <c r="C503" t="str">
        <f>IF(ISBLANK(MAIN!C503), "--", IFERROR(PROPER(SUBSTITUTE(SUBSTITUTE(SUBSTITUTE(SUBSTITUTE(SUBSTITUTE(SUBSTITUTE(SUBSTITUTE(SUBSTITUTE(SUBSTITUTE(SUBSTITUTE(LEFT(MAIN!C503, FIND(",",MAIN!C503) -1), "0", ""), "1", ""), "2", ""), "3", ""), "4", ""), "5", ""), "6", ""), "7", ""), "8", ""), "9", "")), PROPER(SUBSTITUTE(SUBSTITUTE(SUBSTITUTE(SUBSTITUTE(SUBSTITUTE(SUBSTITUTE(SUBSTITUTE(SUBSTITUTE(SUBSTITUTE(SUBSTITUTE(MAIN!C503, "0", ""), "1", ""), "2", ""), "3", ""), "4", ""), "5", ""), "6", ""), "7", ""), "8", ""), "9", ""))))</f>
        <v>--</v>
      </c>
      <c r="D503" t="str">
        <f>IF(ISBLANK(MAIN!D503), "--", IF(ISNUMBER(MATCH(SUBSTITUTE(LEFT(MAIN!D503, IFERROR(FIND(",", MAIN!D503)-1, LEN(MAIN!D503))), " ", ""), lookup_values!$B$2:$B$51, 0)), UPPER(SUBSTITUTE(LEFT(MAIN!D503, IFERROR(FIND(",", MAIN!D503)-1, LEN(MAIN!D503))), " ", "")), IF(ISNA(VLOOKUP(SUBSTITUTE(LEFT(MAIN!D503, IFERROR(FIND(",", MAIN!D503)-1, LEN(MAIN!D503))), " ", ""), lookup_values!$A$2:$B$51, 2, FALSE)), "--", VLOOKUP(SUBSTITUTE(LEFT(MAIN!D503, IFERROR(FIND(",", MAIN!D503)-1, LEN(MAIN!D503))), " ", ""), lookup_values!$A$2:$B$51, 2, FALSE))))</f>
        <v>--</v>
      </c>
      <c r="E503" t="str">
        <f>IF(CLEAN_DATA!D503&lt;&gt;"--","US",IF(ISBLANK(MAIN!E503), "--", IF(ISNUMBER(MATCH(SUBSTITUTE(LEFT(MAIN!E503, IFERROR(FIND(",", MAIN!E503)-1, LEN(MAIN!E503))), " ", ""), lookup_values!$E$2:$E$197, 0)), UPPER(SUBSTITUTE(LEFT(MAIN!E503, IFERROR(FIND(",", MAIN!E503)-1, LEN(MAIN!E503))), " ", "")), IF(ISNA(VLOOKUP(SUBSTITUTE(LEFT(MAIN!E503, IFERROR(FIND(",", MAIN!E503)-1, LEN(MAIN!E503))), " ", ""), lookup_values!$D$2:$E$197, 2, FALSE)), "--", VLOOKUP(SUBSTITUTE(LEFT(MAIN!E503, IFERROR(FIND(",", MAIN!E503)-1, LEN(MAIN!E503))), " ", ""), lookup_values!$D$2:$E$197, 2, FALSE)))))</f>
        <v>--</v>
      </c>
      <c r="F503" t="str">
        <f>IF(ISBLANK(MAIN!F503), "", IF(AND(ISNUMBER(VALUE(TRIM(MAIN!F503))), LEN(TRIM(MAIN!F503))=4), VALUE(TRIM(MAIN!F503)), ""))</f>
        <v/>
      </c>
      <c r="G503">
        <f>IF(ISBLANK(MAIN!G503), 0, IF(ISNUMBER(VALUE(TRIM(MAIN!G503))), VALUE(TRIM(MAIN!G503)), 0))</f>
        <v>0</v>
      </c>
      <c r="H503">
        <f>IF(ISBLANK(MAIN!H503), 0, IF(ISNUMBER(VALUE(TRIM(MAIN!H503))), VALUE(TRIM(MAIN!H503)), 0))</f>
        <v>0</v>
      </c>
      <c r="I503">
        <f>IF(ISBLANK(MAIN!I503), 0, IF(ISNUMBER(VALUE(TRIM(MAIN!I503))), VALUE(TRIM(MAIN!I503)), 0))</f>
        <v>0</v>
      </c>
      <c r="J503">
        <f>IF(ISBLANK(MAIN!J503), 0, IF(ISNUMBER(VALUE(TRIM(MAIN!J503))), VALUE(TRIM(MAIN!J503)), 0))</f>
        <v>0</v>
      </c>
      <c r="K503" cm="1">
        <f t="array" ref="K503">IFERROR(
    VALUE(
        IFERROR(
            UPPER(
                IF(MAX(IFERROR(SEARCH("WD",MAIN!G503:J503), 0))&gt;0, "WD",
                IF(MAX(IFERROR(SEARCH("NS",MAIN!G503:J503), 0))&gt;0, "NS",
                IF(MAX(IFERROR(SEARCH("NC",MAIN!G503:J503), 0))&gt;0, "NC",
                IF(MAX(IFERROR(SEARCH("DQ",MAIN!G503:J503), 0))&gt;0, "DQ",
                IF(ISNUMBER(SEARCH("WD",MAIN!K503)), "WD",
                IF(ISNUMBER(SEARCH("NS",MAIN!K503)), "NS",
                IF(ISNUMBER(SEARCH("NC",MAIN!K503)), "NC",
                IF(ISNUMBER(SEARCH("DQ",MAIN!K503)), "DQ",
                IF(ISNUMBER(SEARCH("A",MAIN!K503)), 0,
                IF(OR(MAIN!K503=0,MAIN!K503=""), 0, --TRIM(MAIN!K503)))))))))))),
            0
        )
    ),
    IFERROR(
        UPPER(
            IF(MAX(IFERROR(SEARCH("WD",MAIN!G503:J503), 0))&gt;0, "WD",
            IF(MAX(IFERROR(SEARCH("NS",MAIN!G503:J503), 0))&gt;0, "NS",
            IF(MAX(IFERROR(SEARCH("NC",MAIN!G503:J503), 0))&gt;0, "NC",
            IF(MAX(IFERROR(SEARCH("DQ",MAIN!G503:J503), 0))&gt;0, "DQ",
            IF(ISNUMBER(SEARCH("WD",MAIN!K503)), "WD",
            IF(ISNUMBER(SEARCH("NS",MAIN!K503)), "NS",
            IF(ISNUMBER(SEARCH("NC",MAIN!K503)), "NC",
            IF(ISNUMBER(SEARCH("DQ",MAIN!K503)), "DQ",
            IF(ISNUMBER(SEARCH("A",MAIN!K503)), 0,
            IF(OR(MAIN!K503=0,MAIN!K503=""), 0, --TRIM(MAIN!K503)))))))))))),
        0
    )
)</f>
        <v>0</v>
      </c>
    </row>
    <row r="504" spans="1:11" x14ac:dyDescent="0.25">
      <c r="A504" t="str">
        <f>IF(ISBLANK(MAIN!A504), "--", IFERROR(PROPER(SUBSTITUTE(SUBSTITUTE(SUBSTITUTE(SUBSTITUTE(SUBSTITUTE(SUBSTITUTE(SUBSTITUTE(SUBSTITUTE(SUBSTITUTE(SUBSTITUTE(LEFT(MAIN!A504, FIND(",",MAIN!A504) -1), "0", ""), "1", ""), "2", ""), "3", ""), "4", ""), "5", ""), "6", ""), "7", ""), "8", ""), "9", "")), PROPER(SUBSTITUTE(SUBSTITUTE(SUBSTITUTE(SUBSTITUTE(SUBSTITUTE(SUBSTITUTE(SUBSTITUTE(SUBSTITUTE(SUBSTITUTE(SUBSTITUTE(MAIN!A504, "0", ""), "1", ""), "2", ""), "3", ""), "4", ""), "5", ""), "6", ""), "7", ""), "8", ""), "9", ""))))</f>
        <v>--</v>
      </c>
      <c r="B504" t="str">
        <f>IF(ISBLANK(MAIN!B504), "--", IFERROR(PROPER(SUBSTITUTE(SUBSTITUTE(SUBSTITUTE(SUBSTITUTE(SUBSTITUTE(SUBSTITUTE(SUBSTITUTE(SUBSTITUTE(SUBSTITUTE(SUBSTITUTE(LEFT(MAIN!B504, FIND(",",MAIN!B504) -1), "0", ""), "1", ""), "2", ""), "3", ""), "4", ""), "5", ""), "6", ""), "7", ""), "8", ""), "9", "")), PROPER(SUBSTITUTE(SUBSTITUTE(SUBSTITUTE(SUBSTITUTE(SUBSTITUTE(SUBSTITUTE(SUBSTITUTE(SUBSTITUTE(SUBSTITUTE(SUBSTITUTE(MAIN!B504, "0", ""), "1", ""), "2", ""), "3", ""), "4", ""), "5", ""), "6", ""), "7", ""), "8", ""), "9", ""))))</f>
        <v>--</v>
      </c>
      <c r="C504" t="str">
        <f>IF(ISBLANK(MAIN!C504), "--", IFERROR(PROPER(SUBSTITUTE(SUBSTITUTE(SUBSTITUTE(SUBSTITUTE(SUBSTITUTE(SUBSTITUTE(SUBSTITUTE(SUBSTITUTE(SUBSTITUTE(SUBSTITUTE(LEFT(MAIN!C504, FIND(",",MAIN!C504) -1), "0", ""), "1", ""), "2", ""), "3", ""), "4", ""), "5", ""), "6", ""), "7", ""), "8", ""), "9", "")), PROPER(SUBSTITUTE(SUBSTITUTE(SUBSTITUTE(SUBSTITUTE(SUBSTITUTE(SUBSTITUTE(SUBSTITUTE(SUBSTITUTE(SUBSTITUTE(SUBSTITUTE(MAIN!C504, "0", ""), "1", ""), "2", ""), "3", ""), "4", ""), "5", ""), "6", ""), "7", ""), "8", ""), "9", ""))))</f>
        <v>--</v>
      </c>
      <c r="D504" t="str">
        <f>IF(ISBLANK(MAIN!D504), "--", IF(ISNUMBER(MATCH(SUBSTITUTE(LEFT(MAIN!D504, IFERROR(FIND(",", MAIN!D504)-1, LEN(MAIN!D504))), " ", ""), lookup_values!$B$2:$B$51, 0)), UPPER(SUBSTITUTE(LEFT(MAIN!D504, IFERROR(FIND(",", MAIN!D504)-1, LEN(MAIN!D504))), " ", "")), IF(ISNA(VLOOKUP(SUBSTITUTE(LEFT(MAIN!D504, IFERROR(FIND(",", MAIN!D504)-1, LEN(MAIN!D504))), " ", ""), lookup_values!$A$2:$B$51, 2, FALSE)), "--", VLOOKUP(SUBSTITUTE(LEFT(MAIN!D504, IFERROR(FIND(",", MAIN!D504)-1, LEN(MAIN!D504))), " ", ""), lookup_values!$A$2:$B$51, 2, FALSE))))</f>
        <v>--</v>
      </c>
      <c r="E504" t="str">
        <f>IF(CLEAN_DATA!D504&lt;&gt;"--","US",IF(ISBLANK(MAIN!E504), "--", IF(ISNUMBER(MATCH(SUBSTITUTE(LEFT(MAIN!E504, IFERROR(FIND(",", MAIN!E504)-1, LEN(MAIN!E504))), " ", ""), lookup_values!$E$2:$E$197, 0)), UPPER(SUBSTITUTE(LEFT(MAIN!E504, IFERROR(FIND(",", MAIN!E504)-1, LEN(MAIN!E504))), " ", "")), IF(ISNA(VLOOKUP(SUBSTITUTE(LEFT(MAIN!E504, IFERROR(FIND(",", MAIN!E504)-1, LEN(MAIN!E504))), " ", ""), lookup_values!$D$2:$E$197, 2, FALSE)), "--", VLOOKUP(SUBSTITUTE(LEFT(MAIN!E504, IFERROR(FIND(",", MAIN!E504)-1, LEN(MAIN!E504))), " ", ""), lookup_values!$D$2:$E$197, 2, FALSE)))))</f>
        <v>--</v>
      </c>
      <c r="F504" t="str">
        <f>IF(ISBLANK(MAIN!F504), "", IF(AND(ISNUMBER(VALUE(TRIM(MAIN!F504))), LEN(TRIM(MAIN!F504))=4), VALUE(TRIM(MAIN!F504)), ""))</f>
        <v/>
      </c>
      <c r="G504">
        <f>IF(ISBLANK(MAIN!G504), 0, IF(ISNUMBER(VALUE(TRIM(MAIN!G504))), VALUE(TRIM(MAIN!G504)), 0))</f>
        <v>0</v>
      </c>
      <c r="H504">
        <f>IF(ISBLANK(MAIN!H504), 0, IF(ISNUMBER(VALUE(TRIM(MAIN!H504))), VALUE(TRIM(MAIN!H504)), 0))</f>
        <v>0</v>
      </c>
      <c r="I504">
        <f>IF(ISBLANK(MAIN!I504), 0, IF(ISNUMBER(VALUE(TRIM(MAIN!I504))), VALUE(TRIM(MAIN!I504)), 0))</f>
        <v>0</v>
      </c>
      <c r="J504">
        <f>IF(ISBLANK(MAIN!J504), 0, IF(ISNUMBER(VALUE(TRIM(MAIN!J504))), VALUE(TRIM(MAIN!J504)), 0))</f>
        <v>0</v>
      </c>
      <c r="K504" cm="1">
        <f t="array" ref="K504">IFERROR(
    VALUE(
        IFERROR(
            UPPER(
                IF(MAX(IFERROR(SEARCH("WD",MAIN!G504:J504), 0))&gt;0, "WD",
                IF(MAX(IFERROR(SEARCH("NS",MAIN!G504:J504), 0))&gt;0, "NS",
                IF(MAX(IFERROR(SEARCH("NC",MAIN!G504:J504), 0))&gt;0, "NC",
                IF(MAX(IFERROR(SEARCH("DQ",MAIN!G504:J504), 0))&gt;0, "DQ",
                IF(ISNUMBER(SEARCH("WD",MAIN!K504)), "WD",
                IF(ISNUMBER(SEARCH("NS",MAIN!K504)), "NS",
                IF(ISNUMBER(SEARCH("NC",MAIN!K504)), "NC",
                IF(ISNUMBER(SEARCH("DQ",MAIN!K504)), "DQ",
                IF(ISNUMBER(SEARCH("A",MAIN!K504)), 0,
                IF(OR(MAIN!K504=0,MAIN!K504=""), 0, --TRIM(MAIN!K504)))))))))))),
            0
        )
    ),
    IFERROR(
        UPPER(
            IF(MAX(IFERROR(SEARCH("WD",MAIN!G504:J504), 0))&gt;0, "WD",
            IF(MAX(IFERROR(SEARCH("NS",MAIN!G504:J504), 0))&gt;0, "NS",
            IF(MAX(IFERROR(SEARCH("NC",MAIN!G504:J504), 0))&gt;0, "NC",
            IF(MAX(IFERROR(SEARCH("DQ",MAIN!G504:J504), 0))&gt;0, "DQ",
            IF(ISNUMBER(SEARCH("WD",MAIN!K504)), "WD",
            IF(ISNUMBER(SEARCH("NS",MAIN!K504)), "NS",
            IF(ISNUMBER(SEARCH("NC",MAIN!K504)), "NC",
            IF(ISNUMBER(SEARCH("DQ",MAIN!K504)), "DQ",
            IF(ISNUMBER(SEARCH("A",MAIN!K504)), 0,
            IF(OR(MAIN!K504=0,MAIN!K504=""), 0, --TRIM(MAIN!K504)))))))))))),
        0
    )
)</f>
        <v>0</v>
      </c>
    </row>
    <row r="505" spans="1:11" x14ac:dyDescent="0.25">
      <c r="A505" t="str">
        <f>IF(ISBLANK(MAIN!A505), "--", IFERROR(PROPER(SUBSTITUTE(SUBSTITUTE(SUBSTITUTE(SUBSTITUTE(SUBSTITUTE(SUBSTITUTE(SUBSTITUTE(SUBSTITUTE(SUBSTITUTE(SUBSTITUTE(LEFT(MAIN!A505, FIND(",",MAIN!A505) -1), "0", ""), "1", ""), "2", ""), "3", ""), "4", ""), "5", ""), "6", ""), "7", ""), "8", ""), "9", "")), PROPER(SUBSTITUTE(SUBSTITUTE(SUBSTITUTE(SUBSTITUTE(SUBSTITUTE(SUBSTITUTE(SUBSTITUTE(SUBSTITUTE(SUBSTITUTE(SUBSTITUTE(MAIN!A505, "0", ""), "1", ""), "2", ""), "3", ""), "4", ""), "5", ""), "6", ""), "7", ""), "8", ""), "9", ""))))</f>
        <v>--</v>
      </c>
      <c r="B505" t="str">
        <f>IF(ISBLANK(MAIN!B505), "--", IFERROR(PROPER(SUBSTITUTE(SUBSTITUTE(SUBSTITUTE(SUBSTITUTE(SUBSTITUTE(SUBSTITUTE(SUBSTITUTE(SUBSTITUTE(SUBSTITUTE(SUBSTITUTE(LEFT(MAIN!B505, FIND(",",MAIN!B505) -1), "0", ""), "1", ""), "2", ""), "3", ""), "4", ""), "5", ""), "6", ""), "7", ""), "8", ""), "9", "")), PROPER(SUBSTITUTE(SUBSTITUTE(SUBSTITUTE(SUBSTITUTE(SUBSTITUTE(SUBSTITUTE(SUBSTITUTE(SUBSTITUTE(SUBSTITUTE(SUBSTITUTE(MAIN!B505, "0", ""), "1", ""), "2", ""), "3", ""), "4", ""), "5", ""), "6", ""), "7", ""), "8", ""), "9", ""))))</f>
        <v>--</v>
      </c>
      <c r="C505" t="str">
        <f>IF(ISBLANK(MAIN!C505), "--", IFERROR(PROPER(SUBSTITUTE(SUBSTITUTE(SUBSTITUTE(SUBSTITUTE(SUBSTITUTE(SUBSTITUTE(SUBSTITUTE(SUBSTITUTE(SUBSTITUTE(SUBSTITUTE(LEFT(MAIN!C505, FIND(",",MAIN!C505) -1), "0", ""), "1", ""), "2", ""), "3", ""), "4", ""), "5", ""), "6", ""), "7", ""), "8", ""), "9", "")), PROPER(SUBSTITUTE(SUBSTITUTE(SUBSTITUTE(SUBSTITUTE(SUBSTITUTE(SUBSTITUTE(SUBSTITUTE(SUBSTITUTE(SUBSTITUTE(SUBSTITUTE(MAIN!C505, "0", ""), "1", ""), "2", ""), "3", ""), "4", ""), "5", ""), "6", ""), "7", ""), "8", ""), "9", ""))))</f>
        <v>--</v>
      </c>
      <c r="D505" t="str">
        <f>IF(ISBLANK(MAIN!D505), "--", IF(ISNUMBER(MATCH(SUBSTITUTE(LEFT(MAIN!D505, IFERROR(FIND(",", MAIN!D505)-1, LEN(MAIN!D505))), " ", ""), lookup_values!$B$2:$B$51, 0)), UPPER(SUBSTITUTE(LEFT(MAIN!D505, IFERROR(FIND(",", MAIN!D505)-1, LEN(MAIN!D505))), " ", "")), IF(ISNA(VLOOKUP(SUBSTITUTE(LEFT(MAIN!D505, IFERROR(FIND(",", MAIN!D505)-1, LEN(MAIN!D505))), " ", ""), lookup_values!$A$2:$B$51, 2, FALSE)), "--", VLOOKUP(SUBSTITUTE(LEFT(MAIN!D505, IFERROR(FIND(",", MAIN!D505)-1, LEN(MAIN!D505))), " ", ""), lookup_values!$A$2:$B$51, 2, FALSE))))</f>
        <v>--</v>
      </c>
      <c r="E505" t="str">
        <f>IF(CLEAN_DATA!D505&lt;&gt;"--","US",IF(ISBLANK(MAIN!E505), "--", IF(ISNUMBER(MATCH(SUBSTITUTE(LEFT(MAIN!E505, IFERROR(FIND(",", MAIN!E505)-1, LEN(MAIN!E505))), " ", ""), lookup_values!$E$2:$E$197, 0)), UPPER(SUBSTITUTE(LEFT(MAIN!E505, IFERROR(FIND(",", MAIN!E505)-1, LEN(MAIN!E505))), " ", "")), IF(ISNA(VLOOKUP(SUBSTITUTE(LEFT(MAIN!E505, IFERROR(FIND(",", MAIN!E505)-1, LEN(MAIN!E505))), " ", ""), lookup_values!$D$2:$E$197, 2, FALSE)), "--", VLOOKUP(SUBSTITUTE(LEFT(MAIN!E505, IFERROR(FIND(",", MAIN!E505)-1, LEN(MAIN!E505))), " ", ""), lookup_values!$D$2:$E$197, 2, FALSE)))))</f>
        <v>--</v>
      </c>
      <c r="F505" t="str">
        <f>IF(ISBLANK(MAIN!F505), "", IF(AND(ISNUMBER(VALUE(TRIM(MAIN!F505))), LEN(TRIM(MAIN!F505))=4), VALUE(TRIM(MAIN!F505)), ""))</f>
        <v/>
      </c>
      <c r="G505">
        <f>IF(ISBLANK(MAIN!G505), 0, IF(ISNUMBER(VALUE(TRIM(MAIN!G505))), VALUE(TRIM(MAIN!G505)), 0))</f>
        <v>0</v>
      </c>
      <c r="H505">
        <f>IF(ISBLANK(MAIN!H505), 0, IF(ISNUMBER(VALUE(TRIM(MAIN!H505))), VALUE(TRIM(MAIN!H505)), 0))</f>
        <v>0</v>
      </c>
      <c r="I505">
        <f>IF(ISBLANK(MAIN!I505), 0, IF(ISNUMBER(VALUE(TRIM(MAIN!I505))), VALUE(TRIM(MAIN!I505)), 0))</f>
        <v>0</v>
      </c>
      <c r="J505">
        <f>IF(ISBLANK(MAIN!J505), 0, IF(ISNUMBER(VALUE(TRIM(MAIN!J505))), VALUE(TRIM(MAIN!J505)), 0))</f>
        <v>0</v>
      </c>
      <c r="K505" cm="1">
        <f t="array" ref="K505">IFERROR(
    VALUE(
        IFERROR(
            UPPER(
                IF(MAX(IFERROR(SEARCH("WD",MAIN!G505:J505), 0))&gt;0, "WD",
                IF(MAX(IFERROR(SEARCH("NS",MAIN!G505:J505), 0))&gt;0, "NS",
                IF(MAX(IFERROR(SEARCH("NC",MAIN!G505:J505), 0))&gt;0, "NC",
                IF(MAX(IFERROR(SEARCH("DQ",MAIN!G505:J505), 0))&gt;0, "DQ",
                IF(ISNUMBER(SEARCH("WD",MAIN!K505)), "WD",
                IF(ISNUMBER(SEARCH("NS",MAIN!K505)), "NS",
                IF(ISNUMBER(SEARCH("NC",MAIN!K505)), "NC",
                IF(ISNUMBER(SEARCH("DQ",MAIN!K505)), "DQ",
                IF(ISNUMBER(SEARCH("A",MAIN!K505)), 0,
                IF(OR(MAIN!K505=0,MAIN!K505=""), 0, --TRIM(MAIN!K505)))))))))))),
            0
        )
    ),
    IFERROR(
        UPPER(
            IF(MAX(IFERROR(SEARCH("WD",MAIN!G505:J505), 0))&gt;0, "WD",
            IF(MAX(IFERROR(SEARCH("NS",MAIN!G505:J505), 0))&gt;0, "NS",
            IF(MAX(IFERROR(SEARCH("NC",MAIN!G505:J505), 0))&gt;0, "NC",
            IF(MAX(IFERROR(SEARCH("DQ",MAIN!G505:J505), 0))&gt;0, "DQ",
            IF(ISNUMBER(SEARCH("WD",MAIN!K505)), "WD",
            IF(ISNUMBER(SEARCH("NS",MAIN!K505)), "NS",
            IF(ISNUMBER(SEARCH("NC",MAIN!K505)), "NC",
            IF(ISNUMBER(SEARCH("DQ",MAIN!K505)), "DQ",
            IF(ISNUMBER(SEARCH("A",MAIN!K505)), 0,
            IF(OR(MAIN!K505=0,MAIN!K505=""), 0, --TRIM(MAIN!K505)))))))))))),
        0
    )
)</f>
        <v>0</v>
      </c>
    </row>
    <row r="506" spans="1:11" x14ac:dyDescent="0.25">
      <c r="A506" t="str">
        <f>IF(ISBLANK(MAIN!A506), "--", IFERROR(PROPER(SUBSTITUTE(SUBSTITUTE(SUBSTITUTE(SUBSTITUTE(SUBSTITUTE(SUBSTITUTE(SUBSTITUTE(SUBSTITUTE(SUBSTITUTE(SUBSTITUTE(LEFT(MAIN!A506, FIND(",",MAIN!A506) -1), "0", ""), "1", ""), "2", ""), "3", ""), "4", ""), "5", ""), "6", ""), "7", ""), "8", ""), "9", "")), PROPER(SUBSTITUTE(SUBSTITUTE(SUBSTITUTE(SUBSTITUTE(SUBSTITUTE(SUBSTITUTE(SUBSTITUTE(SUBSTITUTE(SUBSTITUTE(SUBSTITUTE(MAIN!A506, "0", ""), "1", ""), "2", ""), "3", ""), "4", ""), "5", ""), "6", ""), "7", ""), "8", ""), "9", ""))))</f>
        <v>--</v>
      </c>
      <c r="B506" t="str">
        <f>IF(ISBLANK(MAIN!B506), "--", IFERROR(PROPER(SUBSTITUTE(SUBSTITUTE(SUBSTITUTE(SUBSTITUTE(SUBSTITUTE(SUBSTITUTE(SUBSTITUTE(SUBSTITUTE(SUBSTITUTE(SUBSTITUTE(LEFT(MAIN!B506, FIND(",",MAIN!B506) -1), "0", ""), "1", ""), "2", ""), "3", ""), "4", ""), "5", ""), "6", ""), "7", ""), "8", ""), "9", "")), PROPER(SUBSTITUTE(SUBSTITUTE(SUBSTITUTE(SUBSTITUTE(SUBSTITUTE(SUBSTITUTE(SUBSTITUTE(SUBSTITUTE(SUBSTITUTE(SUBSTITUTE(MAIN!B506, "0", ""), "1", ""), "2", ""), "3", ""), "4", ""), "5", ""), "6", ""), "7", ""), "8", ""), "9", ""))))</f>
        <v>--</v>
      </c>
      <c r="C506" t="str">
        <f>IF(ISBLANK(MAIN!C506), "--", IFERROR(PROPER(SUBSTITUTE(SUBSTITUTE(SUBSTITUTE(SUBSTITUTE(SUBSTITUTE(SUBSTITUTE(SUBSTITUTE(SUBSTITUTE(SUBSTITUTE(SUBSTITUTE(LEFT(MAIN!C506, FIND(",",MAIN!C506) -1), "0", ""), "1", ""), "2", ""), "3", ""), "4", ""), "5", ""), "6", ""), "7", ""), "8", ""), "9", "")), PROPER(SUBSTITUTE(SUBSTITUTE(SUBSTITUTE(SUBSTITUTE(SUBSTITUTE(SUBSTITUTE(SUBSTITUTE(SUBSTITUTE(SUBSTITUTE(SUBSTITUTE(MAIN!C506, "0", ""), "1", ""), "2", ""), "3", ""), "4", ""), "5", ""), "6", ""), "7", ""), "8", ""), "9", ""))))</f>
        <v>--</v>
      </c>
      <c r="D506" t="str">
        <f>IF(ISBLANK(MAIN!D506), "--", IF(ISNUMBER(MATCH(SUBSTITUTE(LEFT(MAIN!D506, IFERROR(FIND(",", MAIN!D506)-1, LEN(MAIN!D506))), " ", ""), lookup_values!$B$2:$B$51, 0)), UPPER(SUBSTITUTE(LEFT(MAIN!D506, IFERROR(FIND(",", MAIN!D506)-1, LEN(MAIN!D506))), " ", "")), IF(ISNA(VLOOKUP(SUBSTITUTE(LEFT(MAIN!D506, IFERROR(FIND(",", MAIN!D506)-1, LEN(MAIN!D506))), " ", ""), lookup_values!$A$2:$B$51, 2, FALSE)), "--", VLOOKUP(SUBSTITUTE(LEFT(MAIN!D506, IFERROR(FIND(",", MAIN!D506)-1, LEN(MAIN!D506))), " ", ""), lookup_values!$A$2:$B$51, 2, FALSE))))</f>
        <v>--</v>
      </c>
      <c r="E506" t="str">
        <f>IF(CLEAN_DATA!D506&lt;&gt;"--","US",IF(ISBLANK(MAIN!E506), "--", IF(ISNUMBER(MATCH(SUBSTITUTE(LEFT(MAIN!E506, IFERROR(FIND(",", MAIN!E506)-1, LEN(MAIN!E506))), " ", ""), lookup_values!$E$2:$E$197, 0)), UPPER(SUBSTITUTE(LEFT(MAIN!E506, IFERROR(FIND(",", MAIN!E506)-1, LEN(MAIN!E506))), " ", "")), IF(ISNA(VLOOKUP(SUBSTITUTE(LEFT(MAIN!E506, IFERROR(FIND(",", MAIN!E506)-1, LEN(MAIN!E506))), " ", ""), lookup_values!$D$2:$E$197, 2, FALSE)), "--", VLOOKUP(SUBSTITUTE(LEFT(MAIN!E506, IFERROR(FIND(",", MAIN!E506)-1, LEN(MAIN!E506))), " ", ""), lookup_values!$D$2:$E$197, 2, FALSE)))))</f>
        <v>--</v>
      </c>
      <c r="F506" t="str">
        <f>IF(ISBLANK(MAIN!F506), "", IF(AND(ISNUMBER(VALUE(TRIM(MAIN!F506))), LEN(TRIM(MAIN!F506))=4), VALUE(TRIM(MAIN!F506)), ""))</f>
        <v/>
      </c>
      <c r="G506">
        <f>IF(ISBLANK(MAIN!G506), 0, IF(ISNUMBER(VALUE(TRIM(MAIN!G506))), VALUE(TRIM(MAIN!G506)), 0))</f>
        <v>0</v>
      </c>
      <c r="H506">
        <f>IF(ISBLANK(MAIN!H506), 0, IF(ISNUMBER(VALUE(TRIM(MAIN!H506))), VALUE(TRIM(MAIN!H506)), 0))</f>
        <v>0</v>
      </c>
      <c r="I506">
        <f>IF(ISBLANK(MAIN!I506), 0, IF(ISNUMBER(VALUE(TRIM(MAIN!I506))), VALUE(TRIM(MAIN!I506)), 0))</f>
        <v>0</v>
      </c>
      <c r="J506">
        <f>IF(ISBLANK(MAIN!J506), 0, IF(ISNUMBER(VALUE(TRIM(MAIN!J506))), VALUE(TRIM(MAIN!J506)), 0))</f>
        <v>0</v>
      </c>
      <c r="K506" cm="1">
        <f t="array" ref="K506">IFERROR(
    VALUE(
        IFERROR(
            UPPER(
                IF(MAX(IFERROR(SEARCH("WD",MAIN!G506:J506), 0))&gt;0, "WD",
                IF(MAX(IFERROR(SEARCH("NS",MAIN!G506:J506), 0))&gt;0, "NS",
                IF(MAX(IFERROR(SEARCH("NC",MAIN!G506:J506), 0))&gt;0, "NC",
                IF(MAX(IFERROR(SEARCH("DQ",MAIN!G506:J506), 0))&gt;0, "DQ",
                IF(ISNUMBER(SEARCH("WD",MAIN!K506)), "WD",
                IF(ISNUMBER(SEARCH("NS",MAIN!K506)), "NS",
                IF(ISNUMBER(SEARCH("NC",MAIN!K506)), "NC",
                IF(ISNUMBER(SEARCH("DQ",MAIN!K506)), "DQ",
                IF(ISNUMBER(SEARCH("A",MAIN!K506)), 0,
                IF(OR(MAIN!K506=0,MAIN!K506=""), 0, --TRIM(MAIN!K506)))))))))))),
            0
        )
    ),
    IFERROR(
        UPPER(
            IF(MAX(IFERROR(SEARCH("WD",MAIN!G506:J506), 0))&gt;0, "WD",
            IF(MAX(IFERROR(SEARCH("NS",MAIN!G506:J506), 0))&gt;0, "NS",
            IF(MAX(IFERROR(SEARCH("NC",MAIN!G506:J506), 0))&gt;0, "NC",
            IF(MAX(IFERROR(SEARCH("DQ",MAIN!G506:J506), 0))&gt;0, "DQ",
            IF(ISNUMBER(SEARCH("WD",MAIN!K506)), "WD",
            IF(ISNUMBER(SEARCH("NS",MAIN!K506)), "NS",
            IF(ISNUMBER(SEARCH("NC",MAIN!K506)), "NC",
            IF(ISNUMBER(SEARCH("DQ",MAIN!K506)), "DQ",
            IF(ISNUMBER(SEARCH("A",MAIN!K506)), 0,
            IF(OR(MAIN!K506=0,MAIN!K506=""), 0, --TRIM(MAIN!K506)))))))))))),
        0
    )
)</f>
        <v>0</v>
      </c>
    </row>
    <row r="507" spans="1:11" x14ac:dyDescent="0.25">
      <c r="A507" t="str">
        <f>IF(ISBLANK(MAIN!A507), "--", IFERROR(PROPER(SUBSTITUTE(SUBSTITUTE(SUBSTITUTE(SUBSTITUTE(SUBSTITUTE(SUBSTITUTE(SUBSTITUTE(SUBSTITUTE(SUBSTITUTE(SUBSTITUTE(LEFT(MAIN!A507, FIND(",",MAIN!A507) -1), "0", ""), "1", ""), "2", ""), "3", ""), "4", ""), "5", ""), "6", ""), "7", ""), "8", ""), "9", "")), PROPER(SUBSTITUTE(SUBSTITUTE(SUBSTITUTE(SUBSTITUTE(SUBSTITUTE(SUBSTITUTE(SUBSTITUTE(SUBSTITUTE(SUBSTITUTE(SUBSTITUTE(MAIN!A507, "0", ""), "1", ""), "2", ""), "3", ""), "4", ""), "5", ""), "6", ""), "7", ""), "8", ""), "9", ""))))</f>
        <v>--</v>
      </c>
      <c r="B507" t="str">
        <f>IF(ISBLANK(MAIN!B507), "--", IFERROR(PROPER(SUBSTITUTE(SUBSTITUTE(SUBSTITUTE(SUBSTITUTE(SUBSTITUTE(SUBSTITUTE(SUBSTITUTE(SUBSTITUTE(SUBSTITUTE(SUBSTITUTE(LEFT(MAIN!B507, FIND(",",MAIN!B507) -1), "0", ""), "1", ""), "2", ""), "3", ""), "4", ""), "5", ""), "6", ""), "7", ""), "8", ""), "9", "")), PROPER(SUBSTITUTE(SUBSTITUTE(SUBSTITUTE(SUBSTITUTE(SUBSTITUTE(SUBSTITUTE(SUBSTITUTE(SUBSTITUTE(SUBSTITUTE(SUBSTITUTE(MAIN!B507, "0", ""), "1", ""), "2", ""), "3", ""), "4", ""), "5", ""), "6", ""), "7", ""), "8", ""), "9", ""))))</f>
        <v>--</v>
      </c>
      <c r="C507" t="str">
        <f>IF(ISBLANK(MAIN!C507), "--", IFERROR(PROPER(SUBSTITUTE(SUBSTITUTE(SUBSTITUTE(SUBSTITUTE(SUBSTITUTE(SUBSTITUTE(SUBSTITUTE(SUBSTITUTE(SUBSTITUTE(SUBSTITUTE(LEFT(MAIN!C507, FIND(",",MAIN!C507) -1), "0", ""), "1", ""), "2", ""), "3", ""), "4", ""), "5", ""), "6", ""), "7", ""), "8", ""), "9", "")), PROPER(SUBSTITUTE(SUBSTITUTE(SUBSTITUTE(SUBSTITUTE(SUBSTITUTE(SUBSTITUTE(SUBSTITUTE(SUBSTITUTE(SUBSTITUTE(SUBSTITUTE(MAIN!C507, "0", ""), "1", ""), "2", ""), "3", ""), "4", ""), "5", ""), "6", ""), "7", ""), "8", ""), "9", ""))))</f>
        <v>--</v>
      </c>
      <c r="D507" t="str">
        <f>IF(ISBLANK(MAIN!D507), "--", IF(ISNUMBER(MATCH(SUBSTITUTE(LEFT(MAIN!D507, IFERROR(FIND(",", MAIN!D507)-1, LEN(MAIN!D507))), " ", ""), lookup_values!$B$2:$B$51, 0)), UPPER(SUBSTITUTE(LEFT(MAIN!D507, IFERROR(FIND(",", MAIN!D507)-1, LEN(MAIN!D507))), " ", "")), IF(ISNA(VLOOKUP(SUBSTITUTE(LEFT(MAIN!D507, IFERROR(FIND(",", MAIN!D507)-1, LEN(MAIN!D507))), " ", ""), lookup_values!$A$2:$B$51, 2, FALSE)), "--", VLOOKUP(SUBSTITUTE(LEFT(MAIN!D507, IFERROR(FIND(",", MAIN!D507)-1, LEN(MAIN!D507))), " ", ""), lookup_values!$A$2:$B$51, 2, FALSE))))</f>
        <v>--</v>
      </c>
      <c r="E507" t="str">
        <f>IF(CLEAN_DATA!D507&lt;&gt;"--","US",IF(ISBLANK(MAIN!E507), "--", IF(ISNUMBER(MATCH(SUBSTITUTE(LEFT(MAIN!E507, IFERROR(FIND(",", MAIN!E507)-1, LEN(MAIN!E507))), " ", ""), lookup_values!$E$2:$E$197, 0)), UPPER(SUBSTITUTE(LEFT(MAIN!E507, IFERROR(FIND(",", MAIN!E507)-1, LEN(MAIN!E507))), " ", "")), IF(ISNA(VLOOKUP(SUBSTITUTE(LEFT(MAIN!E507, IFERROR(FIND(",", MAIN!E507)-1, LEN(MAIN!E507))), " ", ""), lookup_values!$D$2:$E$197, 2, FALSE)), "--", VLOOKUP(SUBSTITUTE(LEFT(MAIN!E507, IFERROR(FIND(",", MAIN!E507)-1, LEN(MAIN!E507))), " ", ""), lookup_values!$D$2:$E$197, 2, FALSE)))))</f>
        <v>--</v>
      </c>
      <c r="F507" t="str">
        <f>IF(ISBLANK(MAIN!F507), "", IF(AND(ISNUMBER(VALUE(TRIM(MAIN!F507))), LEN(TRIM(MAIN!F507))=4), VALUE(TRIM(MAIN!F507)), ""))</f>
        <v/>
      </c>
      <c r="G507">
        <f>IF(ISBLANK(MAIN!G507), 0, IF(ISNUMBER(VALUE(TRIM(MAIN!G507))), VALUE(TRIM(MAIN!G507)), 0))</f>
        <v>0</v>
      </c>
      <c r="H507">
        <f>IF(ISBLANK(MAIN!H507), 0, IF(ISNUMBER(VALUE(TRIM(MAIN!H507))), VALUE(TRIM(MAIN!H507)), 0))</f>
        <v>0</v>
      </c>
      <c r="I507">
        <f>IF(ISBLANK(MAIN!I507), 0, IF(ISNUMBER(VALUE(TRIM(MAIN!I507))), VALUE(TRIM(MAIN!I507)), 0))</f>
        <v>0</v>
      </c>
      <c r="J507">
        <f>IF(ISBLANK(MAIN!J507), 0, IF(ISNUMBER(VALUE(TRIM(MAIN!J507))), VALUE(TRIM(MAIN!J507)), 0))</f>
        <v>0</v>
      </c>
      <c r="K507" cm="1">
        <f t="array" ref="K507">IFERROR(
    VALUE(
        IFERROR(
            UPPER(
                IF(MAX(IFERROR(SEARCH("WD",MAIN!G507:J507), 0))&gt;0, "WD",
                IF(MAX(IFERROR(SEARCH("NS",MAIN!G507:J507), 0))&gt;0, "NS",
                IF(MAX(IFERROR(SEARCH("NC",MAIN!G507:J507), 0))&gt;0, "NC",
                IF(MAX(IFERROR(SEARCH("DQ",MAIN!G507:J507), 0))&gt;0, "DQ",
                IF(ISNUMBER(SEARCH("WD",MAIN!K507)), "WD",
                IF(ISNUMBER(SEARCH("NS",MAIN!K507)), "NS",
                IF(ISNUMBER(SEARCH("NC",MAIN!K507)), "NC",
                IF(ISNUMBER(SEARCH("DQ",MAIN!K507)), "DQ",
                IF(ISNUMBER(SEARCH("A",MAIN!K507)), 0,
                IF(OR(MAIN!K507=0,MAIN!K507=""), 0, --TRIM(MAIN!K507)))))))))))),
            0
        )
    ),
    IFERROR(
        UPPER(
            IF(MAX(IFERROR(SEARCH("WD",MAIN!G507:J507), 0))&gt;0, "WD",
            IF(MAX(IFERROR(SEARCH("NS",MAIN!G507:J507), 0))&gt;0, "NS",
            IF(MAX(IFERROR(SEARCH("NC",MAIN!G507:J507), 0))&gt;0, "NC",
            IF(MAX(IFERROR(SEARCH("DQ",MAIN!G507:J507), 0))&gt;0, "DQ",
            IF(ISNUMBER(SEARCH("WD",MAIN!K507)), "WD",
            IF(ISNUMBER(SEARCH("NS",MAIN!K507)), "NS",
            IF(ISNUMBER(SEARCH("NC",MAIN!K507)), "NC",
            IF(ISNUMBER(SEARCH("DQ",MAIN!K507)), "DQ",
            IF(ISNUMBER(SEARCH("A",MAIN!K507)), 0,
            IF(OR(MAIN!K507=0,MAIN!K507=""), 0, --TRIM(MAIN!K507)))))))))))),
        0
    )
)</f>
        <v>0</v>
      </c>
    </row>
    <row r="508" spans="1:11" x14ac:dyDescent="0.25">
      <c r="A508" t="str">
        <f>IF(ISBLANK(MAIN!A508), "--", IFERROR(PROPER(SUBSTITUTE(SUBSTITUTE(SUBSTITUTE(SUBSTITUTE(SUBSTITUTE(SUBSTITUTE(SUBSTITUTE(SUBSTITUTE(SUBSTITUTE(SUBSTITUTE(LEFT(MAIN!A508, FIND(",",MAIN!A508) -1), "0", ""), "1", ""), "2", ""), "3", ""), "4", ""), "5", ""), "6", ""), "7", ""), "8", ""), "9", "")), PROPER(SUBSTITUTE(SUBSTITUTE(SUBSTITUTE(SUBSTITUTE(SUBSTITUTE(SUBSTITUTE(SUBSTITUTE(SUBSTITUTE(SUBSTITUTE(SUBSTITUTE(MAIN!A508, "0", ""), "1", ""), "2", ""), "3", ""), "4", ""), "5", ""), "6", ""), "7", ""), "8", ""), "9", ""))))</f>
        <v>--</v>
      </c>
      <c r="B508" t="str">
        <f>IF(ISBLANK(MAIN!B508), "--", IFERROR(PROPER(SUBSTITUTE(SUBSTITUTE(SUBSTITUTE(SUBSTITUTE(SUBSTITUTE(SUBSTITUTE(SUBSTITUTE(SUBSTITUTE(SUBSTITUTE(SUBSTITUTE(LEFT(MAIN!B508, FIND(",",MAIN!B508) -1), "0", ""), "1", ""), "2", ""), "3", ""), "4", ""), "5", ""), "6", ""), "7", ""), "8", ""), "9", "")), PROPER(SUBSTITUTE(SUBSTITUTE(SUBSTITUTE(SUBSTITUTE(SUBSTITUTE(SUBSTITUTE(SUBSTITUTE(SUBSTITUTE(SUBSTITUTE(SUBSTITUTE(MAIN!B508, "0", ""), "1", ""), "2", ""), "3", ""), "4", ""), "5", ""), "6", ""), "7", ""), "8", ""), "9", ""))))</f>
        <v>--</v>
      </c>
      <c r="C508" t="str">
        <f>IF(ISBLANK(MAIN!C508), "--", IFERROR(PROPER(SUBSTITUTE(SUBSTITUTE(SUBSTITUTE(SUBSTITUTE(SUBSTITUTE(SUBSTITUTE(SUBSTITUTE(SUBSTITUTE(SUBSTITUTE(SUBSTITUTE(LEFT(MAIN!C508, FIND(",",MAIN!C508) -1), "0", ""), "1", ""), "2", ""), "3", ""), "4", ""), "5", ""), "6", ""), "7", ""), "8", ""), "9", "")), PROPER(SUBSTITUTE(SUBSTITUTE(SUBSTITUTE(SUBSTITUTE(SUBSTITUTE(SUBSTITUTE(SUBSTITUTE(SUBSTITUTE(SUBSTITUTE(SUBSTITUTE(MAIN!C508, "0", ""), "1", ""), "2", ""), "3", ""), "4", ""), "5", ""), "6", ""), "7", ""), "8", ""), "9", ""))))</f>
        <v>--</v>
      </c>
      <c r="D508" t="str">
        <f>IF(ISBLANK(MAIN!D508), "--", IF(ISNUMBER(MATCH(SUBSTITUTE(LEFT(MAIN!D508, IFERROR(FIND(",", MAIN!D508)-1, LEN(MAIN!D508))), " ", ""), lookup_values!$B$2:$B$51, 0)), UPPER(SUBSTITUTE(LEFT(MAIN!D508, IFERROR(FIND(",", MAIN!D508)-1, LEN(MAIN!D508))), " ", "")), IF(ISNA(VLOOKUP(SUBSTITUTE(LEFT(MAIN!D508, IFERROR(FIND(",", MAIN!D508)-1, LEN(MAIN!D508))), " ", ""), lookup_values!$A$2:$B$51, 2, FALSE)), "--", VLOOKUP(SUBSTITUTE(LEFT(MAIN!D508, IFERROR(FIND(",", MAIN!D508)-1, LEN(MAIN!D508))), " ", ""), lookup_values!$A$2:$B$51, 2, FALSE))))</f>
        <v>--</v>
      </c>
      <c r="E508" t="str">
        <f>IF(CLEAN_DATA!D508&lt;&gt;"--","US",IF(ISBLANK(MAIN!E508), "--", IF(ISNUMBER(MATCH(SUBSTITUTE(LEFT(MAIN!E508, IFERROR(FIND(",", MAIN!E508)-1, LEN(MAIN!E508))), " ", ""), lookup_values!$E$2:$E$197, 0)), UPPER(SUBSTITUTE(LEFT(MAIN!E508, IFERROR(FIND(",", MAIN!E508)-1, LEN(MAIN!E508))), " ", "")), IF(ISNA(VLOOKUP(SUBSTITUTE(LEFT(MAIN!E508, IFERROR(FIND(",", MAIN!E508)-1, LEN(MAIN!E508))), " ", ""), lookup_values!$D$2:$E$197, 2, FALSE)), "--", VLOOKUP(SUBSTITUTE(LEFT(MAIN!E508, IFERROR(FIND(",", MAIN!E508)-1, LEN(MAIN!E508))), " ", ""), lookup_values!$D$2:$E$197, 2, FALSE)))))</f>
        <v>--</v>
      </c>
      <c r="F508" t="str">
        <f>IF(ISBLANK(MAIN!F508), "", IF(AND(ISNUMBER(VALUE(TRIM(MAIN!F508))), LEN(TRIM(MAIN!F508))=4), VALUE(TRIM(MAIN!F508)), ""))</f>
        <v/>
      </c>
      <c r="G508">
        <f>IF(ISBLANK(MAIN!G508), 0, IF(ISNUMBER(VALUE(TRIM(MAIN!G508))), VALUE(TRIM(MAIN!G508)), 0))</f>
        <v>0</v>
      </c>
      <c r="H508">
        <f>IF(ISBLANK(MAIN!H508), 0, IF(ISNUMBER(VALUE(TRIM(MAIN!H508))), VALUE(TRIM(MAIN!H508)), 0))</f>
        <v>0</v>
      </c>
      <c r="I508">
        <f>IF(ISBLANK(MAIN!I508), 0, IF(ISNUMBER(VALUE(TRIM(MAIN!I508))), VALUE(TRIM(MAIN!I508)), 0))</f>
        <v>0</v>
      </c>
      <c r="J508">
        <f>IF(ISBLANK(MAIN!J508), 0, IF(ISNUMBER(VALUE(TRIM(MAIN!J508))), VALUE(TRIM(MAIN!J508)), 0))</f>
        <v>0</v>
      </c>
      <c r="K508" cm="1">
        <f t="array" ref="K508">IFERROR(
    VALUE(
        IFERROR(
            UPPER(
                IF(MAX(IFERROR(SEARCH("WD",MAIN!G508:J508), 0))&gt;0, "WD",
                IF(MAX(IFERROR(SEARCH("NS",MAIN!G508:J508), 0))&gt;0, "NS",
                IF(MAX(IFERROR(SEARCH("NC",MAIN!G508:J508), 0))&gt;0, "NC",
                IF(MAX(IFERROR(SEARCH("DQ",MAIN!G508:J508), 0))&gt;0, "DQ",
                IF(ISNUMBER(SEARCH("WD",MAIN!K508)), "WD",
                IF(ISNUMBER(SEARCH("NS",MAIN!K508)), "NS",
                IF(ISNUMBER(SEARCH("NC",MAIN!K508)), "NC",
                IF(ISNUMBER(SEARCH("DQ",MAIN!K508)), "DQ",
                IF(ISNUMBER(SEARCH("A",MAIN!K508)), 0,
                IF(OR(MAIN!K508=0,MAIN!K508=""), 0, --TRIM(MAIN!K508)))))))))))),
            0
        )
    ),
    IFERROR(
        UPPER(
            IF(MAX(IFERROR(SEARCH("WD",MAIN!G508:J508), 0))&gt;0, "WD",
            IF(MAX(IFERROR(SEARCH("NS",MAIN!G508:J508), 0))&gt;0, "NS",
            IF(MAX(IFERROR(SEARCH("NC",MAIN!G508:J508), 0))&gt;0, "NC",
            IF(MAX(IFERROR(SEARCH("DQ",MAIN!G508:J508), 0))&gt;0, "DQ",
            IF(ISNUMBER(SEARCH("WD",MAIN!K508)), "WD",
            IF(ISNUMBER(SEARCH("NS",MAIN!K508)), "NS",
            IF(ISNUMBER(SEARCH("NC",MAIN!K508)), "NC",
            IF(ISNUMBER(SEARCH("DQ",MAIN!K508)), "DQ",
            IF(ISNUMBER(SEARCH("A",MAIN!K508)), 0,
            IF(OR(MAIN!K508=0,MAIN!K508=""), 0, --TRIM(MAIN!K508)))))))))))),
        0
    )
)</f>
        <v>0</v>
      </c>
    </row>
    <row r="509" spans="1:11" x14ac:dyDescent="0.25">
      <c r="A509" t="str">
        <f>IF(ISBLANK(MAIN!A509), "--", IFERROR(PROPER(SUBSTITUTE(SUBSTITUTE(SUBSTITUTE(SUBSTITUTE(SUBSTITUTE(SUBSTITUTE(SUBSTITUTE(SUBSTITUTE(SUBSTITUTE(SUBSTITUTE(LEFT(MAIN!A509, FIND(",",MAIN!A509) -1), "0", ""), "1", ""), "2", ""), "3", ""), "4", ""), "5", ""), "6", ""), "7", ""), "8", ""), "9", "")), PROPER(SUBSTITUTE(SUBSTITUTE(SUBSTITUTE(SUBSTITUTE(SUBSTITUTE(SUBSTITUTE(SUBSTITUTE(SUBSTITUTE(SUBSTITUTE(SUBSTITUTE(MAIN!A509, "0", ""), "1", ""), "2", ""), "3", ""), "4", ""), "5", ""), "6", ""), "7", ""), "8", ""), "9", ""))))</f>
        <v>--</v>
      </c>
      <c r="B509" t="str">
        <f>IF(ISBLANK(MAIN!B509), "--", IFERROR(PROPER(SUBSTITUTE(SUBSTITUTE(SUBSTITUTE(SUBSTITUTE(SUBSTITUTE(SUBSTITUTE(SUBSTITUTE(SUBSTITUTE(SUBSTITUTE(SUBSTITUTE(LEFT(MAIN!B509, FIND(",",MAIN!B509) -1), "0", ""), "1", ""), "2", ""), "3", ""), "4", ""), "5", ""), "6", ""), "7", ""), "8", ""), "9", "")), PROPER(SUBSTITUTE(SUBSTITUTE(SUBSTITUTE(SUBSTITUTE(SUBSTITUTE(SUBSTITUTE(SUBSTITUTE(SUBSTITUTE(SUBSTITUTE(SUBSTITUTE(MAIN!B509, "0", ""), "1", ""), "2", ""), "3", ""), "4", ""), "5", ""), "6", ""), "7", ""), "8", ""), "9", ""))))</f>
        <v>--</v>
      </c>
      <c r="C509" t="str">
        <f>IF(ISBLANK(MAIN!C509), "--", IFERROR(PROPER(SUBSTITUTE(SUBSTITUTE(SUBSTITUTE(SUBSTITUTE(SUBSTITUTE(SUBSTITUTE(SUBSTITUTE(SUBSTITUTE(SUBSTITUTE(SUBSTITUTE(LEFT(MAIN!C509, FIND(",",MAIN!C509) -1), "0", ""), "1", ""), "2", ""), "3", ""), "4", ""), "5", ""), "6", ""), "7", ""), "8", ""), "9", "")), PROPER(SUBSTITUTE(SUBSTITUTE(SUBSTITUTE(SUBSTITUTE(SUBSTITUTE(SUBSTITUTE(SUBSTITUTE(SUBSTITUTE(SUBSTITUTE(SUBSTITUTE(MAIN!C509, "0", ""), "1", ""), "2", ""), "3", ""), "4", ""), "5", ""), "6", ""), "7", ""), "8", ""), "9", ""))))</f>
        <v>--</v>
      </c>
      <c r="D509" t="str">
        <f>IF(ISBLANK(MAIN!D509), "--", IF(ISNUMBER(MATCH(SUBSTITUTE(LEFT(MAIN!D509, IFERROR(FIND(",", MAIN!D509)-1, LEN(MAIN!D509))), " ", ""), lookup_values!$B$2:$B$51, 0)), UPPER(SUBSTITUTE(LEFT(MAIN!D509, IFERROR(FIND(",", MAIN!D509)-1, LEN(MAIN!D509))), " ", "")), IF(ISNA(VLOOKUP(SUBSTITUTE(LEFT(MAIN!D509, IFERROR(FIND(",", MAIN!D509)-1, LEN(MAIN!D509))), " ", ""), lookup_values!$A$2:$B$51, 2, FALSE)), "--", VLOOKUP(SUBSTITUTE(LEFT(MAIN!D509, IFERROR(FIND(",", MAIN!D509)-1, LEN(MAIN!D509))), " ", ""), lookup_values!$A$2:$B$51, 2, FALSE))))</f>
        <v>--</v>
      </c>
      <c r="E509" t="str">
        <f>IF(CLEAN_DATA!D509&lt;&gt;"--","US",IF(ISBLANK(MAIN!E509), "--", IF(ISNUMBER(MATCH(SUBSTITUTE(LEFT(MAIN!E509, IFERROR(FIND(",", MAIN!E509)-1, LEN(MAIN!E509))), " ", ""), lookup_values!$E$2:$E$197, 0)), UPPER(SUBSTITUTE(LEFT(MAIN!E509, IFERROR(FIND(",", MAIN!E509)-1, LEN(MAIN!E509))), " ", "")), IF(ISNA(VLOOKUP(SUBSTITUTE(LEFT(MAIN!E509, IFERROR(FIND(",", MAIN!E509)-1, LEN(MAIN!E509))), " ", ""), lookup_values!$D$2:$E$197, 2, FALSE)), "--", VLOOKUP(SUBSTITUTE(LEFT(MAIN!E509, IFERROR(FIND(",", MAIN!E509)-1, LEN(MAIN!E509))), " ", ""), lookup_values!$D$2:$E$197, 2, FALSE)))))</f>
        <v>--</v>
      </c>
      <c r="F509" t="str">
        <f>IF(ISBLANK(MAIN!F509), "", IF(AND(ISNUMBER(VALUE(TRIM(MAIN!F509))), LEN(TRIM(MAIN!F509))=4), VALUE(TRIM(MAIN!F509)), ""))</f>
        <v/>
      </c>
      <c r="G509">
        <f>IF(ISBLANK(MAIN!G509), 0, IF(ISNUMBER(VALUE(TRIM(MAIN!G509))), VALUE(TRIM(MAIN!G509)), 0))</f>
        <v>0</v>
      </c>
      <c r="H509">
        <f>IF(ISBLANK(MAIN!H509), 0, IF(ISNUMBER(VALUE(TRIM(MAIN!H509))), VALUE(TRIM(MAIN!H509)), 0))</f>
        <v>0</v>
      </c>
      <c r="I509">
        <f>IF(ISBLANK(MAIN!I509), 0, IF(ISNUMBER(VALUE(TRIM(MAIN!I509))), VALUE(TRIM(MAIN!I509)), 0))</f>
        <v>0</v>
      </c>
      <c r="J509">
        <f>IF(ISBLANK(MAIN!J509), 0, IF(ISNUMBER(VALUE(TRIM(MAIN!J509))), VALUE(TRIM(MAIN!J509)), 0))</f>
        <v>0</v>
      </c>
      <c r="K509" cm="1">
        <f t="array" ref="K509">IFERROR(
    VALUE(
        IFERROR(
            UPPER(
                IF(MAX(IFERROR(SEARCH("WD",MAIN!G509:J509), 0))&gt;0, "WD",
                IF(MAX(IFERROR(SEARCH("NS",MAIN!G509:J509), 0))&gt;0, "NS",
                IF(MAX(IFERROR(SEARCH("NC",MAIN!G509:J509), 0))&gt;0, "NC",
                IF(MAX(IFERROR(SEARCH("DQ",MAIN!G509:J509), 0))&gt;0, "DQ",
                IF(ISNUMBER(SEARCH("WD",MAIN!K509)), "WD",
                IF(ISNUMBER(SEARCH("NS",MAIN!K509)), "NS",
                IF(ISNUMBER(SEARCH("NC",MAIN!K509)), "NC",
                IF(ISNUMBER(SEARCH("DQ",MAIN!K509)), "DQ",
                IF(ISNUMBER(SEARCH("A",MAIN!K509)), 0,
                IF(OR(MAIN!K509=0,MAIN!K509=""), 0, --TRIM(MAIN!K509)))))))))))),
            0
        )
    ),
    IFERROR(
        UPPER(
            IF(MAX(IFERROR(SEARCH("WD",MAIN!G509:J509), 0))&gt;0, "WD",
            IF(MAX(IFERROR(SEARCH("NS",MAIN!G509:J509), 0))&gt;0, "NS",
            IF(MAX(IFERROR(SEARCH("NC",MAIN!G509:J509), 0))&gt;0, "NC",
            IF(MAX(IFERROR(SEARCH("DQ",MAIN!G509:J509), 0))&gt;0, "DQ",
            IF(ISNUMBER(SEARCH("WD",MAIN!K509)), "WD",
            IF(ISNUMBER(SEARCH("NS",MAIN!K509)), "NS",
            IF(ISNUMBER(SEARCH("NC",MAIN!K509)), "NC",
            IF(ISNUMBER(SEARCH("DQ",MAIN!K509)), "DQ",
            IF(ISNUMBER(SEARCH("A",MAIN!K509)), 0,
            IF(OR(MAIN!K509=0,MAIN!K509=""), 0, --TRIM(MAIN!K509)))))))))))),
        0
    )
)</f>
        <v>0</v>
      </c>
    </row>
    <row r="510" spans="1:11" x14ac:dyDescent="0.25">
      <c r="A510" t="str">
        <f>IF(ISBLANK(MAIN!A510), "--", IFERROR(PROPER(SUBSTITUTE(SUBSTITUTE(SUBSTITUTE(SUBSTITUTE(SUBSTITUTE(SUBSTITUTE(SUBSTITUTE(SUBSTITUTE(SUBSTITUTE(SUBSTITUTE(LEFT(MAIN!A510, FIND(",",MAIN!A510) -1), "0", ""), "1", ""), "2", ""), "3", ""), "4", ""), "5", ""), "6", ""), "7", ""), "8", ""), "9", "")), PROPER(SUBSTITUTE(SUBSTITUTE(SUBSTITUTE(SUBSTITUTE(SUBSTITUTE(SUBSTITUTE(SUBSTITUTE(SUBSTITUTE(SUBSTITUTE(SUBSTITUTE(MAIN!A510, "0", ""), "1", ""), "2", ""), "3", ""), "4", ""), "5", ""), "6", ""), "7", ""), "8", ""), "9", ""))))</f>
        <v>--</v>
      </c>
      <c r="B510" t="str">
        <f>IF(ISBLANK(MAIN!B510), "--", IFERROR(PROPER(SUBSTITUTE(SUBSTITUTE(SUBSTITUTE(SUBSTITUTE(SUBSTITUTE(SUBSTITUTE(SUBSTITUTE(SUBSTITUTE(SUBSTITUTE(SUBSTITUTE(LEFT(MAIN!B510, FIND(",",MAIN!B510) -1), "0", ""), "1", ""), "2", ""), "3", ""), "4", ""), "5", ""), "6", ""), "7", ""), "8", ""), "9", "")), PROPER(SUBSTITUTE(SUBSTITUTE(SUBSTITUTE(SUBSTITUTE(SUBSTITUTE(SUBSTITUTE(SUBSTITUTE(SUBSTITUTE(SUBSTITUTE(SUBSTITUTE(MAIN!B510, "0", ""), "1", ""), "2", ""), "3", ""), "4", ""), "5", ""), "6", ""), "7", ""), "8", ""), "9", ""))))</f>
        <v>--</v>
      </c>
      <c r="C510" t="str">
        <f>IF(ISBLANK(MAIN!C510), "--", IFERROR(PROPER(SUBSTITUTE(SUBSTITUTE(SUBSTITUTE(SUBSTITUTE(SUBSTITUTE(SUBSTITUTE(SUBSTITUTE(SUBSTITUTE(SUBSTITUTE(SUBSTITUTE(LEFT(MAIN!C510, FIND(",",MAIN!C510) -1), "0", ""), "1", ""), "2", ""), "3", ""), "4", ""), "5", ""), "6", ""), "7", ""), "8", ""), "9", "")), PROPER(SUBSTITUTE(SUBSTITUTE(SUBSTITUTE(SUBSTITUTE(SUBSTITUTE(SUBSTITUTE(SUBSTITUTE(SUBSTITUTE(SUBSTITUTE(SUBSTITUTE(MAIN!C510, "0", ""), "1", ""), "2", ""), "3", ""), "4", ""), "5", ""), "6", ""), "7", ""), "8", ""), "9", ""))))</f>
        <v>--</v>
      </c>
      <c r="D510" t="str">
        <f>IF(ISBLANK(MAIN!D510), "--", IF(ISNUMBER(MATCH(SUBSTITUTE(LEFT(MAIN!D510, IFERROR(FIND(",", MAIN!D510)-1, LEN(MAIN!D510))), " ", ""), lookup_values!$B$2:$B$51, 0)), UPPER(SUBSTITUTE(LEFT(MAIN!D510, IFERROR(FIND(",", MAIN!D510)-1, LEN(MAIN!D510))), " ", "")), IF(ISNA(VLOOKUP(SUBSTITUTE(LEFT(MAIN!D510, IFERROR(FIND(",", MAIN!D510)-1, LEN(MAIN!D510))), " ", ""), lookup_values!$A$2:$B$51, 2, FALSE)), "--", VLOOKUP(SUBSTITUTE(LEFT(MAIN!D510, IFERROR(FIND(",", MAIN!D510)-1, LEN(MAIN!D510))), " ", ""), lookup_values!$A$2:$B$51, 2, FALSE))))</f>
        <v>--</v>
      </c>
      <c r="E510" t="str">
        <f>IF(CLEAN_DATA!D510&lt;&gt;"--","US",IF(ISBLANK(MAIN!E510), "--", IF(ISNUMBER(MATCH(SUBSTITUTE(LEFT(MAIN!E510, IFERROR(FIND(",", MAIN!E510)-1, LEN(MAIN!E510))), " ", ""), lookup_values!$E$2:$E$197, 0)), UPPER(SUBSTITUTE(LEFT(MAIN!E510, IFERROR(FIND(",", MAIN!E510)-1, LEN(MAIN!E510))), " ", "")), IF(ISNA(VLOOKUP(SUBSTITUTE(LEFT(MAIN!E510, IFERROR(FIND(",", MAIN!E510)-1, LEN(MAIN!E510))), " ", ""), lookup_values!$D$2:$E$197, 2, FALSE)), "--", VLOOKUP(SUBSTITUTE(LEFT(MAIN!E510, IFERROR(FIND(",", MAIN!E510)-1, LEN(MAIN!E510))), " ", ""), lookup_values!$D$2:$E$197, 2, FALSE)))))</f>
        <v>--</v>
      </c>
      <c r="F510" t="str">
        <f>IF(ISBLANK(MAIN!F510), "", IF(AND(ISNUMBER(VALUE(TRIM(MAIN!F510))), LEN(TRIM(MAIN!F510))=4), VALUE(TRIM(MAIN!F510)), ""))</f>
        <v/>
      </c>
      <c r="G510">
        <f>IF(ISBLANK(MAIN!G510), 0, IF(ISNUMBER(VALUE(TRIM(MAIN!G510))), VALUE(TRIM(MAIN!G510)), 0))</f>
        <v>0</v>
      </c>
      <c r="H510">
        <f>IF(ISBLANK(MAIN!H510), 0, IF(ISNUMBER(VALUE(TRIM(MAIN!H510))), VALUE(TRIM(MAIN!H510)), 0))</f>
        <v>0</v>
      </c>
      <c r="I510">
        <f>IF(ISBLANK(MAIN!I510), 0, IF(ISNUMBER(VALUE(TRIM(MAIN!I510))), VALUE(TRIM(MAIN!I510)), 0))</f>
        <v>0</v>
      </c>
      <c r="J510">
        <f>IF(ISBLANK(MAIN!J510), 0, IF(ISNUMBER(VALUE(TRIM(MAIN!J510))), VALUE(TRIM(MAIN!J510)), 0))</f>
        <v>0</v>
      </c>
      <c r="K510" cm="1">
        <f t="array" ref="K510">IFERROR(
    VALUE(
        IFERROR(
            UPPER(
                IF(MAX(IFERROR(SEARCH("WD",MAIN!G510:J510), 0))&gt;0, "WD",
                IF(MAX(IFERROR(SEARCH("NS",MAIN!G510:J510), 0))&gt;0, "NS",
                IF(MAX(IFERROR(SEARCH("NC",MAIN!G510:J510), 0))&gt;0, "NC",
                IF(MAX(IFERROR(SEARCH("DQ",MAIN!G510:J510), 0))&gt;0, "DQ",
                IF(ISNUMBER(SEARCH("WD",MAIN!K510)), "WD",
                IF(ISNUMBER(SEARCH("NS",MAIN!K510)), "NS",
                IF(ISNUMBER(SEARCH("NC",MAIN!K510)), "NC",
                IF(ISNUMBER(SEARCH("DQ",MAIN!K510)), "DQ",
                IF(ISNUMBER(SEARCH("A",MAIN!K510)), 0,
                IF(OR(MAIN!K510=0,MAIN!K510=""), 0, --TRIM(MAIN!K510)))))))))))),
            0
        )
    ),
    IFERROR(
        UPPER(
            IF(MAX(IFERROR(SEARCH("WD",MAIN!G510:J510), 0))&gt;0, "WD",
            IF(MAX(IFERROR(SEARCH("NS",MAIN!G510:J510), 0))&gt;0, "NS",
            IF(MAX(IFERROR(SEARCH("NC",MAIN!G510:J510), 0))&gt;0, "NC",
            IF(MAX(IFERROR(SEARCH("DQ",MAIN!G510:J510), 0))&gt;0, "DQ",
            IF(ISNUMBER(SEARCH("WD",MAIN!K510)), "WD",
            IF(ISNUMBER(SEARCH("NS",MAIN!K510)), "NS",
            IF(ISNUMBER(SEARCH("NC",MAIN!K510)), "NC",
            IF(ISNUMBER(SEARCH("DQ",MAIN!K510)), "DQ",
            IF(ISNUMBER(SEARCH("A",MAIN!K510)), 0,
            IF(OR(MAIN!K510=0,MAIN!K510=""), 0, --TRIM(MAIN!K510)))))))))))),
        0
    )
)</f>
        <v>0</v>
      </c>
    </row>
    <row r="511" spans="1:11" x14ac:dyDescent="0.25">
      <c r="A511" t="str">
        <f>IF(ISBLANK(MAIN!A511), "--", IFERROR(PROPER(SUBSTITUTE(SUBSTITUTE(SUBSTITUTE(SUBSTITUTE(SUBSTITUTE(SUBSTITUTE(SUBSTITUTE(SUBSTITUTE(SUBSTITUTE(SUBSTITUTE(LEFT(MAIN!A511, FIND(",",MAIN!A511) -1), "0", ""), "1", ""), "2", ""), "3", ""), "4", ""), "5", ""), "6", ""), "7", ""), "8", ""), "9", "")), PROPER(SUBSTITUTE(SUBSTITUTE(SUBSTITUTE(SUBSTITUTE(SUBSTITUTE(SUBSTITUTE(SUBSTITUTE(SUBSTITUTE(SUBSTITUTE(SUBSTITUTE(MAIN!A511, "0", ""), "1", ""), "2", ""), "3", ""), "4", ""), "5", ""), "6", ""), "7", ""), "8", ""), "9", ""))))</f>
        <v>--</v>
      </c>
      <c r="B511" t="str">
        <f>IF(ISBLANK(MAIN!B511), "--", IFERROR(PROPER(SUBSTITUTE(SUBSTITUTE(SUBSTITUTE(SUBSTITUTE(SUBSTITUTE(SUBSTITUTE(SUBSTITUTE(SUBSTITUTE(SUBSTITUTE(SUBSTITUTE(LEFT(MAIN!B511, FIND(",",MAIN!B511) -1), "0", ""), "1", ""), "2", ""), "3", ""), "4", ""), "5", ""), "6", ""), "7", ""), "8", ""), "9", "")), PROPER(SUBSTITUTE(SUBSTITUTE(SUBSTITUTE(SUBSTITUTE(SUBSTITUTE(SUBSTITUTE(SUBSTITUTE(SUBSTITUTE(SUBSTITUTE(SUBSTITUTE(MAIN!B511, "0", ""), "1", ""), "2", ""), "3", ""), "4", ""), "5", ""), "6", ""), "7", ""), "8", ""), "9", ""))))</f>
        <v>--</v>
      </c>
      <c r="C511" t="str">
        <f>IF(ISBLANK(MAIN!C511), "--", IFERROR(PROPER(SUBSTITUTE(SUBSTITUTE(SUBSTITUTE(SUBSTITUTE(SUBSTITUTE(SUBSTITUTE(SUBSTITUTE(SUBSTITUTE(SUBSTITUTE(SUBSTITUTE(LEFT(MAIN!C511, FIND(",",MAIN!C511) -1), "0", ""), "1", ""), "2", ""), "3", ""), "4", ""), "5", ""), "6", ""), "7", ""), "8", ""), "9", "")), PROPER(SUBSTITUTE(SUBSTITUTE(SUBSTITUTE(SUBSTITUTE(SUBSTITUTE(SUBSTITUTE(SUBSTITUTE(SUBSTITUTE(SUBSTITUTE(SUBSTITUTE(MAIN!C511, "0", ""), "1", ""), "2", ""), "3", ""), "4", ""), "5", ""), "6", ""), "7", ""), "8", ""), "9", ""))))</f>
        <v>--</v>
      </c>
      <c r="D511" t="str">
        <f>IF(ISBLANK(MAIN!D511), "--", IF(ISNUMBER(MATCH(SUBSTITUTE(LEFT(MAIN!D511, IFERROR(FIND(",", MAIN!D511)-1, LEN(MAIN!D511))), " ", ""), lookup_values!$B$2:$B$51, 0)), UPPER(SUBSTITUTE(LEFT(MAIN!D511, IFERROR(FIND(",", MAIN!D511)-1, LEN(MAIN!D511))), " ", "")), IF(ISNA(VLOOKUP(SUBSTITUTE(LEFT(MAIN!D511, IFERROR(FIND(",", MAIN!D511)-1, LEN(MAIN!D511))), " ", ""), lookup_values!$A$2:$B$51, 2, FALSE)), "--", VLOOKUP(SUBSTITUTE(LEFT(MAIN!D511, IFERROR(FIND(",", MAIN!D511)-1, LEN(MAIN!D511))), " ", ""), lookup_values!$A$2:$B$51, 2, FALSE))))</f>
        <v>--</v>
      </c>
      <c r="E511" t="str">
        <f>IF(CLEAN_DATA!D511&lt;&gt;"--","US",IF(ISBLANK(MAIN!E511), "--", IF(ISNUMBER(MATCH(SUBSTITUTE(LEFT(MAIN!E511, IFERROR(FIND(",", MAIN!E511)-1, LEN(MAIN!E511))), " ", ""), lookup_values!$E$2:$E$197, 0)), UPPER(SUBSTITUTE(LEFT(MAIN!E511, IFERROR(FIND(",", MAIN!E511)-1, LEN(MAIN!E511))), " ", "")), IF(ISNA(VLOOKUP(SUBSTITUTE(LEFT(MAIN!E511, IFERROR(FIND(",", MAIN!E511)-1, LEN(MAIN!E511))), " ", ""), lookup_values!$D$2:$E$197, 2, FALSE)), "--", VLOOKUP(SUBSTITUTE(LEFT(MAIN!E511, IFERROR(FIND(",", MAIN!E511)-1, LEN(MAIN!E511))), " ", ""), lookup_values!$D$2:$E$197, 2, FALSE)))))</f>
        <v>--</v>
      </c>
      <c r="F511" t="str">
        <f>IF(ISBLANK(MAIN!F511), "", IF(AND(ISNUMBER(VALUE(TRIM(MAIN!F511))), LEN(TRIM(MAIN!F511))=4), VALUE(TRIM(MAIN!F511)), ""))</f>
        <v/>
      </c>
      <c r="G511">
        <f>IF(ISBLANK(MAIN!G511), 0, IF(ISNUMBER(VALUE(TRIM(MAIN!G511))), VALUE(TRIM(MAIN!G511)), 0))</f>
        <v>0</v>
      </c>
      <c r="H511">
        <f>IF(ISBLANK(MAIN!H511), 0, IF(ISNUMBER(VALUE(TRIM(MAIN!H511))), VALUE(TRIM(MAIN!H511)), 0))</f>
        <v>0</v>
      </c>
      <c r="I511">
        <f>IF(ISBLANK(MAIN!I511), 0, IF(ISNUMBER(VALUE(TRIM(MAIN!I511))), VALUE(TRIM(MAIN!I511)), 0))</f>
        <v>0</v>
      </c>
      <c r="J511">
        <f>IF(ISBLANK(MAIN!J511), 0, IF(ISNUMBER(VALUE(TRIM(MAIN!J511))), VALUE(TRIM(MAIN!J511)), 0))</f>
        <v>0</v>
      </c>
      <c r="K511" cm="1">
        <f t="array" ref="K511">IFERROR(
    VALUE(
        IFERROR(
            UPPER(
                IF(MAX(IFERROR(SEARCH("WD",MAIN!G511:J511), 0))&gt;0, "WD",
                IF(MAX(IFERROR(SEARCH("NS",MAIN!G511:J511), 0))&gt;0, "NS",
                IF(MAX(IFERROR(SEARCH("NC",MAIN!G511:J511), 0))&gt;0, "NC",
                IF(MAX(IFERROR(SEARCH("DQ",MAIN!G511:J511), 0))&gt;0, "DQ",
                IF(ISNUMBER(SEARCH("WD",MAIN!K511)), "WD",
                IF(ISNUMBER(SEARCH("NS",MAIN!K511)), "NS",
                IF(ISNUMBER(SEARCH("NC",MAIN!K511)), "NC",
                IF(ISNUMBER(SEARCH("DQ",MAIN!K511)), "DQ",
                IF(ISNUMBER(SEARCH("A",MAIN!K511)), 0,
                IF(OR(MAIN!K511=0,MAIN!K511=""), 0, --TRIM(MAIN!K511)))))))))))),
            0
        )
    ),
    IFERROR(
        UPPER(
            IF(MAX(IFERROR(SEARCH("WD",MAIN!G511:J511), 0))&gt;0, "WD",
            IF(MAX(IFERROR(SEARCH("NS",MAIN!G511:J511), 0))&gt;0, "NS",
            IF(MAX(IFERROR(SEARCH("NC",MAIN!G511:J511), 0))&gt;0, "NC",
            IF(MAX(IFERROR(SEARCH("DQ",MAIN!G511:J511), 0))&gt;0, "DQ",
            IF(ISNUMBER(SEARCH("WD",MAIN!K511)), "WD",
            IF(ISNUMBER(SEARCH("NS",MAIN!K511)), "NS",
            IF(ISNUMBER(SEARCH("NC",MAIN!K511)), "NC",
            IF(ISNUMBER(SEARCH("DQ",MAIN!K511)), "DQ",
            IF(ISNUMBER(SEARCH("A",MAIN!K511)), 0,
            IF(OR(MAIN!K511=0,MAIN!K511=""), 0, --TRIM(MAIN!K511)))))))))))),
        0
    )
)</f>
        <v>0</v>
      </c>
    </row>
    <row r="512" spans="1:11" x14ac:dyDescent="0.25">
      <c r="A512" t="str">
        <f>IF(ISBLANK(MAIN!A512), "--", IFERROR(PROPER(SUBSTITUTE(SUBSTITUTE(SUBSTITUTE(SUBSTITUTE(SUBSTITUTE(SUBSTITUTE(SUBSTITUTE(SUBSTITUTE(SUBSTITUTE(SUBSTITUTE(LEFT(MAIN!A512, FIND(",",MAIN!A512) -1), "0", ""), "1", ""), "2", ""), "3", ""), "4", ""), "5", ""), "6", ""), "7", ""), "8", ""), "9", "")), PROPER(SUBSTITUTE(SUBSTITUTE(SUBSTITUTE(SUBSTITUTE(SUBSTITUTE(SUBSTITUTE(SUBSTITUTE(SUBSTITUTE(SUBSTITUTE(SUBSTITUTE(MAIN!A512, "0", ""), "1", ""), "2", ""), "3", ""), "4", ""), "5", ""), "6", ""), "7", ""), "8", ""), "9", ""))))</f>
        <v>--</v>
      </c>
      <c r="B512" t="str">
        <f>IF(ISBLANK(MAIN!B512), "--", IFERROR(PROPER(SUBSTITUTE(SUBSTITUTE(SUBSTITUTE(SUBSTITUTE(SUBSTITUTE(SUBSTITUTE(SUBSTITUTE(SUBSTITUTE(SUBSTITUTE(SUBSTITUTE(LEFT(MAIN!B512, FIND(",",MAIN!B512) -1), "0", ""), "1", ""), "2", ""), "3", ""), "4", ""), "5", ""), "6", ""), "7", ""), "8", ""), "9", "")), PROPER(SUBSTITUTE(SUBSTITUTE(SUBSTITUTE(SUBSTITUTE(SUBSTITUTE(SUBSTITUTE(SUBSTITUTE(SUBSTITUTE(SUBSTITUTE(SUBSTITUTE(MAIN!B512, "0", ""), "1", ""), "2", ""), "3", ""), "4", ""), "5", ""), "6", ""), "7", ""), "8", ""), "9", ""))))</f>
        <v>--</v>
      </c>
      <c r="C512" t="str">
        <f>IF(ISBLANK(MAIN!C512), "--", IFERROR(PROPER(SUBSTITUTE(SUBSTITUTE(SUBSTITUTE(SUBSTITUTE(SUBSTITUTE(SUBSTITUTE(SUBSTITUTE(SUBSTITUTE(SUBSTITUTE(SUBSTITUTE(LEFT(MAIN!C512, FIND(",",MAIN!C512) -1), "0", ""), "1", ""), "2", ""), "3", ""), "4", ""), "5", ""), "6", ""), "7", ""), "8", ""), "9", "")), PROPER(SUBSTITUTE(SUBSTITUTE(SUBSTITUTE(SUBSTITUTE(SUBSTITUTE(SUBSTITUTE(SUBSTITUTE(SUBSTITUTE(SUBSTITUTE(SUBSTITUTE(MAIN!C512, "0", ""), "1", ""), "2", ""), "3", ""), "4", ""), "5", ""), "6", ""), "7", ""), "8", ""), "9", ""))))</f>
        <v>--</v>
      </c>
      <c r="D512" t="str">
        <f>IF(ISBLANK(MAIN!D512), "--", IF(ISNUMBER(MATCH(SUBSTITUTE(LEFT(MAIN!D512, IFERROR(FIND(",", MAIN!D512)-1, LEN(MAIN!D512))), " ", ""), lookup_values!$B$2:$B$51, 0)), UPPER(SUBSTITUTE(LEFT(MAIN!D512, IFERROR(FIND(",", MAIN!D512)-1, LEN(MAIN!D512))), " ", "")), IF(ISNA(VLOOKUP(SUBSTITUTE(LEFT(MAIN!D512, IFERROR(FIND(",", MAIN!D512)-1, LEN(MAIN!D512))), " ", ""), lookup_values!$A$2:$B$51, 2, FALSE)), "--", VLOOKUP(SUBSTITUTE(LEFT(MAIN!D512, IFERROR(FIND(",", MAIN!D512)-1, LEN(MAIN!D512))), " ", ""), lookup_values!$A$2:$B$51, 2, FALSE))))</f>
        <v>--</v>
      </c>
      <c r="E512" t="str">
        <f>IF(CLEAN_DATA!D512&lt;&gt;"--","US",IF(ISBLANK(MAIN!E512), "--", IF(ISNUMBER(MATCH(SUBSTITUTE(LEFT(MAIN!E512, IFERROR(FIND(",", MAIN!E512)-1, LEN(MAIN!E512))), " ", ""), lookup_values!$E$2:$E$197, 0)), UPPER(SUBSTITUTE(LEFT(MAIN!E512, IFERROR(FIND(",", MAIN!E512)-1, LEN(MAIN!E512))), " ", "")), IF(ISNA(VLOOKUP(SUBSTITUTE(LEFT(MAIN!E512, IFERROR(FIND(",", MAIN!E512)-1, LEN(MAIN!E512))), " ", ""), lookup_values!$D$2:$E$197, 2, FALSE)), "--", VLOOKUP(SUBSTITUTE(LEFT(MAIN!E512, IFERROR(FIND(",", MAIN!E512)-1, LEN(MAIN!E512))), " ", ""), lookup_values!$D$2:$E$197, 2, FALSE)))))</f>
        <v>--</v>
      </c>
      <c r="F512" t="str">
        <f>IF(ISBLANK(MAIN!F512), "", IF(AND(ISNUMBER(VALUE(TRIM(MAIN!F512))), LEN(TRIM(MAIN!F512))=4), VALUE(TRIM(MAIN!F512)), ""))</f>
        <v/>
      </c>
      <c r="G512">
        <f>IF(ISBLANK(MAIN!G512), 0, IF(ISNUMBER(VALUE(TRIM(MAIN!G512))), VALUE(TRIM(MAIN!G512)), 0))</f>
        <v>0</v>
      </c>
      <c r="H512">
        <f>IF(ISBLANK(MAIN!H512), 0, IF(ISNUMBER(VALUE(TRIM(MAIN!H512))), VALUE(TRIM(MAIN!H512)), 0))</f>
        <v>0</v>
      </c>
      <c r="I512">
        <f>IF(ISBLANK(MAIN!I512), 0, IF(ISNUMBER(VALUE(TRIM(MAIN!I512))), VALUE(TRIM(MAIN!I512)), 0))</f>
        <v>0</v>
      </c>
      <c r="J512">
        <f>IF(ISBLANK(MAIN!J512), 0, IF(ISNUMBER(VALUE(TRIM(MAIN!J512))), VALUE(TRIM(MAIN!J512)), 0))</f>
        <v>0</v>
      </c>
      <c r="K512" cm="1">
        <f t="array" ref="K512">IFERROR(
    VALUE(
        IFERROR(
            UPPER(
                IF(MAX(IFERROR(SEARCH("WD",MAIN!G512:J512), 0))&gt;0, "WD",
                IF(MAX(IFERROR(SEARCH("NS",MAIN!G512:J512), 0))&gt;0, "NS",
                IF(MAX(IFERROR(SEARCH("NC",MAIN!G512:J512), 0))&gt;0, "NC",
                IF(MAX(IFERROR(SEARCH("DQ",MAIN!G512:J512), 0))&gt;0, "DQ",
                IF(ISNUMBER(SEARCH("WD",MAIN!K512)), "WD",
                IF(ISNUMBER(SEARCH("NS",MAIN!K512)), "NS",
                IF(ISNUMBER(SEARCH("NC",MAIN!K512)), "NC",
                IF(ISNUMBER(SEARCH("DQ",MAIN!K512)), "DQ",
                IF(ISNUMBER(SEARCH("A",MAIN!K512)), 0,
                IF(OR(MAIN!K512=0,MAIN!K512=""), 0, --TRIM(MAIN!K512)))))))))))),
            0
        )
    ),
    IFERROR(
        UPPER(
            IF(MAX(IFERROR(SEARCH("WD",MAIN!G512:J512), 0))&gt;0, "WD",
            IF(MAX(IFERROR(SEARCH("NS",MAIN!G512:J512), 0))&gt;0, "NS",
            IF(MAX(IFERROR(SEARCH("NC",MAIN!G512:J512), 0))&gt;0, "NC",
            IF(MAX(IFERROR(SEARCH("DQ",MAIN!G512:J512), 0))&gt;0, "DQ",
            IF(ISNUMBER(SEARCH("WD",MAIN!K512)), "WD",
            IF(ISNUMBER(SEARCH("NS",MAIN!K512)), "NS",
            IF(ISNUMBER(SEARCH("NC",MAIN!K512)), "NC",
            IF(ISNUMBER(SEARCH("DQ",MAIN!K512)), "DQ",
            IF(ISNUMBER(SEARCH("A",MAIN!K512)), 0,
            IF(OR(MAIN!K512=0,MAIN!K512=""), 0, --TRIM(MAIN!K512)))))))))))),
        0
    )
)</f>
        <v>0</v>
      </c>
    </row>
    <row r="513" spans="1:11" x14ac:dyDescent="0.25">
      <c r="A513" t="str">
        <f>IF(ISBLANK(MAIN!A513), "--", IFERROR(PROPER(SUBSTITUTE(SUBSTITUTE(SUBSTITUTE(SUBSTITUTE(SUBSTITUTE(SUBSTITUTE(SUBSTITUTE(SUBSTITUTE(SUBSTITUTE(SUBSTITUTE(LEFT(MAIN!A513, FIND(",",MAIN!A513) -1), "0", ""), "1", ""), "2", ""), "3", ""), "4", ""), "5", ""), "6", ""), "7", ""), "8", ""), "9", "")), PROPER(SUBSTITUTE(SUBSTITUTE(SUBSTITUTE(SUBSTITUTE(SUBSTITUTE(SUBSTITUTE(SUBSTITUTE(SUBSTITUTE(SUBSTITUTE(SUBSTITUTE(MAIN!A513, "0", ""), "1", ""), "2", ""), "3", ""), "4", ""), "5", ""), "6", ""), "7", ""), "8", ""), "9", ""))))</f>
        <v>--</v>
      </c>
      <c r="B513" t="str">
        <f>IF(ISBLANK(MAIN!B513), "--", IFERROR(PROPER(SUBSTITUTE(SUBSTITUTE(SUBSTITUTE(SUBSTITUTE(SUBSTITUTE(SUBSTITUTE(SUBSTITUTE(SUBSTITUTE(SUBSTITUTE(SUBSTITUTE(LEFT(MAIN!B513, FIND(",",MAIN!B513) -1), "0", ""), "1", ""), "2", ""), "3", ""), "4", ""), "5", ""), "6", ""), "7", ""), "8", ""), "9", "")), PROPER(SUBSTITUTE(SUBSTITUTE(SUBSTITUTE(SUBSTITUTE(SUBSTITUTE(SUBSTITUTE(SUBSTITUTE(SUBSTITUTE(SUBSTITUTE(SUBSTITUTE(MAIN!B513, "0", ""), "1", ""), "2", ""), "3", ""), "4", ""), "5", ""), "6", ""), "7", ""), "8", ""), "9", ""))))</f>
        <v>--</v>
      </c>
      <c r="C513" t="str">
        <f>IF(ISBLANK(MAIN!C513), "--", IFERROR(PROPER(SUBSTITUTE(SUBSTITUTE(SUBSTITUTE(SUBSTITUTE(SUBSTITUTE(SUBSTITUTE(SUBSTITUTE(SUBSTITUTE(SUBSTITUTE(SUBSTITUTE(LEFT(MAIN!C513, FIND(",",MAIN!C513) -1), "0", ""), "1", ""), "2", ""), "3", ""), "4", ""), "5", ""), "6", ""), "7", ""), "8", ""), "9", "")), PROPER(SUBSTITUTE(SUBSTITUTE(SUBSTITUTE(SUBSTITUTE(SUBSTITUTE(SUBSTITUTE(SUBSTITUTE(SUBSTITUTE(SUBSTITUTE(SUBSTITUTE(MAIN!C513, "0", ""), "1", ""), "2", ""), "3", ""), "4", ""), "5", ""), "6", ""), "7", ""), "8", ""), "9", ""))))</f>
        <v>--</v>
      </c>
      <c r="D513" t="str">
        <f>IF(ISBLANK(MAIN!D513), "--", IF(ISNUMBER(MATCH(SUBSTITUTE(LEFT(MAIN!D513, IFERROR(FIND(",", MAIN!D513)-1, LEN(MAIN!D513))), " ", ""), lookup_values!$B$2:$B$51, 0)), UPPER(SUBSTITUTE(LEFT(MAIN!D513, IFERROR(FIND(",", MAIN!D513)-1, LEN(MAIN!D513))), " ", "")), IF(ISNA(VLOOKUP(SUBSTITUTE(LEFT(MAIN!D513, IFERROR(FIND(",", MAIN!D513)-1, LEN(MAIN!D513))), " ", ""), lookup_values!$A$2:$B$51, 2, FALSE)), "--", VLOOKUP(SUBSTITUTE(LEFT(MAIN!D513, IFERROR(FIND(",", MAIN!D513)-1, LEN(MAIN!D513))), " ", ""), lookup_values!$A$2:$B$51, 2, FALSE))))</f>
        <v>--</v>
      </c>
      <c r="E513" t="str">
        <f>IF(CLEAN_DATA!D513&lt;&gt;"--","US",IF(ISBLANK(MAIN!E513), "--", IF(ISNUMBER(MATCH(SUBSTITUTE(LEFT(MAIN!E513, IFERROR(FIND(",", MAIN!E513)-1, LEN(MAIN!E513))), " ", ""), lookup_values!$E$2:$E$197, 0)), UPPER(SUBSTITUTE(LEFT(MAIN!E513, IFERROR(FIND(",", MAIN!E513)-1, LEN(MAIN!E513))), " ", "")), IF(ISNA(VLOOKUP(SUBSTITUTE(LEFT(MAIN!E513, IFERROR(FIND(",", MAIN!E513)-1, LEN(MAIN!E513))), " ", ""), lookup_values!$D$2:$E$197, 2, FALSE)), "--", VLOOKUP(SUBSTITUTE(LEFT(MAIN!E513, IFERROR(FIND(",", MAIN!E513)-1, LEN(MAIN!E513))), " ", ""), lookup_values!$D$2:$E$197, 2, FALSE)))))</f>
        <v>--</v>
      </c>
      <c r="F513" t="str">
        <f>IF(ISBLANK(MAIN!F513), "", IF(AND(ISNUMBER(VALUE(TRIM(MAIN!F513))), LEN(TRIM(MAIN!F513))=4), VALUE(TRIM(MAIN!F513)), ""))</f>
        <v/>
      </c>
      <c r="G513">
        <f>IF(ISBLANK(MAIN!G513), 0, IF(ISNUMBER(VALUE(TRIM(MAIN!G513))), VALUE(TRIM(MAIN!G513)), 0))</f>
        <v>0</v>
      </c>
      <c r="H513">
        <f>IF(ISBLANK(MAIN!H513), 0, IF(ISNUMBER(VALUE(TRIM(MAIN!H513))), VALUE(TRIM(MAIN!H513)), 0))</f>
        <v>0</v>
      </c>
      <c r="I513">
        <f>IF(ISBLANK(MAIN!I513), 0, IF(ISNUMBER(VALUE(TRIM(MAIN!I513))), VALUE(TRIM(MAIN!I513)), 0))</f>
        <v>0</v>
      </c>
      <c r="J513">
        <f>IF(ISBLANK(MAIN!J513), 0, IF(ISNUMBER(VALUE(TRIM(MAIN!J513))), VALUE(TRIM(MAIN!J513)), 0))</f>
        <v>0</v>
      </c>
      <c r="K513" cm="1">
        <f t="array" ref="K513">IFERROR(
    VALUE(
        IFERROR(
            UPPER(
                IF(MAX(IFERROR(SEARCH("WD",MAIN!G513:J513), 0))&gt;0, "WD",
                IF(MAX(IFERROR(SEARCH("NS",MAIN!G513:J513), 0))&gt;0, "NS",
                IF(MAX(IFERROR(SEARCH("NC",MAIN!G513:J513), 0))&gt;0, "NC",
                IF(MAX(IFERROR(SEARCH("DQ",MAIN!G513:J513), 0))&gt;0, "DQ",
                IF(ISNUMBER(SEARCH("WD",MAIN!K513)), "WD",
                IF(ISNUMBER(SEARCH("NS",MAIN!K513)), "NS",
                IF(ISNUMBER(SEARCH("NC",MAIN!K513)), "NC",
                IF(ISNUMBER(SEARCH("DQ",MAIN!K513)), "DQ",
                IF(ISNUMBER(SEARCH("A",MAIN!K513)), 0,
                IF(OR(MAIN!K513=0,MAIN!K513=""), 0, --TRIM(MAIN!K513)))))))))))),
            0
        )
    ),
    IFERROR(
        UPPER(
            IF(MAX(IFERROR(SEARCH("WD",MAIN!G513:J513), 0))&gt;0, "WD",
            IF(MAX(IFERROR(SEARCH("NS",MAIN!G513:J513), 0))&gt;0, "NS",
            IF(MAX(IFERROR(SEARCH("NC",MAIN!G513:J513), 0))&gt;0, "NC",
            IF(MAX(IFERROR(SEARCH("DQ",MAIN!G513:J513), 0))&gt;0, "DQ",
            IF(ISNUMBER(SEARCH("WD",MAIN!K513)), "WD",
            IF(ISNUMBER(SEARCH("NS",MAIN!K513)), "NS",
            IF(ISNUMBER(SEARCH("NC",MAIN!K513)), "NC",
            IF(ISNUMBER(SEARCH("DQ",MAIN!K513)), "DQ",
            IF(ISNUMBER(SEARCH("A",MAIN!K513)), 0,
            IF(OR(MAIN!K513=0,MAIN!K513=""), 0, --TRIM(MAIN!K513)))))))))))),
        0
    )
)</f>
        <v>0</v>
      </c>
    </row>
    <row r="514" spans="1:11" x14ac:dyDescent="0.25">
      <c r="A514" t="str">
        <f>IF(ISBLANK(MAIN!A514), "--", IFERROR(PROPER(SUBSTITUTE(SUBSTITUTE(SUBSTITUTE(SUBSTITUTE(SUBSTITUTE(SUBSTITUTE(SUBSTITUTE(SUBSTITUTE(SUBSTITUTE(SUBSTITUTE(LEFT(MAIN!A514, FIND(",",MAIN!A514) -1), "0", ""), "1", ""), "2", ""), "3", ""), "4", ""), "5", ""), "6", ""), "7", ""), "8", ""), "9", "")), PROPER(SUBSTITUTE(SUBSTITUTE(SUBSTITUTE(SUBSTITUTE(SUBSTITUTE(SUBSTITUTE(SUBSTITUTE(SUBSTITUTE(SUBSTITUTE(SUBSTITUTE(MAIN!A514, "0", ""), "1", ""), "2", ""), "3", ""), "4", ""), "5", ""), "6", ""), "7", ""), "8", ""), "9", ""))))</f>
        <v>--</v>
      </c>
      <c r="B514" t="str">
        <f>IF(ISBLANK(MAIN!B514), "--", IFERROR(PROPER(SUBSTITUTE(SUBSTITUTE(SUBSTITUTE(SUBSTITUTE(SUBSTITUTE(SUBSTITUTE(SUBSTITUTE(SUBSTITUTE(SUBSTITUTE(SUBSTITUTE(LEFT(MAIN!B514, FIND(",",MAIN!B514) -1), "0", ""), "1", ""), "2", ""), "3", ""), "4", ""), "5", ""), "6", ""), "7", ""), "8", ""), "9", "")), PROPER(SUBSTITUTE(SUBSTITUTE(SUBSTITUTE(SUBSTITUTE(SUBSTITUTE(SUBSTITUTE(SUBSTITUTE(SUBSTITUTE(SUBSTITUTE(SUBSTITUTE(MAIN!B514, "0", ""), "1", ""), "2", ""), "3", ""), "4", ""), "5", ""), "6", ""), "7", ""), "8", ""), "9", ""))))</f>
        <v>--</v>
      </c>
      <c r="C514" t="str">
        <f>IF(ISBLANK(MAIN!C514), "--", IFERROR(PROPER(SUBSTITUTE(SUBSTITUTE(SUBSTITUTE(SUBSTITUTE(SUBSTITUTE(SUBSTITUTE(SUBSTITUTE(SUBSTITUTE(SUBSTITUTE(SUBSTITUTE(LEFT(MAIN!C514, FIND(",",MAIN!C514) -1), "0", ""), "1", ""), "2", ""), "3", ""), "4", ""), "5", ""), "6", ""), "7", ""), "8", ""), "9", "")), PROPER(SUBSTITUTE(SUBSTITUTE(SUBSTITUTE(SUBSTITUTE(SUBSTITUTE(SUBSTITUTE(SUBSTITUTE(SUBSTITUTE(SUBSTITUTE(SUBSTITUTE(MAIN!C514, "0", ""), "1", ""), "2", ""), "3", ""), "4", ""), "5", ""), "6", ""), "7", ""), "8", ""), "9", ""))))</f>
        <v>--</v>
      </c>
      <c r="D514" t="str">
        <f>IF(ISBLANK(MAIN!D514), "--", IF(ISNUMBER(MATCH(SUBSTITUTE(LEFT(MAIN!D514, IFERROR(FIND(",", MAIN!D514)-1, LEN(MAIN!D514))), " ", ""), lookup_values!$B$2:$B$51, 0)), UPPER(SUBSTITUTE(LEFT(MAIN!D514, IFERROR(FIND(",", MAIN!D514)-1, LEN(MAIN!D514))), " ", "")), IF(ISNA(VLOOKUP(SUBSTITUTE(LEFT(MAIN!D514, IFERROR(FIND(",", MAIN!D514)-1, LEN(MAIN!D514))), " ", ""), lookup_values!$A$2:$B$51, 2, FALSE)), "--", VLOOKUP(SUBSTITUTE(LEFT(MAIN!D514, IFERROR(FIND(",", MAIN!D514)-1, LEN(MAIN!D514))), " ", ""), lookup_values!$A$2:$B$51, 2, FALSE))))</f>
        <v>--</v>
      </c>
      <c r="E514" t="str">
        <f>IF(CLEAN_DATA!D514&lt;&gt;"--","US",IF(ISBLANK(MAIN!E514), "--", IF(ISNUMBER(MATCH(SUBSTITUTE(LEFT(MAIN!E514, IFERROR(FIND(",", MAIN!E514)-1, LEN(MAIN!E514))), " ", ""), lookup_values!$E$2:$E$197, 0)), UPPER(SUBSTITUTE(LEFT(MAIN!E514, IFERROR(FIND(",", MAIN!E514)-1, LEN(MAIN!E514))), " ", "")), IF(ISNA(VLOOKUP(SUBSTITUTE(LEFT(MAIN!E514, IFERROR(FIND(",", MAIN!E514)-1, LEN(MAIN!E514))), " ", ""), lookup_values!$D$2:$E$197, 2, FALSE)), "--", VLOOKUP(SUBSTITUTE(LEFT(MAIN!E514, IFERROR(FIND(",", MAIN!E514)-1, LEN(MAIN!E514))), " ", ""), lookup_values!$D$2:$E$197, 2, FALSE)))))</f>
        <v>--</v>
      </c>
      <c r="F514" t="str">
        <f>IF(ISBLANK(MAIN!F514), "", IF(AND(ISNUMBER(VALUE(TRIM(MAIN!F514))), LEN(TRIM(MAIN!F514))=4), VALUE(TRIM(MAIN!F514)), ""))</f>
        <v/>
      </c>
      <c r="G514">
        <f>IF(ISBLANK(MAIN!G514), 0, IF(ISNUMBER(VALUE(TRIM(MAIN!G514))), VALUE(TRIM(MAIN!G514)), 0))</f>
        <v>0</v>
      </c>
      <c r="H514">
        <f>IF(ISBLANK(MAIN!H514), 0, IF(ISNUMBER(VALUE(TRIM(MAIN!H514))), VALUE(TRIM(MAIN!H514)), 0))</f>
        <v>0</v>
      </c>
      <c r="I514">
        <f>IF(ISBLANK(MAIN!I514), 0, IF(ISNUMBER(VALUE(TRIM(MAIN!I514))), VALUE(TRIM(MAIN!I514)), 0))</f>
        <v>0</v>
      </c>
      <c r="J514">
        <f>IF(ISBLANK(MAIN!J514), 0, IF(ISNUMBER(VALUE(TRIM(MAIN!J514))), VALUE(TRIM(MAIN!J514)), 0))</f>
        <v>0</v>
      </c>
      <c r="K514" cm="1">
        <f t="array" ref="K514">IFERROR(
    VALUE(
        IFERROR(
            UPPER(
                IF(MAX(IFERROR(SEARCH("WD",MAIN!G514:J514), 0))&gt;0, "WD",
                IF(MAX(IFERROR(SEARCH("NS",MAIN!G514:J514), 0))&gt;0, "NS",
                IF(MAX(IFERROR(SEARCH("NC",MAIN!G514:J514), 0))&gt;0, "NC",
                IF(MAX(IFERROR(SEARCH("DQ",MAIN!G514:J514), 0))&gt;0, "DQ",
                IF(ISNUMBER(SEARCH("WD",MAIN!K514)), "WD",
                IF(ISNUMBER(SEARCH("NS",MAIN!K514)), "NS",
                IF(ISNUMBER(SEARCH("NC",MAIN!K514)), "NC",
                IF(ISNUMBER(SEARCH("DQ",MAIN!K514)), "DQ",
                IF(ISNUMBER(SEARCH("A",MAIN!K514)), 0,
                IF(OR(MAIN!K514=0,MAIN!K514=""), 0, --TRIM(MAIN!K514)))))))))))),
            0
        )
    ),
    IFERROR(
        UPPER(
            IF(MAX(IFERROR(SEARCH("WD",MAIN!G514:J514), 0))&gt;0, "WD",
            IF(MAX(IFERROR(SEARCH("NS",MAIN!G514:J514), 0))&gt;0, "NS",
            IF(MAX(IFERROR(SEARCH("NC",MAIN!G514:J514), 0))&gt;0, "NC",
            IF(MAX(IFERROR(SEARCH("DQ",MAIN!G514:J514), 0))&gt;0, "DQ",
            IF(ISNUMBER(SEARCH("WD",MAIN!K514)), "WD",
            IF(ISNUMBER(SEARCH("NS",MAIN!K514)), "NS",
            IF(ISNUMBER(SEARCH("NC",MAIN!K514)), "NC",
            IF(ISNUMBER(SEARCH("DQ",MAIN!K514)), "DQ",
            IF(ISNUMBER(SEARCH("A",MAIN!K514)), 0,
            IF(OR(MAIN!K514=0,MAIN!K514=""), 0, --TRIM(MAIN!K514)))))))))))),
        0
    )
)</f>
        <v>0</v>
      </c>
    </row>
    <row r="515" spans="1:11" x14ac:dyDescent="0.25">
      <c r="A515" t="str">
        <f>IF(ISBLANK(MAIN!A515), "--", IFERROR(PROPER(SUBSTITUTE(SUBSTITUTE(SUBSTITUTE(SUBSTITUTE(SUBSTITUTE(SUBSTITUTE(SUBSTITUTE(SUBSTITUTE(SUBSTITUTE(SUBSTITUTE(LEFT(MAIN!A515, FIND(",",MAIN!A515) -1), "0", ""), "1", ""), "2", ""), "3", ""), "4", ""), "5", ""), "6", ""), "7", ""), "8", ""), "9", "")), PROPER(SUBSTITUTE(SUBSTITUTE(SUBSTITUTE(SUBSTITUTE(SUBSTITUTE(SUBSTITUTE(SUBSTITUTE(SUBSTITUTE(SUBSTITUTE(SUBSTITUTE(MAIN!A515, "0", ""), "1", ""), "2", ""), "3", ""), "4", ""), "5", ""), "6", ""), "7", ""), "8", ""), "9", ""))))</f>
        <v>--</v>
      </c>
      <c r="B515" t="str">
        <f>IF(ISBLANK(MAIN!B515), "--", IFERROR(PROPER(SUBSTITUTE(SUBSTITUTE(SUBSTITUTE(SUBSTITUTE(SUBSTITUTE(SUBSTITUTE(SUBSTITUTE(SUBSTITUTE(SUBSTITUTE(SUBSTITUTE(LEFT(MAIN!B515, FIND(",",MAIN!B515) -1), "0", ""), "1", ""), "2", ""), "3", ""), "4", ""), "5", ""), "6", ""), "7", ""), "8", ""), "9", "")), PROPER(SUBSTITUTE(SUBSTITUTE(SUBSTITUTE(SUBSTITUTE(SUBSTITUTE(SUBSTITUTE(SUBSTITUTE(SUBSTITUTE(SUBSTITUTE(SUBSTITUTE(MAIN!B515, "0", ""), "1", ""), "2", ""), "3", ""), "4", ""), "5", ""), "6", ""), "7", ""), "8", ""), "9", ""))))</f>
        <v>--</v>
      </c>
      <c r="C515" t="str">
        <f>IF(ISBLANK(MAIN!C515), "--", IFERROR(PROPER(SUBSTITUTE(SUBSTITUTE(SUBSTITUTE(SUBSTITUTE(SUBSTITUTE(SUBSTITUTE(SUBSTITUTE(SUBSTITUTE(SUBSTITUTE(SUBSTITUTE(LEFT(MAIN!C515, FIND(",",MAIN!C515) -1), "0", ""), "1", ""), "2", ""), "3", ""), "4", ""), "5", ""), "6", ""), "7", ""), "8", ""), "9", "")), PROPER(SUBSTITUTE(SUBSTITUTE(SUBSTITUTE(SUBSTITUTE(SUBSTITUTE(SUBSTITUTE(SUBSTITUTE(SUBSTITUTE(SUBSTITUTE(SUBSTITUTE(MAIN!C515, "0", ""), "1", ""), "2", ""), "3", ""), "4", ""), "5", ""), "6", ""), "7", ""), "8", ""), "9", ""))))</f>
        <v>--</v>
      </c>
      <c r="D515" t="str">
        <f>IF(ISBLANK(MAIN!D515), "--", IF(ISNUMBER(MATCH(SUBSTITUTE(LEFT(MAIN!D515, IFERROR(FIND(",", MAIN!D515)-1, LEN(MAIN!D515))), " ", ""), lookup_values!$B$2:$B$51, 0)), UPPER(SUBSTITUTE(LEFT(MAIN!D515, IFERROR(FIND(",", MAIN!D515)-1, LEN(MAIN!D515))), " ", "")), IF(ISNA(VLOOKUP(SUBSTITUTE(LEFT(MAIN!D515, IFERROR(FIND(",", MAIN!D515)-1, LEN(MAIN!D515))), " ", ""), lookup_values!$A$2:$B$51, 2, FALSE)), "--", VLOOKUP(SUBSTITUTE(LEFT(MAIN!D515, IFERROR(FIND(",", MAIN!D515)-1, LEN(MAIN!D515))), " ", ""), lookup_values!$A$2:$B$51, 2, FALSE))))</f>
        <v>--</v>
      </c>
      <c r="E515" t="str">
        <f>IF(CLEAN_DATA!D515&lt;&gt;"--","US",IF(ISBLANK(MAIN!E515), "--", IF(ISNUMBER(MATCH(SUBSTITUTE(LEFT(MAIN!E515, IFERROR(FIND(",", MAIN!E515)-1, LEN(MAIN!E515))), " ", ""), lookup_values!$E$2:$E$197, 0)), UPPER(SUBSTITUTE(LEFT(MAIN!E515, IFERROR(FIND(",", MAIN!E515)-1, LEN(MAIN!E515))), " ", "")), IF(ISNA(VLOOKUP(SUBSTITUTE(LEFT(MAIN!E515, IFERROR(FIND(",", MAIN!E515)-1, LEN(MAIN!E515))), " ", ""), lookup_values!$D$2:$E$197, 2, FALSE)), "--", VLOOKUP(SUBSTITUTE(LEFT(MAIN!E515, IFERROR(FIND(",", MAIN!E515)-1, LEN(MAIN!E515))), " ", ""), lookup_values!$D$2:$E$197, 2, FALSE)))))</f>
        <v>--</v>
      </c>
      <c r="F515" t="str">
        <f>IF(ISBLANK(MAIN!F515), "", IF(AND(ISNUMBER(VALUE(TRIM(MAIN!F515))), LEN(TRIM(MAIN!F515))=4), VALUE(TRIM(MAIN!F515)), ""))</f>
        <v/>
      </c>
      <c r="G515">
        <f>IF(ISBLANK(MAIN!G515), 0, IF(ISNUMBER(VALUE(TRIM(MAIN!G515))), VALUE(TRIM(MAIN!G515)), 0))</f>
        <v>0</v>
      </c>
      <c r="H515">
        <f>IF(ISBLANK(MAIN!H515), 0, IF(ISNUMBER(VALUE(TRIM(MAIN!H515))), VALUE(TRIM(MAIN!H515)), 0))</f>
        <v>0</v>
      </c>
      <c r="I515">
        <f>IF(ISBLANK(MAIN!I515), 0, IF(ISNUMBER(VALUE(TRIM(MAIN!I515))), VALUE(TRIM(MAIN!I515)), 0))</f>
        <v>0</v>
      </c>
      <c r="J515">
        <f>IF(ISBLANK(MAIN!J515), 0, IF(ISNUMBER(VALUE(TRIM(MAIN!J515))), VALUE(TRIM(MAIN!J515)), 0))</f>
        <v>0</v>
      </c>
      <c r="K515" cm="1">
        <f t="array" ref="K515">IFERROR(
    VALUE(
        IFERROR(
            UPPER(
                IF(MAX(IFERROR(SEARCH("WD",MAIN!G515:J515), 0))&gt;0, "WD",
                IF(MAX(IFERROR(SEARCH("NS",MAIN!G515:J515), 0))&gt;0, "NS",
                IF(MAX(IFERROR(SEARCH("NC",MAIN!G515:J515), 0))&gt;0, "NC",
                IF(MAX(IFERROR(SEARCH("DQ",MAIN!G515:J515), 0))&gt;0, "DQ",
                IF(ISNUMBER(SEARCH("WD",MAIN!K515)), "WD",
                IF(ISNUMBER(SEARCH("NS",MAIN!K515)), "NS",
                IF(ISNUMBER(SEARCH("NC",MAIN!K515)), "NC",
                IF(ISNUMBER(SEARCH("DQ",MAIN!K515)), "DQ",
                IF(ISNUMBER(SEARCH("A",MAIN!K515)), 0,
                IF(OR(MAIN!K515=0,MAIN!K515=""), 0, --TRIM(MAIN!K515)))))))))))),
            0
        )
    ),
    IFERROR(
        UPPER(
            IF(MAX(IFERROR(SEARCH("WD",MAIN!G515:J515), 0))&gt;0, "WD",
            IF(MAX(IFERROR(SEARCH("NS",MAIN!G515:J515), 0))&gt;0, "NS",
            IF(MAX(IFERROR(SEARCH("NC",MAIN!G515:J515), 0))&gt;0, "NC",
            IF(MAX(IFERROR(SEARCH("DQ",MAIN!G515:J515), 0))&gt;0, "DQ",
            IF(ISNUMBER(SEARCH("WD",MAIN!K515)), "WD",
            IF(ISNUMBER(SEARCH("NS",MAIN!K515)), "NS",
            IF(ISNUMBER(SEARCH("NC",MAIN!K515)), "NC",
            IF(ISNUMBER(SEARCH("DQ",MAIN!K515)), "DQ",
            IF(ISNUMBER(SEARCH("A",MAIN!K515)), 0,
            IF(OR(MAIN!K515=0,MAIN!K515=""), 0, --TRIM(MAIN!K515)))))))))))),
        0
    )
)</f>
        <v>0</v>
      </c>
    </row>
    <row r="516" spans="1:11" x14ac:dyDescent="0.25">
      <c r="A516" t="str">
        <f>IF(ISBLANK(MAIN!A516), "--", IFERROR(PROPER(SUBSTITUTE(SUBSTITUTE(SUBSTITUTE(SUBSTITUTE(SUBSTITUTE(SUBSTITUTE(SUBSTITUTE(SUBSTITUTE(SUBSTITUTE(SUBSTITUTE(LEFT(MAIN!A516, FIND(",",MAIN!A516) -1), "0", ""), "1", ""), "2", ""), "3", ""), "4", ""), "5", ""), "6", ""), "7", ""), "8", ""), "9", "")), PROPER(SUBSTITUTE(SUBSTITUTE(SUBSTITUTE(SUBSTITUTE(SUBSTITUTE(SUBSTITUTE(SUBSTITUTE(SUBSTITUTE(SUBSTITUTE(SUBSTITUTE(MAIN!A516, "0", ""), "1", ""), "2", ""), "3", ""), "4", ""), "5", ""), "6", ""), "7", ""), "8", ""), "9", ""))))</f>
        <v>--</v>
      </c>
      <c r="B516" t="str">
        <f>IF(ISBLANK(MAIN!B516), "--", IFERROR(PROPER(SUBSTITUTE(SUBSTITUTE(SUBSTITUTE(SUBSTITUTE(SUBSTITUTE(SUBSTITUTE(SUBSTITUTE(SUBSTITUTE(SUBSTITUTE(SUBSTITUTE(LEFT(MAIN!B516, FIND(",",MAIN!B516) -1), "0", ""), "1", ""), "2", ""), "3", ""), "4", ""), "5", ""), "6", ""), "7", ""), "8", ""), "9", "")), PROPER(SUBSTITUTE(SUBSTITUTE(SUBSTITUTE(SUBSTITUTE(SUBSTITUTE(SUBSTITUTE(SUBSTITUTE(SUBSTITUTE(SUBSTITUTE(SUBSTITUTE(MAIN!B516, "0", ""), "1", ""), "2", ""), "3", ""), "4", ""), "5", ""), "6", ""), "7", ""), "8", ""), "9", ""))))</f>
        <v>--</v>
      </c>
      <c r="C516" t="str">
        <f>IF(ISBLANK(MAIN!C516), "--", IFERROR(PROPER(SUBSTITUTE(SUBSTITUTE(SUBSTITUTE(SUBSTITUTE(SUBSTITUTE(SUBSTITUTE(SUBSTITUTE(SUBSTITUTE(SUBSTITUTE(SUBSTITUTE(LEFT(MAIN!C516, FIND(",",MAIN!C516) -1), "0", ""), "1", ""), "2", ""), "3", ""), "4", ""), "5", ""), "6", ""), "7", ""), "8", ""), "9", "")), PROPER(SUBSTITUTE(SUBSTITUTE(SUBSTITUTE(SUBSTITUTE(SUBSTITUTE(SUBSTITUTE(SUBSTITUTE(SUBSTITUTE(SUBSTITUTE(SUBSTITUTE(MAIN!C516, "0", ""), "1", ""), "2", ""), "3", ""), "4", ""), "5", ""), "6", ""), "7", ""), "8", ""), "9", ""))))</f>
        <v>--</v>
      </c>
      <c r="D516" t="str">
        <f>IF(ISBLANK(MAIN!D516), "--", IF(ISNUMBER(MATCH(SUBSTITUTE(LEFT(MAIN!D516, IFERROR(FIND(",", MAIN!D516)-1, LEN(MAIN!D516))), " ", ""), lookup_values!$B$2:$B$51, 0)), UPPER(SUBSTITUTE(LEFT(MAIN!D516, IFERROR(FIND(",", MAIN!D516)-1, LEN(MAIN!D516))), " ", "")), IF(ISNA(VLOOKUP(SUBSTITUTE(LEFT(MAIN!D516, IFERROR(FIND(",", MAIN!D516)-1, LEN(MAIN!D516))), " ", ""), lookup_values!$A$2:$B$51, 2, FALSE)), "--", VLOOKUP(SUBSTITUTE(LEFT(MAIN!D516, IFERROR(FIND(",", MAIN!D516)-1, LEN(MAIN!D516))), " ", ""), lookup_values!$A$2:$B$51, 2, FALSE))))</f>
        <v>--</v>
      </c>
      <c r="E516" t="str">
        <f>IF(CLEAN_DATA!D516&lt;&gt;"--","US",IF(ISBLANK(MAIN!E516), "--", IF(ISNUMBER(MATCH(SUBSTITUTE(LEFT(MAIN!E516, IFERROR(FIND(",", MAIN!E516)-1, LEN(MAIN!E516))), " ", ""), lookup_values!$E$2:$E$197, 0)), UPPER(SUBSTITUTE(LEFT(MAIN!E516, IFERROR(FIND(",", MAIN!E516)-1, LEN(MAIN!E516))), " ", "")), IF(ISNA(VLOOKUP(SUBSTITUTE(LEFT(MAIN!E516, IFERROR(FIND(",", MAIN!E516)-1, LEN(MAIN!E516))), " ", ""), lookup_values!$D$2:$E$197, 2, FALSE)), "--", VLOOKUP(SUBSTITUTE(LEFT(MAIN!E516, IFERROR(FIND(",", MAIN!E516)-1, LEN(MAIN!E516))), " ", ""), lookup_values!$D$2:$E$197, 2, FALSE)))))</f>
        <v>--</v>
      </c>
      <c r="F516" t="str">
        <f>IF(ISBLANK(MAIN!F516), "", IF(AND(ISNUMBER(VALUE(TRIM(MAIN!F516))), LEN(TRIM(MAIN!F516))=4), VALUE(TRIM(MAIN!F516)), ""))</f>
        <v/>
      </c>
      <c r="G516">
        <f>IF(ISBLANK(MAIN!G516), 0, IF(ISNUMBER(VALUE(TRIM(MAIN!G516))), VALUE(TRIM(MAIN!G516)), 0))</f>
        <v>0</v>
      </c>
      <c r="H516">
        <f>IF(ISBLANK(MAIN!H516), 0, IF(ISNUMBER(VALUE(TRIM(MAIN!H516))), VALUE(TRIM(MAIN!H516)), 0))</f>
        <v>0</v>
      </c>
      <c r="I516">
        <f>IF(ISBLANK(MAIN!I516), 0, IF(ISNUMBER(VALUE(TRIM(MAIN!I516))), VALUE(TRIM(MAIN!I516)), 0))</f>
        <v>0</v>
      </c>
      <c r="J516">
        <f>IF(ISBLANK(MAIN!J516), 0, IF(ISNUMBER(VALUE(TRIM(MAIN!J516))), VALUE(TRIM(MAIN!J516)), 0))</f>
        <v>0</v>
      </c>
      <c r="K516" cm="1">
        <f t="array" ref="K516">IFERROR(
    VALUE(
        IFERROR(
            UPPER(
                IF(MAX(IFERROR(SEARCH("WD",MAIN!G516:J516), 0))&gt;0, "WD",
                IF(MAX(IFERROR(SEARCH("NS",MAIN!G516:J516), 0))&gt;0, "NS",
                IF(MAX(IFERROR(SEARCH("NC",MAIN!G516:J516), 0))&gt;0, "NC",
                IF(MAX(IFERROR(SEARCH("DQ",MAIN!G516:J516), 0))&gt;0, "DQ",
                IF(ISNUMBER(SEARCH("WD",MAIN!K516)), "WD",
                IF(ISNUMBER(SEARCH("NS",MAIN!K516)), "NS",
                IF(ISNUMBER(SEARCH("NC",MAIN!K516)), "NC",
                IF(ISNUMBER(SEARCH("DQ",MAIN!K516)), "DQ",
                IF(ISNUMBER(SEARCH("A",MAIN!K516)), 0,
                IF(OR(MAIN!K516=0,MAIN!K516=""), 0, --TRIM(MAIN!K516)))))))))))),
            0
        )
    ),
    IFERROR(
        UPPER(
            IF(MAX(IFERROR(SEARCH("WD",MAIN!G516:J516), 0))&gt;0, "WD",
            IF(MAX(IFERROR(SEARCH("NS",MAIN!G516:J516), 0))&gt;0, "NS",
            IF(MAX(IFERROR(SEARCH("NC",MAIN!G516:J516), 0))&gt;0, "NC",
            IF(MAX(IFERROR(SEARCH("DQ",MAIN!G516:J516), 0))&gt;0, "DQ",
            IF(ISNUMBER(SEARCH("WD",MAIN!K516)), "WD",
            IF(ISNUMBER(SEARCH("NS",MAIN!K516)), "NS",
            IF(ISNUMBER(SEARCH("NC",MAIN!K516)), "NC",
            IF(ISNUMBER(SEARCH("DQ",MAIN!K516)), "DQ",
            IF(ISNUMBER(SEARCH("A",MAIN!K516)), 0,
            IF(OR(MAIN!K516=0,MAIN!K516=""), 0, --TRIM(MAIN!K516)))))))))))),
        0
    )
)</f>
        <v>0</v>
      </c>
    </row>
    <row r="517" spans="1:11" x14ac:dyDescent="0.25">
      <c r="A517" t="str">
        <f>IF(ISBLANK(MAIN!A517), "--", IFERROR(PROPER(SUBSTITUTE(SUBSTITUTE(SUBSTITUTE(SUBSTITUTE(SUBSTITUTE(SUBSTITUTE(SUBSTITUTE(SUBSTITUTE(SUBSTITUTE(SUBSTITUTE(LEFT(MAIN!A517, FIND(",",MAIN!A517) -1), "0", ""), "1", ""), "2", ""), "3", ""), "4", ""), "5", ""), "6", ""), "7", ""), "8", ""), "9", "")), PROPER(SUBSTITUTE(SUBSTITUTE(SUBSTITUTE(SUBSTITUTE(SUBSTITUTE(SUBSTITUTE(SUBSTITUTE(SUBSTITUTE(SUBSTITUTE(SUBSTITUTE(MAIN!A517, "0", ""), "1", ""), "2", ""), "3", ""), "4", ""), "5", ""), "6", ""), "7", ""), "8", ""), "9", ""))))</f>
        <v>--</v>
      </c>
      <c r="B517" t="str">
        <f>IF(ISBLANK(MAIN!B517), "--", IFERROR(PROPER(SUBSTITUTE(SUBSTITUTE(SUBSTITUTE(SUBSTITUTE(SUBSTITUTE(SUBSTITUTE(SUBSTITUTE(SUBSTITUTE(SUBSTITUTE(SUBSTITUTE(LEFT(MAIN!B517, FIND(",",MAIN!B517) -1), "0", ""), "1", ""), "2", ""), "3", ""), "4", ""), "5", ""), "6", ""), "7", ""), "8", ""), "9", "")), PROPER(SUBSTITUTE(SUBSTITUTE(SUBSTITUTE(SUBSTITUTE(SUBSTITUTE(SUBSTITUTE(SUBSTITUTE(SUBSTITUTE(SUBSTITUTE(SUBSTITUTE(MAIN!B517, "0", ""), "1", ""), "2", ""), "3", ""), "4", ""), "5", ""), "6", ""), "7", ""), "8", ""), "9", ""))))</f>
        <v>--</v>
      </c>
      <c r="C517" t="str">
        <f>IF(ISBLANK(MAIN!C517), "--", IFERROR(PROPER(SUBSTITUTE(SUBSTITUTE(SUBSTITUTE(SUBSTITUTE(SUBSTITUTE(SUBSTITUTE(SUBSTITUTE(SUBSTITUTE(SUBSTITUTE(SUBSTITUTE(LEFT(MAIN!C517, FIND(",",MAIN!C517) -1), "0", ""), "1", ""), "2", ""), "3", ""), "4", ""), "5", ""), "6", ""), "7", ""), "8", ""), "9", "")), PROPER(SUBSTITUTE(SUBSTITUTE(SUBSTITUTE(SUBSTITUTE(SUBSTITUTE(SUBSTITUTE(SUBSTITUTE(SUBSTITUTE(SUBSTITUTE(SUBSTITUTE(MAIN!C517, "0", ""), "1", ""), "2", ""), "3", ""), "4", ""), "5", ""), "6", ""), "7", ""), "8", ""), "9", ""))))</f>
        <v>--</v>
      </c>
      <c r="D517" t="str">
        <f>IF(ISBLANK(MAIN!D517), "--", IF(ISNUMBER(MATCH(SUBSTITUTE(LEFT(MAIN!D517, IFERROR(FIND(",", MAIN!D517)-1, LEN(MAIN!D517))), " ", ""), lookup_values!$B$2:$B$51, 0)), UPPER(SUBSTITUTE(LEFT(MAIN!D517, IFERROR(FIND(",", MAIN!D517)-1, LEN(MAIN!D517))), " ", "")), IF(ISNA(VLOOKUP(SUBSTITUTE(LEFT(MAIN!D517, IFERROR(FIND(",", MAIN!D517)-1, LEN(MAIN!D517))), " ", ""), lookup_values!$A$2:$B$51, 2, FALSE)), "--", VLOOKUP(SUBSTITUTE(LEFT(MAIN!D517, IFERROR(FIND(",", MAIN!D517)-1, LEN(MAIN!D517))), " ", ""), lookup_values!$A$2:$B$51, 2, FALSE))))</f>
        <v>--</v>
      </c>
      <c r="E517" t="str">
        <f>IF(CLEAN_DATA!D517&lt;&gt;"--","US",IF(ISBLANK(MAIN!E517), "--", IF(ISNUMBER(MATCH(SUBSTITUTE(LEFT(MAIN!E517, IFERROR(FIND(",", MAIN!E517)-1, LEN(MAIN!E517))), " ", ""), lookup_values!$E$2:$E$197, 0)), UPPER(SUBSTITUTE(LEFT(MAIN!E517, IFERROR(FIND(",", MAIN!E517)-1, LEN(MAIN!E517))), " ", "")), IF(ISNA(VLOOKUP(SUBSTITUTE(LEFT(MAIN!E517, IFERROR(FIND(",", MAIN!E517)-1, LEN(MAIN!E517))), " ", ""), lookup_values!$D$2:$E$197, 2, FALSE)), "--", VLOOKUP(SUBSTITUTE(LEFT(MAIN!E517, IFERROR(FIND(",", MAIN!E517)-1, LEN(MAIN!E517))), " ", ""), lookup_values!$D$2:$E$197, 2, FALSE)))))</f>
        <v>--</v>
      </c>
      <c r="F517" t="str">
        <f>IF(ISBLANK(MAIN!F517), "", IF(AND(ISNUMBER(VALUE(TRIM(MAIN!F517))), LEN(TRIM(MAIN!F517))=4), VALUE(TRIM(MAIN!F517)), ""))</f>
        <v/>
      </c>
      <c r="G517">
        <f>IF(ISBLANK(MAIN!G517), 0, IF(ISNUMBER(VALUE(TRIM(MAIN!G517))), VALUE(TRIM(MAIN!G517)), 0))</f>
        <v>0</v>
      </c>
      <c r="H517">
        <f>IF(ISBLANK(MAIN!H517), 0, IF(ISNUMBER(VALUE(TRIM(MAIN!H517))), VALUE(TRIM(MAIN!H517)), 0))</f>
        <v>0</v>
      </c>
      <c r="I517">
        <f>IF(ISBLANK(MAIN!I517), 0, IF(ISNUMBER(VALUE(TRIM(MAIN!I517))), VALUE(TRIM(MAIN!I517)), 0))</f>
        <v>0</v>
      </c>
      <c r="J517">
        <f>IF(ISBLANK(MAIN!J517), 0, IF(ISNUMBER(VALUE(TRIM(MAIN!J517))), VALUE(TRIM(MAIN!J517)), 0))</f>
        <v>0</v>
      </c>
      <c r="K517" cm="1">
        <f t="array" ref="K517">IFERROR(
    VALUE(
        IFERROR(
            UPPER(
                IF(MAX(IFERROR(SEARCH("WD",MAIN!G517:J517), 0))&gt;0, "WD",
                IF(MAX(IFERROR(SEARCH("NS",MAIN!G517:J517), 0))&gt;0, "NS",
                IF(MAX(IFERROR(SEARCH("NC",MAIN!G517:J517), 0))&gt;0, "NC",
                IF(MAX(IFERROR(SEARCH("DQ",MAIN!G517:J517), 0))&gt;0, "DQ",
                IF(ISNUMBER(SEARCH("WD",MAIN!K517)), "WD",
                IF(ISNUMBER(SEARCH("NS",MAIN!K517)), "NS",
                IF(ISNUMBER(SEARCH("NC",MAIN!K517)), "NC",
                IF(ISNUMBER(SEARCH("DQ",MAIN!K517)), "DQ",
                IF(ISNUMBER(SEARCH("A",MAIN!K517)), 0,
                IF(OR(MAIN!K517=0,MAIN!K517=""), 0, --TRIM(MAIN!K517)))))))))))),
            0
        )
    ),
    IFERROR(
        UPPER(
            IF(MAX(IFERROR(SEARCH("WD",MAIN!G517:J517), 0))&gt;0, "WD",
            IF(MAX(IFERROR(SEARCH("NS",MAIN!G517:J517), 0))&gt;0, "NS",
            IF(MAX(IFERROR(SEARCH("NC",MAIN!G517:J517), 0))&gt;0, "NC",
            IF(MAX(IFERROR(SEARCH("DQ",MAIN!G517:J517), 0))&gt;0, "DQ",
            IF(ISNUMBER(SEARCH("WD",MAIN!K517)), "WD",
            IF(ISNUMBER(SEARCH("NS",MAIN!K517)), "NS",
            IF(ISNUMBER(SEARCH("NC",MAIN!K517)), "NC",
            IF(ISNUMBER(SEARCH("DQ",MAIN!K517)), "DQ",
            IF(ISNUMBER(SEARCH("A",MAIN!K517)), 0,
            IF(OR(MAIN!K517=0,MAIN!K517=""), 0, --TRIM(MAIN!K517)))))))))))),
        0
    )
)</f>
        <v>0</v>
      </c>
    </row>
    <row r="518" spans="1:11" x14ac:dyDescent="0.25">
      <c r="A518" t="str">
        <f>IF(ISBLANK(MAIN!A518), "--", IFERROR(PROPER(SUBSTITUTE(SUBSTITUTE(SUBSTITUTE(SUBSTITUTE(SUBSTITUTE(SUBSTITUTE(SUBSTITUTE(SUBSTITUTE(SUBSTITUTE(SUBSTITUTE(LEFT(MAIN!A518, FIND(",",MAIN!A518) -1), "0", ""), "1", ""), "2", ""), "3", ""), "4", ""), "5", ""), "6", ""), "7", ""), "8", ""), "9", "")), PROPER(SUBSTITUTE(SUBSTITUTE(SUBSTITUTE(SUBSTITUTE(SUBSTITUTE(SUBSTITUTE(SUBSTITUTE(SUBSTITUTE(SUBSTITUTE(SUBSTITUTE(MAIN!A518, "0", ""), "1", ""), "2", ""), "3", ""), "4", ""), "5", ""), "6", ""), "7", ""), "8", ""), "9", ""))))</f>
        <v>--</v>
      </c>
      <c r="B518" t="str">
        <f>IF(ISBLANK(MAIN!B518), "--", IFERROR(PROPER(SUBSTITUTE(SUBSTITUTE(SUBSTITUTE(SUBSTITUTE(SUBSTITUTE(SUBSTITUTE(SUBSTITUTE(SUBSTITUTE(SUBSTITUTE(SUBSTITUTE(LEFT(MAIN!B518, FIND(",",MAIN!B518) -1), "0", ""), "1", ""), "2", ""), "3", ""), "4", ""), "5", ""), "6", ""), "7", ""), "8", ""), "9", "")), PROPER(SUBSTITUTE(SUBSTITUTE(SUBSTITUTE(SUBSTITUTE(SUBSTITUTE(SUBSTITUTE(SUBSTITUTE(SUBSTITUTE(SUBSTITUTE(SUBSTITUTE(MAIN!B518, "0", ""), "1", ""), "2", ""), "3", ""), "4", ""), "5", ""), "6", ""), "7", ""), "8", ""), "9", ""))))</f>
        <v>--</v>
      </c>
      <c r="C518" t="str">
        <f>IF(ISBLANK(MAIN!C518), "--", IFERROR(PROPER(SUBSTITUTE(SUBSTITUTE(SUBSTITUTE(SUBSTITUTE(SUBSTITUTE(SUBSTITUTE(SUBSTITUTE(SUBSTITUTE(SUBSTITUTE(SUBSTITUTE(LEFT(MAIN!C518, FIND(",",MAIN!C518) -1), "0", ""), "1", ""), "2", ""), "3", ""), "4", ""), "5", ""), "6", ""), "7", ""), "8", ""), "9", "")), PROPER(SUBSTITUTE(SUBSTITUTE(SUBSTITUTE(SUBSTITUTE(SUBSTITUTE(SUBSTITUTE(SUBSTITUTE(SUBSTITUTE(SUBSTITUTE(SUBSTITUTE(MAIN!C518, "0", ""), "1", ""), "2", ""), "3", ""), "4", ""), "5", ""), "6", ""), "7", ""), "8", ""), "9", ""))))</f>
        <v>--</v>
      </c>
      <c r="D518" t="str">
        <f>IF(ISBLANK(MAIN!D518), "--", IF(ISNUMBER(MATCH(SUBSTITUTE(LEFT(MAIN!D518, IFERROR(FIND(",", MAIN!D518)-1, LEN(MAIN!D518))), " ", ""), lookup_values!$B$2:$B$51, 0)), UPPER(SUBSTITUTE(LEFT(MAIN!D518, IFERROR(FIND(",", MAIN!D518)-1, LEN(MAIN!D518))), " ", "")), IF(ISNA(VLOOKUP(SUBSTITUTE(LEFT(MAIN!D518, IFERROR(FIND(",", MAIN!D518)-1, LEN(MAIN!D518))), " ", ""), lookup_values!$A$2:$B$51, 2, FALSE)), "--", VLOOKUP(SUBSTITUTE(LEFT(MAIN!D518, IFERROR(FIND(",", MAIN!D518)-1, LEN(MAIN!D518))), " ", ""), lookup_values!$A$2:$B$51, 2, FALSE))))</f>
        <v>--</v>
      </c>
      <c r="E518" t="str">
        <f>IF(CLEAN_DATA!D518&lt;&gt;"--","US",IF(ISBLANK(MAIN!E518), "--", IF(ISNUMBER(MATCH(SUBSTITUTE(LEFT(MAIN!E518, IFERROR(FIND(",", MAIN!E518)-1, LEN(MAIN!E518))), " ", ""), lookup_values!$E$2:$E$197, 0)), UPPER(SUBSTITUTE(LEFT(MAIN!E518, IFERROR(FIND(",", MAIN!E518)-1, LEN(MAIN!E518))), " ", "")), IF(ISNA(VLOOKUP(SUBSTITUTE(LEFT(MAIN!E518, IFERROR(FIND(",", MAIN!E518)-1, LEN(MAIN!E518))), " ", ""), lookup_values!$D$2:$E$197, 2, FALSE)), "--", VLOOKUP(SUBSTITUTE(LEFT(MAIN!E518, IFERROR(FIND(",", MAIN!E518)-1, LEN(MAIN!E518))), " ", ""), lookup_values!$D$2:$E$197, 2, FALSE)))))</f>
        <v>--</v>
      </c>
      <c r="F518" t="str">
        <f>IF(ISBLANK(MAIN!F518), "", IF(AND(ISNUMBER(VALUE(TRIM(MAIN!F518))), LEN(TRIM(MAIN!F518))=4), VALUE(TRIM(MAIN!F518)), ""))</f>
        <v/>
      </c>
      <c r="G518">
        <f>IF(ISBLANK(MAIN!G518), 0, IF(ISNUMBER(VALUE(TRIM(MAIN!G518))), VALUE(TRIM(MAIN!G518)), 0))</f>
        <v>0</v>
      </c>
      <c r="H518">
        <f>IF(ISBLANK(MAIN!H518), 0, IF(ISNUMBER(VALUE(TRIM(MAIN!H518))), VALUE(TRIM(MAIN!H518)), 0))</f>
        <v>0</v>
      </c>
      <c r="I518">
        <f>IF(ISBLANK(MAIN!I518), 0, IF(ISNUMBER(VALUE(TRIM(MAIN!I518))), VALUE(TRIM(MAIN!I518)), 0))</f>
        <v>0</v>
      </c>
      <c r="J518">
        <f>IF(ISBLANK(MAIN!J518), 0, IF(ISNUMBER(VALUE(TRIM(MAIN!J518))), VALUE(TRIM(MAIN!J518)), 0))</f>
        <v>0</v>
      </c>
      <c r="K518" cm="1">
        <f t="array" ref="K518">IFERROR(
    VALUE(
        IFERROR(
            UPPER(
                IF(MAX(IFERROR(SEARCH("WD",MAIN!G518:J518), 0))&gt;0, "WD",
                IF(MAX(IFERROR(SEARCH("NS",MAIN!G518:J518), 0))&gt;0, "NS",
                IF(MAX(IFERROR(SEARCH("NC",MAIN!G518:J518), 0))&gt;0, "NC",
                IF(MAX(IFERROR(SEARCH("DQ",MAIN!G518:J518), 0))&gt;0, "DQ",
                IF(ISNUMBER(SEARCH("WD",MAIN!K518)), "WD",
                IF(ISNUMBER(SEARCH("NS",MAIN!K518)), "NS",
                IF(ISNUMBER(SEARCH("NC",MAIN!K518)), "NC",
                IF(ISNUMBER(SEARCH("DQ",MAIN!K518)), "DQ",
                IF(ISNUMBER(SEARCH("A",MAIN!K518)), 0,
                IF(OR(MAIN!K518=0,MAIN!K518=""), 0, --TRIM(MAIN!K518)))))))))))),
            0
        )
    ),
    IFERROR(
        UPPER(
            IF(MAX(IFERROR(SEARCH("WD",MAIN!G518:J518), 0))&gt;0, "WD",
            IF(MAX(IFERROR(SEARCH("NS",MAIN!G518:J518), 0))&gt;0, "NS",
            IF(MAX(IFERROR(SEARCH("NC",MAIN!G518:J518), 0))&gt;0, "NC",
            IF(MAX(IFERROR(SEARCH("DQ",MAIN!G518:J518), 0))&gt;0, "DQ",
            IF(ISNUMBER(SEARCH("WD",MAIN!K518)), "WD",
            IF(ISNUMBER(SEARCH("NS",MAIN!K518)), "NS",
            IF(ISNUMBER(SEARCH("NC",MAIN!K518)), "NC",
            IF(ISNUMBER(SEARCH("DQ",MAIN!K518)), "DQ",
            IF(ISNUMBER(SEARCH("A",MAIN!K518)), 0,
            IF(OR(MAIN!K518=0,MAIN!K518=""), 0, --TRIM(MAIN!K518)))))))))))),
        0
    )
)</f>
        <v>0</v>
      </c>
    </row>
    <row r="519" spans="1:11" x14ac:dyDescent="0.25">
      <c r="A519" t="str">
        <f>IF(ISBLANK(MAIN!A519), "--", IFERROR(PROPER(SUBSTITUTE(SUBSTITUTE(SUBSTITUTE(SUBSTITUTE(SUBSTITUTE(SUBSTITUTE(SUBSTITUTE(SUBSTITUTE(SUBSTITUTE(SUBSTITUTE(LEFT(MAIN!A519, FIND(",",MAIN!A519) -1), "0", ""), "1", ""), "2", ""), "3", ""), "4", ""), "5", ""), "6", ""), "7", ""), "8", ""), "9", "")), PROPER(SUBSTITUTE(SUBSTITUTE(SUBSTITUTE(SUBSTITUTE(SUBSTITUTE(SUBSTITUTE(SUBSTITUTE(SUBSTITUTE(SUBSTITUTE(SUBSTITUTE(MAIN!A519, "0", ""), "1", ""), "2", ""), "3", ""), "4", ""), "5", ""), "6", ""), "7", ""), "8", ""), "9", ""))))</f>
        <v>--</v>
      </c>
      <c r="B519" t="str">
        <f>IF(ISBLANK(MAIN!B519), "--", IFERROR(PROPER(SUBSTITUTE(SUBSTITUTE(SUBSTITUTE(SUBSTITUTE(SUBSTITUTE(SUBSTITUTE(SUBSTITUTE(SUBSTITUTE(SUBSTITUTE(SUBSTITUTE(LEFT(MAIN!B519, FIND(",",MAIN!B519) -1), "0", ""), "1", ""), "2", ""), "3", ""), "4", ""), "5", ""), "6", ""), "7", ""), "8", ""), "9", "")), PROPER(SUBSTITUTE(SUBSTITUTE(SUBSTITUTE(SUBSTITUTE(SUBSTITUTE(SUBSTITUTE(SUBSTITUTE(SUBSTITUTE(SUBSTITUTE(SUBSTITUTE(MAIN!B519, "0", ""), "1", ""), "2", ""), "3", ""), "4", ""), "5", ""), "6", ""), "7", ""), "8", ""), "9", ""))))</f>
        <v>--</v>
      </c>
      <c r="C519" t="str">
        <f>IF(ISBLANK(MAIN!C519), "--", IFERROR(PROPER(SUBSTITUTE(SUBSTITUTE(SUBSTITUTE(SUBSTITUTE(SUBSTITUTE(SUBSTITUTE(SUBSTITUTE(SUBSTITUTE(SUBSTITUTE(SUBSTITUTE(LEFT(MAIN!C519, FIND(",",MAIN!C519) -1), "0", ""), "1", ""), "2", ""), "3", ""), "4", ""), "5", ""), "6", ""), "7", ""), "8", ""), "9", "")), PROPER(SUBSTITUTE(SUBSTITUTE(SUBSTITUTE(SUBSTITUTE(SUBSTITUTE(SUBSTITUTE(SUBSTITUTE(SUBSTITUTE(SUBSTITUTE(SUBSTITUTE(MAIN!C519, "0", ""), "1", ""), "2", ""), "3", ""), "4", ""), "5", ""), "6", ""), "7", ""), "8", ""), "9", ""))))</f>
        <v>--</v>
      </c>
      <c r="D519" t="str">
        <f>IF(ISBLANK(MAIN!D519), "--", IF(ISNUMBER(MATCH(SUBSTITUTE(LEFT(MAIN!D519, IFERROR(FIND(",", MAIN!D519)-1, LEN(MAIN!D519))), " ", ""), lookup_values!$B$2:$B$51, 0)), UPPER(SUBSTITUTE(LEFT(MAIN!D519, IFERROR(FIND(",", MAIN!D519)-1, LEN(MAIN!D519))), " ", "")), IF(ISNA(VLOOKUP(SUBSTITUTE(LEFT(MAIN!D519, IFERROR(FIND(",", MAIN!D519)-1, LEN(MAIN!D519))), " ", ""), lookup_values!$A$2:$B$51, 2, FALSE)), "--", VLOOKUP(SUBSTITUTE(LEFT(MAIN!D519, IFERROR(FIND(",", MAIN!D519)-1, LEN(MAIN!D519))), " ", ""), lookup_values!$A$2:$B$51, 2, FALSE))))</f>
        <v>--</v>
      </c>
      <c r="E519" t="str">
        <f>IF(CLEAN_DATA!D519&lt;&gt;"--","US",IF(ISBLANK(MAIN!E519), "--", IF(ISNUMBER(MATCH(SUBSTITUTE(LEFT(MAIN!E519, IFERROR(FIND(",", MAIN!E519)-1, LEN(MAIN!E519))), " ", ""), lookup_values!$E$2:$E$197, 0)), UPPER(SUBSTITUTE(LEFT(MAIN!E519, IFERROR(FIND(",", MAIN!E519)-1, LEN(MAIN!E519))), " ", "")), IF(ISNA(VLOOKUP(SUBSTITUTE(LEFT(MAIN!E519, IFERROR(FIND(",", MAIN!E519)-1, LEN(MAIN!E519))), " ", ""), lookup_values!$D$2:$E$197, 2, FALSE)), "--", VLOOKUP(SUBSTITUTE(LEFT(MAIN!E519, IFERROR(FIND(",", MAIN!E519)-1, LEN(MAIN!E519))), " ", ""), lookup_values!$D$2:$E$197, 2, FALSE)))))</f>
        <v>--</v>
      </c>
      <c r="F519" t="str">
        <f>IF(ISBLANK(MAIN!F519), "", IF(AND(ISNUMBER(VALUE(TRIM(MAIN!F519))), LEN(TRIM(MAIN!F519))=4), VALUE(TRIM(MAIN!F519)), ""))</f>
        <v/>
      </c>
      <c r="G519">
        <f>IF(ISBLANK(MAIN!G519), 0, IF(ISNUMBER(VALUE(TRIM(MAIN!G519))), VALUE(TRIM(MAIN!G519)), 0))</f>
        <v>0</v>
      </c>
      <c r="H519">
        <f>IF(ISBLANK(MAIN!H519), 0, IF(ISNUMBER(VALUE(TRIM(MAIN!H519))), VALUE(TRIM(MAIN!H519)), 0))</f>
        <v>0</v>
      </c>
      <c r="I519">
        <f>IF(ISBLANK(MAIN!I519), 0, IF(ISNUMBER(VALUE(TRIM(MAIN!I519))), VALUE(TRIM(MAIN!I519)), 0))</f>
        <v>0</v>
      </c>
      <c r="J519">
        <f>IF(ISBLANK(MAIN!J519), 0, IF(ISNUMBER(VALUE(TRIM(MAIN!J519))), VALUE(TRIM(MAIN!J519)), 0))</f>
        <v>0</v>
      </c>
      <c r="K519" cm="1">
        <f t="array" ref="K519">IFERROR(
    VALUE(
        IFERROR(
            UPPER(
                IF(MAX(IFERROR(SEARCH("WD",MAIN!G519:J519), 0))&gt;0, "WD",
                IF(MAX(IFERROR(SEARCH("NS",MAIN!G519:J519), 0))&gt;0, "NS",
                IF(MAX(IFERROR(SEARCH("NC",MAIN!G519:J519), 0))&gt;0, "NC",
                IF(MAX(IFERROR(SEARCH("DQ",MAIN!G519:J519), 0))&gt;0, "DQ",
                IF(ISNUMBER(SEARCH("WD",MAIN!K519)), "WD",
                IF(ISNUMBER(SEARCH("NS",MAIN!K519)), "NS",
                IF(ISNUMBER(SEARCH("NC",MAIN!K519)), "NC",
                IF(ISNUMBER(SEARCH("DQ",MAIN!K519)), "DQ",
                IF(ISNUMBER(SEARCH("A",MAIN!K519)), 0,
                IF(OR(MAIN!K519=0,MAIN!K519=""), 0, --TRIM(MAIN!K519)))))))))))),
            0
        )
    ),
    IFERROR(
        UPPER(
            IF(MAX(IFERROR(SEARCH("WD",MAIN!G519:J519), 0))&gt;0, "WD",
            IF(MAX(IFERROR(SEARCH("NS",MAIN!G519:J519), 0))&gt;0, "NS",
            IF(MAX(IFERROR(SEARCH("NC",MAIN!G519:J519), 0))&gt;0, "NC",
            IF(MAX(IFERROR(SEARCH("DQ",MAIN!G519:J519), 0))&gt;0, "DQ",
            IF(ISNUMBER(SEARCH("WD",MAIN!K519)), "WD",
            IF(ISNUMBER(SEARCH("NS",MAIN!K519)), "NS",
            IF(ISNUMBER(SEARCH("NC",MAIN!K519)), "NC",
            IF(ISNUMBER(SEARCH("DQ",MAIN!K519)), "DQ",
            IF(ISNUMBER(SEARCH("A",MAIN!K519)), 0,
            IF(OR(MAIN!K519=0,MAIN!K519=""), 0, --TRIM(MAIN!K519)))))))))))),
        0
    )
)</f>
        <v>0</v>
      </c>
    </row>
    <row r="520" spans="1:11" x14ac:dyDescent="0.25">
      <c r="A520" t="str">
        <f>IF(ISBLANK(MAIN!A520), "--", IFERROR(PROPER(SUBSTITUTE(SUBSTITUTE(SUBSTITUTE(SUBSTITUTE(SUBSTITUTE(SUBSTITUTE(SUBSTITUTE(SUBSTITUTE(SUBSTITUTE(SUBSTITUTE(LEFT(MAIN!A520, FIND(",",MAIN!A520) -1), "0", ""), "1", ""), "2", ""), "3", ""), "4", ""), "5", ""), "6", ""), "7", ""), "8", ""), "9", "")), PROPER(SUBSTITUTE(SUBSTITUTE(SUBSTITUTE(SUBSTITUTE(SUBSTITUTE(SUBSTITUTE(SUBSTITUTE(SUBSTITUTE(SUBSTITUTE(SUBSTITUTE(MAIN!A520, "0", ""), "1", ""), "2", ""), "3", ""), "4", ""), "5", ""), "6", ""), "7", ""), "8", ""), "9", ""))))</f>
        <v>--</v>
      </c>
      <c r="B520" t="str">
        <f>IF(ISBLANK(MAIN!B520), "--", IFERROR(PROPER(SUBSTITUTE(SUBSTITUTE(SUBSTITUTE(SUBSTITUTE(SUBSTITUTE(SUBSTITUTE(SUBSTITUTE(SUBSTITUTE(SUBSTITUTE(SUBSTITUTE(LEFT(MAIN!B520, FIND(",",MAIN!B520) -1), "0", ""), "1", ""), "2", ""), "3", ""), "4", ""), "5", ""), "6", ""), "7", ""), "8", ""), "9", "")), PROPER(SUBSTITUTE(SUBSTITUTE(SUBSTITUTE(SUBSTITUTE(SUBSTITUTE(SUBSTITUTE(SUBSTITUTE(SUBSTITUTE(SUBSTITUTE(SUBSTITUTE(MAIN!B520, "0", ""), "1", ""), "2", ""), "3", ""), "4", ""), "5", ""), "6", ""), "7", ""), "8", ""), "9", ""))))</f>
        <v>--</v>
      </c>
      <c r="C520" t="str">
        <f>IF(ISBLANK(MAIN!C520), "--", IFERROR(PROPER(SUBSTITUTE(SUBSTITUTE(SUBSTITUTE(SUBSTITUTE(SUBSTITUTE(SUBSTITUTE(SUBSTITUTE(SUBSTITUTE(SUBSTITUTE(SUBSTITUTE(LEFT(MAIN!C520, FIND(",",MAIN!C520) -1), "0", ""), "1", ""), "2", ""), "3", ""), "4", ""), "5", ""), "6", ""), "7", ""), "8", ""), "9", "")), PROPER(SUBSTITUTE(SUBSTITUTE(SUBSTITUTE(SUBSTITUTE(SUBSTITUTE(SUBSTITUTE(SUBSTITUTE(SUBSTITUTE(SUBSTITUTE(SUBSTITUTE(MAIN!C520, "0", ""), "1", ""), "2", ""), "3", ""), "4", ""), "5", ""), "6", ""), "7", ""), "8", ""), "9", ""))))</f>
        <v>--</v>
      </c>
      <c r="D520" t="str">
        <f>IF(ISBLANK(MAIN!D520), "--", IF(ISNUMBER(MATCH(SUBSTITUTE(LEFT(MAIN!D520, IFERROR(FIND(",", MAIN!D520)-1, LEN(MAIN!D520))), " ", ""), lookup_values!$B$2:$B$51, 0)), UPPER(SUBSTITUTE(LEFT(MAIN!D520, IFERROR(FIND(",", MAIN!D520)-1, LEN(MAIN!D520))), " ", "")), IF(ISNA(VLOOKUP(SUBSTITUTE(LEFT(MAIN!D520, IFERROR(FIND(",", MAIN!D520)-1, LEN(MAIN!D520))), " ", ""), lookup_values!$A$2:$B$51, 2, FALSE)), "--", VLOOKUP(SUBSTITUTE(LEFT(MAIN!D520, IFERROR(FIND(",", MAIN!D520)-1, LEN(MAIN!D520))), " ", ""), lookup_values!$A$2:$B$51, 2, FALSE))))</f>
        <v>--</v>
      </c>
      <c r="E520" t="str">
        <f>IF(CLEAN_DATA!D520&lt;&gt;"--","US",IF(ISBLANK(MAIN!E520), "--", IF(ISNUMBER(MATCH(SUBSTITUTE(LEFT(MAIN!E520, IFERROR(FIND(",", MAIN!E520)-1, LEN(MAIN!E520))), " ", ""), lookup_values!$E$2:$E$197, 0)), UPPER(SUBSTITUTE(LEFT(MAIN!E520, IFERROR(FIND(",", MAIN!E520)-1, LEN(MAIN!E520))), " ", "")), IF(ISNA(VLOOKUP(SUBSTITUTE(LEFT(MAIN!E520, IFERROR(FIND(",", MAIN!E520)-1, LEN(MAIN!E520))), " ", ""), lookup_values!$D$2:$E$197, 2, FALSE)), "--", VLOOKUP(SUBSTITUTE(LEFT(MAIN!E520, IFERROR(FIND(",", MAIN!E520)-1, LEN(MAIN!E520))), " ", ""), lookup_values!$D$2:$E$197, 2, FALSE)))))</f>
        <v>--</v>
      </c>
      <c r="F520" t="str">
        <f>IF(ISBLANK(MAIN!F520), "", IF(AND(ISNUMBER(VALUE(TRIM(MAIN!F520))), LEN(TRIM(MAIN!F520))=4), VALUE(TRIM(MAIN!F520)), ""))</f>
        <v/>
      </c>
      <c r="G520">
        <f>IF(ISBLANK(MAIN!G520), 0, IF(ISNUMBER(VALUE(TRIM(MAIN!G520))), VALUE(TRIM(MAIN!G520)), 0))</f>
        <v>0</v>
      </c>
      <c r="H520">
        <f>IF(ISBLANK(MAIN!H520), 0, IF(ISNUMBER(VALUE(TRIM(MAIN!H520))), VALUE(TRIM(MAIN!H520)), 0))</f>
        <v>0</v>
      </c>
      <c r="I520">
        <f>IF(ISBLANK(MAIN!I520), 0, IF(ISNUMBER(VALUE(TRIM(MAIN!I520))), VALUE(TRIM(MAIN!I520)), 0))</f>
        <v>0</v>
      </c>
      <c r="J520">
        <f>IF(ISBLANK(MAIN!J520), 0, IF(ISNUMBER(VALUE(TRIM(MAIN!J520))), VALUE(TRIM(MAIN!J520)), 0))</f>
        <v>0</v>
      </c>
      <c r="K520" cm="1">
        <f t="array" ref="K520">IFERROR(
    VALUE(
        IFERROR(
            UPPER(
                IF(MAX(IFERROR(SEARCH("WD",MAIN!G520:J520), 0))&gt;0, "WD",
                IF(MAX(IFERROR(SEARCH("NS",MAIN!G520:J520), 0))&gt;0, "NS",
                IF(MAX(IFERROR(SEARCH("NC",MAIN!G520:J520), 0))&gt;0, "NC",
                IF(MAX(IFERROR(SEARCH("DQ",MAIN!G520:J520), 0))&gt;0, "DQ",
                IF(ISNUMBER(SEARCH("WD",MAIN!K520)), "WD",
                IF(ISNUMBER(SEARCH("NS",MAIN!K520)), "NS",
                IF(ISNUMBER(SEARCH("NC",MAIN!K520)), "NC",
                IF(ISNUMBER(SEARCH("DQ",MAIN!K520)), "DQ",
                IF(ISNUMBER(SEARCH("A",MAIN!K520)), 0,
                IF(OR(MAIN!K520=0,MAIN!K520=""), 0, --TRIM(MAIN!K520)))))))))))),
            0
        )
    ),
    IFERROR(
        UPPER(
            IF(MAX(IFERROR(SEARCH("WD",MAIN!G520:J520), 0))&gt;0, "WD",
            IF(MAX(IFERROR(SEARCH("NS",MAIN!G520:J520), 0))&gt;0, "NS",
            IF(MAX(IFERROR(SEARCH("NC",MAIN!G520:J520), 0))&gt;0, "NC",
            IF(MAX(IFERROR(SEARCH("DQ",MAIN!G520:J520), 0))&gt;0, "DQ",
            IF(ISNUMBER(SEARCH("WD",MAIN!K520)), "WD",
            IF(ISNUMBER(SEARCH("NS",MAIN!K520)), "NS",
            IF(ISNUMBER(SEARCH("NC",MAIN!K520)), "NC",
            IF(ISNUMBER(SEARCH("DQ",MAIN!K520)), "DQ",
            IF(ISNUMBER(SEARCH("A",MAIN!K520)), 0,
            IF(OR(MAIN!K520=0,MAIN!K520=""), 0, --TRIM(MAIN!K520)))))))))))),
        0
    )
)</f>
        <v>0</v>
      </c>
    </row>
    <row r="521" spans="1:11" x14ac:dyDescent="0.25">
      <c r="A521" t="str">
        <f>IF(ISBLANK(MAIN!A521), "--", IFERROR(PROPER(SUBSTITUTE(SUBSTITUTE(SUBSTITUTE(SUBSTITUTE(SUBSTITUTE(SUBSTITUTE(SUBSTITUTE(SUBSTITUTE(SUBSTITUTE(SUBSTITUTE(LEFT(MAIN!A521, FIND(",",MAIN!A521) -1), "0", ""), "1", ""), "2", ""), "3", ""), "4", ""), "5", ""), "6", ""), "7", ""), "8", ""), "9", "")), PROPER(SUBSTITUTE(SUBSTITUTE(SUBSTITUTE(SUBSTITUTE(SUBSTITUTE(SUBSTITUTE(SUBSTITUTE(SUBSTITUTE(SUBSTITUTE(SUBSTITUTE(MAIN!A521, "0", ""), "1", ""), "2", ""), "3", ""), "4", ""), "5", ""), "6", ""), "7", ""), "8", ""), "9", ""))))</f>
        <v>--</v>
      </c>
      <c r="B521" t="str">
        <f>IF(ISBLANK(MAIN!B521), "--", IFERROR(PROPER(SUBSTITUTE(SUBSTITUTE(SUBSTITUTE(SUBSTITUTE(SUBSTITUTE(SUBSTITUTE(SUBSTITUTE(SUBSTITUTE(SUBSTITUTE(SUBSTITUTE(LEFT(MAIN!B521, FIND(",",MAIN!B521) -1), "0", ""), "1", ""), "2", ""), "3", ""), "4", ""), "5", ""), "6", ""), "7", ""), "8", ""), "9", "")), PROPER(SUBSTITUTE(SUBSTITUTE(SUBSTITUTE(SUBSTITUTE(SUBSTITUTE(SUBSTITUTE(SUBSTITUTE(SUBSTITUTE(SUBSTITUTE(SUBSTITUTE(MAIN!B521, "0", ""), "1", ""), "2", ""), "3", ""), "4", ""), "5", ""), "6", ""), "7", ""), "8", ""), "9", ""))))</f>
        <v>--</v>
      </c>
      <c r="C521" t="str">
        <f>IF(ISBLANK(MAIN!C521), "--", IFERROR(PROPER(SUBSTITUTE(SUBSTITUTE(SUBSTITUTE(SUBSTITUTE(SUBSTITUTE(SUBSTITUTE(SUBSTITUTE(SUBSTITUTE(SUBSTITUTE(SUBSTITUTE(LEFT(MAIN!C521, FIND(",",MAIN!C521) -1), "0", ""), "1", ""), "2", ""), "3", ""), "4", ""), "5", ""), "6", ""), "7", ""), "8", ""), "9", "")), PROPER(SUBSTITUTE(SUBSTITUTE(SUBSTITUTE(SUBSTITUTE(SUBSTITUTE(SUBSTITUTE(SUBSTITUTE(SUBSTITUTE(SUBSTITUTE(SUBSTITUTE(MAIN!C521, "0", ""), "1", ""), "2", ""), "3", ""), "4", ""), "5", ""), "6", ""), "7", ""), "8", ""), "9", ""))))</f>
        <v>--</v>
      </c>
      <c r="D521" t="str">
        <f>IF(ISBLANK(MAIN!D521), "--", IF(ISNUMBER(MATCH(SUBSTITUTE(LEFT(MAIN!D521, IFERROR(FIND(",", MAIN!D521)-1, LEN(MAIN!D521))), " ", ""), lookup_values!$B$2:$B$51, 0)), UPPER(SUBSTITUTE(LEFT(MAIN!D521, IFERROR(FIND(",", MAIN!D521)-1, LEN(MAIN!D521))), " ", "")), IF(ISNA(VLOOKUP(SUBSTITUTE(LEFT(MAIN!D521, IFERROR(FIND(",", MAIN!D521)-1, LEN(MAIN!D521))), " ", ""), lookup_values!$A$2:$B$51, 2, FALSE)), "--", VLOOKUP(SUBSTITUTE(LEFT(MAIN!D521, IFERROR(FIND(",", MAIN!D521)-1, LEN(MAIN!D521))), " ", ""), lookup_values!$A$2:$B$51, 2, FALSE))))</f>
        <v>--</v>
      </c>
      <c r="E521" t="str">
        <f>IF(CLEAN_DATA!D521&lt;&gt;"--","US",IF(ISBLANK(MAIN!E521), "--", IF(ISNUMBER(MATCH(SUBSTITUTE(LEFT(MAIN!E521, IFERROR(FIND(",", MAIN!E521)-1, LEN(MAIN!E521))), " ", ""), lookup_values!$E$2:$E$197, 0)), UPPER(SUBSTITUTE(LEFT(MAIN!E521, IFERROR(FIND(",", MAIN!E521)-1, LEN(MAIN!E521))), " ", "")), IF(ISNA(VLOOKUP(SUBSTITUTE(LEFT(MAIN!E521, IFERROR(FIND(",", MAIN!E521)-1, LEN(MAIN!E521))), " ", ""), lookup_values!$D$2:$E$197, 2, FALSE)), "--", VLOOKUP(SUBSTITUTE(LEFT(MAIN!E521, IFERROR(FIND(",", MAIN!E521)-1, LEN(MAIN!E521))), " ", ""), lookup_values!$D$2:$E$197, 2, FALSE)))))</f>
        <v>--</v>
      </c>
      <c r="F521" t="str">
        <f>IF(ISBLANK(MAIN!F521), "", IF(AND(ISNUMBER(VALUE(TRIM(MAIN!F521))), LEN(TRIM(MAIN!F521))=4), VALUE(TRIM(MAIN!F521)), ""))</f>
        <v/>
      </c>
      <c r="G521">
        <f>IF(ISBLANK(MAIN!G521), 0, IF(ISNUMBER(VALUE(TRIM(MAIN!G521))), VALUE(TRIM(MAIN!G521)), 0))</f>
        <v>0</v>
      </c>
      <c r="H521">
        <f>IF(ISBLANK(MAIN!H521), 0, IF(ISNUMBER(VALUE(TRIM(MAIN!H521))), VALUE(TRIM(MAIN!H521)), 0))</f>
        <v>0</v>
      </c>
      <c r="I521">
        <f>IF(ISBLANK(MAIN!I521), 0, IF(ISNUMBER(VALUE(TRIM(MAIN!I521))), VALUE(TRIM(MAIN!I521)), 0))</f>
        <v>0</v>
      </c>
      <c r="J521">
        <f>IF(ISBLANK(MAIN!J521), 0, IF(ISNUMBER(VALUE(TRIM(MAIN!J521))), VALUE(TRIM(MAIN!J521)), 0))</f>
        <v>0</v>
      </c>
      <c r="K521" cm="1">
        <f t="array" ref="K521">IFERROR(
    VALUE(
        IFERROR(
            UPPER(
                IF(MAX(IFERROR(SEARCH("WD",MAIN!G521:J521), 0))&gt;0, "WD",
                IF(MAX(IFERROR(SEARCH("NS",MAIN!G521:J521), 0))&gt;0, "NS",
                IF(MAX(IFERROR(SEARCH("NC",MAIN!G521:J521), 0))&gt;0, "NC",
                IF(MAX(IFERROR(SEARCH("DQ",MAIN!G521:J521), 0))&gt;0, "DQ",
                IF(ISNUMBER(SEARCH("WD",MAIN!K521)), "WD",
                IF(ISNUMBER(SEARCH("NS",MAIN!K521)), "NS",
                IF(ISNUMBER(SEARCH("NC",MAIN!K521)), "NC",
                IF(ISNUMBER(SEARCH("DQ",MAIN!K521)), "DQ",
                IF(ISNUMBER(SEARCH("A",MAIN!K521)), 0,
                IF(OR(MAIN!K521=0,MAIN!K521=""), 0, --TRIM(MAIN!K521)))))))))))),
            0
        )
    ),
    IFERROR(
        UPPER(
            IF(MAX(IFERROR(SEARCH("WD",MAIN!G521:J521), 0))&gt;0, "WD",
            IF(MAX(IFERROR(SEARCH("NS",MAIN!G521:J521), 0))&gt;0, "NS",
            IF(MAX(IFERROR(SEARCH("NC",MAIN!G521:J521), 0))&gt;0, "NC",
            IF(MAX(IFERROR(SEARCH("DQ",MAIN!G521:J521), 0))&gt;0, "DQ",
            IF(ISNUMBER(SEARCH("WD",MAIN!K521)), "WD",
            IF(ISNUMBER(SEARCH("NS",MAIN!K521)), "NS",
            IF(ISNUMBER(SEARCH("NC",MAIN!K521)), "NC",
            IF(ISNUMBER(SEARCH("DQ",MAIN!K521)), "DQ",
            IF(ISNUMBER(SEARCH("A",MAIN!K521)), 0,
            IF(OR(MAIN!K521=0,MAIN!K521=""), 0, --TRIM(MAIN!K521)))))))))))),
        0
    )
)</f>
        <v>0</v>
      </c>
    </row>
    <row r="522" spans="1:11" x14ac:dyDescent="0.25">
      <c r="A522" t="str">
        <f>IF(ISBLANK(MAIN!A522), "--", IFERROR(PROPER(SUBSTITUTE(SUBSTITUTE(SUBSTITUTE(SUBSTITUTE(SUBSTITUTE(SUBSTITUTE(SUBSTITUTE(SUBSTITUTE(SUBSTITUTE(SUBSTITUTE(LEFT(MAIN!A522, FIND(",",MAIN!A522) -1), "0", ""), "1", ""), "2", ""), "3", ""), "4", ""), "5", ""), "6", ""), "7", ""), "8", ""), "9", "")), PROPER(SUBSTITUTE(SUBSTITUTE(SUBSTITUTE(SUBSTITUTE(SUBSTITUTE(SUBSTITUTE(SUBSTITUTE(SUBSTITUTE(SUBSTITUTE(SUBSTITUTE(MAIN!A522, "0", ""), "1", ""), "2", ""), "3", ""), "4", ""), "5", ""), "6", ""), "7", ""), "8", ""), "9", ""))))</f>
        <v>--</v>
      </c>
      <c r="B522" t="str">
        <f>IF(ISBLANK(MAIN!B522), "--", IFERROR(PROPER(SUBSTITUTE(SUBSTITUTE(SUBSTITUTE(SUBSTITUTE(SUBSTITUTE(SUBSTITUTE(SUBSTITUTE(SUBSTITUTE(SUBSTITUTE(SUBSTITUTE(LEFT(MAIN!B522, FIND(",",MAIN!B522) -1), "0", ""), "1", ""), "2", ""), "3", ""), "4", ""), "5", ""), "6", ""), "7", ""), "8", ""), "9", "")), PROPER(SUBSTITUTE(SUBSTITUTE(SUBSTITUTE(SUBSTITUTE(SUBSTITUTE(SUBSTITUTE(SUBSTITUTE(SUBSTITUTE(SUBSTITUTE(SUBSTITUTE(MAIN!B522, "0", ""), "1", ""), "2", ""), "3", ""), "4", ""), "5", ""), "6", ""), "7", ""), "8", ""), "9", ""))))</f>
        <v>--</v>
      </c>
      <c r="C522" t="str">
        <f>IF(ISBLANK(MAIN!C522), "--", IFERROR(PROPER(SUBSTITUTE(SUBSTITUTE(SUBSTITUTE(SUBSTITUTE(SUBSTITUTE(SUBSTITUTE(SUBSTITUTE(SUBSTITUTE(SUBSTITUTE(SUBSTITUTE(LEFT(MAIN!C522, FIND(",",MAIN!C522) -1), "0", ""), "1", ""), "2", ""), "3", ""), "4", ""), "5", ""), "6", ""), "7", ""), "8", ""), "9", "")), PROPER(SUBSTITUTE(SUBSTITUTE(SUBSTITUTE(SUBSTITUTE(SUBSTITUTE(SUBSTITUTE(SUBSTITUTE(SUBSTITUTE(SUBSTITUTE(SUBSTITUTE(MAIN!C522, "0", ""), "1", ""), "2", ""), "3", ""), "4", ""), "5", ""), "6", ""), "7", ""), "8", ""), "9", ""))))</f>
        <v>--</v>
      </c>
      <c r="D522" t="str">
        <f>IF(ISBLANK(MAIN!D522), "--", IF(ISNUMBER(MATCH(SUBSTITUTE(LEFT(MAIN!D522, IFERROR(FIND(",", MAIN!D522)-1, LEN(MAIN!D522))), " ", ""), lookup_values!$B$2:$B$51, 0)), UPPER(SUBSTITUTE(LEFT(MAIN!D522, IFERROR(FIND(",", MAIN!D522)-1, LEN(MAIN!D522))), " ", "")), IF(ISNA(VLOOKUP(SUBSTITUTE(LEFT(MAIN!D522, IFERROR(FIND(",", MAIN!D522)-1, LEN(MAIN!D522))), " ", ""), lookup_values!$A$2:$B$51, 2, FALSE)), "--", VLOOKUP(SUBSTITUTE(LEFT(MAIN!D522, IFERROR(FIND(",", MAIN!D522)-1, LEN(MAIN!D522))), " ", ""), lookup_values!$A$2:$B$51, 2, FALSE))))</f>
        <v>--</v>
      </c>
      <c r="E522" t="str">
        <f>IF(CLEAN_DATA!D522&lt;&gt;"--","US",IF(ISBLANK(MAIN!E522), "--", IF(ISNUMBER(MATCH(SUBSTITUTE(LEFT(MAIN!E522, IFERROR(FIND(",", MAIN!E522)-1, LEN(MAIN!E522))), " ", ""), lookup_values!$E$2:$E$197, 0)), UPPER(SUBSTITUTE(LEFT(MAIN!E522, IFERROR(FIND(",", MAIN!E522)-1, LEN(MAIN!E522))), " ", "")), IF(ISNA(VLOOKUP(SUBSTITUTE(LEFT(MAIN!E522, IFERROR(FIND(",", MAIN!E522)-1, LEN(MAIN!E522))), " ", ""), lookup_values!$D$2:$E$197, 2, FALSE)), "--", VLOOKUP(SUBSTITUTE(LEFT(MAIN!E522, IFERROR(FIND(",", MAIN!E522)-1, LEN(MAIN!E522))), " ", ""), lookup_values!$D$2:$E$197, 2, FALSE)))))</f>
        <v>--</v>
      </c>
      <c r="F522" t="str">
        <f>IF(ISBLANK(MAIN!F522), "", IF(AND(ISNUMBER(VALUE(TRIM(MAIN!F522))), LEN(TRIM(MAIN!F522))=4), VALUE(TRIM(MAIN!F522)), ""))</f>
        <v/>
      </c>
      <c r="G522">
        <f>IF(ISBLANK(MAIN!G522), 0, IF(ISNUMBER(VALUE(TRIM(MAIN!G522))), VALUE(TRIM(MAIN!G522)), 0))</f>
        <v>0</v>
      </c>
      <c r="H522">
        <f>IF(ISBLANK(MAIN!H522), 0, IF(ISNUMBER(VALUE(TRIM(MAIN!H522))), VALUE(TRIM(MAIN!H522)), 0))</f>
        <v>0</v>
      </c>
      <c r="I522">
        <f>IF(ISBLANK(MAIN!I522), 0, IF(ISNUMBER(VALUE(TRIM(MAIN!I522))), VALUE(TRIM(MAIN!I522)), 0))</f>
        <v>0</v>
      </c>
      <c r="J522">
        <f>IF(ISBLANK(MAIN!J522), 0, IF(ISNUMBER(VALUE(TRIM(MAIN!J522))), VALUE(TRIM(MAIN!J522)), 0))</f>
        <v>0</v>
      </c>
      <c r="K522" cm="1">
        <f t="array" ref="K522">IFERROR(
    VALUE(
        IFERROR(
            UPPER(
                IF(MAX(IFERROR(SEARCH("WD",MAIN!G522:J522), 0))&gt;0, "WD",
                IF(MAX(IFERROR(SEARCH("NS",MAIN!G522:J522), 0))&gt;0, "NS",
                IF(MAX(IFERROR(SEARCH("NC",MAIN!G522:J522), 0))&gt;0, "NC",
                IF(MAX(IFERROR(SEARCH("DQ",MAIN!G522:J522), 0))&gt;0, "DQ",
                IF(ISNUMBER(SEARCH("WD",MAIN!K522)), "WD",
                IF(ISNUMBER(SEARCH("NS",MAIN!K522)), "NS",
                IF(ISNUMBER(SEARCH("NC",MAIN!K522)), "NC",
                IF(ISNUMBER(SEARCH("DQ",MAIN!K522)), "DQ",
                IF(ISNUMBER(SEARCH("A",MAIN!K522)), 0,
                IF(OR(MAIN!K522=0,MAIN!K522=""), 0, --TRIM(MAIN!K522)))))))))))),
            0
        )
    ),
    IFERROR(
        UPPER(
            IF(MAX(IFERROR(SEARCH("WD",MAIN!G522:J522), 0))&gt;0, "WD",
            IF(MAX(IFERROR(SEARCH("NS",MAIN!G522:J522), 0))&gt;0, "NS",
            IF(MAX(IFERROR(SEARCH("NC",MAIN!G522:J522), 0))&gt;0, "NC",
            IF(MAX(IFERROR(SEARCH("DQ",MAIN!G522:J522), 0))&gt;0, "DQ",
            IF(ISNUMBER(SEARCH("WD",MAIN!K522)), "WD",
            IF(ISNUMBER(SEARCH("NS",MAIN!K522)), "NS",
            IF(ISNUMBER(SEARCH("NC",MAIN!K522)), "NC",
            IF(ISNUMBER(SEARCH("DQ",MAIN!K522)), "DQ",
            IF(ISNUMBER(SEARCH("A",MAIN!K522)), 0,
            IF(OR(MAIN!K522=0,MAIN!K522=""), 0, --TRIM(MAIN!K522)))))))))))),
        0
    )
)</f>
        <v>0</v>
      </c>
    </row>
    <row r="523" spans="1:11" x14ac:dyDescent="0.25">
      <c r="A523" t="str">
        <f>IF(ISBLANK(MAIN!A523), "--", IFERROR(PROPER(SUBSTITUTE(SUBSTITUTE(SUBSTITUTE(SUBSTITUTE(SUBSTITUTE(SUBSTITUTE(SUBSTITUTE(SUBSTITUTE(SUBSTITUTE(SUBSTITUTE(LEFT(MAIN!A523, FIND(",",MAIN!A523) -1), "0", ""), "1", ""), "2", ""), "3", ""), "4", ""), "5", ""), "6", ""), "7", ""), "8", ""), "9", "")), PROPER(SUBSTITUTE(SUBSTITUTE(SUBSTITUTE(SUBSTITUTE(SUBSTITUTE(SUBSTITUTE(SUBSTITUTE(SUBSTITUTE(SUBSTITUTE(SUBSTITUTE(MAIN!A523, "0", ""), "1", ""), "2", ""), "3", ""), "4", ""), "5", ""), "6", ""), "7", ""), "8", ""), "9", ""))))</f>
        <v>--</v>
      </c>
      <c r="B523" t="str">
        <f>IF(ISBLANK(MAIN!B523), "--", IFERROR(PROPER(SUBSTITUTE(SUBSTITUTE(SUBSTITUTE(SUBSTITUTE(SUBSTITUTE(SUBSTITUTE(SUBSTITUTE(SUBSTITUTE(SUBSTITUTE(SUBSTITUTE(LEFT(MAIN!B523, FIND(",",MAIN!B523) -1), "0", ""), "1", ""), "2", ""), "3", ""), "4", ""), "5", ""), "6", ""), "7", ""), "8", ""), "9", "")), PROPER(SUBSTITUTE(SUBSTITUTE(SUBSTITUTE(SUBSTITUTE(SUBSTITUTE(SUBSTITUTE(SUBSTITUTE(SUBSTITUTE(SUBSTITUTE(SUBSTITUTE(MAIN!B523, "0", ""), "1", ""), "2", ""), "3", ""), "4", ""), "5", ""), "6", ""), "7", ""), "8", ""), "9", ""))))</f>
        <v>--</v>
      </c>
      <c r="C523" t="str">
        <f>IF(ISBLANK(MAIN!C523), "--", IFERROR(PROPER(SUBSTITUTE(SUBSTITUTE(SUBSTITUTE(SUBSTITUTE(SUBSTITUTE(SUBSTITUTE(SUBSTITUTE(SUBSTITUTE(SUBSTITUTE(SUBSTITUTE(LEFT(MAIN!C523, FIND(",",MAIN!C523) -1), "0", ""), "1", ""), "2", ""), "3", ""), "4", ""), "5", ""), "6", ""), "7", ""), "8", ""), "9", "")), PROPER(SUBSTITUTE(SUBSTITUTE(SUBSTITUTE(SUBSTITUTE(SUBSTITUTE(SUBSTITUTE(SUBSTITUTE(SUBSTITUTE(SUBSTITUTE(SUBSTITUTE(MAIN!C523, "0", ""), "1", ""), "2", ""), "3", ""), "4", ""), "5", ""), "6", ""), "7", ""), "8", ""), "9", ""))))</f>
        <v>--</v>
      </c>
      <c r="D523" t="str">
        <f>IF(ISBLANK(MAIN!D523), "--", IF(ISNUMBER(MATCH(SUBSTITUTE(LEFT(MAIN!D523, IFERROR(FIND(",", MAIN!D523)-1, LEN(MAIN!D523))), " ", ""), lookup_values!$B$2:$B$51, 0)), UPPER(SUBSTITUTE(LEFT(MAIN!D523, IFERROR(FIND(",", MAIN!D523)-1, LEN(MAIN!D523))), " ", "")), IF(ISNA(VLOOKUP(SUBSTITUTE(LEFT(MAIN!D523, IFERROR(FIND(",", MAIN!D523)-1, LEN(MAIN!D523))), " ", ""), lookup_values!$A$2:$B$51, 2, FALSE)), "--", VLOOKUP(SUBSTITUTE(LEFT(MAIN!D523, IFERROR(FIND(",", MAIN!D523)-1, LEN(MAIN!D523))), " ", ""), lookup_values!$A$2:$B$51, 2, FALSE))))</f>
        <v>--</v>
      </c>
      <c r="E523" t="str">
        <f>IF(CLEAN_DATA!D523&lt;&gt;"--","US",IF(ISBLANK(MAIN!E523), "--", IF(ISNUMBER(MATCH(SUBSTITUTE(LEFT(MAIN!E523, IFERROR(FIND(",", MAIN!E523)-1, LEN(MAIN!E523))), " ", ""), lookup_values!$E$2:$E$197, 0)), UPPER(SUBSTITUTE(LEFT(MAIN!E523, IFERROR(FIND(",", MAIN!E523)-1, LEN(MAIN!E523))), " ", "")), IF(ISNA(VLOOKUP(SUBSTITUTE(LEFT(MAIN!E523, IFERROR(FIND(",", MAIN!E523)-1, LEN(MAIN!E523))), " ", ""), lookup_values!$D$2:$E$197, 2, FALSE)), "--", VLOOKUP(SUBSTITUTE(LEFT(MAIN!E523, IFERROR(FIND(",", MAIN!E523)-1, LEN(MAIN!E523))), " ", ""), lookup_values!$D$2:$E$197, 2, FALSE)))))</f>
        <v>--</v>
      </c>
      <c r="F523" t="str">
        <f>IF(ISBLANK(MAIN!F523), "", IF(AND(ISNUMBER(VALUE(TRIM(MAIN!F523))), LEN(TRIM(MAIN!F523))=4), VALUE(TRIM(MAIN!F523)), ""))</f>
        <v/>
      </c>
      <c r="G523">
        <f>IF(ISBLANK(MAIN!G523), 0, IF(ISNUMBER(VALUE(TRIM(MAIN!G523))), VALUE(TRIM(MAIN!G523)), 0))</f>
        <v>0</v>
      </c>
      <c r="H523">
        <f>IF(ISBLANK(MAIN!H523), 0, IF(ISNUMBER(VALUE(TRIM(MAIN!H523))), VALUE(TRIM(MAIN!H523)), 0))</f>
        <v>0</v>
      </c>
      <c r="I523">
        <f>IF(ISBLANK(MAIN!I523), 0, IF(ISNUMBER(VALUE(TRIM(MAIN!I523))), VALUE(TRIM(MAIN!I523)), 0))</f>
        <v>0</v>
      </c>
      <c r="J523">
        <f>IF(ISBLANK(MAIN!J523), 0, IF(ISNUMBER(VALUE(TRIM(MAIN!J523))), VALUE(TRIM(MAIN!J523)), 0))</f>
        <v>0</v>
      </c>
      <c r="K523" cm="1">
        <f t="array" ref="K523">IFERROR(
    VALUE(
        IFERROR(
            UPPER(
                IF(MAX(IFERROR(SEARCH("WD",MAIN!G523:J523), 0))&gt;0, "WD",
                IF(MAX(IFERROR(SEARCH("NS",MAIN!G523:J523), 0))&gt;0, "NS",
                IF(MAX(IFERROR(SEARCH("NC",MAIN!G523:J523), 0))&gt;0, "NC",
                IF(MAX(IFERROR(SEARCH("DQ",MAIN!G523:J523), 0))&gt;0, "DQ",
                IF(ISNUMBER(SEARCH("WD",MAIN!K523)), "WD",
                IF(ISNUMBER(SEARCH("NS",MAIN!K523)), "NS",
                IF(ISNUMBER(SEARCH("NC",MAIN!K523)), "NC",
                IF(ISNUMBER(SEARCH("DQ",MAIN!K523)), "DQ",
                IF(ISNUMBER(SEARCH("A",MAIN!K523)), 0,
                IF(OR(MAIN!K523=0,MAIN!K523=""), 0, --TRIM(MAIN!K523)))))))))))),
            0
        )
    ),
    IFERROR(
        UPPER(
            IF(MAX(IFERROR(SEARCH("WD",MAIN!G523:J523), 0))&gt;0, "WD",
            IF(MAX(IFERROR(SEARCH("NS",MAIN!G523:J523), 0))&gt;0, "NS",
            IF(MAX(IFERROR(SEARCH("NC",MAIN!G523:J523), 0))&gt;0, "NC",
            IF(MAX(IFERROR(SEARCH("DQ",MAIN!G523:J523), 0))&gt;0, "DQ",
            IF(ISNUMBER(SEARCH("WD",MAIN!K523)), "WD",
            IF(ISNUMBER(SEARCH("NS",MAIN!K523)), "NS",
            IF(ISNUMBER(SEARCH("NC",MAIN!K523)), "NC",
            IF(ISNUMBER(SEARCH("DQ",MAIN!K523)), "DQ",
            IF(ISNUMBER(SEARCH("A",MAIN!K523)), 0,
            IF(OR(MAIN!K523=0,MAIN!K523=""), 0, --TRIM(MAIN!K523)))))))))))),
        0
    )
)</f>
        <v>0</v>
      </c>
    </row>
    <row r="524" spans="1:11" x14ac:dyDescent="0.25">
      <c r="A524" t="str">
        <f>IF(ISBLANK(MAIN!A524), "--", IFERROR(PROPER(SUBSTITUTE(SUBSTITUTE(SUBSTITUTE(SUBSTITUTE(SUBSTITUTE(SUBSTITUTE(SUBSTITUTE(SUBSTITUTE(SUBSTITUTE(SUBSTITUTE(LEFT(MAIN!A524, FIND(",",MAIN!A524) -1), "0", ""), "1", ""), "2", ""), "3", ""), "4", ""), "5", ""), "6", ""), "7", ""), "8", ""), "9", "")), PROPER(SUBSTITUTE(SUBSTITUTE(SUBSTITUTE(SUBSTITUTE(SUBSTITUTE(SUBSTITUTE(SUBSTITUTE(SUBSTITUTE(SUBSTITUTE(SUBSTITUTE(MAIN!A524, "0", ""), "1", ""), "2", ""), "3", ""), "4", ""), "5", ""), "6", ""), "7", ""), "8", ""), "9", ""))))</f>
        <v>--</v>
      </c>
      <c r="B524" t="str">
        <f>IF(ISBLANK(MAIN!B524), "--", IFERROR(PROPER(SUBSTITUTE(SUBSTITUTE(SUBSTITUTE(SUBSTITUTE(SUBSTITUTE(SUBSTITUTE(SUBSTITUTE(SUBSTITUTE(SUBSTITUTE(SUBSTITUTE(LEFT(MAIN!B524, FIND(",",MAIN!B524) -1), "0", ""), "1", ""), "2", ""), "3", ""), "4", ""), "5", ""), "6", ""), "7", ""), "8", ""), "9", "")), PROPER(SUBSTITUTE(SUBSTITUTE(SUBSTITUTE(SUBSTITUTE(SUBSTITUTE(SUBSTITUTE(SUBSTITUTE(SUBSTITUTE(SUBSTITUTE(SUBSTITUTE(MAIN!B524, "0", ""), "1", ""), "2", ""), "3", ""), "4", ""), "5", ""), "6", ""), "7", ""), "8", ""), "9", ""))))</f>
        <v>--</v>
      </c>
      <c r="C524" t="str">
        <f>IF(ISBLANK(MAIN!C524), "--", IFERROR(PROPER(SUBSTITUTE(SUBSTITUTE(SUBSTITUTE(SUBSTITUTE(SUBSTITUTE(SUBSTITUTE(SUBSTITUTE(SUBSTITUTE(SUBSTITUTE(SUBSTITUTE(LEFT(MAIN!C524, FIND(",",MAIN!C524) -1), "0", ""), "1", ""), "2", ""), "3", ""), "4", ""), "5", ""), "6", ""), "7", ""), "8", ""), "9", "")), PROPER(SUBSTITUTE(SUBSTITUTE(SUBSTITUTE(SUBSTITUTE(SUBSTITUTE(SUBSTITUTE(SUBSTITUTE(SUBSTITUTE(SUBSTITUTE(SUBSTITUTE(MAIN!C524, "0", ""), "1", ""), "2", ""), "3", ""), "4", ""), "5", ""), "6", ""), "7", ""), "8", ""), "9", ""))))</f>
        <v>--</v>
      </c>
      <c r="D524" t="str">
        <f>IF(ISBLANK(MAIN!D524), "--", IF(ISNUMBER(MATCH(SUBSTITUTE(LEFT(MAIN!D524, IFERROR(FIND(",", MAIN!D524)-1, LEN(MAIN!D524))), " ", ""), lookup_values!$B$2:$B$51, 0)), UPPER(SUBSTITUTE(LEFT(MAIN!D524, IFERROR(FIND(",", MAIN!D524)-1, LEN(MAIN!D524))), " ", "")), IF(ISNA(VLOOKUP(SUBSTITUTE(LEFT(MAIN!D524, IFERROR(FIND(",", MAIN!D524)-1, LEN(MAIN!D524))), " ", ""), lookup_values!$A$2:$B$51, 2, FALSE)), "--", VLOOKUP(SUBSTITUTE(LEFT(MAIN!D524, IFERROR(FIND(",", MAIN!D524)-1, LEN(MAIN!D524))), " ", ""), lookup_values!$A$2:$B$51, 2, FALSE))))</f>
        <v>--</v>
      </c>
      <c r="E524" t="str">
        <f>IF(CLEAN_DATA!D524&lt;&gt;"--","US",IF(ISBLANK(MAIN!E524), "--", IF(ISNUMBER(MATCH(SUBSTITUTE(LEFT(MAIN!E524, IFERROR(FIND(",", MAIN!E524)-1, LEN(MAIN!E524))), " ", ""), lookup_values!$E$2:$E$197, 0)), UPPER(SUBSTITUTE(LEFT(MAIN!E524, IFERROR(FIND(",", MAIN!E524)-1, LEN(MAIN!E524))), " ", "")), IF(ISNA(VLOOKUP(SUBSTITUTE(LEFT(MAIN!E524, IFERROR(FIND(",", MAIN!E524)-1, LEN(MAIN!E524))), " ", ""), lookup_values!$D$2:$E$197, 2, FALSE)), "--", VLOOKUP(SUBSTITUTE(LEFT(MAIN!E524, IFERROR(FIND(",", MAIN!E524)-1, LEN(MAIN!E524))), " ", ""), lookup_values!$D$2:$E$197, 2, FALSE)))))</f>
        <v>--</v>
      </c>
      <c r="F524" t="str">
        <f>IF(ISBLANK(MAIN!F524), "", IF(AND(ISNUMBER(VALUE(TRIM(MAIN!F524))), LEN(TRIM(MAIN!F524))=4), VALUE(TRIM(MAIN!F524)), ""))</f>
        <v/>
      </c>
      <c r="G524">
        <f>IF(ISBLANK(MAIN!G524), 0, IF(ISNUMBER(VALUE(TRIM(MAIN!G524))), VALUE(TRIM(MAIN!G524)), 0))</f>
        <v>0</v>
      </c>
      <c r="H524">
        <f>IF(ISBLANK(MAIN!H524), 0, IF(ISNUMBER(VALUE(TRIM(MAIN!H524))), VALUE(TRIM(MAIN!H524)), 0))</f>
        <v>0</v>
      </c>
      <c r="I524">
        <f>IF(ISBLANK(MAIN!I524), 0, IF(ISNUMBER(VALUE(TRIM(MAIN!I524))), VALUE(TRIM(MAIN!I524)), 0))</f>
        <v>0</v>
      </c>
      <c r="J524">
        <f>IF(ISBLANK(MAIN!J524), 0, IF(ISNUMBER(VALUE(TRIM(MAIN!J524))), VALUE(TRIM(MAIN!J524)), 0))</f>
        <v>0</v>
      </c>
      <c r="K524" cm="1">
        <f t="array" ref="K524">IFERROR(
    VALUE(
        IFERROR(
            UPPER(
                IF(MAX(IFERROR(SEARCH("WD",MAIN!G524:J524), 0))&gt;0, "WD",
                IF(MAX(IFERROR(SEARCH("NS",MAIN!G524:J524), 0))&gt;0, "NS",
                IF(MAX(IFERROR(SEARCH("NC",MAIN!G524:J524), 0))&gt;0, "NC",
                IF(MAX(IFERROR(SEARCH("DQ",MAIN!G524:J524), 0))&gt;0, "DQ",
                IF(ISNUMBER(SEARCH("WD",MAIN!K524)), "WD",
                IF(ISNUMBER(SEARCH("NS",MAIN!K524)), "NS",
                IF(ISNUMBER(SEARCH("NC",MAIN!K524)), "NC",
                IF(ISNUMBER(SEARCH("DQ",MAIN!K524)), "DQ",
                IF(ISNUMBER(SEARCH("A",MAIN!K524)), 0,
                IF(OR(MAIN!K524=0,MAIN!K524=""), 0, --TRIM(MAIN!K524)))))))))))),
            0
        )
    ),
    IFERROR(
        UPPER(
            IF(MAX(IFERROR(SEARCH("WD",MAIN!G524:J524), 0))&gt;0, "WD",
            IF(MAX(IFERROR(SEARCH("NS",MAIN!G524:J524), 0))&gt;0, "NS",
            IF(MAX(IFERROR(SEARCH("NC",MAIN!G524:J524), 0))&gt;0, "NC",
            IF(MAX(IFERROR(SEARCH("DQ",MAIN!G524:J524), 0))&gt;0, "DQ",
            IF(ISNUMBER(SEARCH("WD",MAIN!K524)), "WD",
            IF(ISNUMBER(SEARCH("NS",MAIN!K524)), "NS",
            IF(ISNUMBER(SEARCH("NC",MAIN!K524)), "NC",
            IF(ISNUMBER(SEARCH("DQ",MAIN!K524)), "DQ",
            IF(ISNUMBER(SEARCH("A",MAIN!K524)), 0,
            IF(OR(MAIN!K524=0,MAIN!K524=""), 0, --TRIM(MAIN!K524)))))))))))),
        0
    )
)</f>
        <v>0</v>
      </c>
    </row>
    <row r="525" spans="1:11" x14ac:dyDescent="0.25">
      <c r="A525" t="str">
        <f>IF(ISBLANK(MAIN!A525), "--", IFERROR(PROPER(SUBSTITUTE(SUBSTITUTE(SUBSTITUTE(SUBSTITUTE(SUBSTITUTE(SUBSTITUTE(SUBSTITUTE(SUBSTITUTE(SUBSTITUTE(SUBSTITUTE(LEFT(MAIN!A525, FIND(",",MAIN!A525) -1), "0", ""), "1", ""), "2", ""), "3", ""), "4", ""), "5", ""), "6", ""), "7", ""), "8", ""), "9", "")), PROPER(SUBSTITUTE(SUBSTITUTE(SUBSTITUTE(SUBSTITUTE(SUBSTITUTE(SUBSTITUTE(SUBSTITUTE(SUBSTITUTE(SUBSTITUTE(SUBSTITUTE(MAIN!A525, "0", ""), "1", ""), "2", ""), "3", ""), "4", ""), "5", ""), "6", ""), "7", ""), "8", ""), "9", ""))))</f>
        <v>--</v>
      </c>
      <c r="B525" t="str">
        <f>IF(ISBLANK(MAIN!B525), "--", IFERROR(PROPER(SUBSTITUTE(SUBSTITUTE(SUBSTITUTE(SUBSTITUTE(SUBSTITUTE(SUBSTITUTE(SUBSTITUTE(SUBSTITUTE(SUBSTITUTE(SUBSTITUTE(LEFT(MAIN!B525, FIND(",",MAIN!B525) -1), "0", ""), "1", ""), "2", ""), "3", ""), "4", ""), "5", ""), "6", ""), "7", ""), "8", ""), "9", "")), PROPER(SUBSTITUTE(SUBSTITUTE(SUBSTITUTE(SUBSTITUTE(SUBSTITUTE(SUBSTITUTE(SUBSTITUTE(SUBSTITUTE(SUBSTITUTE(SUBSTITUTE(MAIN!B525, "0", ""), "1", ""), "2", ""), "3", ""), "4", ""), "5", ""), "6", ""), "7", ""), "8", ""), "9", ""))))</f>
        <v>--</v>
      </c>
      <c r="C525" t="str">
        <f>IF(ISBLANK(MAIN!C525), "--", IFERROR(PROPER(SUBSTITUTE(SUBSTITUTE(SUBSTITUTE(SUBSTITUTE(SUBSTITUTE(SUBSTITUTE(SUBSTITUTE(SUBSTITUTE(SUBSTITUTE(SUBSTITUTE(LEFT(MAIN!C525, FIND(",",MAIN!C525) -1), "0", ""), "1", ""), "2", ""), "3", ""), "4", ""), "5", ""), "6", ""), "7", ""), "8", ""), "9", "")), PROPER(SUBSTITUTE(SUBSTITUTE(SUBSTITUTE(SUBSTITUTE(SUBSTITUTE(SUBSTITUTE(SUBSTITUTE(SUBSTITUTE(SUBSTITUTE(SUBSTITUTE(MAIN!C525, "0", ""), "1", ""), "2", ""), "3", ""), "4", ""), "5", ""), "6", ""), "7", ""), "8", ""), "9", ""))))</f>
        <v>--</v>
      </c>
      <c r="D525" t="str">
        <f>IF(ISBLANK(MAIN!D525), "--", IF(ISNUMBER(MATCH(SUBSTITUTE(LEFT(MAIN!D525, IFERROR(FIND(",", MAIN!D525)-1, LEN(MAIN!D525))), " ", ""), lookup_values!$B$2:$B$51, 0)), UPPER(SUBSTITUTE(LEFT(MAIN!D525, IFERROR(FIND(",", MAIN!D525)-1, LEN(MAIN!D525))), " ", "")), IF(ISNA(VLOOKUP(SUBSTITUTE(LEFT(MAIN!D525, IFERROR(FIND(",", MAIN!D525)-1, LEN(MAIN!D525))), " ", ""), lookup_values!$A$2:$B$51, 2, FALSE)), "--", VLOOKUP(SUBSTITUTE(LEFT(MAIN!D525, IFERROR(FIND(",", MAIN!D525)-1, LEN(MAIN!D525))), " ", ""), lookup_values!$A$2:$B$51, 2, FALSE))))</f>
        <v>--</v>
      </c>
      <c r="E525" t="str">
        <f>IF(CLEAN_DATA!D525&lt;&gt;"--","US",IF(ISBLANK(MAIN!E525), "--", IF(ISNUMBER(MATCH(SUBSTITUTE(LEFT(MAIN!E525, IFERROR(FIND(",", MAIN!E525)-1, LEN(MAIN!E525))), " ", ""), lookup_values!$E$2:$E$197, 0)), UPPER(SUBSTITUTE(LEFT(MAIN!E525, IFERROR(FIND(",", MAIN!E525)-1, LEN(MAIN!E525))), " ", "")), IF(ISNA(VLOOKUP(SUBSTITUTE(LEFT(MAIN!E525, IFERROR(FIND(",", MAIN!E525)-1, LEN(MAIN!E525))), " ", ""), lookup_values!$D$2:$E$197, 2, FALSE)), "--", VLOOKUP(SUBSTITUTE(LEFT(MAIN!E525, IFERROR(FIND(",", MAIN!E525)-1, LEN(MAIN!E525))), " ", ""), lookup_values!$D$2:$E$197, 2, FALSE)))))</f>
        <v>--</v>
      </c>
      <c r="F525" t="str">
        <f>IF(ISBLANK(MAIN!F525), "", IF(AND(ISNUMBER(VALUE(TRIM(MAIN!F525))), LEN(TRIM(MAIN!F525))=4), VALUE(TRIM(MAIN!F525)), ""))</f>
        <v/>
      </c>
      <c r="G525">
        <f>IF(ISBLANK(MAIN!G525), 0, IF(ISNUMBER(VALUE(TRIM(MAIN!G525))), VALUE(TRIM(MAIN!G525)), 0))</f>
        <v>0</v>
      </c>
      <c r="H525">
        <f>IF(ISBLANK(MAIN!H525), 0, IF(ISNUMBER(VALUE(TRIM(MAIN!H525))), VALUE(TRIM(MAIN!H525)), 0))</f>
        <v>0</v>
      </c>
      <c r="I525">
        <f>IF(ISBLANK(MAIN!I525), 0, IF(ISNUMBER(VALUE(TRIM(MAIN!I525))), VALUE(TRIM(MAIN!I525)), 0))</f>
        <v>0</v>
      </c>
      <c r="J525">
        <f>IF(ISBLANK(MAIN!J525), 0, IF(ISNUMBER(VALUE(TRIM(MAIN!J525))), VALUE(TRIM(MAIN!J525)), 0))</f>
        <v>0</v>
      </c>
      <c r="K525" cm="1">
        <f t="array" ref="K525">IFERROR(
    VALUE(
        IFERROR(
            UPPER(
                IF(MAX(IFERROR(SEARCH("WD",MAIN!G525:J525), 0))&gt;0, "WD",
                IF(MAX(IFERROR(SEARCH("NS",MAIN!G525:J525), 0))&gt;0, "NS",
                IF(MAX(IFERROR(SEARCH("NC",MAIN!G525:J525), 0))&gt;0, "NC",
                IF(MAX(IFERROR(SEARCH("DQ",MAIN!G525:J525), 0))&gt;0, "DQ",
                IF(ISNUMBER(SEARCH("WD",MAIN!K525)), "WD",
                IF(ISNUMBER(SEARCH("NS",MAIN!K525)), "NS",
                IF(ISNUMBER(SEARCH("NC",MAIN!K525)), "NC",
                IF(ISNUMBER(SEARCH("DQ",MAIN!K525)), "DQ",
                IF(ISNUMBER(SEARCH("A",MAIN!K525)), 0,
                IF(OR(MAIN!K525=0,MAIN!K525=""), 0, --TRIM(MAIN!K525)))))))))))),
            0
        )
    ),
    IFERROR(
        UPPER(
            IF(MAX(IFERROR(SEARCH("WD",MAIN!G525:J525), 0))&gt;0, "WD",
            IF(MAX(IFERROR(SEARCH("NS",MAIN!G525:J525), 0))&gt;0, "NS",
            IF(MAX(IFERROR(SEARCH("NC",MAIN!G525:J525), 0))&gt;0, "NC",
            IF(MAX(IFERROR(SEARCH("DQ",MAIN!G525:J525), 0))&gt;0, "DQ",
            IF(ISNUMBER(SEARCH("WD",MAIN!K525)), "WD",
            IF(ISNUMBER(SEARCH("NS",MAIN!K525)), "NS",
            IF(ISNUMBER(SEARCH("NC",MAIN!K525)), "NC",
            IF(ISNUMBER(SEARCH("DQ",MAIN!K525)), "DQ",
            IF(ISNUMBER(SEARCH("A",MAIN!K525)), 0,
            IF(OR(MAIN!K525=0,MAIN!K525=""), 0, --TRIM(MAIN!K525)))))))))))),
        0
    )
)</f>
        <v>0</v>
      </c>
    </row>
    <row r="526" spans="1:11" x14ac:dyDescent="0.25">
      <c r="A526" t="str">
        <f>IF(ISBLANK(MAIN!A526), "--", IFERROR(PROPER(SUBSTITUTE(SUBSTITUTE(SUBSTITUTE(SUBSTITUTE(SUBSTITUTE(SUBSTITUTE(SUBSTITUTE(SUBSTITUTE(SUBSTITUTE(SUBSTITUTE(LEFT(MAIN!A526, FIND(",",MAIN!A526) -1), "0", ""), "1", ""), "2", ""), "3", ""), "4", ""), "5", ""), "6", ""), "7", ""), "8", ""), "9", "")), PROPER(SUBSTITUTE(SUBSTITUTE(SUBSTITUTE(SUBSTITUTE(SUBSTITUTE(SUBSTITUTE(SUBSTITUTE(SUBSTITUTE(SUBSTITUTE(SUBSTITUTE(MAIN!A526, "0", ""), "1", ""), "2", ""), "3", ""), "4", ""), "5", ""), "6", ""), "7", ""), "8", ""), "9", ""))))</f>
        <v>--</v>
      </c>
      <c r="B526" t="str">
        <f>IF(ISBLANK(MAIN!B526), "--", IFERROR(PROPER(SUBSTITUTE(SUBSTITUTE(SUBSTITUTE(SUBSTITUTE(SUBSTITUTE(SUBSTITUTE(SUBSTITUTE(SUBSTITUTE(SUBSTITUTE(SUBSTITUTE(LEFT(MAIN!B526, FIND(",",MAIN!B526) -1), "0", ""), "1", ""), "2", ""), "3", ""), "4", ""), "5", ""), "6", ""), "7", ""), "8", ""), "9", "")), PROPER(SUBSTITUTE(SUBSTITUTE(SUBSTITUTE(SUBSTITUTE(SUBSTITUTE(SUBSTITUTE(SUBSTITUTE(SUBSTITUTE(SUBSTITUTE(SUBSTITUTE(MAIN!B526, "0", ""), "1", ""), "2", ""), "3", ""), "4", ""), "5", ""), "6", ""), "7", ""), "8", ""), "9", ""))))</f>
        <v>--</v>
      </c>
      <c r="C526" t="str">
        <f>IF(ISBLANK(MAIN!C526), "--", IFERROR(PROPER(SUBSTITUTE(SUBSTITUTE(SUBSTITUTE(SUBSTITUTE(SUBSTITUTE(SUBSTITUTE(SUBSTITUTE(SUBSTITUTE(SUBSTITUTE(SUBSTITUTE(LEFT(MAIN!C526, FIND(",",MAIN!C526) -1), "0", ""), "1", ""), "2", ""), "3", ""), "4", ""), "5", ""), "6", ""), "7", ""), "8", ""), "9", "")), PROPER(SUBSTITUTE(SUBSTITUTE(SUBSTITUTE(SUBSTITUTE(SUBSTITUTE(SUBSTITUTE(SUBSTITUTE(SUBSTITUTE(SUBSTITUTE(SUBSTITUTE(MAIN!C526, "0", ""), "1", ""), "2", ""), "3", ""), "4", ""), "5", ""), "6", ""), "7", ""), "8", ""), "9", ""))))</f>
        <v>--</v>
      </c>
      <c r="D526" t="str">
        <f>IF(ISBLANK(MAIN!D526), "--", IF(ISNUMBER(MATCH(SUBSTITUTE(LEFT(MAIN!D526, IFERROR(FIND(",", MAIN!D526)-1, LEN(MAIN!D526))), " ", ""), lookup_values!$B$2:$B$51, 0)), UPPER(SUBSTITUTE(LEFT(MAIN!D526, IFERROR(FIND(",", MAIN!D526)-1, LEN(MAIN!D526))), " ", "")), IF(ISNA(VLOOKUP(SUBSTITUTE(LEFT(MAIN!D526, IFERROR(FIND(",", MAIN!D526)-1, LEN(MAIN!D526))), " ", ""), lookup_values!$A$2:$B$51, 2, FALSE)), "--", VLOOKUP(SUBSTITUTE(LEFT(MAIN!D526, IFERROR(FIND(",", MAIN!D526)-1, LEN(MAIN!D526))), " ", ""), lookup_values!$A$2:$B$51, 2, FALSE))))</f>
        <v>--</v>
      </c>
      <c r="E526" t="str">
        <f>IF(CLEAN_DATA!D526&lt;&gt;"--","US",IF(ISBLANK(MAIN!E526), "--", IF(ISNUMBER(MATCH(SUBSTITUTE(LEFT(MAIN!E526, IFERROR(FIND(",", MAIN!E526)-1, LEN(MAIN!E526))), " ", ""), lookup_values!$E$2:$E$197, 0)), UPPER(SUBSTITUTE(LEFT(MAIN!E526, IFERROR(FIND(",", MAIN!E526)-1, LEN(MAIN!E526))), " ", "")), IF(ISNA(VLOOKUP(SUBSTITUTE(LEFT(MAIN!E526, IFERROR(FIND(",", MAIN!E526)-1, LEN(MAIN!E526))), " ", ""), lookup_values!$D$2:$E$197, 2, FALSE)), "--", VLOOKUP(SUBSTITUTE(LEFT(MAIN!E526, IFERROR(FIND(",", MAIN!E526)-1, LEN(MAIN!E526))), " ", ""), lookup_values!$D$2:$E$197, 2, FALSE)))))</f>
        <v>--</v>
      </c>
      <c r="F526" t="str">
        <f>IF(ISBLANK(MAIN!F526), "", IF(AND(ISNUMBER(VALUE(TRIM(MAIN!F526))), LEN(TRIM(MAIN!F526))=4), VALUE(TRIM(MAIN!F526)), ""))</f>
        <v/>
      </c>
      <c r="G526">
        <f>IF(ISBLANK(MAIN!G526), 0, IF(ISNUMBER(VALUE(TRIM(MAIN!G526))), VALUE(TRIM(MAIN!G526)), 0))</f>
        <v>0</v>
      </c>
      <c r="H526">
        <f>IF(ISBLANK(MAIN!H526), 0, IF(ISNUMBER(VALUE(TRIM(MAIN!H526))), VALUE(TRIM(MAIN!H526)), 0))</f>
        <v>0</v>
      </c>
      <c r="I526">
        <f>IF(ISBLANK(MAIN!I526), 0, IF(ISNUMBER(VALUE(TRIM(MAIN!I526))), VALUE(TRIM(MAIN!I526)), 0))</f>
        <v>0</v>
      </c>
      <c r="J526">
        <f>IF(ISBLANK(MAIN!J526), 0, IF(ISNUMBER(VALUE(TRIM(MAIN!J526))), VALUE(TRIM(MAIN!J526)), 0))</f>
        <v>0</v>
      </c>
      <c r="K526" cm="1">
        <f t="array" ref="K526">IFERROR(
    VALUE(
        IFERROR(
            UPPER(
                IF(MAX(IFERROR(SEARCH("WD",MAIN!G526:J526), 0))&gt;0, "WD",
                IF(MAX(IFERROR(SEARCH("NS",MAIN!G526:J526), 0))&gt;0, "NS",
                IF(MAX(IFERROR(SEARCH("NC",MAIN!G526:J526), 0))&gt;0, "NC",
                IF(MAX(IFERROR(SEARCH("DQ",MAIN!G526:J526), 0))&gt;0, "DQ",
                IF(ISNUMBER(SEARCH("WD",MAIN!K526)), "WD",
                IF(ISNUMBER(SEARCH("NS",MAIN!K526)), "NS",
                IF(ISNUMBER(SEARCH("NC",MAIN!K526)), "NC",
                IF(ISNUMBER(SEARCH("DQ",MAIN!K526)), "DQ",
                IF(ISNUMBER(SEARCH("A",MAIN!K526)), 0,
                IF(OR(MAIN!K526=0,MAIN!K526=""), 0, --TRIM(MAIN!K526)))))))))))),
            0
        )
    ),
    IFERROR(
        UPPER(
            IF(MAX(IFERROR(SEARCH("WD",MAIN!G526:J526), 0))&gt;0, "WD",
            IF(MAX(IFERROR(SEARCH("NS",MAIN!G526:J526), 0))&gt;0, "NS",
            IF(MAX(IFERROR(SEARCH("NC",MAIN!G526:J526), 0))&gt;0, "NC",
            IF(MAX(IFERROR(SEARCH("DQ",MAIN!G526:J526), 0))&gt;0, "DQ",
            IF(ISNUMBER(SEARCH("WD",MAIN!K526)), "WD",
            IF(ISNUMBER(SEARCH("NS",MAIN!K526)), "NS",
            IF(ISNUMBER(SEARCH("NC",MAIN!K526)), "NC",
            IF(ISNUMBER(SEARCH("DQ",MAIN!K526)), "DQ",
            IF(ISNUMBER(SEARCH("A",MAIN!K526)), 0,
            IF(OR(MAIN!K526=0,MAIN!K526=""), 0, --TRIM(MAIN!K526)))))))))))),
        0
    )
)</f>
        <v>0</v>
      </c>
    </row>
    <row r="527" spans="1:11" x14ac:dyDescent="0.25">
      <c r="A527" t="str">
        <f>IF(ISBLANK(MAIN!A527), "--", IFERROR(PROPER(SUBSTITUTE(SUBSTITUTE(SUBSTITUTE(SUBSTITUTE(SUBSTITUTE(SUBSTITUTE(SUBSTITUTE(SUBSTITUTE(SUBSTITUTE(SUBSTITUTE(LEFT(MAIN!A527, FIND(",",MAIN!A527) -1), "0", ""), "1", ""), "2", ""), "3", ""), "4", ""), "5", ""), "6", ""), "7", ""), "8", ""), "9", "")), PROPER(SUBSTITUTE(SUBSTITUTE(SUBSTITUTE(SUBSTITUTE(SUBSTITUTE(SUBSTITUTE(SUBSTITUTE(SUBSTITUTE(SUBSTITUTE(SUBSTITUTE(MAIN!A527, "0", ""), "1", ""), "2", ""), "3", ""), "4", ""), "5", ""), "6", ""), "7", ""), "8", ""), "9", ""))))</f>
        <v>--</v>
      </c>
      <c r="B527" t="str">
        <f>IF(ISBLANK(MAIN!B527), "--", IFERROR(PROPER(SUBSTITUTE(SUBSTITUTE(SUBSTITUTE(SUBSTITUTE(SUBSTITUTE(SUBSTITUTE(SUBSTITUTE(SUBSTITUTE(SUBSTITUTE(SUBSTITUTE(LEFT(MAIN!B527, FIND(",",MAIN!B527) -1), "0", ""), "1", ""), "2", ""), "3", ""), "4", ""), "5", ""), "6", ""), "7", ""), "8", ""), "9", "")), PROPER(SUBSTITUTE(SUBSTITUTE(SUBSTITUTE(SUBSTITUTE(SUBSTITUTE(SUBSTITUTE(SUBSTITUTE(SUBSTITUTE(SUBSTITUTE(SUBSTITUTE(MAIN!B527, "0", ""), "1", ""), "2", ""), "3", ""), "4", ""), "5", ""), "6", ""), "7", ""), "8", ""), "9", ""))))</f>
        <v>--</v>
      </c>
      <c r="C527" t="str">
        <f>IF(ISBLANK(MAIN!C527), "--", IFERROR(PROPER(SUBSTITUTE(SUBSTITUTE(SUBSTITUTE(SUBSTITUTE(SUBSTITUTE(SUBSTITUTE(SUBSTITUTE(SUBSTITUTE(SUBSTITUTE(SUBSTITUTE(LEFT(MAIN!C527, FIND(",",MAIN!C527) -1), "0", ""), "1", ""), "2", ""), "3", ""), "4", ""), "5", ""), "6", ""), "7", ""), "8", ""), "9", "")), PROPER(SUBSTITUTE(SUBSTITUTE(SUBSTITUTE(SUBSTITUTE(SUBSTITUTE(SUBSTITUTE(SUBSTITUTE(SUBSTITUTE(SUBSTITUTE(SUBSTITUTE(MAIN!C527, "0", ""), "1", ""), "2", ""), "3", ""), "4", ""), "5", ""), "6", ""), "7", ""), "8", ""), "9", ""))))</f>
        <v>--</v>
      </c>
      <c r="D527" t="str">
        <f>IF(ISBLANK(MAIN!D527), "--", IF(ISNUMBER(MATCH(SUBSTITUTE(LEFT(MAIN!D527, IFERROR(FIND(",", MAIN!D527)-1, LEN(MAIN!D527))), " ", ""), lookup_values!$B$2:$B$51, 0)), UPPER(SUBSTITUTE(LEFT(MAIN!D527, IFERROR(FIND(",", MAIN!D527)-1, LEN(MAIN!D527))), " ", "")), IF(ISNA(VLOOKUP(SUBSTITUTE(LEFT(MAIN!D527, IFERROR(FIND(",", MAIN!D527)-1, LEN(MAIN!D527))), " ", ""), lookup_values!$A$2:$B$51, 2, FALSE)), "--", VLOOKUP(SUBSTITUTE(LEFT(MAIN!D527, IFERROR(FIND(",", MAIN!D527)-1, LEN(MAIN!D527))), " ", ""), lookup_values!$A$2:$B$51, 2, FALSE))))</f>
        <v>--</v>
      </c>
      <c r="E527" t="str">
        <f>IF(CLEAN_DATA!D527&lt;&gt;"--","US",IF(ISBLANK(MAIN!E527), "--", IF(ISNUMBER(MATCH(SUBSTITUTE(LEFT(MAIN!E527, IFERROR(FIND(",", MAIN!E527)-1, LEN(MAIN!E527))), " ", ""), lookup_values!$E$2:$E$197, 0)), UPPER(SUBSTITUTE(LEFT(MAIN!E527, IFERROR(FIND(",", MAIN!E527)-1, LEN(MAIN!E527))), " ", "")), IF(ISNA(VLOOKUP(SUBSTITUTE(LEFT(MAIN!E527, IFERROR(FIND(",", MAIN!E527)-1, LEN(MAIN!E527))), " ", ""), lookup_values!$D$2:$E$197, 2, FALSE)), "--", VLOOKUP(SUBSTITUTE(LEFT(MAIN!E527, IFERROR(FIND(",", MAIN!E527)-1, LEN(MAIN!E527))), " ", ""), lookup_values!$D$2:$E$197, 2, FALSE)))))</f>
        <v>--</v>
      </c>
      <c r="F527" t="str">
        <f>IF(ISBLANK(MAIN!F527), "", IF(AND(ISNUMBER(VALUE(TRIM(MAIN!F527))), LEN(TRIM(MAIN!F527))=4), VALUE(TRIM(MAIN!F527)), ""))</f>
        <v/>
      </c>
      <c r="G527">
        <f>IF(ISBLANK(MAIN!G527), 0, IF(ISNUMBER(VALUE(TRIM(MAIN!G527))), VALUE(TRIM(MAIN!G527)), 0))</f>
        <v>0</v>
      </c>
      <c r="H527">
        <f>IF(ISBLANK(MAIN!H527), 0, IF(ISNUMBER(VALUE(TRIM(MAIN!H527))), VALUE(TRIM(MAIN!H527)), 0))</f>
        <v>0</v>
      </c>
      <c r="I527">
        <f>IF(ISBLANK(MAIN!I527), 0, IF(ISNUMBER(VALUE(TRIM(MAIN!I527))), VALUE(TRIM(MAIN!I527)), 0))</f>
        <v>0</v>
      </c>
      <c r="J527">
        <f>IF(ISBLANK(MAIN!J527), 0, IF(ISNUMBER(VALUE(TRIM(MAIN!J527))), VALUE(TRIM(MAIN!J527)), 0))</f>
        <v>0</v>
      </c>
      <c r="K527" cm="1">
        <f t="array" ref="K527">IFERROR(
    VALUE(
        IFERROR(
            UPPER(
                IF(MAX(IFERROR(SEARCH("WD",MAIN!G527:J527), 0))&gt;0, "WD",
                IF(MAX(IFERROR(SEARCH("NS",MAIN!G527:J527), 0))&gt;0, "NS",
                IF(MAX(IFERROR(SEARCH("NC",MAIN!G527:J527), 0))&gt;0, "NC",
                IF(MAX(IFERROR(SEARCH("DQ",MAIN!G527:J527), 0))&gt;0, "DQ",
                IF(ISNUMBER(SEARCH("WD",MAIN!K527)), "WD",
                IF(ISNUMBER(SEARCH("NS",MAIN!K527)), "NS",
                IF(ISNUMBER(SEARCH("NC",MAIN!K527)), "NC",
                IF(ISNUMBER(SEARCH("DQ",MAIN!K527)), "DQ",
                IF(ISNUMBER(SEARCH("A",MAIN!K527)), 0,
                IF(OR(MAIN!K527=0,MAIN!K527=""), 0, --TRIM(MAIN!K527)))))))))))),
            0
        )
    ),
    IFERROR(
        UPPER(
            IF(MAX(IFERROR(SEARCH("WD",MAIN!G527:J527), 0))&gt;0, "WD",
            IF(MAX(IFERROR(SEARCH("NS",MAIN!G527:J527), 0))&gt;0, "NS",
            IF(MAX(IFERROR(SEARCH("NC",MAIN!G527:J527), 0))&gt;0, "NC",
            IF(MAX(IFERROR(SEARCH("DQ",MAIN!G527:J527), 0))&gt;0, "DQ",
            IF(ISNUMBER(SEARCH("WD",MAIN!K527)), "WD",
            IF(ISNUMBER(SEARCH("NS",MAIN!K527)), "NS",
            IF(ISNUMBER(SEARCH("NC",MAIN!K527)), "NC",
            IF(ISNUMBER(SEARCH("DQ",MAIN!K527)), "DQ",
            IF(ISNUMBER(SEARCH("A",MAIN!K527)), 0,
            IF(OR(MAIN!K527=0,MAIN!K527=""), 0, --TRIM(MAIN!K527)))))))))))),
        0
    )
)</f>
        <v>0</v>
      </c>
    </row>
    <row r="528" spans="1:11" x14ac:dyDescent="0.25">
      <c r="A528" t="str">
        <f>IF(ISBLANK(MAIN!A528), "--", IFERROR(PROPER(SUBSTITUTE(SUBSTITUTE(SUBSTITUTE(SUBSTITUTE(SUBSTITUTE(SUBSTITUTE(SUBSTITUTE(SUBSTITUTE(SUBSTITUTE(SUBSTITUTE(LEFT(MAIN!A528, FIND(",",MAIN!A528) -1), "0", ""), "1", ""), "2", ""), "3", ""), "4", ""), "5", ""), "6", ""), "7", ""), "8", ""), "9", "")), PROPER(SUBSTITUTE(SUBSTITUTE(SUBSTITUTE(SUBSTITUTE(SUBSTITUTE(SUBSTITUTE(SUBSTITUTE(SUBSTITUTE(SUBSTITUTE(SUBSTITUTE(MAIN!A528, "0", ""), "1", ""), "2", ""), "3", ""), "4", ""), "5", ""), "6", ""), "7", ""), "8", ""), "9", ""))))</f>
        <v>--</v>
      </c>
      <c r="B528" t="str">
        <f>IF(ISBLANK(MAIN!B528), "--", IFERROR(PROPER(SUBSTITUTE(SUBSTITUTE(SUBSTITUTE(SUBSTITUTE(SUBSTITUTE(SUBSTITUTE(SUBSTITUTE(SUBSTITUTE(SUBSTITUTE(SUBSTITUTE(LEFT(MAIN!B528, FIND(",",MAIN!B528) -1), "0", ""), "1", ""), "2", ""), "3", ""), "4", ""), "5", ""), "6", ""), "7", ""), "8", ""), "9", "")), PROPER(SUBSTITUTE(SUBSTITUTE(SUBSTITUTE(SUBSTITUTE(SUBSTITUTE(SUBSTITUTE(SUBSTITUTE(SUBSTITUTE(SUBSTITUTE(SUBSTITUTE(MAIN!B528, "0", ""), "1", ""), "2", ""), "3", ""), "4", ""), "5", ""), "6", ""), "7", ""), "8", ""), "9", ""))))</f>
        <v>--</v>
      </c>
      <c r="C528" t="str">
        <f>IF(ISBLANK(MAIN!C528), "--", IFERROR(PROPER(SUBSTITUTE(SUBSTITUTE(SUBSTITUTE(SUBSTITUTE(SUBSTITUTE(SUBSTITUTE(SUBSTITUTE(SUBSTITUTE(SUBSTITUTE(SUBSTITUTE(LEFT(MAIN!C528, FIND(",",MAIN!C528) -1), "0", ""), "1", ""), "2", ""), "3", ""), "4", ""), "5", ""), "6", ""), "7", ""), "8", ""), "9", "")), PROPER(SUBSTITUTE(SUBSTITUTE(SUBSTITUTE(SUBSTITUTE(SUBSTITUTE(SUBSTITUTE(SUBSTITUTE(SUBSTITUTE(SUBSTITUTE(SUBSTITUTE(MAIN!C528, "0", ""), "1", ""), "2", ""), "3", ""), "4", ""), "5", ""), "6", ""), "7", ""), "8", ""), "9", ""))))</f>
        <v>--</v>
      </c>
      <c r="D528" t="str">
        <f>IF(ISBLANK(MAIN!D528), "--", IF(ISNUMBER(MATCH(SUBSTITUTE(LEFT(MAIN!D528, IFERROR(FIND(",", MAIN!D528)-1, LEN(MAIN!D528))), " ", ""), lookup_values!$B$2:$B$51, 0)), UPPER(SUBSTITUTE(LEFT(MAIN!D528, IFERROR(FIND(",", MAIN!D528)-1, LEN(MAIN!D528))), " ", "")), IF(ISNA(VLOOKUP(SUBSTITUTE(LEFT(MAIN!D528, IFERROR(FIND(",", MAIN!D528)-1, LEN(MAIN!D528))), " ", ""), lookup_values!$A$2:$B$51, 2, FALSE)), "--", VLOOKUP(SUBSTITUTE(LEFT(MAIN!D528, IFERROR(FIND(",", MAIN!D528)-1, LEN(MAIN!D528))), " ", ""), lookup_values!$A$2:$B$51, 2, FALSE))))</f>
        <v>--</v>
      </c>
      <c r="E528" t="str">
        <f>IF(CLEAN_DATA!D528&lt;&gt;"--","US",IF(ISBLANK(MAIN!E528), "--", IF(ISNUMBER(MATCH(SUBSTITUTE(LEFT(MAIN!E528, IFERROR(FIND(",", MAIN!E528)-1, LEN(MAIN!E528))), " ", ""), lookup_values!$E$2:$E$197, 0)), UPPER(SUBSTITUTE(LEFT(MAIN!E528, IFERROR(FIND(",", MAIN!E528)-1, LEN(MAIN!E528))), " ", "")), IF(ISNA(VLOOKUP(SUBSTITUTE(LEFT(MAIN!E528, IFERROR(FIND(",", MAIN!E528)-1, LEN(MAIN!E528))), " ", ""), lookup_values!$D$2:$E$197, 2, FALSE)), "--", VLOOKUP(SUBSTITUTE(LEFT(MAIN!E528, IFERROR(FIND(",", MAIN!E528)-1, LEN(MAIN!E528))), " ", ""), lookup_values!$D$2:$E$197, 2, FALSE)))))</f>
        <v>--</v>
      </c>
      <c r="F528" t="str">
        <f>IF(ISBLANK(MAIN!F528), "", IF(AND(ISNUMBER(VALUE(TRIM(MAIN!F528))), LEN(TRIM(MAIN!F528))=4), VALUE(TRIM(MAIN!F528)), ""))</f>
        <v/>
      </c>
      <c r="G528">
        <f>IF(ISBLANK(MAIN!G528), 0, IF(ISNUMBER(VALUE(TRIM(MAIN!G528))), VALUE(TRIM(MAIN!G528)), 0))</f>
        <v>0</v>
      </c>
      <c r="H528">
        <f>IF(ISBLANK(MAIN!H528), 0, IF(ISNUMBER(VALUE(TRIM(MAIN!H528))), VALUE(TRIM(MAIN!H528)), 0))</f>
        <v>0</v>
      </c>
      <c r="I528">
        <f>IF(ISBLANK(MAIN!I528), 0, IF(ISNUMBER(VALUE(TRIM(MAIN!I528))), VALUE(TRIM(MAIN!I528)), 0))</f>
        <v>0</v>
      </c>
      <c r="J528">
        <f>IF(ISBLANK(MAIN!J528), 0, IF(ISNUMBER(VALUE(TRIM(MAIN!J528))), VALUE(TRIM(MAIN!J528)), 0))</f>
        <v>0</v>
      </c>
      <c r="K528" cm="1">
        <f t="array" ref="K528">IFERROR(
    VALUE(
        IFERROR(
            UPPER(
                IF(MAX(IFERROR(SEARCH("WD",MAIN!G528:J528), 0))&gt;0, "WD",
                IF(MAX(IFERROR(SEARCH("NS",MAIN!G528:J528), 0))&gt;0, "NS",
                IF(MAX(IFERROR(SEARCH("NC",MAIN!G528:J528), 0))&gt;0, "NC",
                IF(MAX(IFERROR(SEARCH("DQ",MAIN!G528:J528), 0))&gt;0, "DQ",
                IF(ISNUMBER(SEARCH("WD",MAIN!K528)), "WD",
                IF(ISNUMBER(SEARCH("NS",MAIN!K528)), "NS",
                IF(ISNUMBER(SEARCH("NC",MAIN!K528)), "NC",
                IF(ISNUMBER(SEARCH("DQ",MAIN!K528)), "DQ",
                IF(ISNUMBER(SEARCH("A",MAIN!K528)), 0,
                IF(OR(MAIN!K528=0,MAIN!K528=""), 0, --TRIM(MAIN!K528)))))))))))),
            0
        )
    ),
    IFERROR(
        UPPER(
            IF(MAX(IFERROR(SEARCH("WD",MAIN!G528:J528), 0))&gt;0, "WD",
            IF(MAX(IFERROR(SEARCH("NS",MAIN!G528:J528), 0))&gt;0, "NS",
            IF(MAX(IFERROR(SEARCH("NC",MAIN!G528:J528), 0))&gt;0, "NC",
            IF(MAX(IFERROR(SEARCH("DQ",MAIN!G528:J528), 0))&gt;0, "DQ",
            IF(ISNUMBER(SEARCH("WD",MAIN!K528)), "WD",
            IF(ISNUMBER(SEARCH("NS",MAIN!K528)), "NS",
            IF(ISNUMBER(SEARCH("NC",MAIN!K528)), "NC",
            IF(ISNUMBER(SEARCH("DQ",MAIN!K528)), "DQ",
            IF(ISNUMBER(SEARCH("A",MAIN!K528)), 0,
            IF(OR(MAIN!K528=0,MAIN!K528=""), 0, --TRIM(MAIN!K528)))))))))))),
        0
    )
)</f>
        <v>0</v>
      </c>
    </row>
    <row r="529" spans="1:11" x14ac:dyDescent="0.25">
      <c r="A529" t="str">
        <f>IF(ISBLANK(MAIN!A529), "--", IFERROR(PROPER(SUBSTITUTE(SUBSTITUTE(SUBSTITUTE(SUBSTITUTE(SUBSTITUTE(SUBSTITUTE(SUBSTITUTE(SUBSTITUTE(SUBSTITUTE(SUBSTITUTE(LEFT(MAIN!A529, FIND(",",MAIN!A529) -1), "0", ""), "1", ""), "2", ""), "3", ""), "4", ""), "5", ""), "6", ""), "7", ""), "8", ""), "9", "")), PROPER(SUBSTITUTE(SUBSTITUTE(SUBSTITUTE(SUBSTITUTE(SUBSTITUTE(SUBSTITUTE(SUBSTITUTE(SUBSTITUTE(SUBSTITUTE(SUBSTITUTE(MAIN!A529, "0", ""), "1", ""), "2", ""), "3", ""), "4", ""), "5", ""), "6", ""), "7", ""), "8", ""), "9", ""))))</f>
        <v>--</v>
      </c>
      <c r="B529" t="str">
        <f>IF(ISBLANK(MAIN!B529), "--", IFERROR(PROPER(SUBSTITUTE(SUBSTITUTE(SUBSTITUTE(SUBSTITUTE(SUBSTITUTE(SUBSTITUTE(SUBSTITUTE(SUBSTITUTE(SUBSTITUTE(SUBSTITUTE(LEFT(MAIN!B529, FIND(",",MAIN!B529) -1), "0", ""), "1", ""), "2", ""), "3", ""), "4", ""), "5", ""), "6", ""), "7", ""), "8", ""), "9", "")), PROPER(SUBSTITUTE(SUBSTITUTE(SUBSTITUTE(SUBSTITUTE(SUBSTITUTE(SUBSTITUTE(SUBSTITUTE(SUBSTITUTE(SUBSTITUTE(SUBSTITUTE(MAIN!B529, "0", ""), "1", ""), "2", ""), "3", ""), "4", ""), "5", ""), "6", ""), "7", ""), "8", ""), "9", ""))))</f>
        <v>--</v>
      </c>
      <c r="C529" t="str">
        <f>IF(ISBLANK(MAIN!C529), "--", IFERROR(PROPER(SUBSTITUTE(SUBSTITUTE(SUBSTITUTE(SUBSTITUTE(SUBSTITUTE(SUBSTITUTE(SUBSTITUTE(SUBSTITUTE(SUBSTITUTE(SUBSTITUTE(LEFT(MAIN!C529, FIND(",",MAIN!C529) -1), "0", ""), "1", ""), "2", ""), "3", ""), "4", ""), "5", ""), "6", ""), "7", ""), "8", ""), "9", "")), PROPER(SUBSTITUTE(SUBSTITUTE(SUBSTITUTE(SUBSTITUTE(SUBSTITUTE(SUBSTITUTE(SUBSTITUTE(SUBSTITUTE(SUBSTITUTE(SUBSTITUTE(MAIN!C529, "0", ""), "1", ""), "2", ""), "3", ""), "4", ""), "5", ""), "6", ""), "7", ""), "8", ""), "9", ""))))</f>
        <v>--</v>
      </c>
      <c r="D529" t="str">
        <f>IF(ISBLANK(MAIN!D529), "--", IF(ISNUMBER(MATCH(SUBSTITUTE(LEFT(MAIN!D529, IFERROR(FIND(",", MAIN!D529)-1, LEN(MAIN!D529))), " ", ""), lookup_values!$B$2:$B$51, 0)), UPPER(SUBSTITUTE(LEFT(MAIN!D529, IFERROR(FIND(",", MAIN!D529)-1, LEN(MAIN!D529))), " ", "")), IF(ISNA(VLOOKUP(SUBSTITUTE(LEFT(MAIN!D529, IFERROR(FIND(",", MAIN!D529)-1, LEN(MAIN!D529))), " ", ""), lookup_values!$A$2:$B$51, 2, FALSE)), "--", VLOOKUP(SUBSTITUTE(LEFT(MAIN!D529, IFERROR(FIND(",", MAIN!D529)-1, LEN(MAIN!D529))), " ", ""), lookup_values!$A$2:$B$51, 2, FALSE))))</f>
        <v>--</v>
      </c>
      <c r="E529" t="str">
        <f>IF(CLEAN_DATA!D529&lt;&gt;"--","US",IF(ISBLANK(MAIN!E529), "--", IF(ISNUMBER(MATCH(SUBSTITUTE(LEFT(MAIN!E529, IFERROR(FIND(",", MAIN!E529)-1, LEN(MAIN!E529))), " ", ""), lookup_values!$E$2:$E$197, 0)), UPPER(SUBSTITUTE(LEFT(MAIN!E529, IFERROR(FIND(",", MAIN!E529)-1, LEN(MAIN!E529))), " ", "")), IF(ISNA(VLOOKUP(SUBSTITUTE(LEFT(MAIN!E529, IFERROR(FIND(",", MAIN!E529)-1, LEN(MAIN!E529))), " ", ""), lookup_values!$D$2:$E$197, 2, FALSE)), "--", VLOOKUP(SUBSTITUTE(LEFT(MAIN!E529, IFERROR(FIND(",", MAIN!E529)-1, LEN(MAIN!E529))), " ", ""), lookup_values!$D$2:$E$197, 2, FALSE)))))</f>
        <v>--</v>
      </c>
      <c r="F529" t="str">
        <f>IF(ISBLANK(MAIN!F529), "", IF(AND(ISNUMBER(VALUE(TRIM(MAIN!F529))), LEN(TRIM(MAIN!F529))=4), VALUE(TRIM(MAIN!F529)), ""))</f>
        <v/>
      </c>
      <c r="G529">
        <f>IF(ISBLANK(MAIN!G529), 0, IF(ISNUMBER(VALUE(TRIM(MAIN!G529))), VALUE(TRIM(MAIN!G529)), 0))</f>
        <v>0</v>
      </c>
      <c r="H529">
        <f>IF(ISBLANK(MAIN!H529), 0, IF(ISNUMBER(VALUE(TRIM(MAIN!H529))), VALUE(TRIM(MAIN!H529)), 0))</f>
        <v>0</v>
      </c>
      <c r="I529">
        <f>IF(ISBLANK(MAIN!I529), 0, IF(ISNUMBER(VALUE(TRIM(MAIN!I529))), VALUE(TRIM(MAIN!I529)), 0))</f>
        <v>0</v>
      </c>
      <c r="J529">
        <f>IF(ISBLANK(MAIN!J529), 0, IF(ISNUMBER(VALUE(TRIM(MAIN!J529))), VALUE(TRIM(MAIN!J529)), 0))</f>
        <v>0</v>
      </c>
      <c r="K529" cm="1">
        <f t="array" ref="K529">IFERROR(
    VALUE(
        IFERROR(
            UPPER(
                IF(MAX(IFERROR(SEARCH("WD",MAIN!G529:J529), 0))&gt;0, "WD",
                IF(MAX(IFERROR(SEARCH("NS",MAIN!G529:J529), 0))&gt;0, "NS",
                IF(MAX(IFERROR(SEARCH("NC",MAIN!G529:J529), 0))&gt;0, "NC",
                IF(MAX(IFERROR(SEARCH("DQ",MAIN!G529:J529), 0))&gt;0, "DQ",
                IF(ISNUMBER(SEARCH("WD",MAIN!K529)), "WD",
                IF(ISNUMBER(SEARCH("NS",MAIN!K529)), "NS",
                IF(ISNUMBER(SEARCH("NC",MAIN!K529)), "NC",
                IF(ISNUMBER(SEARCH("DQ",MAIN!K529)), "DQ",
                IF(ISNUMBER(SEARCH("A",MAIN!K529)), 0,
                IF(OR(MAIN!K529=0,MAIN!K529=""), 0, --TRIM(MAIN!K529)))))))))))),
            0
        )
    ),
    IFERROR(
        UPPER(
            IF(MAX(IFERROR(SEARCH("WD",MAIN!G529:J529), 0))&gt;0, "WD",
            IF(MAX(IFERROR(SEARCH("NS",MAIN!G529:J529), 0))&gt;0, "NS",
            IF(MAX(IFERROR(SEARCH("NC",MAIN!G529:J529), 0))&gt;0, "NC",
            IF(MAX(IFERROR(SEARCH("DQ",MAIN!G529:J529), 0))&gt;0, "DQ",
            IF(ISNUMBER(SEARCH("WD",MAIN!K529)), "WD",
            IF(ISNUMBER(SEARCH("NS",MAIN!K529)), "NS",
            IF(ISNUMBER(SEARCH("NC",MAIN!K529)), "NC",
            IF(ISNUMBER(SEARCH("DQ",MAIN!K529)), "DQ",
            IF(ISNUMBER(SEARCH("A",MAIN!K529)), 0,
            IF(OR(MAIN!K529=0,MAIN!K529=""), 0, --TRIM(MAIN!K529)))))))))))),
        0
    )
)</f>
        <v>0</v>
      </c>
    </row>
    <row r="530" spans="1:11" x14ac:dyDescent="0.25">
      <c r="A530" t="str">
        <f>IF(ISBLANK(MAIN!A530), "--", IFERROR(PROPER(SUBSTITUTE(SUBSTITUTE(SUBSTITUTE(SUBSTITUTE(SUBSTITUTE(SUBSTITUTE(SUBSTITUTE(SUBSTITUTE(SUBSTITUTE(SUBSTITUTE(LEFT(MAIN!A530, FIND(",",MAIN!A530) -1), "0", ""), "1", ""), "2", ""), "3", ""), "4", ""), "5", ""), "6", ""), "7", ""), "8", ""), "9", "")), PROPER(SUBSTITUTE(SUBSTITUTE(SUBSTITUTE(SUBSTITUTE(SUBSTITUTE(SUBSTITUTE(SUBSTITUTE(SUBSTITUTE(SUBSTITUTE(SUBSTITUTE(MAIN!A530, "0", ""), "1", ""), "2", ""), "3", ""), "4", ""), "5", ""), "6", ""), "7", ""), "8", ""), "9", ""))))</f>
        <v>--</v>
      </c>
      <c r="B530" t="str">
        <f>IF(ISBLANK(MAIN!B530), "--", IFERROR(PROPER(SUBSTITUTE(SUBSTITUTE(SUBSTITUTE(SUBSTITUTE(SUBSTITUTE(SUBSTITUTE(SUBSTITUTE(SUBSTITUTE(SUBSTITUTE(SUBSTITUTE(LEFT(MAIN!B530, FIND(",",MAIN!B530) -1), "0", ""), "1", ""), "2", ""), "3", ""), "4", ""), "5", ""), "6", ""), "7", ""), "8", ""), "9", "")), PROPER(SUBSTITUTE(SUBSTITUTE(SUBSTITUTE(SUBSTITUTE(SUBSTITUTE(SUBSTITUTE(SUBSTITUTE(SUBSTITUTE(SUBSTITUTE(SUBSTITUTE(MAIN!B530, "0", ""), "1", ""), "2", ""), "3", ""), "4", ""), "5", ""), "6", ""), "7", ""), "8", ""), "9", ""))))</f>
        <v>--</v>
      </c>
      <c r="C530" t="str">
        <f>IF(ISBLANK(MAIN!C530), "--", IFERROR(PROPER(SUBSTITUTE(SUBSTITUTE(SUBSTITUTE(SUBSTITUTE(SUBSTITUTE(SUBSTITUTE(SUBSTITUTE(SUBSTITUTE(SUBSTITUTE(SUBSTITUTE(LEFT(MAIN!C530, FIND(",",MAIN!C530) -1), "0", ""), "1", ""), "2", ""), "3", ""), "4", ""), "5", ""), "6", ""), "7", ""), "8", ""), "9", "")), PROPER(SUBSTITUTE(SUBSTITUTE(SUBSTITUTE(SUBSTITUTE(SUBSTITUTE(SUBSTITUTE(SUBSTITUTE(SUBSTITUTE(SUBSTITUTE(SUBSTITUTE(MAIN!C530, "0", ""), "1", ""), "2", ""), "3", ""), "4", ""), "5", ""), "6", ""), "7", ""), "8", ""), "9", ""))))</f>
        <v>--</v>
      </c>
      <c r="D530" t="str">
        <f>IF(ISBLANK(MAIN!D530), "--", IF(ISNUMBER(MATCH(SUBSTITUTE(LEFT(MAIN!D530, IFERROR(FIND(",", MAIN!D530)-1, LEN(MAIN!D530))), " ", ""), lookup_values!$B$2:$B$51, 0)), UPPER(SUBSTITUTE(LEFT(MAIN!D530, IFERROR(FIND(",", MAIN!D530)-1, LEN(MAIN!D530))), " ", "")), IF(ISNA(VLOOKUP(SUBSTITUTE(LEFT(MAIN!D530, IFERROR(FIND(",", MAIN!D530)-1, LEN(MAIN!D530))), " ", ""), lookup_values!$A$2:$B$51, 2, FALSE)), "--", VLOOKUP(SUBSTITUTE(LEFT(MAIN!D530, IFERROR(FIND(",", MAIN!D530)-1, LEN(MAIN!D530))), " ", ""), lookup_values!$A$2:$B$51, 2, FALSE))))</f>
        <v>--</v>
      </c>
      <c r="E530" t="str">
        <f>IF(CLEAN_DATA!D530&lt;&gt;"--","US",IF(ISBLANK(MAIN!E530), "--", IF(ISNUMBER(MATCH(SUBSTITUTE(LEFT(MAIN!E530, IFERROR(FIND(",", MAIN!E530)-1, LEN(MAIN!E530))), " ", ""), lookup_values!$E$2:$E$197, 0)), UPPER(SUBSTITUTE(LEFT(MAIN!E530, IFERROR(FIND(",", MAIN!E530)-1, LEN(MAIN!E530))), " ", "")), IF(ISNA(VLOOKUP(SUBSTITUTE(LEFT(MAIN!E530, IFERROR(FIND(",", MAIN!E530)-1, LEN(MAIN!E530))), " ", ""), lookup_values!$D$2:$E$197, 2, FALSE)), "--", VLOOKUP(SUBSTITUTE(LEFT(MAIN!E530, IFERROR(FIND(",", MAIN!E530)-1, LEN(MAIN!E530))), " ", ""), lookup_values!$D$2:$E$197, 2, FALSE)))))</f>
        <v>--</v>
      </c>
      <c r="F530" t="str">
        <f>IF(ISBLANK(MAIN!F530), "", IF(AND(ISNUMBER(VALUE(TRIM(MAIN!F530))), LEN(TRIM(MAIN!F530))=4), VALUE(TRIM(MAIN!F530)), ""))</f>
        <v/>
      </c>
      <c r="G530">
        <f>IF(ISBLANK(MAIN!G530), 0, IF(ISNUMBER(VALUE(TRIM(MAIN!G530))), VALUE(TRIM(MAIN!G530)), 0))</f>
        <v>0</v>
      </c>
      <c r="H530">
        <f>IF(ISBLANK(MAIN!H530), 0, IF(ISNUMBER(VALUE(TRIM(MAIN!H530))), VALUE(TRIM(MAIN!H530)), 0))</f>
        <v>0</v>
      </c>
      <c r="I530">
        <f>IF(ISBLANK(MAIN!I530), 0, IF(ISNUMBER(VALUE(TRIM(MAIN!I530))), VALUE(TRIM(MAIN!I530)), 0))</f>
        <v>0</v>
      </c>
      <c r="J530">
        <f>IF(ISBLANK(MAIN!J530), 0, IF(ISNUMBER(VALUE(TRIM(MAIN!J530))), VALUE(TRIM(MAIN!J530)), 0))</f>
        <v>0</v>
      </c>
      <c r="K530" cm="1">
        <f t="array" ref="K530">IFERROR(
    VALUE(
        IFERROR(
            UPPER(
                IF(MAX(IFERROR(SEARCH("WD",MAIN!G530:J530), 0))&gt;0, "WD",
                IF(MAX(IFERROR(SEARCH("NS",MAIN!G530:J530), 0))&gt;0, "NS",
                IF(MAX(IFERROR(SEARCH("NC",MAIN!G530:J530), 0))&gt;0, "NC",
                IF(MAX(IFERROR(SEARCH("DQ",MAIN!G530:J530), 0))&gt;0, "DQ",
                IF(ISNUMBER(SEARCH("WD",MAIN!K530)), "WD",
                IF(ISNUMBER(SEARCH("NS",MAIN!K530)), "NS",
                IF(ISNUMBER(SEARCH("NC",MAIN!K530)), "NC",
                IF(ISNUMBER(SEARCH("DQ",MAIN!K530)), "DQ",
                IF(ISNUMBER(SEARCH("A",MAIN!K530)), 0,
                IF(OR(MAIN!K530=0,MAIN!K530=""), 0, --TRIM(MAIN!K530)))))))))))),
            0
        )
    ),
    IFERROR(
        UPPER(
            IF(MAX(IFERROR(SEARCH("WD",MAIN!G530:J530), 0))&gt;0, "WD",
            IF(MAX(IFERROR(SEARCH("NS",MAIN!G530:J530), 0))&gt;0, "NS",
            IF(MAX(IFERROR(SEARCH("NC",MAIN!G530:J530), 0))&gt;0, "NC",
            IF(MAX(IFERROR(SEARCH("DQ",MAIN!G530:J530), 0))&gt;0, "DQ",
            IF(ISNUMBER(SEARCH("WD",MAIN!K530)), "WD",
            IF(ISNUMBER(SEARCH("NS",MAIN!K530)), "NS",
            IF(ISNUMBER(SEARCH("NC",MAIN!K530)), "NC",
            IF(ISNUMBER(SEARCH("DQ",MAIN!K530)), "DQ",
            IF(ISNUMBER(SEARCH("A",MAIN!K530)), 0,
            IF(OR(MAIN!K530=0,MAIN!K530=""), 0, --TRIM(MAIN!K530)))))))))))),
        0
    )
)</f>
        <v>0</v>
      </c>
    </row>
    <row r="531" spans="1:11" x14ac:dyDescent="0.25">
      <c r="A531" t="str">
        <f>IF(ISBLANK(MAIN!A531), "--", IFERROR(PROPER(SUBSTITUTE(SUBSTITUTE(SUBSTITUTE(SUBSTITUTE(SUBSTITUTE(SUBSTITUTE(SUBSTITUTE(SUBSTITUTE(SUBSTITUTE(SUBSTITUTE(LEFT(MAIN!A531, FIND(",",MAIN!A531) -1), "0", ""), "1", ""), "2", ""), "3", ""), "4", ""), "5", ""), "6", ""), "7", ""), "8", ""), "9", "")), PROPER(SUBSTITUTE(SUBSTITUTE(SUBSTITUTE(SUBSTITUTE(SUBSTITUTE(SUBSTITUTE(SUBSTITUTE(SUBSTITUTE(SUBSTITUTE(SUBSTITUTE(MAIN!A531, "0", ""), "1", ""), "2", ""), "3", ""), "4", ""), "5", ""), "6", ""), "7", ""), "8", ""), "9", ""))))</f>
        <v>--</v>
      </c>
      <c r="B531" t="str">
        <f>IF(ISBLANK(MAIN!B531), "--", IFERROR(PROPER(SUBSTITUTE(SUBSTITUTE(SUBSTITUTE(SUBSTITUTE(SUBSTITUTE(SUBSTITUTE(SUBSTITUTE(SUBSTITUTE(SUBSTITUTE(SUBSTITUTE(LEFT(MAIN!B531, FIND(",",MAIN!B531) -1), "0", ""), "1", ""), "2", ""), "3", ""), "4", ""), "5", ""), "6", ""), "7", ""), "8", ""), "9", "")), PROPER(SUBSTITUTE(SUBSTITUTE(SUBSTITUTE(SUBSTITUTE(SUBSTITUTE(SUBSTITUTE(SUBSTITUTE(SUBSTITUTE(SUBSTITUTE(SUBSTITUTE(MAIN!B531, "0", ""), "1", ""), "2", ""), "3", ""), "4", ""), "5", ""), "6", ""), "7", ""), "8", ""), "9", ""))))</f>
        <v>--</v>
      </c>
      <c r="C531" t="str">
        <f>IF(ISBLANK(MAIN!C531), "--", IFERROR(PROPER(SUBSTITUTE(SUBSTITUTE(SUBSTITUTE(SUBSTITUTE(SUBSTITUTE(SUBSTITUTE(SUBSTITUTE(SUBSTITUTE(SUBSTITUTE(SUBSTITUTE(LEFT(MAIN!C531, FIND(",",MAIN!C531) -1), "0", ""), "1", ""), "2", ""), "3", ""), "4", ""), "5", ""), "6", ""), "7", ""), "8", ""), "9", "")), PROPER(SUBSTITUTE(SUBSTITUTE(SUBSTITUTE(SUBSTITUTE(SUBSTITUTE(SUBSTITUTE(SUBSTITUTE(SUBSTITUTE(SUBSTITUTE(SUBSTITUTE(MAIN!C531, "0", ""), "1", ""), "2", ""), "3", ""), "4", ""), "5", ""), "6", ""), "7", ""), "8", ""), "9", ""))))</f>
        <v>--</v>
      </c>
      <c r="D531" t="str">
        <f>IF(ISBLANK(MAIN!D531), "--", IF(ISNUMBER(MATCH(SUBSTITUTE(LEFT(MAIN!D531, IFERROR(FIND(",", MAIN!D531)-1, LEN(MAIN!D531))), " ", ""), lookup_values!$B$2:$B$51, 0)), UPPER(SUBSTITUTE(LEFT(MAIN!D531, IFERROR(FIND(",", MAIN!D531)-1, LEN(MAIN!D531))), " ", "")), IF(ISNA(VLOOKUP(SUBSTITUTE(LEFT(MAIN!D531, IFERROR(FIND(",", MAIN!D531)-1, LEN(MAIN!D531))), " ", ""), lookup_values!$A$2:$B$51, 2, FALSE)), "--", VLOOKUP(SUBSTITUTE(LEFT(MAIN!D531, IFERROR(FIND(",", MAIN!D531)-1, LEN(MAIN!D531))), " ", ""), lookup_values!$A$2:$B$51, 2, FALSE))))</f>
        <v>--</v>
      </c>
      <c r="E531" t="str">
        <f>IF(CLEAN_DATA!D531&lt;&gt;"--","US",IF(ISBLANK(MAIN!E531), "--", IF(ISNUMBER(MATCH(SUBSTITUTE(LEFT(MAIN!E531, IFERROR(FIND(",", MAIN!E531)-1, LEN(MAIN!E531))), " ", ""), lookup_values!$E$2:$E$197, 0)), UPPER(SUBSTITUTE(LEFT(MAIN!E531, IFERROR(FIND(",", MAIN!E531)-1, LEN(MAIN!E531))), " ", "")), IF(ISNA(VLOOKUP(SUBSTITUTE(LEFT(MAIN!E531, IFERROR(FIND(",", MAIN!E531)-1, LEN(MAIN!E531))), " ", ""), lookup_values!$D$2:$E$197, 2, FALSE)), "--", VLOOKUP(SUBSTITUTE(LEFT(MAIN!E531, IFERROR(FIND(",", MAIN!E531)-1, LEN(MAIN!E531))), " ", ""), lookup_values!$D$2:$E$197, 2, FALSE)))))</f>
        <v>--</v>
      </c>
      <c r="F531" t="str">
        <f>IF(ISBLANK(MAIN!F531), "", IF(AND(ISNUMBER(VALUE(TRIM(MAIN!F531))), LEN(TRIM(MAIN!F531))=4), VALUE(TRIM(MAIN!F531)), ""))</f>
        <v/>
      </c>
      <c r="G531">
        <f>IF(ISBLANK(MAIN!G531), 0, IF(ISNUMBER(VALUE(TRIM(MAIN!G531))), VALUE(TRIM(MAIN!G531)), 0))</f>
        <v>0</v>
      </c>
      <c r="H531">
        <f>IF(ISBLANK(MAIN!H531), 0, IF(ISNUMBER(VALUE(TRIM(MAIN!H531))), VALUE(TRIM(MAIN!H531)), 0))</f>
        <v>0</v>
      </c>
      <c r="I531">
        <f>IF(ISBLANK(MAIN!I531), 0, IF(ISNUMBER(VALUE(TRIM(MAIN!I531))), VALUE(TRIM(MAIN!I531)), 0))</f>
        <v>0</v>
      </c>
      <c r="J531">
        <f>IF(ISBLANK(MAIN!J531), 0, IF(ISNUMBER(VALUE(TRIM(MAIN!J531))), VALUE(TRIM(MAIN!J531)), 0))</f>
        <v>0</v>
      </c>
      <c r="K531" cm="1">
        <f t="array" ref="K531">IFERROR(
    VALUE(
        IFERROR(
            UPPER(
                IF(MAX(IFERROR(SEARCH("WD",MAIN!G531:J531), 0))&gt;0, "WD",
                IF(MAX(IFERROR(SEARCH("NS",MAIN!G531:J531), 0))&gt;0, "NS",
                IF(MAX(IFERROR(SEARCH("NC",MAIN!G531:J531), 0))&gt;0, "NC",
                IF(MAX(IFERROR(SEARCH("DQ",MAIN!G531:J531), 0))&gt;0, "DQ",
                IF(ISNUMBER(SEARCH("WD",MAIN!K531)), "WD",
                IF(ISNUMBER(SEARCH("NS",MAIN!K531)), "NS",
                IF(ISNUMBER(SEARCH("NC",MAIN!K531)), "NC",
                IF(ISNUMBER(SEARCH("DQ",MAIN!K531)), "DQ",
                IF(ISNUMBER(SEARCH("A",MAIN!K531)), 0,
                IF(OR(MAIN!K531=0,MAIN!K531=""), 0, --TRIM(MAIN!K531)))))))))))),
            0
        )
    ),
    IFERROR(
        UPPER(
            IF(MAX(IFERROR(SEARCH("WD",MAIN!G531:J531), 0))&gt;0, "WD",
            IF(MAX(IFERROR(SEARCH("NS",MAIN!G531:J531), 0))&gt;0, "NS",
            IF(MAX(IFERROR(SEARCH("NC",MAIN!G531:J531), 0))&gt;0, "NC",
            IF(MAX(IFERROR(SEARCH("DQ",MAIN!G531:J531), 0))&gt;0, "DQ",
            IF(ISNUMBER(SEARCH("WD",MAIN!K531)), "WD",
            IF(ISNUMBER(SEARCH("NS",MAIN!K531)), "NS",
            IF(ISNUMBER(SEARCH("NC",MAIN!K531)), "NC",
            IF(ISNUMBER(SEARCH("DQ",MAIN!K531)), "DQ",
            IF(ISNUMBER(SEARCH("A",MAIN!K531)), 0,
            IF(OR(MAIN!K531=0,MAIN!K531=""), 0, --TRIM(MAIN!K531)))))))))))),
        0
    )
)</f>
        <v>0</v>
      </c>
    </row>
    <row r="532" spans="1:11" x14ac:dyDescent="0.25">
      <c r="A532" t="str">
        <f>IF(ISBLANK(MAIN!A532), "--", IFERROR(PROPER(SUBSTITUTE(SUBSTITUTE(SUBSTITUTE(SUBSTITUTE(SUBSTITUTE(SUBSTITUTE(SUBSTITUTE(SUBSTITUTE(SUBSTITUTE(SUBSTITUTE(LEFT(MAIN!A532, FIND(",",MAIN!A532) -1), "0", ""), "1", ""), "2", ""), "3", ""), "4", ""), "5", ""), "6", ""), "7", ""), "8", ""), "9", "")), PROPER(SUBSTITUTE(SUBSTITUTE(SUBSTITUTE(SUBSTITUTE(SUBSTITUTE(SUBSTITUTE(SUBSTITUTE(SUBSTITUTE(SUBSTITUTE(SUBSTITUTE(MAIN!A532, "0", ""), "1", ""), "2", ""), "3", ""), "4", ""), "5", ""), "6", ""), "7", ""), "8", ""), "9", ""))))</f>
        <v>--</v>
      </c>
      <c r="B532" t="str">
        <f>IF(ISBLANK(MAIN!B532), "--", IFERROR(PROPER(SUBSTITUTE(SUBSTITUTE(SUBSTITUTE(SUBSTITUTE(SUBSTITUTE(SUBSTITUTE(SUBSTITUTE(SUBSTITUTE(SUBSTITUTE(SUBSTITUTE(LEFT(MAIN!B532, FIND(",",MAIN!B532) -1), "0", ""), "1", ""), "2", ""), "3", ""), "4", ""), "5", ""), "6", ""), "7", ""), "8", ""), "9", "")), PROPER(SUBSTITUTE(SUBSTITUTE(SUBSTITUTE(SUBSTITUTE(SUBSTITUTE(SUBSTITUTE(SUBSTITUTE(SUBSTITUTE(SUBSTITUTE(SUBSTITUTE(MAIN!B532, "0", ""), "1", ""), "2", ""), "3", ""), "4", ""), "5", ""), "6", ""), "7", ""), "8", ""), "9", ""))))</f>
        <v>--</v>
      </c>
      <c r="C532" t="str">
        <f>IF(ISBLANK(MAIN!C532), "--", IFERROR(PROPER(SUBSTITUTE(SUBSTITUTE(SUBSTITUTE(SUBSTITUTE(SUBSTITUTE(SUBSTITUTE(SUBSTITUTE(SUBSTITUTE(SUBSTITUTE(SUBSTITUTE(LEFT(MAIN!C532, FIND(",",MAIN!C532) -1), "0", ""), "1", ""), "2", ""), "3", ""), "4", ""), "5", ""), "6", ""), "7", ""), "8", ""), "9", "")), PROPER(SUBSTITUTE(SUBSTITUTE(SUBSTITUTE(SUBSTITUTE(SUBSTITUTE(SUBSTITUTE(SUBSTITUTE(SUBSTITUTE(SUBSTITUTE(SUBSTITUTE(MAIN!C532, "0", ""), "1", ""), "2", ""), "3", ""), "4", ""), "5", ""), "6", ""), "7", ""), "8", ""), "9", ""))))</f>
        <v>--</v>
      </c>
      <c r="D532" t="str">
        <f>IF(ISBLANK(MAIN!D532), "--", IF(ISNUMBER(MATCH(SUBSTITUTE(LEFT(MAIN!D532, IFERROR(FIND(",", MAIN!D532)-1, LEN(MAIN!D532))), " ", ""), lookup_values!$B$2:$B$51, 0)), UPPER(SUBSTITUTE(LEFT(MAIN!D532, IFERROR(FIND(",", MAIN!D532)-1, LEN(MAIN!D532))), " ", "")), IF(ISNA(VLOOKUP(SUBSTITUTE(LEFT(MAIN!D532, IFERROR(FIND(",", MAIN!D532)-1, LEN(MAIN!D532))), " ", ""), lookup_values!$A$2:$B$51, 2, FALSE)), "--", VLOOKUP(SUBSTITUTE(LEFT(MAIN!D532, IFERROR(FIND(",", MAIN!D532)-1, LEN(MAIN!D532))), " ", ""), lookup_values!$A$2:$B$51, 2, FALSE))))</f>
        <v>--</v>
      </c>
      <c r="E532" t="str">
        <f>IF(CLEAN_DATA!D532&lt;&gt;"--","US",IF(ISBLANK(MAIN!E532), "--", IF(ISNUMBER(MATCH(SUBSTITUTE(LEFT(MAIN!E532, IFERROR(FIND(",", MAIN!E532)-1, LEN(MAIN!E532))), " ", ""), lookup_values!$E$2:$E$197, 0)), UPPER(SUBSTITUTE(LEFT(MAIN!E532, IFERROR(FIND(",", MAIN!E532)-1, LEN(MAIN!E532))), " ", "")), IF(ISNA(VLOOKUP(SUBSTITUTE(LEFT(MAIN!E532, IFERROR(FIND(",", MAIN!E532)-1, LEN(MAIN!E532))), " ", ""), lookup_values!$D$2:$E$197, 2, FALSE)), "--", VLOOKUP(SUBSTITUTE(LEFT(MAIN!E532, IFERROR(FIND(",", MAIN!E532)-1, LEN(MAIN!E532))), " ", ""), lookup_values!$D$2:$E$197, 2, FALSE)))))</f>
        <v>--</v>
      </c>
      <c r="F532" t="str">
        <f>IF(ISBLANK(MAIN!F532), "", IF(AND(ISNUMBER(VALUE(TRIM(MAIN!F532))), LEN(TRIM(MAIN!F532))=4), VALUE(TRIM(MAIN!F532)), ""))</f>
        <v/>
      </c>
      <c r="G532">
        <f>IF(ISBLANK(MAIN!G532), 0, IF(ISNUMBER(VALUE(TRIM(MAIN!G532))), VALUE(TRIM(MAIN!G532)), 0))</f>
        <v>0</v>
      </c>
      <c r="H532">
        <f>IF(ISBLANK(MAIN!H532), 0, IF(ISNUMBER(VALUE(TRIM(MAIN!H532))), VALUE(TRIM(MAIN!H532)), 0))</f>
        <v>0</v>
      </c>
      <c r="I532">
        <f>IF(ISBLANK(MAIN!I532), 0, IF(ISNUMBER(VALUE(TRIM(MAIN!I532))), VALUE(TRIM(MAIN!I532)), 0))</f>
        <v>0</v>
      </c>
      <c r="J532">
        <f>IF(ISBLANK(MAIN!J532), 0, IF(ISNUMBER(VALUE(TRIM(MAIN!J532))), VALUE(TRIM(MAIN!J532)), 0))</f>
        <v>0</v>
      </c>
      <c r="K532" cm="1">
        <f t="array" ref="K532">IFERROR(
    VALUE(
        IFERROR(
            UPPER(
                IF(MAX(IFERROR(SEARCH("WD",MAIN!G532:J532), 0))&gt;0, "WD",
                IF(MAX(IFERROR(SEARCH("NS",MAIN!G532:J532), 0))&gt;0, "NS",
                IF(MAX(IFERROR(SEARCH("NC",MAIN!G532:J532), 0))&gt;0, "NC",
                IF(MAX(IFERROR(SEARCH("DQ",MAIN!G532:J532), 0))&gt;0, "DQ",
                IF(ISNUMBER(SEARCH("WD",MAIN!K532)), "WD",
                IF(ISNUMBER(SEARCH("NS",MAIN!K532)), "NS",
                IF(ISNUMBER(SEARCH("NC",MAIN!K532)), "NC",
                IF(ISNUMBER(SEARCH("DQ",MAIN!K532)), "DQ",
                IF(ISNUMBER(SEARCH("A",MAIN!K532)), 0,
                IF(OR(MAIN!K532=0,MAIN!K532=""), 0, --TRIM(MAIN!K532)))))))))))),
            0
        )
    ),
    IFERROR(
        UPPER(
            IF(MAX(IFERROR(SEARCH("WD",MAIN!G532:J532), 0))&gt;0, "WD",
            IF(MAX(IFERROR(SEARCH("NS",MAIN!G532:J532), 0))&gt;0, "NS",
            IF(MAX(IFERROR(SEARCH("NC",MAIN!G532:J532), 0))&gt;0, "NC",
            IF(MAX(IFERROR(SEARCH("DQ",MAIN!G532:J532), 0))&gt;0, "DQ",
            IF(ISNUMBER(SEARCH("WD",MAIN!K532)), "WD",
            IF(ISNUMBER(SEARCH("NS",MAIN!K532)), "NS",
            IF(ISNUMBER(SEARCH("NC",MAIN!K532)), "NC",
            IF(ISNUMBER(SEARCH("DQ",MAIN!K532)), "DQ",
            IF(ISNUMBER(SEARCH("A",MAIN!K532)), 0,
            IF(OR(MAIN!K532=0,MAIN!K532=""), 0, --TRIM(MAIN!K532)))))))))))),
        0
    )
)</f>
        <v>0</v>
      </c>
    </row>
    <row r="533" spans="1:11" x14ac:dyDescent="0.25">
      <c r="A533" t="str">
        <f>IF(ISBLANK(MAIN!A533), "--", IFERROR(PROPER(SUBSTITUTE(SUBSTITUTE(SUBSTITUTE(SUBSTITUTE(SUBSTITUTE(SUBSTITUTE(SUBSTITUTE(SUBSTITUTE(SUBSTITUTE(SUBSTITUTE(LEFT(MAIN!A533, FIND(",",MAIN!A533) -1), "0", ""), "1", ""), "2", ""), "3", ""), "4", ""), "5", ""), "6", ""), "7", ""), "8", ""), "9", "")), PROPER(SUBSTITUTE(SUBSTITUTE(SUBSTITUTE(SUBSTITUTE(SUBSTITUTE(SUBSTITUTE(SUBSTITUTE(SUBSTITUTE(SUBSTITUTE(SUBSTITUTE(MAIN!A533, "0", ""), "1", ""), "2", ""), "3", ""), "4", ""), "5", ""), "6", ""), "7", ""), "8", ""), "9", ""))))</f>
        <v>--</v>
      </c>
      <c r="B533" t="str">
        <f>IF(ISBLANK(MAIN!B533), "--", IFERROR(PROPER(SUBSTITUTE(SUBSTITUTE(SUBSTITUTE(SUBSTITUTE(SUBSTITUTE(SUBSTITUTE(SUBSTITUTE(SUBSTITUTE(SUBSTITUTE(SUBSTITUTE(LEFT(MAIN!B533, FIND(",",MAIN!B533) -1), "0", ""), "1", ""), "2", ""), "3", ""), "4", ""), "5", ""), "6", ""), "7", ""), "8", ""), "9", "")), PROPER(SUBSTITUTE(SUBSTITUTE(SUBSTITUTE(SUBSTITUTE(SUBSTITUTE(SUBSTITUTE(SUBSTITUTE(SUBSTITUTE(SUBSTITUTE(SUBSTITUTE(MAIN!B533, "0", ""), "1", ""), "2", ""), "3", ""), "4", ""), "5", ""), "6", ""), "7", ""), "8", ""), "9", ""))))</f>
        <v>--</v>
      </c>
      <c r="C533" t="str">
        <f>IF(ISBLANK(MAIN!C533), "--", IFERROR(PROPER(SUBSTITUTE(SUBSTITUTE(SUBSTITUTE(SUBSTITUTE(SUBSTITUTE(SUBSTITUTE(SUBSTITUTE(SUBSTITUTE(SUBSTITUTE(SUBSTITUTE(LEFT(MAIN!C533, FIND(",",MAIN!C533) -1), "0", ""), "1", ""), "2", ""), "3", ""), "4", ""), "5", ""), "6", ""), "7", ""), "8", ""), "9", "")), PROPER(SUBSTITUTE(SUBSTITUTE(SUBSTITUTE(SUBSTITUTE(SUBSTITUTE(SUBSTITUTE(SUBSTITUTE(SUBSTITUTE(SUBSTITUTE(SUBSTITUTE(MAIN!C533, "0", ""), "1", ""), "2", ""), "3", ""), "4", ""), "5", ""), "6", ""), "7", ""), "8", ""), "9", ""))))</f>
        <v>--</v>
      </c>
      <c r="D533" t="str">
        <f>IF(ISBLANK(MAIN!D533), "--", IF(ISNUMBER(MATCH(SUBSTITUTE(LEFT(MAIN!D533, IFERROR(FIND(",", MAIN!D533)-1, LEN(MAIN!D533))), " ", ""), lookup_values!$B$2:$B$51, 0)), UPPER(SUBSTITUTE(LEFT(MAIN!D533, IFERROR(FIND(",", MAIN!D533)-1, LEN(MAIN!D533))), " ", "")), IF(ISNA(VLOOKUP(SUBSTITUTE(LEFT(MAIN!D533, IFERROR(FIND(",", MAIN!D533)-1, LEN(MAIN!D533))), " ", ""), lookup_values!$A$2:$B$51, 2, FALSE)), "--", VLOOKUP(SUBSTITUTE(LEFT(MAIN!D533, IFERROR(FIND(",", MAIN!D533)-1, LEN(MAIN!D533))), " ", ""), lookup_values!$A$2:$B$51, 2, FALSE))))</f>
        <v>--</v>
      </c>
      <c r="E533" t="str">
        <f>IF(CLEAN_DATA!D533&lt;&gt;"--","US",IF(ISBLANK(MAIN!E533), "--", IF(ISNUMBER(MATCH(SUBSTITUTE(LEFT(MAIN!E533, IFERROR(FIND(",", MAIN!E533)-1, LEN(MAIN!E533))), " ", ""), lookup_values!$E$2:$E$197, 0)), UPPER(SUBSTITUTE(LEFT(MAIN!E533, IFERROR(FIND(",", MAIN!E533)-1, LEN(MAIN!E533))), " ", "")), IF(ISNA(VLOOKUP(SUBSTITUTE(LEFT(MAIN!E533, IFERROR(FIND(",", MAIN!E533)-1, LEN(MAIN!E533))), " ", ""), lookup_values!$D$2:$E$197, 2, FALSE)), "--", VLOOKUP(SUBSTITUTE(LEFT(MAIN!E533, IFERROR(FIND(",", MAIN!E533)-1, LEN(MAIN!E533))), " ", ""), lookup_values!$D$2:$E$197, 2, FALSE)))))</f>
        <v>--</v>
      </c>
      <c r="F533" t="str">
        <f>IF(ISBLANK(MAIN!F533), "", IF(AND(ISNUMBER(VALUE(TRIM(MAIN!F533))), LEN(TRIM(MAIN!F533))=4), VALUE(TRIM(MAIN!F533)), ""))</f>
        <v/>
      </c>
      <c r="G533">
        <f>IF(ISBLANK(MAIN!G533), 0, IF(ISNUMBER(VALUE(TRIM(MAIN!G533))), VALUE(TRIM(MAIN!G533)), 0))</f>
        <v>0</v>
      </c>
      <c r="H533">
        <f>IF(ISBLANK(MAIN!H533), 0, IF(ISNUMBER(VALUE(TRIM(MAIN!H533))), VALUE(TRIM(MAIN!H533)), 0))</f>
        <v>0</v>
      </c>
      <c r="I533">
        <f>IF(ISBLANK(MAIN!I533), 0, IF(ISNUMBER(VALUE(TRIM(MAIN!I533))), VALUE(TRIM(MAIN!I533)), 0))</f>
        <v>0</v>
      </c>
      <c r="J533">
        <f>IF(ISBLANK(MAIN!J533), 0, IF(ISNUMBER(VALUE(TRIM(MAIN!J533))), VALUE(TRIM(MAIN!J533)), 0))</f>
        <v>0</v>
      </c>
      <c r="K533" cm="1">
        <f t="array" ref="K533">IFERROR(
    VALUE(
        IFERROR(
            UPPER(
                IF(MAX(IFERROR(SEARCH("WD",MAIN!G533:J533), 0))&gt;0, "WD",
                IF(MAX(IFERROR(SEARCH("NS",MAIN!G533:J533), 0))&gt;0, "NS",
                IF(MAX(IFERROR(SEARCH("NC",MAIN!G533:J533), 0))&gt;0, "NC",
                IF(MAX(IFERROR(SEARCH("DQ",MAIN!G533:J533), 0))&gt;0, "DQ",
                IF(ISNUMBER(SEARCH("WD",MAIN!K533)), "WD",
                IF(ISNUMBER(SEARCH("NS",MAIN!K533)), "NS",
                IF(ISNUMBER(SEARCH("NC",MAIN!K533)), "NC",
                IF(ISNUMBER(SEARCH("DQ",MAIN!K533)), "DQ",
                IF(ISNUMBER(SEARCH("A",MAIN!K533)), 0,
                IF(OR(MAIN!K533=0,MAIN!K533=""), 0, --TRIM(MAIN!K533)))))))))))),
            0
        )
    ),
    IFERROR(
        UPPER(
            IF(MAX(IFERROR(SEARCH("WD",MAIN!G533:J533), 0))&gt;0, "WD",
            IF(MAX(IFERROR(SEARCH("NS",MAIN!G533:J533), 0))&gt;0, "NS",
            IF(MAX(IFERROR(SEARCH("NC",MAIN!G533:J533), 0))&gt;0, "NC",
            IF(MAX(IFERROR(SEARCH("DQ",MAIN!G533:J533), 0))&gt;0, "DQ",
            IF(ISNUMBER(SEARCH("WD",MAIN!K533)), "WD",
            IF(ISNUMBER(SEARCH("NS",MAIN!K533)), "NS",
            IF(ISNUMBER(SEARCH("NC",MAIN!K533)), "NC",
            IF(ISNUMBER(SEARCH("DQ",MAIN!K533)), "DQ",
            IF(ISNUMBER(SEARCH("A",MAIN!K533)), 0,
            IF(OR(MAIN!K533=0,MAIN!K533=""), 0, --TRIM(MAIN!K533)))))))))))),
        0
    )
)</f>
        <v>0</v>
      </c>
    </row>
    <row r="534" spans="1:11" x14ac:dyDescent="0.25">
      <c r="A534" t="str">
        <f>IF(ISBLANK(MAIN!A534), "--", IFERROR(PROPER(SUBSTITUTE(SUBSTITUTE(SUBSTITUTE(SUBSTITUTE(SUBSTITUTE(SUBSTITUTE(SUBSTITUTE(SUBSTITUTE(SUBSTITUTE(SUBSTITUTE(LEFT(MAIN!A534, FIND(",",MAIN!A534) -1), "0", ""), "1", ""), "2", ""), "3", ""), "4", ""), "5", ""), "6", ""), "7", ""), "8", ""), "9", "")), PROPER(SUBSTITUTE(SUBSTITUTE(SUBSTITUTE(SUBSTITUTE(SUBSTITUTE(SUBSTITUTE(SUBSTITUTE(SUBSTITUTE(SUBSTITUTE(SUBSTITUTE(MAIN!A534, "0", ""), "1", ""), "2", ""), "3", ""), "4", ""), "5", ""), "6", ""), "7", ""), "8", ""), "9", ""))))</f>
        <v>--</v>
      </c>
      <c r="B534" t="str">
        <f>IF(ISBLANK(MAIN!B534), "--", IFERROR(PROPER(SUBSTITUTE(SUBSTITUTE(SUBSTITUTE(SUBSTITUTE(SUBSTITUTE(SUBSTITUTE(SUBSTITUTE(SUBSTITUTE(SUBSTITUTE(SUBSTITUTE(LEFT(MAIN!B534, FIND(",",MAIN!B534) -1), "0", ""), "1", ""), "2", ""), "3", ""), "4", ""), "5", ""), "6", ""), "7", ""), "8", ""), "9", "")), PROPER(SUBSTITUTE(SUBSTITUTE(SUBSTITUTE(SUBSTITUTE(SUBSTITUTE(SUBSTITUTE(SUBSTITUTE(SUBSTITUTE(SUBSTITUTE(SUBSTITUTE(MAIN!B534, "0", ""), "1", ""), "2", ""), "3", ""), "4", ""), "5", ""), "6", ""), "7", ""), "8", ""), "9", ""))))</f>
        <v>--</v>
      </c>
      <c r="C534" t="str">
        <f>IF(ISBLANK(MAIN!C534), "--", IFERROR(PROPER(SUBSTITUTE(SUBSTITUTE(SUBSTITUTE(SUBSTITUTE(SUBSTITUTE(SUBSTITUTE(SUBSTITUTE(SUBSTITUTE(SUBSTITUTE(SUBSTITUTE(LEFT(MAIN!C534, FIND(",",MAIN!C534) -1), "0", ""), "1", ""), "2", ""), "3", ""), "4", ""), "5", ""), "6", ""), "7", ""), "8", ""), "9", "")), PROPER(SUBSTITUTE(SUBSTITUTE(SUBSTITUTE(SUBSTITUTE(SUBSTITUTE(SUBSTITUTE(SUBSTITUTE(SUBSTITUTE(SUBSTITUTE(SUBSTITUTE(MAIN!C534, "0", ""), "1", ""), "2", ""), "3", ""), "4", ""), "5", ""), "6", ""), "7", ""), "8", ""), "9", ""))))</f>
        <v>--</v>
      </c>
      <c r="D534" t="str">
        <f>IF(ISBLANK(MAIN!D534), "--", IF(ISNUMBER(MATCH(SUBSTITUTE(LEFT(MAIN!D534, IFERROR(FIND(",", MAIN!D534)-1, LEN(MAIN!D534))), " ", ""), lookup_values!$B$2:$B$51, 0)), UPPER(SUBSTITUTE(LEFT(MAIN!D534, IFERROR(FIND(",", MAIN!D534)-1, LEN(MAIN!D534))), " ", "")), IF(ISNA(VLOOKUP(SUBSTITUTE(LEFT(MAIN!D534, IFERROR(FIND(",", MAIN!D534)-1, LEN(MAIN!D534))), " ", ""), lookup_values!$A$2:$B$51, 2, FALSE)), "--", VLOOKUP(SUBSTITUTE(LEFT(MAIN!D534, IFERROR(FIND(",", MAIN!D534)-1, LEN(MAIN!D534))), " ", ""), lookup_values!$A$2:$B$51, 2, FALSE))))</f>
        <v>--</v>
      </c>
      <c r="E534" t="str">
        <f>IF(CLEAN_DATA!D534&lt;&gt;"--","US",IF(ISBLANK(MAIN!E534), "--", IF(ISNUMBER(MATCH(SUBSTITUTE(LEFT(MAIN!E534, IFERROR(FIND(",", MAIN!E534)-1, LEN(MAIN!E534))), " ", ""), lookup_values!$E$2:$E$197, 0)), UPPER(SUBSTITUTE(LEFT(MAIN!E534, IFERROR(FIND(",", MAIN!E534)-1, LEN(MAIN!E534))), " ", "")), IF(ISNA(VLOOKUP(SUBSTITUTE(LEFT(MAIN!E534, IFERROR(FIND(",", MAIN!E534)-1, LEN(MAIN!E534))), " ", ""), lookup_values!$D$2:$E$197, 2, FALSE)), "--", VLOOKUP(SUBSTITUTE(LEFT(MAIN!E534, IFERROR(FIND(",", MAIN!E534)-1, LEN(MAIN!E534))), " ", ""), lookup_values!$D$2:$E$197, 2, FALSE)))))</f>
        <v>--</v>
      </c>
      <c r="F534" t="str">
        <f>IF(ISBLANK(MAIN!F534), "", IF(AND(ISNUMBER(VALUE(TRIM(MAIN!F534))), LEN(TRIM(MAIN!F534))=4), VALUE(TRIM(MAIN!F534)), ""))</f>
        <v/>
      </c>
      <c r="G534">
        <f>IF(ISBLANK(MAIN!G534), 0, IF(ISNUMBER(VALUE(TRIM(MAIN!G534))), VALUE(TRIM(MAIN!G534)), 0))</f>
        <v>0</v>
      </c>
      <c r="H534">
        <f>IF(ISBLANK(MAIN!H534), 0, IF(ISNUMBER(VALUE(TRIM(MAIN!H534))), VALUE(TRIM(MAIN!H534)), 0))</f>
        <v>0</v>
      </c>
      <c r="I534">
        <f>IF(ISBLANK(MAIN!I534), 0, IF(ISNUMBER(VALUE(TRIM(MAIN!I534))), VALUE(TRIM(MAIN!I534)), 0))</f>
        <v>0</v>
      </c>
      <c r="J534">
        <f>IF(ISBLANK(MAIN!J534), 0, IF(ISNUMBER(VALUE(TRIM(MAIN!J534))), VALUE(TRIM(MAIN!J534)), 0))</f>
        <v>0</v>
      </c>
      <c r="K534" cm="1">
        <f t="array" ref="K534">IFERROR(
    VALUE(
        IFERROR(
            UPPER(
                IF(MAX(IFERROR(SEARCH("WD",MAIN!G534:J534), 0))&gt;0, "WD",
                IF(MAX(IFERROR(SEARCH("NS",MAIN!G534:J534), 0))&gt;0, "NS",
                IF(MAX(IFERROR(SEARCH("NC",MAIN!G534:J534), 0))&gt;0, "NC",
                IF(MAX(IFERROR(SEARCH("DQ",MAIN!G534:J534), 0))&gt;0, "DQ",
                IF(ISNUMBER(SEARCH("WD",MAIN!K534)), "WD",
                IF(ISNUMBER(SEARCH("NS",MAIN!K534)), "NS",
                IF(ISNUMBER(SEARCH("NC",MAIN!K534)), "NC",
                IF(ISNUMBER(SEARCH("DQ",MAIN!K534)), "DQ",
                IF(ISNUMBER(SEARCH("A",MAIN!K534)), 0,
                IF(OR(MAIN!K534=0,MAIN!K534=""), 0, --TRIM(MAIN!K534)))))))))))),
            0
        )
    ),
    IFERROR(
        UPPER(
            IF(MAX(IFERROR(SEARCH("WD",MAIN!G534:J534), 0))&gt;0, "WD",
            IF(MAX(IFERROR(SEARCH("NS",MAIN!G534:J534), 0))&gt;0, "NS",
            IF(MAX(IFERROR(SEARCH("NC",MAIN!G534:J534), 0))&gt;0, "NC",
            IF(MAX(IFERROR(SEARCH("DQ",MAIN!G534:J534), 0))&gt;0, "DQ",
            IF(ISNUMBER(SEARCH("WD",MAIN!K534)), "WD",
            IF(ISNUMBER(SEARCH("NS",MAIN!K534)), "NS",
            IF(ISNUMBER(SEARCH("NC",MAIN!K534)), "NC",
            IF(ISNUMBER(SEARCH("DQ",MAIN!K534)), "DQ",
            IF(ISNUMBER(SEARCH("A",MAIN!K534)), 0,
            IF(OR(MAIN!K534=0,MAIN!K534=""), 0, --TRIM(MAIN!K534)))))))))))),
        0
    )
)</f>
        <v>0</v>
      </c>
    </row>
    <row r="535" spans="1:11" x14ac:dyDescent="0.25">
      <c r="A535" t="str">
        <f>IF(ISBLANK(MAIN!A535), "--", IFERROR(PROPER(SUBSTITUTE(SUBSTITUTE(SUBSTITUTE(SUBSTITUTE(SUBSTITUTE(SUBSTITUTE(SUBSTITUTE(SUBSTITUTE(SUBSTITUTE(SUBSTITUTE(LEFT(MAIN!A535, FIND(",",MAIN!A535) -1), "0", ""), "1", ""), "2", ""), "3", ""), "4", ""), "5", ""), "6", ""), "7", ""), "8", ""), "9", "")), PROPER(SUBSTITUTE(SUBSTITUTE(SUBSTITUTE(SUBSTITUTE(SUBSTITUTE(SUBSTITUTE(SUBSTITUTE(SUBSTITUTE(SUBSTITUTE(SUBSTITUTE(MAIN!A535, "0", ""), "1", ""), "2", ""), "3", ""), "4", ""), "5", ""), "6", ""), "7", ""), "8", ""), "9", ""))))</f>
        <v>--</v>
      </c>
      <c r="B535" t="str">
        <f>IF(ISBLANK(MAIN!B535), "--", IFERROR(PROPER(SUBSTITUTE(SUBSTITUTE(SUBSTITUTE(SUBSTITUTE(SUBSTITUTE(SUBSTITUTE(SUBSTITUTE(SUBSTITUTE(SUBSTITUTE(SUBSTITUTE(LEFT(MAIN!B535, FIND(",",MAIN!B535) -1), "0", ""), "1", ""), "2", ""), "3", ""), "4", ""), "5", ""), "6", ""), "7", ""), "8", ""), "9", "")), PROPER(SUBSTITUTE(SUBSTITUTE(SUBSTITUTE(SUBSTITUTE(SUBSTITUTE(SUBSTITUTE(SUBSTITUTE(SUBSTITUTE(SUBSTITUTE(SUBSTITUTE(MAIN!B535, "0", ""), "1", ""), "2", ""), "3", ""), "4", ""), "5", ""), "6", ""), "7", ""), "8", ""), "9", ""))))</f>
        <v>--</v>
      </c>
      <c r="C535" t="str">
        <f>IF(ISBLANK(MAIN!C535), "--", IFERROR(PROPER(SUBSTITUTE(SUBSTITUTE(SUBSTITUTE(SUBSTITUTE(SUBSTITUTE(SUBSTITUTE(SUBSTITUTE(SUBSTITUTE(SUBSTITUTE(SUBSTITUTE(LEFT(MAIN!C535, FIND(",",MAIN!C535) -1), "0", ""), "1", ""), "2", ""), "3", ""), "4", ""), "5", ""), "6", ""), "7", ""), "8", ""), "9", "")), PROPER(SUBSTITUTE(SUBSTITUTE(SUBSTITUTE(SUBSTITUTE(SUBSTITUTE(SUBSTITUTE(SUBSTITUTE(SUBSTITUTE(SUBSTITUTE(SUBSTITUTE(MAIN!C535, "0", ""), "1", ""), "2", ""), "3", ""), "4", ""), "5", ""), "6", ""), "7", ""), "8", ""), "9", ""))))</f>
        <v>--</v>
      </c>
      <c r="D535" t="str">
        <f>IF(ISBLANK(MAIN!D535), "--", IF(ISNUMBER(MATCH(SUBSTITUTE(LEFT(MAIN!D535, IFERROR(FIND(",", MAIN!D535)-1, LEN(MAIN!D535))), " ", ""), lookup_values!$B$2:$B$51, 0)), UPPER(SUBSTITUTE(LEFT(MAIN!D535, IFERROR(FIND(",", MAIN!D535)-1, LEN(MAIN!D535))), " ", "")), IF(ISNA(VLOOKUP(SUBSTITUTE(LEFT(MAIN!D535, IFERROR(FIND(",", MAIN!D535)-1, LEN(MAIN!D535))), " ", ""), lookup_values!$A$2:$B$51, 2, FALSE)), "--", VLOOKUP(SUBSTITUTE(LEFT(MAIN!D535, IFERROR(FIND(",", MAIN!D535)-1, LEN(MAIN!D535))), " ", ""), lookup_values!$A$2:$B$51, 2, FALSE))))</f>
        <v>--</v>
      </c>
      <c r="E535" t="str">
        <f>IF(CLEAN_DATA!D535&lt;&gt;"--","US",IF(ISBLANK(MAIN!E535), "--", IF(ISNUMBER(MATCH(SUBSTITUTE(LEFT(MAIN!E535, IFERROR(FIND(",", MAIN!E535)-1, LEN(MAIN!E535))), " ", ""), lookup_values!$E$2:$E$197, 0)), UPPER(SUBSTITUTE(LEFT(MAIN!E535, IFERROR(FIND(",", MAIN!E535)-1, LEN(MAIN!E535))), " ", "")), IF(ISNA(VLOOKUP(SUBSTITUTE(LEFT(MAIN!E535, IFERROR(FIND(",", MAIN!E535)-1, LEN(MAIN!E535))), " ", ""), lookup_values!$D$2:$E$197, 2, FALSE)), "--", VLOOKUP(SUBSTITUTE(LEFT(MAIN!E535, IFERROR(FIND(",", MAIN!E535)-1, LEN(MAIN!E535))), " ", ""), lookup_values!$D$2:$E$197, 2, FALSE)))))</f>
        <v>--</v>
      </c>
      <c r="F535" t="str">
        <f>IF(ISBLANK(MAIN!F535), "", IF(AND(ISNUMBER(VALUE(TRIM(MAIN!F535))), LEN(TRIM(MAIN!F535))=4), VALUE(TRIM(MAIN!F535)), ""))</f>
        <v/>
      </c>
      <c r="G535">
        <f>IF(ISBLANK(MAIN!G535), 0, IF(ISNUMBER(VALUE(TRIM(MAIN!G535))), VALUE(TRIM(MAIN!G535)), 0))</f>
        <v>0</v>
      </c>
      <c r="H535">
        <f>IF(ISBLANK(MAIN!H535), 0, IF(ISNUMBER(VALUE(TRIM(MAIN!H535))), VALUE(TRIM(MAIN!H535)), 0))</f>
        <v>0</v>
      </c>
      <c r="I535">
        <f>IF(ISBLANK(MAIN!I535), 0, IF(ISNUMBER(VALUE(TRIM(MAIN!I535))), VALUE(TRIM(MAIN!I535)), 0))</f>
        <v>0</v>
      </c>
      <c r="J535">
        <f>IF(ISBLANK(MAIN!J535), 0, IF(ISNUMBER(VALUE(TRIM(MAIN!J535))), VALUE(TRIM(MAIN!J535)), 0))</f>
        <v>0</v>
      </c>
      <c r="K535" cm="1">
        <f t="array" ref="K535">IFERROR(
    VALUE(
        IFERROR(
            UPPER(
                IF(MAX(IFERROR(SEARCH("WD",MAIN!G535:J535), 0))&gt;0, "WD",
                IF(MAX(IFERROR(SEARCH("NS",MAIN!G535:J535), 0))&gt;0, "NS",
                IF(MAX(IFERROR(SEARCH("NC",MAIN!G535:J535), 0))&gt;0, "NC",
                IF(MAX(IFERROR(SEARCH("DQ",MAIN!G535:J535), 0))&gt;0, "DQ",
                IF(ISNUMBER(SEARCH("WD",MAIN!K535)), "WD",
                IF(ISNUMBER(SEARCH("NS",MAIN!K535)), "NS",
                IF(ISNUMBER(SEARCH("NC",MAIN!K535)), "NC",
                IF(ISNUMBER(SEARCH("DQ",MAIN!K535)), "DQ",
                IF(ISNUMBER(SEARCH("A",MAIN!K535)), 0,
                IF(OR(MAIN!K535=0,MAIN!K535=""), 0, --TRIM(MAIN!K535)))))))))))),
            0
        )
    ),
    IFERROR(
        UPPER(
            IF(MAX(IFERROR(SEARCH("WD",MAIN!G535:J535), 0))&gt;0, "WD",
            IF(MAX(IFERROR(SEARCH("NS",MAIN!G535:J535), 0))&gt;0, "NS",
            IF(MAX(IFERROR(SEARCH("NC",MAIN!G535:J535), 0))&gt;0, "NC",
            IF(MAX(IFERROR(SEARCH("DQ",MAIN!G535:J535), 0))&gt;0, "DQ",
            IF(ISNUMBER(SEARCH("WD",MAIN!K535)), "WD",
            IF(ISNUMBER(SEARCH("NS",MAIN!K535)), "NS",
            IF(ISNUMBER(SEARCH("NC",MAIN!K535)), "NC",
            IF(ISNUMBER(SEARCH("DQ",MAIN!K535)), "DQ",
            IF(ISNUMBER(SEARCH("A",MAIN!K535)), 0,
            IF(OR(MAIN!K535=0,MAIN!K535=""), 0, --TRIM(MAIN!K535)))))))))))),
        0
    )
)</f>
        <v>0</v>
      </c>
    </row>
    <row r="536" spans="1:11" x14ac:dyDescent="0.25">
      <c r="A536" t="str">
        <f>IF(ISBLANK(MAIN!A536), "--", IFERROR(PROPER(SUBSTITUTE(SUBSTITUTE(SUBSTITUTE(SUBSTITUTE(SUBSTITUTE(SUBSTITUTE(SUBSTITUTE(SUBSTITUTE(SUBSTITUTE(SUBSTITUTE(LEFT(MAIN!A536, FIND(",",MAIN!A536) -1), "0", ""), "1", ""), "2", ""), "3", ""), "4", ""), "5", ""), "6", ""), "7", ""), "8", ""), "9", "")), PROPER(SUBSTITUTE(SUBSTITUTE(SUBSTITUTE(SUBSTITUTE(SUBSTITUTE(SUBSTITUTE(SUBSTITUTE(SUBSTITUTE(SUBSTITUTE(SUBSTITUTE(MAIN!A536, "0", ""), "1", ""), "2", ""), "3", ""), "4", ""), "5", ""), "6", ""), "7", ""), "8", ""), "9", ""))))</f>
        <v>--</v>
      </c>
      <c r="B536" t="str">
        <f>IF(ISBLANK(MAIN!B536), "--", IFERROR(PROPER(SUBSTITUTE(SUBSTITUTE(SUBSTITUTE(SUBSTITUTE(SUBSTITUTE(SUBSTITUTE(SUBSTITUTE(SUBSTITUTE(SUBSTITUTE(SUBSTITUTE(LEFT(MAIN!B536, FIND(",",MAIN!B536) -1), "0", ""), "1", ""), "2", ""), "3", ""), "4", ""), "5", ""), "6", ""), "7", ""), "8", ""), "9", "")), PROPER(SUBSTITUTE(SUBSTITUTE(SUBSTITUTE(SUBSTITUTE(SUBSTITUTE(SUBSTITUTE(SUBSTITUTE(SUBSTITUTE(SUBSTITUTE(SUBSTITUTE(MAIN!B536, "0", ""), "1", ""), "2", ""), "3", ""), "4", ""), "5", ""), "6", ""), "7", ""), "8", ""), "9", ""))))</f>
        <v>--</v>
      </c>
      <c r="C536" t="str">
        <f>IF(ISBLANK(MAIN!C536), "--", IFERROR(PROPER(SUBSTITUTE(SUBSTITUTE(SUBSTITUTE(SUBSTITUTE(SUBSTITUTE(SUBSTITUTE(SUBSTITUTE(SUBSTITUTE(SUBSTITUTE(SUBSTITUTE(LEFT(MAIN!C536, FIND(",",MAIN!C536) -1), "0", ""), "1", ""), "2", ""), "3", ""), "4", ""), "5", ""), "6", ""), "7", ""), "8", ""), "9", "")), PROPER(SUBSTITUTE(SUBSTITUTE(SUBSTITUTE(SUBSTITUTE(SUBSTITUTE(SUBSTITUTE(SUBSTITUTE(SUBSTITUTE(SUBSTITUTE(SUBSTITUTE(MAIN!C536, "0", ""), "1", ""), "2", ""), "3", ""), "4", ""), "5", ""), "6", ""), "7", ""), "8", ""), "9", ""))))</f>
        <v>--</v>
      </c>
      <c r="D536" t="str">
        <f>IF(ISBLANK(MAIN!D536), "--", IF(ISNUMBER(MATCH(SUBSTITUTE(LEFT(MAIN!D536, IFERROR(FIND(",", MAIN!D536)-1, LEN(MAIN!D536))), " ", ""), lookup_values!$B$2:$B$51, 0)), UPPER(SUBSTITUTE(LEFT(MAIN!D536, IFERROR(FIND(",", MAIN!D536)-1, LEN(MAIN!D536))), " ", "")), IF(ISNA(VLOOKUP(SUBSTITUTE(LEFT(MAIN!D536, IFERROR(FIND(",", MAIN!D536)-1, LEN(MAIN!D536))), " ", ""), lookup_values!$A$2:$B$51, 2, FALSE)), "--", VLOOKUP(SUBSTITUTE(LEFT(MAIN!D536, IFERROR(FIND(",", MAIN!D536)-1, LEN(MAIN!D536))), " ", ""), lookup_values!$A$2:$B$51, 2, FALSE))))</f>
        <v>--</v>
      </c>
      <c r="E536" t="str">
        <f>IF(CLEAN_DATA!D536&lt;&gt;"--","US",IF(ISBLANK(MAIN!E536), "--", IF(ISNUMBER(MATCH(SUBSTITUTE(LEFT(MAIN!E536, IFERROR(FIND(",", MAIN!E536)-1, LEN(MAIN!E536))), " ", ""), lookup_values!$E$2:$E$197, 0)), UPPER(SUBSTITUTE(LEFT(MAIN!E536, IFERROR(FIND(",", MAIN!E536)-1, LEN(MAIN!E536))), " ", "")), IF(ISNA(VLOOKUP(SUBSTITUTE(LEFT(MAIN!E536, IFERROR(FIND(",", MAIN!E536)-1, LEN(MAIN!E536))), " ", ""), lookup_values!$D$2:$E$197, 2, FALSE)), "--", VLOOKUP(SUBSTITUTE(LEFT(MAIN!E536, IFERROR(FIND(",", MAIN!E536)-1, LEN(MAIN!E536))), " ", ""), lookup_values!$D$2:$E$197, 2, FALSE)))))</f>
        <v>--</v>
      </c>
      <c r="F536" t="str">
        <f>IF(ISBLANK(MAIN!F536), "", IF(AND(ISNUMBER(VALUE(TRIM(MAIN!F536))), LEN(TRIM(MAIN!F536))=4), VALUE(TRIM(MAIN!F536)), ""))</f>
        <v/>
      </c>
      <c r="G536">
        <f>IF(ISBLANK(MAIN!G536), 0, IF(ISNUMBER(VALUE(TRIM(MAIN!G536))), VALUE(TRIM(MAIN!G536)), 0))</f>
        <v>0</v>
      </c>
      <c r="H536">
        <f>IF(ISBLANK(MAIN!H536), 0, IF(ISNUMBER(VALUE(TRIM(MAIN!H536))), VALUE(TRIM(MAIN!H536)), 0))</f>
        <v>0</v>
      </c>
      <c r="I536">
        <f>IF(ISBLANK(MAIN!I536), 0, IF(ISNUMBER(VALUE(TRIM(MAIN!I536))), VALUE(TRIM(MAIN!I536)), 0))</f>
        <v>0</v>
      </c>
      <c r="J536">
        <f>IF(ISBLANK(MAIN!J536), 0, IF(ISNUMBER(VALUE(TRIM(MAIN!J536))), VALUE(TRIM(MAIN!J536)), 0))</f>
        <v>0</v>
      </c>
      <c r="K536" cm="1">
        <f t="array" ref="K536">IFERROR(
    VALUE(
        IFERROR(
            UPPER(
                IF(MAX(IFERROR(SEARCH("WD",MAIN!G536:J536), 0))&gt;0, "WD",
                IF(MAX(IFERROR(SEARCH("NS",MAIN!G536:J536), 0))&gt;0, "NS",
                IF(MAX(IFERROR(SEARCH("NC",MAIN!G536:J536), 0))&gt;0, "NC",
                IF(MAX(IFERROR(SEARCH("DQ",MAIN!G536:J536), 0))&gt;0, "DQ",
                IF(ISNUMBER(SEARCH("WD",MAIN!K536)), "WD",
                IF(ISNUMBER(SEARCH("NS",MAIN!K536)), "NS",
                IF(ISNUMBER(SEARCH("NC",MAIN!K536)), "NC",
                IF(ISNUMBER(SEARCH("DQ",MAIN!K536)), "DQ",
                IF(ISNUMBER(SEARCH("A",MAIN!K536)), 0,
                IF(OR(MAIN!K536=0,MAIN!K536=""), 0, --TRIM(MAIN!K536)))))))))))),
            0
        )
    ),
    IFERROR(
        UPPER(
            IF(MAX(IFERROR(SEARCH("WD",MAIN!G536:J536), 0))&gt;0, "WD",
            IF(MAX(IFERROR(SEARCH("NS",MAIN!G536:J536), 0))&gt;0, "NS",
            IF(MAX(IFERROR(SEARCH("NC",MAIN!G536:J536), 0))&gt;0, "NC",
            IF(MAX(IFERROR(SEARCH("DQ",MAIN!G536:J536), 0))&gt;0, "DQ",
            IF(ISNUMBER(SEARCH("WD",MAIN!K536)), "WD",
            IF(ISNUMBER(SEARCH("NS",MAIN!K536)), "NS",
            IF(ISNUMBER(SEARCH("NC",MAIN!K536)), "NC",
            IF(ISNUMBER(SEARCH("DQ",MAIN!K536)), "DQ",
            IF(ISNUMBER(SEARCH("A",MAIN!K536)), 0,
            IF(OR(MAIN!K536=0,MAIN!K536=""), 0, --TRIM(MAIN!K536)))))))))))),
        0
    )
)</f>
        <v>0</v>
      </c>
    </row>
    <row r="537" spans="1:11" x14ac:dyDescent="0.25">
      <c r="A537" t="str">
        <f>IF(ISBLANK(MAIN!A537), "--", IFERROR(PROPER(SUBSTITUTE(SUBSTITUTE(SUBSTITUTE(SUBSTITUTE(SUBSTITUTE(SUBSTITUTE(SUBSTITUTE(SUBSTITUTE(SUBSTITUTE(SUBSTITUTE(LEFT(MAIN!A537, FIND(",",MAIN!A537) -1), "0", ""), "1", ""), "2", ""), "3", ""), "4", ""), "5", ""), "6", ""), "7", ""), "8", ""), "9", "")), PROPER(SUBSTITUTE(SUBSTITUTE(SUBSTITUTE(SUBSTITUTE(SUBSTITUTE(SUBSTITUTE(SUBSTITUTE(SUBSTITUTE(SUBSTITUTE(SUBSTITUTE(MAIN!A537, "0", ""), "1", ""), "2", ""), "3", ""), "4", ""), "5", ""), "6", ""), "7", ""), "8", ""), "9", ""))))</f>
        <v>--</v>
      </c>
      <c r="B537" t="str">
        <f>IF(ISBLANK(MAIN!B537), "--", IFERROR(PROPER(SUBSTITUTE(SUBSTITUTE(SUBSTITUTE(SUBSTITUTE(SUBSTITUTE(SUBSTITUTE(SUBSTITUTE(SUBSTITUTE(SUBSTITUTE(SUBSTITUTE(LEFT(MAIN!B537, FIND(",",MAIN!B537) -1), "0", ""), "1", ""), "2", ""), "3", ""), "4", ""), "5", ""), "6", ""), "7", ""), "8", ""), "9", "")), PROPER(SUBSTITUTE(SUBSTITUTE(SUBSTITUTE(SUBSTITUTE(SUBSTITUTE(SUBSTITUTE(SUBSTITUTE(SUBSTITUTE(SUBSTITUTE(SUBSTITUTE(MAIN!B537, "0", ""), "1", ""), "2", ""), "3", ""), "4", ""), "5", ""), "6", ""), "7", ""), "8", ""), "9", ""))))</f>
        <v>--</v>
      </c>
      <c r="C537" t="str">
        <f>IF(ISBLANK(MAIN!C537), "--", IFERROR(PROPER(SUBSTITUTE(SUBSTITUTE(SUBSTITUTE(SUBSTITUTE(SUBSTITUTE(SUBSTITUTE(SUBSTITUTE(SUBSTITUTE(SUBSTITUTE(SUBSTITUTE(LEFT(MAIN!C537, FIND(",",MAIN!C537) -1), "0", ""), "1", ""), "2", ""), "3", ""), "4", ""), "5", ""), "6", ""), "7", ""), "8", ""), "9", "")), PROPER(SUBSTITUTE(SUBSTITUTE(SUBSTITUTE(SUBSTITUTE(SUBSTITUTE(SUBSTITUTE(SUBSTITUTE(SUBSTITUTE(SUBSTITUTE(SUBSTITUTE(MAIN!C537, "0", ""), "1", ""), "2", ""), "3", ""), "4", ""), "5", ""), "6", ""), "7", ""), "8", ""), "9", ""))))</f>
        <v>--</v>
      </c>
      <c r="D537" t="str">
        <f>IF(ISBLANK(MAIN!D537), "--", IF(ISNUMBER(MATCH(SUBSTITUTE(LEFT(MAIN!D537, IFERROR(FIND(",", MAIN!D537)-1, LEN(MAIN!D537))), " ", ""), lookup_values!$B$2:$B$51, 0)), UPPER(SUBSTITUTE(LEFT(MAIN!D537, IFERROR(FIND(",", MAIN!D537)-1, LEN(MAIN!D537))), " ", "")), IF(ISNA(VLOOKUP(SUBSTITUTE(LEFT(MAIN!D537, IFERROR(FIND(",", MAIN!D537)-1, LEN(MAIN!D537))), " ", ""), lookup_values!$A$2:$B$51, 2, FALSE)), "--", VLOOKUP(SUBSTITUTE(LEFT(MAIN!D537, IFERROR(FIND(",", MAIN!D537)-1, LEN(MAIN!D537))), " ", ""), lookup_values!$A$2:$B$51, 2, FALSE))))</f>
        <v>--</v>
      </c>
      <c r="E537" t="str">
        <f>IF(CLEAN_DATA!D537&lt;&gt;"--","US",IF(ISBLANK(MAIN!E537), "--", IF(ISNUMBER(MATCH(SUBSTITUTE(LEFT(MAIN!E537, IFERROR(FIND(",", MAIN!E537)-1, LEN(MAIN!E537))), " ", ""), lookup_values!$E$2:$E$197, 0)), UPPER(SUBSTITUTE(LEFT(MAIN!E537, IFERROR(FIND(",", MAIN!E537)-1, LEN(MAIN!E537))), " ", "")), IF(ISNA(VLOOKUP(SUBSTITUTE(LEFT(MAIN!E537, IFERROR(FIND(",", MAIN!E537)-1, LEN(MAIN!E537))), " ", ""), lookup_values!$D$2:$E$197, 2, FALSE)), "--", VLOOKUP(SUBSTITUTE(LEFT(MAIN!E537, IFERROR(FIND(",", MAIN!E537)-1, LEN(MAIN!E537))), " ", ""), lookup_values!$D$2:$E$197, 2, FALSE)))))</f>
        <v>--</v>
      </c>
      <c r="F537" t="str">
        <f>IF(ISBLANK(MAIN!F537), "", IF(AND(ISNUMBER(VALUE(TRIM(MAIN!F537))), LEN(TRIM(MAIN!F537))=4), VALUE(TRIM(MAIN!F537)), ""))</f>
        <v/>
      </c>
      <c r="G537">
        <f>IF(ISBLANK(MAIN!G537), 0, IF(ISNUMBER(VALUE(TRIM(MAIN!G537))), VALUE(TRIM(MAIN!G537)), 0))</f>
        <v>0</v>
      </c>
      <c r="H537">
        <f>IF(ISBLANK(MAIN!H537), 0, IF(ISNUMBER(VALUE(TRIM(MAIN!H537))), VALUE(TRIM(MAIN!H537)), 0))</f>
        <v>0</v>
      </c>
      <c r="I537">
        <f>IF(ISBLANK(MAIN!I537), 0, IF(ISNUMBER(VALUE(TRIM(MAIN!I537))), VALUE(TRIM(MAIN!I537)), 0))</f>
        <v>0</v>
      </c>
      <c r="J537">
        <f>IF(ISBLANK(MAIN!J537), 0, IF(ISNUMBER(VALUE(TRIM(MAIN!J537))), VALUE(TRIM(MAIN!J537)), 0))</f>
        <v>0</v>
      </c>
      <c r="K537" cm="1">
        <f t="array" ref="K537">IFERROR(
    VALUE(
        IFERROR(
            UPPER(
                IF(MAX(IFERROR(SEARCH("WD",MAIN!G537:J537), 0))&gt;0, "WD",
                IF(MAX(IFERROR(SEARCH("NS",MAIN!G537:J537), 0))&gt;0, "NS",
                IF(MAX(IFERROR(SEARCH("NC",MAIN!G537:J537), 0))&gt;0, "NC",
                IF(MAX(IFERROR(SEARCH("DQ",MAIN!G537:J537), 0))&gt;0, "DQ",
                IF(ISNUMBER(SEARCH("WD",MAIN!K537)), "WD",
                IF(ISNUMBER(SEARCH("NS",MAIN!K537)), "NS",
                IF(ISNUMBER(SEARCH("NC",MAIN!K537)), "NC",
                IF(ISNUMBER(SEARCH("DQ",MAIN!K537)), "DQ",
                IF(ISNUMBER(SEARCH("A",MAIN!K537)), 0,
                IF(OR(MAIN!K537=0,MAIN!K537=""), 0, --TRIM(MAIN!K537)))))))))))),
            0
        )
    ),
    IFERROR(
        UPPER(
            IF(MAX(IFERROR(SEARCH("WD",MAIN!G537:J537), 0))&gt;0, "WD",
            IF(MAX(IFERROR(SEARCH("NS",MAIN!G537:J537), 0))&gt;0, "NS",
            IF(MAX(IFERROR(SEARCH("NC",MAIN!G537:J537), 0))&gt;0, "NC",
            IF(MAX(IFERROR(SEARCH("DQ",MAIN!G537:J537), 0))&gt;0, "DQ",
            IF(ISNUMBER(SEARCH("WD",MAIN!K537)), "WD",
            IF(ISNUMBER(SEARCH("NS",MAIN!K537)), "NS",
            IF(ISNUMBER(SEARCH("NC",MAIN!K537)), "NC",
            IF(ISNUMBER(SEARCH("DQ",MAIN!K537)), "DQ",
            IF(ISNUMBER(SEARCH("A",MAIN!K537)), 0,
            IF(OR(MAIN!K537=0,MAIN!K537=""), 0, --TRIM(MAIN!K537)))))))))))),
        0
    )
)</f>
        <v>0</v>
      </c>
    </row>
    <row r="538" spans="1:11" x14ac:dyDescent="0.25">
      <c r="A538" t="str">
        <f>IF(ISBLANK(MAIN!A538), "--", IFERROR(PROPER(SUBSTITUTE(SUBSTITUTE(SUBSTITUTE(SUBSTITUTE(SUBSTITUTE(SUBSTITUTE(SUBSTITUTE(SUBSTITUTE(SUBSTITUTE(SUBSTITUTE(LEFT(MAIN!A538, FIND(",",MAIN!A538) -1), "0", ""), "1", ""), "2", ""), "3", ""), "4", ""), "5", ""), "6", ""), "7", ""), "8", ""), "9", "")), PROPER(SUBSTITUTE(SUBSTITUTE(SUBSTITUTE(SUBSTITUTE(SUBSTITUTE(SUBSTITUTE(SUBSTITUTE(SUBSTITUTE(SUBSTITUTE(SUBSTITUTE(MAIN!A538, "0", ""), "1", ""), "2", ""), "3", ""), "4", ""), "5", ""), "6", ""), "7", ""), "8", ""), "9", ""))))</f>
        <v>--</v>
      </c>
      <c r="B538" t="str">
        <f>IF(ISBLANK(MAIN!B538), "--", IFERROR(PROPER(SUBSTITUTE(SUBSTITUTE(SUBSTITUTE(SUBSTITUTE(SUBSTITUTE(SUBSTITUTE(SUBSTITUTE(SUBSTITUTE(SUBSTITUTE(SUBSTITUTE(LEFT(MAIN!B538, FIND(",",MAIN!B538) -1), "0", ""), "1", ""), "2", ""), "3", ""), "4", ""), "5", ""), "6", ""), "7", ""), "8", ""), "9", "")), PROPER(SUBSTITUTE(SUBSTITUTE(SUBSTITUTE(SUBSTITUTE(SUBSTITUTE(SUBSTITUTE(SUBSTITUTE(SUBSTITUTE(SUBSTITUTE(SUBSTITUTE(MAIN!B538, "0", ""), "1", ""), "2", ""), "3", ""), "4", ""), "5", ""), "6", ""), "7", ""), "8", ""), "9", ""))))</f>
        <v>--</v>
      </c>
      <c r="C538" t="str">
        <f>IF(ISBLANK(MAIN!C538), "--", IFERROR(PROPER(SUBSTITUTE(SUBSTITUTE(SUBSTITUTE(SUBSTITUTE(SUBSTITUTE(SUBSTITUTE(SUBSTITUTE(SUBSTITUTE(SUBSTITUTE(SUBSTITUTE(LEFT(MAIN!C538, FIND(",",MAIN!C538) -1), "0", ""), "1", ""), "2", ""), "3", ""), "4", ""), "5", ""), "6", ""), "7", ""), "8", ""), "9", "")), PROPER(SUBSTITUTE(SUBSTITUTE(SUBSTITUTE(SUBSTITUTE(SUBSTITUTE(SUBSTITUTE(SUBSTITUTE(SUBSTITUTE(SUBSTITUTE(SUBSTITUTE(MAIN!C538, "0", ""), "1", ""), "2", ""), "3", ""), "4", ""), "5", ""), "6", ""), "7", ""), "8", ""), "9", ""))))</f>
        <v>--</v>
      </c>
      <c r="D538" t="str">
        <f>IF(ISBLANK(MAIN!D538), "--", IF(ISNUMBER(MATCH(SUBSTITUTE(LEFT(MAIN!D538, IFERROR(FIND(",", MAIN!D538)-1, LEN(MAIN!D538))), " ", ""), lookup_values!$B$2:$B$51, 0)), UPPER(SUBSTITUTE(LEFT(MAIN!D538, IFERROR(FIND(",", MAIN!D538)-1, LEN(MAIN!D538))), " ", "")), IF(ISNA(VLOOKUP(SUBSTITUTE(LEFT(MAIN!D538, IFERROR(FIND(",", MAIN!D538)-1, LEN(MAIN!D538))), " ", ""), lookup_values!$A$2:$B$51, 2, FALSE)), "--", VLOOKUP(SUBSTITUTE(LEFT(MAIN!D538, IFERROR(FIND(",", MAIN!D538)-1, LEN(MAIN!D538))), " ", ""), lookup_values!$A$2:$B$51, 2, FALSE))))</f>
        <v>--</v>
      </c>
      <c r="E538" t="str">
        <f>IF(CLEAN_DATA!D538&lt;&gt;"--","US",IF(ISBLANK(MAIN!E538), "--", IF(ISNUMBER(MATCH(SUBSTITUTE(LEFT(MAIN!E538, IFERROR(FIND(",", MAIN!E538)-1, LEN(MAIN!E538))), " ", ""), lookup_values!$E$2:$E$197, 0)), UPPER(SUBSTITUTE(LEFT(MAIN!E538, IFERROR(FIND(",", MAIN!E538)-1, LEN(MAIN!E538))), " ", "")), IF(ISNA(VLOOKUP(SUBSTITUTE(LEFT(MAIN!E538, IFERROR(FIND(",", MAIN!E538)-1, LEN(MAIN!E538))), " ", ""), lookup_values!$D$2:$E$197, 2, FALSE)), "--", VLOOKUP(SUBSTITUTE(LEFT(MAIN!E538, IFERROR(FIND(",", MAIN!E538)-1, LEN(MAIN!E538))), " ", ""), lookup_values!$D$2:$E$197, 2, FALSE)))))</f>
        <v>--</v>
      </c>
      <c r="F538" t="str">
        <f>IF(ISBLANK(MAIN!F538), "", IF(AND(ISNUMBER(VALUE(TRIM(MAIN!F538))), LEN(TRIM(MAIN!F538))=4), VALUE(TRIM(MAIN!F538)), ""))</f>
        <v/>
      </c>
      <c r="G538">
        <f>IF(ISBLANK(MAIN!G538), 0, IF(ISNUMBER(VALUE(TRIM(MAIN!G538))), VALUE(TRIM(MAIN!G538)), 0))</f>
        <v>0</v>
      </c>
      <c r="H538">
        <f>IF(ISBLANK(MAIN!H538), 0, IF(ISNUMBER(VALUE(TRIM(MAIN!H538))), VALUE(TRIM(MAIN!H538)), 0))</f>
        <v>0</v>
      </c>
      <c r="I538">
        <f>IF(ISBLANK(MAIN!I538), 0, IF(ISNUMBER(VALUE(TRIM(MAIN!I538))), VALUE(TRIM(MAIN!I538)), 0))</f>
        <v>0</v>
      </c>
      <c r="J538">
        <f>IF(ISBLANK(MAIN!J538), 0, IF(ISNUMBER(VALUE(TRIM(MAIN!J538))), VALUE(TRIM(MAIN!J538)), 0))</f>
        <v>0</v>
      </c>
      <c r="K538" cm="1">
        <f t="array" ref="K538">IFERROR(
    VALUE(
        IFERROR(
            UPPER(
                IF(MAX(IFERROR(SEARCH("WD",MAIN!G538:J538), 0))&gt;0, "WD",
                IF(MAX(IFERROR(SEARCH("NS",MAIN!G538:J538), 0))&gt;0, "NS",
                IF(MAX(IFERROR(SEARCH("NC",MAIN!G538:J538), 0))&gt;0, "NC",
                IF(MAX(IFERROR(SEARCH("DQ",MAIN!G538:J538), 0))&gt;0, "DQ",
                IF(ISNUMBER(SEARCH("WD",MAIN!K538)), "WD",
                IF(ISNUMBER(SEARCH("NS",MAIN!K538)), "NS",
                IF(ISNUMBER(SEARCH("NC",MAIN!K538)), "NC",
                IF(ISNUMBER(SEARCH("DQ",MAIN!K538)), "DQ",
                IF(ISNUMBER(SEARCH("A",MAIN!K538)), 0,
                IF(OR(MAIN!K538=0,MAIN!K538=""), 0, --TRIM(MAIN!K538)))))))))))),
            0
        )
    ),
    IFERROR(
        UPPER(
            IF(MAX(IFERROR(SEARCH("WD",MAIN!G538:J538), 0))&gt;0, "WD",
            IF(MAX(IFERROR(SEARCH("NS",MAIN!G538:J538), 0))&gt;0, "NS",
            IF(MAX(IFERROR(SEARCH("NC",MAIN!G538:J538), 0))&gt;0, "NC",
            IF(MAX(IFERROR(SEARCH("DQ",MAIN!G538:J538), 0))&gt;0, "DQ",
            IF(ISNUMBER(SEARCH("WD",MAIN!K538)), "WD",
            IF(ISNUMBER(SEARCH("NS",MAIN!K538)), "NS",
            IF(ISNUMBER(SEARCH("NC",MAIN!K538)), "NC",
            IF(ISNUMBER(SEARCH("DQ",MAIN!K538)), "DQ",
            IF(ISNUMBER(SEARCH("A",MAIN!K538)), 0,
            IF(OR(MAIN!K538=0,MAIN!K538=""), 0, --TRIM(MAIN!K538)))))))))))),
        0
    )
)</f>
        <v>0</v>
      </c>
    </row>
    <row r="539" spans="1:11" x14ac:dyDescent="0.25">
      <c r="A539" t="str">
        <f>IF(ISBLANK(MAIN!A539), "--", IFERROR(PROPER(SUBSTITUTE(SUBSTITUTE(SUBSTITUTE(SUBSTITUTE(SUBSTITUTE(SUBSTITUTE(SUBSTITUTE(SUBSTITUTE(SUBSTITUTE(SUBSTITUTE(LEFT(MAIN!A539, FIND(",",MAIN!A539) -1), "0", ""), "1", ""), "2", ""), "3", ""), "4", ""), "5", ""), "6", ""), "7", ""), "8", ""), "9", "")), PROPER(SUBSTITUTE(SUBSTITUTE(SUBSTITUTE(SUBSTITUTE(SUBSTITUTE(SUBSTITUTE(SUBSTITUTE(SUBSTITUTE(SUBSTITUTE(SUBSTITUTE(MAIN!A539, "0", ""), "1", ""), "2", ""), "3", ""), "4", ""), "5", ""), "6", ""), "7", ""), "8", ""), "9", ""))))</f>
        <v>--</v>
      </c>
      <c r="B539" t="str">
        <f>IF(ISBLANK(MAIN!B539), "--", IFERROR(PROPER(SUBSTITUTE(SUBSTITUTE(SUBSTITUTE(SUBSTITUTE(SUBSTITUTE(SUBSTITUTE(SUBSTITUTE(SUBSTITUTE(SUBSTITUTE(SUBSTITUTE(LEFT(MAIN!B539, FIND(",",MAIN!B539) -1), "0", ""), "1", ""), "2", ""), "3", ""), "4", ""), "5", ""), "6", ""), "7", ""), "8", ""), "9", "")), PROPER(SUBSTITUTE(SUBSTITUTE(SUBSTITUTE(SUBSTITUTE(SUBSTITUTE(SUBSTITUTE(SUBSTITUTE(SUBSTITUTE(SUBSTITUTE(SUBSTITUTE(MAIN!B539, "0", ""), "1", ""), "2", ""), "3", ""), "4", ""), "5", ""), "6", ""), "7", ""), "8", ""), "9", ""))))</f>
        <v>--</v>
      </c>
      <c r="C539" t="str">
        <f>IF(ISBLANK(MAIN!C539), "--", IFERROR(PROPER(SUBSTITUTE(SUBSTITUTE(SUBSTITUTE(SUBSTITUTE(SUBSTITUTE(SUBSTITUTE(SUBSTITUTE(SUBSTITUTE(SUBSTITUTE(SUBSTITUTE(LEFT(MAIN!C539, FIND(",",MAIN!C539) -1), "0", ""), "1", ""), "2", ""), "3", ""), "4", ""), "5", ""), "6", ""), "7", ""), "8", ""), "9", "")), PROPER(SUBSTITUTE(SUBSTITUTE(SUBSTITUTE(SUBSTITUTE(SUBSTITUTE(SUBSTITUTE(SUBSTITUTE(SUBSTITUTE(SUBSTITUTE(SUBSTITUTE(MAIN!C539, "0", ""), "1", ""), "2", ""), "3", ""), "4", ""), "5", ""), "6", ""), "7", ""), "8", ""), "9", ""))))</f>
        <v>--</v>
      </c>
      <c r="D539" t="str">
        <f>IF(ISBLANK(MAIN!D539), "--", IF(ISNUMBER(MATCH(SUBSTITUTE(LEFT(MAIN!D539, IFERROR(FIND(",", MAIN!D539)-1, LEN(MAIN!D539))), " ", ""), lookup_values!$B$2:$B$51, 0)), UPPER(SUBSTITUTE(LEFT(MAIN!D539, IFERROR(FIND(",", MAIN!D539)-1, LEN(MAIN!D539))), " ", "")), IF(ISNA(VLOOKUP(SUBSTITUTE(LEFT(MAIN!D539, IFERROR(FIND(",", MAIN!D539)-1, LEN(MAIN!D539))), " ", ""), lookup_values!$A$2:$B$51, 2, FALSE)), "--", VLOOKUP(SUBSTITUTE(LEFT(MAIN!D539, IFERROR(FIND(",", MAIN!D539)-1, LEN(MAIN!D539))), " ", ""), lookup_values!$A$2:$B$51, 2, FALSE))))</f>
        <v>--</v>
      </c>
      <c r="E539" t="str">
        <f>IF(CLEAN_DATA!D539&lt;&gt;"--","US",IF(ISBLANK(MAIN!E539), "--", IF(ISNUMBER(MATCH(SUBSTITUTE(LEFT(MAIN!E539, IFERROR(FIND(",", MAIN!E539)-1, LEN(MAIN!E539))), " ", ""), lookup_values!$E$2:$E$197, 0)), UPPER(SUBSTITUTE(LEFT(MAIN!E539, IFERROR(FIND(",", MAIN!E539)-1, LEN(MAIN!E539))), " ", "")), IF(ISNA(VLOOKUP(SUBSTITUTE(LEFT(MAIN!E539, IFERROR(FIND(",", MAIN!E539)-1, LEN(MAIN!E539))), " ", ""), lookup_values!$D$2:$E$197, 2, FALSE)), "--", VLOOKUP(SUBSTITUTE(LEFT(MAIN!E539, IFERROR(FIND(",", MAIN!E539)-1, LEN(MAIN!E539))), " ", ""), lookup_values!$D$2:$E$197, 2, FALSE)))))</f>
        <v>--</v>
      </c>
      <c r="F539" t="str">
        <f>IF(ISBLANK(MAIN!F539), "", IF(AND(ISNUMBER(VALUE(TRIM(MAIN!F539))), LEN(TRIM(MAIN!F539))=4), VALUE(TRIM(MAIN!F539)), ""))</f>
        <v/>
      </c>
      <c r="G539">
        <f>IF(ISBLANK(MAIN!G539), 0, IF(ISNUMBER(VALUE(TRIM(MAIN!G539))), VALUE(TRIM(MAIN!G539)), 0))</f>
        <v>0</v>
      </c>
      <c r="H539">
        <f>IF(ISBLANK(MAIN!H539), 0, IF(ISNUMBER(VALUE(TRIM(MAIN!H539))), VALUE(TRIM(MAIN!H539)), 0))</f>
        <v>0</v>
      </c>
      <c r="I539">
        <f>IF(ISBLANK(MAIN!I539), 0, IF(ISNUMBER(VALUE(TRIM(MAIN!I539))), VALUE(TRIM(MAIN!I539)), 0))</f>
        <v>0</v>
      </c>
      <c r="J539">
        <f>IF(ISBLANK(MAIN!J539), 0, IF(ISNUMBER(VALUE(TRIM(MAIN!J539))), VALUE(TRIM(MAIN!J539)), 0))</f>
        <v>0</v>
      </c>
      <c r="K539" cm="1">
        <f t="array" ref="K539">IFERROR(
    VALUE(
        IFERROR(
            UPPER(
                IF(MAX(IFERROR(SEARCH("WD",MAIN!G539:J539), 0))&gt;0, "WD",
                IF(MAX(IFERROR(SEARCH("NS",MAIN!G539:J539), 0))&gt;0, "NS",
                IF(MAX(IFERROR(SEARCH("NC",MAIN!G539:J539), 0))&gt;0, "NC",
                IF(MAX(IFERROR(SEARCH("DQ",MAIN!G539:J539), 0))&gt;0, "DQ",
                IF(ISNUMBER(SEARCH("WD",MAIN!K539)), "WD",
                IF(ISNUMBER(SEARCH("NS",MAIN!K539)), "NS",
                IF(ISNUMBER(SEARCH("NC",MAIN!K539)), "NC",
                IF(ISNUMBER(SEARCH("DQ",MAIN!K539)), "DQ",
                IF(ISNUMBER(SEARCH("A",MAIN!K539)), 0,
                IF(OR(MAIN!K539=0,MAIN!K539=""), 0, --TRIM(MAIN!K539)))))))))))),
            0
        )
    ),
    IFERROR(
        UPPER(
            IF(MAX(IFERROR(SEARCH("WD",MAIN!G539:J539), 0))&gt;0, "WD",
            IF(MAX(IFERROR(SEARCH("NS",MAIN!G539:J539), 0))&gt;0, "NS",
            IF(MAX(IFERROR(SEARCH("NC",MAIN!G539:J539), 0))&gt;0, "NC",
            IF(MAX(IFERROR(SEARCH("DQ",MAIN!G539:J539), 0))&gt;0, "DQ",
            IF(ISNUMBER(SEARCH("WD",MAIN!K539)), "WD",
            IF(ISNUMBER(SEARCH("NS",MAIN!K539)), "NS",
            IF(ISNUMBER(SEARCH("NC",MAIN!K539)), "NC",
            IF(ISNUMBER(SEARCH("DQ",MAIN!K539)), "DQ",
            IF(ISNUMBER(SEARCH("A",MAIN!K539)), 0,
            IF(OR(MAIN!K539=0,MAIN!K539=""), 0, --TRIM(MAIN!K539)))))))))))),
        0
    )
)</f>
        <v>0</v>
      </c>
    </row>
    <row r="540" spans="1:11" x14ac:dyDescent="0.25">
      <c r="A540" t="str">
        <f>IF(ISBLANK(MAIN!A540), "--", IFERROR(PROPER(SUBSTITUTE(SUBSTITUTE(SUBSTITUTE(SUBSTITUTE(SUBSTITUTE(SUBSTITUTE(SUBSTITUTE(SUBSTITUTE(SUBSTITUTE(SUBSTITUTE(LEFT(MAIN!A540, FIND(",",MAIN!A540) -1), "0", ""), "1", ""), "2", ""), "3", ""), "4", ""), "5", ""), "6", ""), "7", ""), "8", ""), "9", "")), PROPER(SUBSTITUTE(SUBSTITUTE(SUBSTITUTE(SUBSTITUTE(SUBSTITUTE(SUBSTITUTE(SUBSTITUTE(SUBSTITUTE(SUBSTITUTE(SUBSTITUTE(MAIN!A540, "0", ""), "1", ""), "2", ""), "3", ""), "4", ""), "5", ""), "6", ""), "7", ""), "8", ""), "9", ""))))</f>
        <v>--</v>
      </c>
      <c r="B540" t="str">
        <f>IF(ISBLANK(MAIN!B540), "--", IFERROR(PROPER(SUBSTITUTE(SUBSTITUTE(SUBSTITUTE(SUBSTITUTE(SUBSTITUTE(SUBSTITUTE(SUBSTITUTE(SUBSTITUTE(SUBSTITUTE(SUBSTITUTE(LEFT(MAIN!B540, FIND(",",MAIN!B540) -1), "0", ""), "1", ""), "2", ""), "3", ""), "4", ""), "5", ""), "6", ""), "7", ""), "8", ""), "9", "")), PROPER(SUBSTITUTE(SUBSTITUTE(SUBSTITUTE(SUBSTITUTE(SUBSTITUTE(SUBSTITUTE(SUBSTITUTE(SUBSTITUTE(SUBSTITUTE(SUBSTITUTE(MAIN!B540, "0", ""), "1", ""), "2", ""), "3", ""), "4", ""), "5", ""), "6", ""), "7", ""), "8", ""), "9", ""))))</f>
        <v>--</v>
      </c>
      <c r="C540" t="str">
        <f>IF(ISBLANK(MAIN!C540), "--", IFERROR(PROPER(SUBSTITUTE(SUBSTITUTE(SUBSTITUTE(SUBSTITUTE(SUBSTITUTE(SUBSTITUTE(SUBSTITUTE(SUBSTITUTE(SUBSTITUTE(SUBSTITUTE(LEFT(MAIN!C540, FIND(",",MAIN!C540) -1), "0", ""), "1", ""), "2", ""), "3", ""), "4", ""), "5", ""), "6", ""), "7", ""), "8", ""), "9", "")), PROPER(SUBSTITUTE(SUBSTITUTE(SUBSTITUTE(SUBSTITUTE(SUBSTITUTE(SUBSTITUTE(SUBSTITUTE(SUBSTITUTE(SUBSTITUTE(SUBSTITUTE(MAIN!C540, "0", ""), "1", ""), "2", ""), "3", ""), "4", ""), "5", ""), "6", ""), "7", ""), "8", ""), "9", ""))))</f>
        <v>--</v>
      </c>
      <c r="D540" t="str">
        <f>IF(ISBLANK(MAIN!D540), "--", IF(ISNUMBER(MATCH(SUBSTITUTE(LEFT(MAIN!D540, IFERROR(FIND(",", MAIN!D540)-1, LEN(MAIN!D540))), " ", ""), lookup_values!$B$2:$B$51, 0)), UPPER(SUBSTITUTE(LEFT(MAIN!D540, IFERROR(FIND(",", MAIN!D540)-1, LEN(MAIN!D540))), " ", "")), IF(ISNA(VLOOKUP(SUBSTITUTE(LEFT(MAIN!D540, IFERROR(FIND(",", MAIN!D540)-1, LEN(MAIN!D540))), " ", ""), lookup_values!$A$2:$B$51, 2, FALSE)), "--", VLOOKUP(SUBSTITUTE(LEFT(MAIN!D540, IFERROR(FIND(",", MAIN!D540)-1, LEN(MAIN!D540))), " ", ""), lookup_values!$A$2:$B$51, 2, FALSE))))</f>
        <v>--</v>
      </c>
      <c r="E540" t="str">
        <f>IF(CLEAN_DATA!D540&lt;&gt;"--","US",IF(ISBLANK(MAIN!E540), "--", IF(ISNUMBER(MATCH(SUBSTITUTE(LEFT(MAIN!E540, IFERROR(FIND(",", MAIN!E540)-1, LEN(MAIN!E540))), " ", ""), lookup_values!$E$2:$E$197, 0)), UPPER(SUBSTITUTE(LEFT(MAIN!E540, IFERROR(FIND(",", MAIN!E540)-1, LEN(MAIN!E540))), " ", "")), IF(ISNA(VLOOKUP(SUBSTITUTE(LEFT(MAIN!E540, IFERROR(FIND(",", MAIN!E540)-1, LEN(MAIN!E540))), " ", ""), lookup_values!$D$2:$E$197, 2, FALSE)), "--", VLOOKUP(SUBSTITUTE(LEFT(MAIN!E540, IFERROR(FIND(",", MAIN!E540)-1, LEN(MAIN!E540))), " ", ""), lookup_values!$D$2:$E$197, 2, FALSE)))))</f>
        <v>--</v>
      </c>
      <c r="F540" t="str">
        <f>IF(ISBLANK(MAIN!F540), "", IF(AND(ISNUMBER(VALUE(TRIM(MAIN!F540))), LEN(TRIM(MAIN!F540))=4), VALUE(TRIM(MAIN!F540)), ""))</f>
        <v/>
      </c>
      <c r="G540">
        <f>IF(ISBLANK(MAIN!G540), 0, IF(ISNUMBER(VALUE(TRIM(MAIN!G540))), VALUE(TRIM(MAIN!G540)), 0))</f>
        <v>0</v>
      </c>
      <c r="H540">
        <f>IF(ISBLANK(MAIN!H540), 0, IF(ISNUMBER(VALUE(TRIM(MAIN!H540))), VALUE(TRIM(MAIN!H540)), 0))</f>
        <v>0</v>
      </c>
      <c r="I540">
        <f>IF(ISBLANK(MAIN!I540), 0, IF(ISNUMBER(VALUE(TRIM(MAIN!I540))), VALUE(TRIM(MAIN!I540)), 0))</f>
        <v>0</v>
      </c>
      <c r="J540">
        <f>IF(ISBLANK(MAIN!J540), 0, IF(ISNUMBER(VALUE(TRIM(MAIN!J540))), VALUE(TRIM(MAIN!J540)), 0))</f>
        <v>0</v>
      </c>
      <c r="K540" cm="1">
        <f t="array" ref="K540">IFERROR(
    VALUE(
        IFERROR(
            UPPER(
                IF(MAX(IFERROR(SEARCH("WD",MAIN!G540:J540), 0))&gt;0, "WD",
                IF(MAX(IFERROR(SEARCH("NS",MAIN!G540:J540), 0))&gt;0, "NS",
                IF(MAX(IFERROR(SEARCH("NC",MAIN!G540:J540), 0))&gt;0, "NC",
                IF(MAX(IFERROR(SEARCH("DQ",MAIN!G540:J540), 0))&gt;0, "DQ",
                IF(ISNUMBER(SEARCH("WD",MAIN!K540)), "WD",
                IF(ISNUMBER(SEARCH("NS",MAIN!K540)), "NS",
                IF(ISNUMBER(SEARCH("NC",MAIN!K540)), "NC",
                IF(ISNUMBER(SEARCH("DQ",MAIN!K540)), "DQ",
                IF(ISNUMBER(SEARCH("A",MAIN!K540)), 0,
                IF(OR(MAIN!K540=0,MAIN!K540=""), 0, --TRIM(MAIN!K540)))))))))))),
            0
        )
    ),
    IFERROR(
        UPPER(
            IF(MAX(IFERROR(SEARCH("WD",MAIN!G540:J540), 0))&gt;0, "WD",
            IF(MAX(IFERROR(SEARCH("NS",MAIN!G540:J540), 0))&gt;0, "NS",
            IF(MAX(IFERROR(SEARCH("NC",MAIN!G540:J540), 0))&gt;0, "NC",
            IF(MAX(IFERROR(SEARCH("DQ",MAIN!G540:J540), 0))&gt;0, "DQ",
            IF(ISNUMBER(SEARCH("WD",MAIN!K540)), "WD",
            IF(ISNUMBER(SEARCH("NS",MAIN!K540)), "NS",
            IF(ISNUMBER(SEARCH("NC",MAIN!K540)), "NC",
            IF(ISNUMBER(SEARCH("DQ",MAIN!K540)), "DQ",
            IF(ISNUMBER(SEARCH("A",MAIN!K540)), 0,
            IF(OR(MAIN!K540=0,MAIN!K540=""), 0, --TRIM(MAIN!K540)))))))))))),
        0
    )
)</f>
        <v>0</v>
      </c>
    </row>
    <row r="541" spans="1:11" x14ac:dyDescent="0.25">
      <c r="A541" t="str">
        <f>IF(ISBLANK(MAIN!A541), "--", IFERROR(PROPER(SUBSTITUTE(SUBSTITUTE(SUBSTITUTE(SUBSTITUTE(SUBSTITUTE(SUBSTITUTE(SUBSTITUTE(SUBSTITUTE(SUBSTITUTE(SUBSTITUTE(LEFT(MAIN!A541, FIND(",",MAIN!A541) -1), "0", ""), "1", ""), "2", ""), "3", ""), "4", ""), "5", ""), "6", ""), "7", ""), "8", ""), "9", "")), PROPER(SUBSTITUTE(SUBSTITUTE(SUBSTITUTE(SUBSTITUTE(SUBSTITUTE(SUBSTITUTE(SUBSTITUTE(SUBSTITUTE(SUBSTITUTE(SUBSTITUTE(MAIN!A541, "0", ""), "1", ""), "2", ""), "3", ""), "4", ""), "5", ""), "6", ""), "7", ""), "8", ""), "9", ""))))</f>
        <v>--</v>
      </c>
      <c r="B541" t="str">
        <f>IF(ISBLANK(MAIN!B541), "--", IFERROR(PROPER(SUBSTITUTE(SUBSTITUTE(SUBSTITUTE(SUBSTITUTE(SUBSTITUTE(SUBSTITUTE(SUBSTITUTE(SUBSTITUTE(SUBSTITUTE(SUBSTITUTE(LEFT(MAIN!B541, FIND(",",MAIN!B541) -1), "0", ""), "1", ""), "2", ""), "3", ""), "4", ""), "5", ""), "6", ""), "7", ""), "8", ""), "9", "")), PROPER(SUBSTITUTE(SUBSTITUTE(SUBSTITUTE(SUBSTITUTE(SUBSTITUTE(SUBSTITUTE(SUBSTITUTE(SUBSTITUTE(SUBSTITUTE(SUBSTITUTE(MAIN!B541, "0", ""), "1", ""), "2", ""), "3", ""), "4", ""), "5", ""), "6", ""), "7", ""), "8", ""), "9", ""))))</f>
        <v>--</v>
      </c>
      <c r="C541" t="str">
        <f>IF(ISBLANK(MAIN!C541), "--", IFERROR(PROPER(SUBSTITUTE(SUBSTITUTE(SUBSTITUTE(SUBSTITUTE(SUBSTITUTE(SUBSTITUTE(SUBSTITUTE(SUBSTITUTE(SUBSTITUTE(SUBSTITUTE(LEFT(MAIN!C541, FIND(",",MAIN!C541) -1), "0", ""), "1", ""), "2", ""), "3", ""), "4", ""), "5", ""), "6", ""), "7", ""), "8", ""), "9", "")), PROPER(SUBSTITUTE(SUBSTITUTE(SUBSTITUTE(SUBSTITUTE(SUBSTITUTE(SUBSTITUTE(SUBSTITUTE(SUBSTITUTE(SUBSTITUTE(SUBSTITUTE(MAIN!C541, "0", ""), "1", ""), "2", ""), "3", ""), "4", ""), "5", ""), "6", ""), "7", ""), "8", ""), "9", ""))))</f>
        <v>--</v>
      </c>
      <c r="D541" t="str">
        <f>IF(ISBLANK(MAIN!D541), "--", IF(ISNUMBER(MATCH(SUBSTITUTE(LEFT(MAIN!D541, IFERROR(FIND(",", MAIN!D541)-1, LEN(MAIN!D541))), " ", ""), lookup_values!$B$2:$B$51, 0)), UPPER(SUBSTITUTE(LEFT(MAIN!D541, IFERROR(FIND(",", MAIN!D541)-1, LEN(MAIN!D541))), " ", "")), IF(ISNA(VLOOKUP(SUBSTITUTE(LEFT(MAIN!D541, IFERROR(FIND(",", MAIN!D541)-1, LEN(MAIN!D541))), " ", ""), lookup_values!$A$2:$B$51, 2, FALSE)), "--", VLOOKUP(SUBSTITUTE(LEFT(MAIN!D541, IFERROR(FIND(",", MAIN!D541)-1, LEN(MAIN!D541))), " ", ""), lookup_values!$A$2:$B$51, 2, FALSE))))</f>
        <v>--</v>
      </c>
      <c r="E541" t="str">
        <f>IF(CLEAN_DATA!D541&lt;&gt;"--","US",IF(ISBLANK(MAIN!E541), "--", IF(ISNUMBER(MATCH(SUBSTITUTE(LEFT(MAIN!E541, IFERROR(FIND(",", MAIN!E541)-1, LEN(MAIN!E541))), " ", ""), lookup_values!$E$2:$E$197, 0)), UPPER(SUBSTITUTE(LEFT(MAIN!E541, IFERROR(FIND(",", MAIN!E541)-1, LEN(MAIN!E541))), " ", "")), IF(ISNA(VLOOKUP(SUBSTITUTE(LEFT(MAIN!E541, IFERROR(FIND(",", MAIN!E541)-1, LEN(MAIN!E541))), " ", ""), lookup_values!$D$2:$E$197, 2, FALSE)), "--", VLOOKUP(SUBSTITUTE(LEFT(MAIN!E541, IFERROR(FIND(",", MAIN!E541)-1, LEN(MAIN!E541))), " ", ""), lookup_values!$D$2:$E$197, 2, FALSE)))))</f>
        <v>--</v>
      </c>
      <c r="F541" t="str">
        <f>IF(ISBLANK(MAIN!F541), "", IF(AND(ISNUMBER(VALUE(TRIM(MAIN!F541))), LEN(TRIM(MAIN!F541))=4), VALUE(TRIM(MAIN!F541)), ""))</f>
        <v/>
      </c>
      <c r="G541">
        <f>IF(ISBLANK(MAIN!G541), 0, IF(ISNUMBER(VALUE(TRIM(MAIN!G541))), VALUE(TRIM(MAIN!G541)), 0))</f>
        <v>0</v>
      </c>
      <c r="H541">
        <f>IF(ISBLANK(MAIN!H541), 0, IF(ISNUMBER(VALUE(TRIM(MAIN!H541))), VALUE(TRIM(MAIN!H541)), 0))</f>
        <v>0</v>
      </c>
      <c r="I541">
        <f>IF(ISBLANK(MAIN!I541), 0, IF(ISNUMBER(VALUE(TRIM(MAIN!I541))), VALUE(TRIM(MAIN!I541)), 0))</f>
        <v>0</v>
      </c>
      <c r="J541">
        <f>IF(ISBLANK(MAIN!J541), 0, IF(ISNUMBER(VALUE(TRIM(MAIN!J541))), VALUE(TRIM(MAIN!J541)), 0))</f>
        <v>0</v>
      </c>
      <c r="K541" cm="1">
        <f t="array" ref="K541">IFERROR(
    VALUE(
        IFERROR(
            UPPER(
                IF(MAX(IFERROR(SEARCH("WD",MAIN!G541:J541), 0))&gt;0, "WD",
                IF(MAX(IFERROR(SEARCH("NS",MAIN!G541:J541), 0))&gt;0, "NS",
                IF(MAX(IFERROR(SEARCH("NC",MAIN!G541:J541), 0))&gt;0, "NC",
                IF(MAX(IFERROR(SEARCH("DQ",MAIN!G541:J541), 0))&gt;0, "DQ",
                IF(ISNUMBER(SEARCH("WD",MAIN!K541)), "WD",
                IF(ISNUMBER(SEARCH("NS",MAIN!K541)), "NS",
                IF(ISNUMBER(SEARCH("NC",MAIN!K541)), "NC",
                IF(ISNUMBER(SEARCH("DQ",MAIN!K541)), "DQ",
                IF(ISNUMBER(SEARCH("A",MAIN!K541)), 0,
                IF(OR(MAIN!K541=0,MAIN!K541=""), 0, --TRIM(MAIN!K541)))))))))))),
            0
        )
    ),
    IFERROR(
        UPPER(
            IF(MAX(IFERROR(SEARCH("WD",MAIN!G541:J541), 0))&gt;0, "WD",
            IF(MAX(IFERROR(SEARCH("NS",MAIN!G541:J541), 0))&gt;0, "NS",
            IF(MAX(IFERROR(SEARCH("NC",MAIN!G541:J541), 0))&gt;0, "NC",
            IF(MAX(IFERROR(SEARCH("DQ",MAIN!G541:J541), 0))&gt;0, "DQ",
            IF(ISNUMBER(SEARCH("WD",MAIN!K541)), "WD",
            IF(ISNUMBER(SEARCH("NS",MAIN!K541)), "NS",
            IF(ISNUMBER(SEARCH("NC",MAIN!K541)), "NC",
            IF(ISNUMBER(SEARCH("DQ",MAIN!K541)), "DQ",
            IF(ISNUMBER(SEARCH("A",MAIN!K541)), 0,
            IF(OR(MAIN!K541=0,MAIN!K541=""), 0, --TRIM(MAIN!K541)))))))))))),
        0
    )
)</f>
        <v>0</v>
      </c>
    </row>
    <row r="542" spans="1:11" x14ac:dyDescent="0.25">
      <c r="A542" t="str">
        <f>IF(ISBLANK(MAIN!A542), "--", IFERROR(PROPER(SUBSTITUTE(SUBSTITUTE(SUBSTITUTE(SUBSTITUTE(SUBSTITUTE(SUBSTITUTE(SUBSTITUTE(SUBSTITUTE(SUBSTITUTE(SUBSTITUTE(LEFT(MAIN!A542, FIND(",",MAIN!A542) -1), "0", ""), "1", ""), "2", ""), "3", ""), "4", ""), "5", ""), "6", ""), "7", ""), "8", ""), "9", "")), PROPER(SUBSTITUTE(SUBSTITUTE(SUBSTITUTE(SUBSTITUTE(SUBSTITUTE(SUBSTITUTE(SUBSTITUTE(SUBSTITUTE(SUBSTITUTE(SUBSTITUTE(MAIN!A542, "0", ""), "1", ""), "2", ""), "3", ""), "4", ""), "5", ""), "6", ""), "7", ""), "8", ""), "9", ""))))</f>
        <v>--</v>
      </c>
      <c r="B542" t="str">
        <f>IF(ISBLANK(MAIN!B542), "--", IFERROR(PROPER(SUBSTITUTE(SUBSTITUTE(SUBSTITUTE(SUBSTITUTE(SUBSTITUTE(SUBSTITUTE(SUBSTITUTE(SUBSTITUTE(SUBSTITUTE(SUBSTITUTE(LEFT(MAIN!B542, FIND(",",MAIN!B542) -1), "0", ""), "1", ""), "2", ""), "3", ""), "4", ""), "5", ""), "6", ""), "7", ""), "8", ""), "9", "")), PROPER(SUBSTITUTE(SUBSTITUTE(SUBSTITUTE(SUBSTITUTE(SUBSTITUTE(SUBSTITUTE(SUBSTITUTE(SUBSTITUTE(SUBSTITUTE(SUBSTITUTE(MAIN!B542, "0", ""), "1", ""), "2", ""), "3", ""), "4", ""), "5", ""), "6", ""), "7", ""), "8", ""), "9", ""))))</f>
        <v>--</v>
      </c>
      <c r="C542" t="str">
        <f>IF(ISBLANK(MAIN!C542), "--", IFERROR(PROPER(SUBSTITUTE(SUBSTITUTE(SUBSTITUTE(SUBSTITUTE(SUBSTITUTE(SUBSTITUTE(SUBSTITUTE(SUBSTITUTE(SUBSTITUTE(SUBSTITUTE(LEFT(MAIN!C542, FIND(",",MAIN!C542) -1), "0", ""), "1", ""), "2", ""), "3", ""), "4", ""), "5", ""), "6", ""), "7", ""), "8", ""), "9", "")), PROPER(SUBSTITUTE(SUBSTITUTE(SUBSTITUTE(SUBSTITUTE(SUBSTITUTE(SUBSTITUTE(SUBSTITUTE(SUBSTITUTE(SUBSTITUTE(SUBSTITUTE(MAIN!C542, "0", ""), "1", ""), "2", ""), "3", ""), "4", ""), "5", ""), "6", ""), "7", ""), "8", ""), "9", ""))))</f>
        <v>--</v>
      </c>
      <c r="D542" t="str">
        <f>IF(ISBLANK(MAIN!D542), "--", IF(ISNUMBER(MATCH(SUBSTITUTE(LEFT(MAIN!D542, IFERROR(FIND(",", MAIN!D542)-1, LEN(MAIN!D542))), " ", ""), lookup_values!$B$2:$B$51, 0)), UPPER(SUBSTITUTE(LEFT(MAIN!D542, IFERROR(FIND(",", MAIN!D542)-1, LEN(MAIN!D542))), " ", "")), IF(ISNA(VLOOKUP(SUBSTITUTE(LEFT(MAIN!D542, IFERROR(FIND(",", MAIN!D542)-1, LEN(MAIN!D542))), " ", ""), lookup_values!$A$2:$B$51, 2, FALSE)), "--", VLOOKUP(SUBSTITUTE(LEFT(MAIN!D542, IFERROR(FIND(",", MAIN!D542)-1, LEN(MAIN!D542))), " ", ""), lookup_values!$A$2:$B$51, 2, FALSE))))</f>
        <v>--</v>
      </c>
      <c r="E542" t="str">
        <f>IF(CLEAN_DATA!D542&lt;&gt;"--","US",IF(ISBLANK(MAIN!E542), "--", IF(ISNUMBER(MATCH(SUBSTITUTE(LEFT(MAIN!E542, IFERROR(FIND(",", MAIN!E542)-1, LEN(MAIN!E542))), " ", ""), lookup_values!$E$2:$E$197, 0)), UPPER(SUBSTITUTE(LEFT(MAIN!E542, IFERROR(FIND(",", MAIN!E542)-1, LEN(MAIN!E542))), " ", "")), IF(ISNA(VLOOKUP(SUBSTITUTE(LEFT(MAIN!E542, IFERROR(FIND(",", MAIN!E542)-1, LEN(MAIN!E542))), " ", ""), lookup_values!$D$2:$E$197, 2, FALSE)), "--", VLOOKUP(SUBSTITUTE(LEFT(MAIN!E542, IFERROR(FIND(",", MAIN!E542)-1, LEN(MAIN!E542))), " ", ""), lookup_values!$D$2:$E$197, 2, FALSE)))))</f>
        <v>--</v>
      </c>
      <c r="F542" t="str">
        <f>IF(ISBLANK(MAIN!F542), "", IF(AND(ISNUMBER(VALUE(TRIM(MAIN!F542))), LEN(TRIM(MAIN!F542))=4), VALUE(TRIM(MAIN!F542)), ""))</f>
        <v/>
      </c>
      <c r="G542">
        <f>IF(ISBLANK(MAIN!G542), 0, IF(ISNUMBER(VALUE(TRIM(MAIN!G542))), VALUE(TRIM(MAIN!G542)), 0))</f>
        <v>0</v>
      </c>
      <c r="H542">
        <f>IF(ISBLANK(MAIN!H542), 0, IF(ISNUMBER(VALUE(TRIM(MAIN!H542))), VALUE(TRIM(MAIN!H542)), 0))</f>
        <v>0</v>
      </c>
      <c r="I542">
        <f>IF(ISBLANK(MAIN!I542), 0, IF(ISNUMBER(VALUE(TRIM(MAIN!I542))), VALUE(TRIM(MAIN!I542)), 0))</f>
        <v>0</v>
      </c>
      <c r="J542">
        <f>IF(ISBLANK(MAIN!J542), 0, IF(ISNUMBER(VALUE(TRIM(MAIN!J542))), VALUE(TRIM(MAIN!J542)), 0))</f>
        <v>0</v>
      </c>
      <c r="K542" cm="1">
        <f t="array" ref="K542">IFERROR(
    VALUE(
        IFERROR(
            UPPER(
                IF(MAX(IFERROR(SEARCH("WD",MAIN!G542:J542), 0))&gt;0, "WD",
                IF(MAX(IFERROR(SEARCH("NS",MAIN!G542:J542), 0))&gt;0, "NS",
                IF(MAX(IFERROR(SEARCH("NC",MAIN!G542:J542), 0))&gt;0, "NC",
                IF(MAX(IFERROR(SEARCH("DQ",MAIN!G542:J542), 0))&gt;0, "DQ",
                IF(ISNUMBER(SEARCH("WD",MAIN!K542)), "WD",
                IF(ISNUMBER(SEARCH("NS",MAIN!K542)), "NS",
                IF(ISNUMBER(SEARCH("NC",MAIN!K542)), "NC",
                IF(ISNUMBER(SEARCH("DQ",MAIN!K542)), "DQ",
                IF(ISNUMBER(SEARCH("A",MAIN!K542)), 0,
                IF(OR(MAIN!K542=0,MAIN!K542=""), 0, --TRIM(MAIN!K542)))))))))))),
            0
        )
    ),
    IFERROR(
        UPPER(
            IF(MAX(IFERROR(SEARCH("WD",MAIN!G542:J542), 0))&gt;0, "WD",
            IF(MAX(IFERROR(SEARCH("NS",MAIN!G542:J542), 0))&gt;0, "NS",
            IF(MAX(IFERROR(SEARCH("NC",MAIN!G542:J542), 0))&gt;0, "NC",
            IF(MAX(IFERROR(SEARCH("DQ",MAIN!G542:J542), 0))&gt;0, "DQ",
            IF(ISNUMBER(SEARCH("WD",MAIN!K542)), "WD",
            IF(ISNUMBER(SEARCH("NS",MAIN!K542)), "NS",
            IF(ISNUMBER(SEARCH("NC",MAIN!K542)), "NC",
            IF(ISNUMBER(SEARCH("DQ",MAIN!K542)), "DQ",
            IF(ISNUMBER(SEARCH("A",MAIN!K542)), 0,
            IF(OR(MAIN!K542=0,MAIN!K542=""), 0, --TRIM(MAIN!K542)))))))))))),
        0
    )
)</f>
        <v>0</v>
      </c>
    </row>
    <row r="543" spans="1:11" x14ac:dyDescent="0.25">
      <c r="A543" t="str">
        <f>IF(ISBLANK(MAIN!A543), "--", IFERROR(PROPER(SUBSTITUTE(SUBSTITUTE(SUBSTITUTE(SUBSTITUTE(SUBSTITUTE(SUBSTITUTE(SUBSTITUTE(SUBSTITUTE(SUBSTITUTE(SUBSTITUTE(LEFT(MAIN!A543, FIND(",",MAIN!A543) -1), "0", ""), "1", ""), "2", ""), "3", ""), "4", ""), "5", ""), "6", ""), "7", ""), "8", ""), "9", "")), PROPER(SUBSTITUTE(SUBSTITUTE(SUBSTITUTE(SUBSTITUTE(SUBSTITUTE(SUBSTITUTE(SUBSTITUTE(SUBSTITUTE(SUBSTITUTE(SUBSTITUTE(MAIN!A543, "0", ""), "1", ""), "2", ""), "3", ""), "4", ""), "5", ""), "6", ""), "7", ""), "8", ""), "9", ""))))</f>
        <v>--</v>
      </c>
      <c r="B543" t="str">
        <f>IF(ISBLANK(MAIN!B543), "--", IFERROR(PROPER(SUBSTITUTE(SUBSTITUTE(SUBSTITUTE(SUBSTITUTE(SUBSTITUTE(SUBSTITUTE(SUBSTITUTE(SUBSTITUTE(SUBSTITUTE(SUBSTITUTE(LEFT(MAIN!B543, FIND(",",MAIN!B543) -1), "0", ""), "1", ""), "2", ""), "3", ""), "4", ""), "5", ""), "6", ""), "7", ""), "8", ""), "9", "")), PROPER(SUBSTITUTE(SUBSTITUTE(SUBSTITUTE(SUBSTITUTE(SUBSTITUTE(SUBSTITUTE(SUBSTITUTE(SUBSTITUTE(SUBSTITUTE(SUBSTITUTE(MAIN!B543, "0", ""), "1", ""), "2", ""), "3", ""), "4", ""), "5", ""), "6", ""), "7", ""), "8", ""), "9", ""))))</f>
        <v>--</v>
      </c>
      <c r="C543" t="str">
        <f>IF(ISBLANK(MAIN!C543), "--", IFERROR(PROPER(SUBSTITUTE(SUBSTITUTE(SUBSTITUTE(SUBSTITUTE(SUBSTITUTE(SUBSTITUTE(SUBSTITUTE(SUBSTITUTE(SUBSTITUTE(SUBSTITUTE(LEFT(MAIN!C543, FIND(",",MAIN!C543) -1), "0", ""), "1", ""), "2", ""), "3", ""), "4", ""), "5", ""), "6", ""), "7", ""), "8", ""), "9", "")), PROPER(SUBSTITUTE(SUBSTITUTE(SUBSTITUTE(SUBSTITUTE(SUBSTITUTE(SUBSTITUTE(SUBSTITUTE(SUBSTITUTE(SUBSTITUTE(SUBSTITUTE(MAIN!C543, "0", ""), "1", ""), "2", ""), "3", ""), "4", ""), "5", ""), "6", ""), "7", ""), "8", ""), "9", ""))))</f>
        <v>--</v>
      </c>
      <c r="D543" t="str">
        <f>IF(ISBLANK(MAIN!D543), "--", IF(ISNUMBER(MATCH(SUBSTITUTE(LEFT(MAIN!D543, IFERROR(FIND(",", MAIN!D543)-1, LEN(MAIN!D543))), " ", ""), lookup_values!$B$2:$B$51, 0)), UPPER(SUBSTITUTE(LEFT(MAIN!D543, IFERROR(FIND(",", MAIN!D543)-1, LEN(MAIN!D543))), " ", "")), IF(ISNA(VLOOKUP(SUBSTITUTE(LEFT(MAIN!D543, IFERROR(FIND(",", MAIN!D543)-1, LEN(MAIN!D543))), " ", ""), lookup_values!$A$2:$B$51, 2, FALSE)), "--", VLOOKUP(SUBSTITUTE(LEFT(MAIN!D543, IFERROR(FIND(",", MAIN!D543)-1, LEN(MAIN!D543))), " ", ""), lookup_values!$A$2:$B$51, 2, FALSE))))</f>
        <v>--</v>
      </c>
      <c r="E543" t="str">
        <f>IF(CLEAN_DATA!D543&lt;&gt;"--","US",IF(ISBLANK(MAIN!E543), "--", IF(ISNUMBER(MATCH(SUBSTITUTE(LEFT(MAIN!E543, IFERROR(FIND(",", MAIN!E543)-1, LEN(MAIN!E543))), " ", ""), lookup_values!$E$2:$E$197, 0)), UPPER(SUBSTITUTE(LEFT(MAIN!E543, IFERROR(FIND(",", MAIN!E543)-1, LEN(MAIN!E543))), " ", "")), IF(ISNA(VLOOKUP(SUBSTITUTE(LEFT(MAIN!E543, IFERROR(FIND(",", MAIN!E543)-1, LEN(MAIN!E543))), " ", ""), lookup_values!$D$2:$E$197, 2, FALSE)), "--", VLOOKUP(SUBSTITUTE(LEFT(MAIN!E543, IFERROR(FIND(",", MAIN!E543)-1, LEN(MAIN!E543))), " ", ""), lookup_values!$D$2:$E$197, 2, FALSE)))))</f>
        <v>--</v>
      </c>
      <c r="F543" t="str">
        <f>IF(ISBLANK(MAIN!F543), "", IF(AND(ISNUMBER(VALUE(TRIM(MAIN!F543))), LEN(TRIM(MAIN!F543))=4), VALUE(TRIM(MAIN!F543)), ""))</f>
        <v/>
      </c>
      <c r="G543">
        <f>IF(ISBLANK(MAIN!G543), 0, IF(ISNUMBER(VALUE(TRIM(MAIN!G543))), VALUE(TRIM(MAIN!G543)), 0))</f>
        <v>0</v>
      </c>
      <c r="H543">
        <f>IF(ISBLANK(MAIN!H543), 0, IF(ISNUMBER(VALUE(TRIM(MAIN!H543))), VALUE(TRIM(MAIN!H543)), 0))</f>
        <v>0</v>
      </c>
      <c r="I543">
        <f>IF(ISBLANK(MAIN!I543), 0, IF(ISNUMBER(VALUE(TRIM(MAIN!I543))), VALUE(TRIM(MAIN!I543)), 0))</f>
        <v>0</v>
      </c>
      <c r="J543">
        <f>IF(ISBLANK(MAIN!J543), 0, IF(ISNUMBER(VALUE(TRIM(MAIN!J543))), VALUE(TRIM(MAIN!J543)), 0))</f>
        <v>0</v>
      </c>
      <c r="K543" cm="1">
        <f t="array" ref="K543">IFERROR(
    VALUE(
        IFERROR(
            UPPER(
                IF(MAX(IFERROR(SEARCH("WD",MAIN!G543:J543), 0))&gt;0, "WD",
                IF(MAX(IFERROR(SEARCH("NS",MAIN!G543:J543), 0))&gt;0, "NS",
                IF(MAX(IFERROR(SEARCH("NC",MAIN!G543:J543), 0))&gt;0, "NC",
                IF(MAX(IFERROR(SEARCH("DQ",MAIN!G543:J543), 0))&gt;0, "DQ",
                IF(ISNUMBER(SEARCH("WD",MAIN!K543)), "WD",
                IF(ISNUMBER(SEARCH("NS",MAIN!K543)), "NS",
                IF(ISNUMBER(SEARCH("NC",MAIN!K543)), "NC",
                IF(ISNUMBER(SEARCH("DQ",MAIN!K543)), "DQ",
                IF(ISNUMBER(SEARCH("A",MAIN!K543)), 0,
                IF(OR(MAIN!K543=0,MAIN!K543=""), 0, --TRIM(MAIN!K543)))))))))))),
            0
        )
    ),
    IFERROR(
        UPPER(
            IF(MAX(IFERROR(SEARCH("WD",MAIN!G543:J543), 0))&gt;0, "WD",
            IF(MAX(IFERROR(SEARCH("NS",MAIN!G543:J543), 0))&gt;0, "NS",
            IF(MAX(IFERROR(SEARCH("NC",MAIN!G543:J543), 0))&gt;0, "NC",
            IF(MAX(IFERROR(SEARCH("DQ",MAIN!G543:J543), 0))&gt;0, "DQ",
            IF(ISNUMBER(SEARCH("WD",MAIN!K543)), "WD",
            IF(ISNUMBER(SEARCH("NS",MAIN!K543)), "NS",
            IF(ISNUMBER(SEARCH("NC",MAIN!K543)), "NC",
            IF(ISNUMBER(SEARCH("DQ",MAIN!K543)), "DQ",
            IF(ISNUMBER(SEARCH("A",MAIN!K543)), 0,
            IF(OR(MAIN!K543=0,MAIN!K543=""), 0, --TRIM(MAIN!K543)))))))))))),
        0
    )
)</f>
        <v>0</v>
      </c>
    </row>
    <row r="544" spans="1:11" x14ac:dyDescent="0.25">
      <c r="A544" t="str">
        <f>IF(ISBLANK(MAIN!A544), "--", IFERROR(PROPER(SUBSTITUTE(SUBSTITUTE(SUBSTITUTE(SUBSTITUTE(SUBSTITUTE(SUBSTITUTE(SUBSTITUTE(SUBSTITUTE(SUBSTITUTE(SUBSTITUTE(LEFT(MAIN!A544, FIND(",",MAIN!A544) -1), "0", ""), "1", ""), "2", ""), "3", ""), "4", ""), "5", ""), "6", ""), "7", ""), "8", ""), "9", "")), PROPER(SUBSTITUTE(SUBSTITUTE(SUBSTITUTE(SUBSTITUTE(SUBSTITUTE(SUBSTITUTE(SUBSTITUTE(SUBSTITUTE(SUBSTITUTE(SUBSTITUTE(MAIN!A544, "0", ""), "1", ""), "2", ""), "3", ""), "4", ""), "5", ""), "6", ""), "7", ""), "8", ""), "9", ""))))</f>
        <v>--</v>
      </c>
      <c r="B544" t="str">
        <f>IF(ISBLANK(MAIN!B544), "--", IFERROR(PROPER(SUBSTITUTE(SUBSTITUTE(SUBSTITUTE(SUBSTITUTE(SUBSTITUTE(SUBSTITUTE(SUBSTITUTE(SUBSTITUTE(SUBSTITUTE(SUBSTITUTE(LEFT(MAIN!B544, FIND(",",MAIN!B544) -1), "0", ""), "1", ""), "2", ""), "3", ""), "4", ""), "5", ""), "6", ""), "7", ""), "8", ""), "9", "")), PROPER(SUBSTITUTE(SUBSTITUTE(SUBSTITUTE(SUBSTITUTE(SUBSTITUTE(SUBSTITUTE(SUBSTITUTE(SUBSTITUTE(SUBSTITUTE(SUBSTITUTE(MAIN!B544, "0", ""), "1", ""), "2", ""), "3", ""), "4", ""), "5", ""), "6", ""), "7", ""), "8", ""), "9", ""))))</f>
        <v>--</v>
      </c>
      <c r="C544" t="str">
        <f>IF(ISBLANK(MAIN!C544), "--", IFERROR(PROPER(SUBSTITUTE(SUBSTITUTE(SUBSTITUTE(SUBSTITUTE(SUBSTITUTE(SUBSTITUTE(SUBSTITUTE(SUBSTITUTE(SUBSTITUTE(SUBSTITUTE(LEFT(MAIN!C544, FIND(",",MAIN!C544) -1), "0", ""), "1", ""), "2", ""), "3", ""), "4", ""), "5", ""), "6", ""), "7", ""), "8", ""), "9", "")), PROPER(SUBSTITUTE(SUBSTITUTE(SUBSTITUTE(SUBSTITUTE(SUBSTITUTE(SUBSTITUTE(SUBSTITUTE(SUBSTITUTE(SUBSTITUTE(SUBSTITUTE(MAIN!C544, "0", ""), "1", ""), "2", ""), "3", ""), "4", ""), "5", ""), "6", ""), "7", ""), "8", ""), "9", ""))))</f>
        <v>--</v>
      </c>
      <c r="D544" t="str">
        <f>IF(ISBLANK(MAIN!D544), "--", IF(ISNUMBER(MATCH(SUBSTITUTE(LEFT(MAIN!D544, IFERROR(FIND(",", MAIN!D544)-1, LEN(MAIN!D544))), " ", ""), lookup_values!$B$2:$B$51, 0)), UPPER(SUBSTITUTE(LEFT(MAIN!D544, IFERROR(FIND(",", MAIN!D544)-1, LEN(MAIN!D544))), " ", "")), IF(ISNA(VLOOKUP(SUBSTITUTE(LEFT(MAIN!D544, IFERROR(FIND(",", MAIN!D544)-1, LEN(MAIN!D544))), " ", ""), lookup_values!$A$2:$B$51, 2, FALSE)), "--", VLOOKUP(SUBSTITUTE(LEFT(MAIN!D544, IFERROR(FIND(",", MAIN!D544)-1, LEN(MAIN!D544))), " ", ""), lookup_values!$A$2:$B$51, 2, FALSE))))</f>
        <v>--</v>
      </c>
      <c r="E544" t="str">
        <f>IF(CLEAN_DATA!D544&lt;&gt;"--","US",IF(ISBLANK(MAIN!E544), "--", IF(ISNUMBER(MATCH(SUBSTITUTE(LEFT(MAIN!E544, IFERROR(FIND(",", MAIN!E544)-1, LEN(MAIN!E544))), " ", ""), lookup_values!$E$2:$E$197, 0)), UPPER(SUBSTITUTE(LEFT(MAIN!E544, IFERROR(FIND(",", MAIN!E544)-1, LEN(MAIN!E544))), " ", "")), IF(ISNA(VLOOKUP(SUBSTITUTE(LEFT(MAIN!E544, IFERROR(FIND(",", MAIN!E544)-1, LEN(MAIN!E544))), " ", ""), lookup_values!$D$2:$E$197, 2, FALSE)), "--", VLOOKUP(SUBSTITUTE(LEFT(MAIN!E544, IFERROR(FIND(",", MAIN!E544)-1, LEN(MAIN!E544))), " ", ""), lookup_values!$D$2:$E$197, 2, FALSE)))))</f>
        <v>--</v>
      </c>
      <c r="F544" t="str">
        <f>IF(ISBLANK(MAIN!F544), "", IF(AND(ISNUMBER(VALUE(TRIM(MAIN!F544))), LEN(TRIM(MAIN!F544))=4), VALUE(TRIM(MAIN!F544)), ""))</f>
        <v/>
      </c>
      <c r="G544">
        <f>IF(ISBLANK(MAIN!G544), 0, IF(ISNUMBER(VALUE(TRIM(MAIN!G544))), VALUE(TRIM(MAIN!G544)), 0))</f>
        <v>0</v>
      </c>
      <c r="H544">
        <f>IF(ISBLANK(MAIN!H544), 0, IF(ISNUMBER(VALUE(TRIM(MAIN!H544))), VALUE(TRIM(MAIN!H544)), 0))</f>
        <v>0</v>
      </c>
      <c r="I544">
        <f>IF(ISBLANK(MAIN!I544), 0, IF(ISNUMBER(VALUE(TRIM(MAIN!I544))), VALUE(TRIM(MAIN!I544)), 0))</f>
        <v>0</v>
      </c>
      <c r="J544">
        <f>IF(ISBLANK(MAIN!J544), 0, IF(ISNUMBER(VALUE(TRIM(MAIN!J544))), VALUE(TRIM(MAIN!J544)), 0))</f>
        <v>0</v>
      </c>
      <c r="K544" cm="1">
        <f t="array" ref="K544">IFERROR(
    VALUE(
        IFERROR(
            UPPER(
                IF(MAX(IFERROR(SEARCH("WD",MAIN!G544:J544), 0))&gt;0, "WD",
                IF(MAX(IFERROR(SEARCH("NS",MAIN!G544:J544), 0))&gt;0, "NS",
                IF(MAX(IFERROR(SEARCH("NC",MAIN!G544:J544), 0))&gt;0, "NC",
                IF(MAX(IFERROR(SEARCH("DQ",MAIN!G544:J544), 0))&gt;0, "DQ",
                IF(ISNUMBER(SEARCH("WD",MAIN!K544)), "WD",
                IF(ISNUMBER(SEARCH("NS",MAIN!K544)), "NS",
                IF(ISNUMBER(SEARCH("NC",MAIN!K544)), "NC",
                IF(ISNUMBER(SEARCH("DQ",MAIN!K544)), "DQ",
                IF(ISNUMBER(SEARCH("A",MAIN!K544)), 0,
                IF(OR(MAIN!K544=0,MAIN!K544=""), 0, --TRIM(MAIN!K544)))))))))))),
            0
        )
    ),
    IFERROR(
        UPPER(
            IF(MAX(IFERROR(SEARCH("WD",MAIN!G544:J544), 0))&gt;0, "WD",
            IF(MAX(IFERROR(SEARCH("NS",MAIN!G544:J544), 0))&gt;0, "NS",
            IF(MAX(IFERROR(SEARCH("NC",MAIN!G544:J544), 0))&gt;0, "NC",
            IF(MAX(IFERROR(SEARCH("DQ",MAIN!G544:J544), 0))&gt;0, "DQ",
            IF(ISNUMBER(SEARCH("WD",MAIN!K544)), "WD",
            IF(ISNUMBER(SEARCH("NS",MAIN!K544)), "NS",
            IF(ISNUMBER(SEARCH("NC",MAIN!K544)), "NC",
            IF(ISNUMBER(SEARCH("DQ",MAIN!K544)), "DQ",
            IF(ISNUMBER(SEARCH("A",MAIN!K544)), 0,
            IF(OR(MAIN!K544=0,MAIN!K544=""), 0, --TRIM(MAIN!K544)))))))))))),
        0
    )
)</f>
        <v>0</v>
      </c>
    </row>
    <row r="545" spans="1:11" x14ac:dyDescent="0.25">
      <c r="A545" t="str">
        <f>IF(ISBLANK(MAIN!A545), "--", IFERROR(PROPER(SUBSTITUTE(SUBSTITUTE(SUBSTITUTE(SUBSTITUTE(SUBSTITUTE(SUBSTITUTE(SUBSTITUTE(SUBSTITUTE(SUBSTITUTE(SUBSTITUTE(LEFT(MAIN!A545, FIND(",",MAIN!A545) -1), "0", ""), "1", ""), "2", ""), "3", ""), "4", ""), "5", ""), "6", ""), "7", ""), "8", ""), "9", "")), PROPER(SUBSTITUTE(SUBSTITUTE(SUBSTITUTE(SUBSTITUTE(SUBSTITUTE(SUBSTITUTE(SUBSTITUTE(SUBSTITUTE(SUBSTITUTE(SUBSTITUTE(MAIN!A545, "0", ""), "1", ""), "2", ""), "3", ""), "4", ""), "5", ""), "6", ""), "7", ""), "8", ""), "9", ""))))</f>
        <v>--</v>
      </c>
      <c r="B545" t="str">
        <f>IF(ISBLANK(MAIN!B545), "--", IFERROR(PROPER(SUBSTITUTE(SUBSTITUTE(SUBSTITUTE(SUBSTITUTE(SUBSTITUTE(SUBSTITUTE(SUBSTITUTE(SUBSTITUTE(SUBSTITUTE(SUBSTITUTE(LEFT(MAIN!B545, FIND(",",MAIN!B545) -1), "0", ""), "1", ""), "2", ""), "3", ""), "4", ""), "5", ""), "6", ""), "7", ""), "8", ""), "9", "")), PROPER(SUBSTITUTE(SUBSTITUTE(SUBSTITUTE(SUBSTITUTE(SUBSTITUTE(SUBSTITUTE(SUBSTITUTE(SUBSTITUTE(SUBSTITUTE(SUBSTITUTE(MAIN!B545, "0", ""), "1", ""), "2", ""), "3", ""), "4", ""), "5", ""), "6", ""), "7", ""), "8", ""), "9", ""))))</f>
        <v>--</v>
      </c>
      <c r="C545" t="str">
        <f>IF(ISBLANK(MAIN!C545), "--", IFERROR(PROPER(SUBSTITUTE(SUBSTITUTE(SUBSTITUTE(SUBSTITUTE(SUBSTITUTE(SUBSTITUTE(SUBSTITUTE(SUBSTITUTE(SUBSTITUTE(SUBSTITUTE(LEFT(MAIN!C545, FIND(",",MAIN!C545) -1), "0", ""), "1", ""), "2", ""), "3", ""), "4", ""), "5", ""), "6", ""), "7", ""), "8", ""), "9", "")), PROPER(SUBSTITUTE(SUBSTITUTE(SUBSTITUTE(SUBSTITUTE(SUBSTITUTE(SUBSTITUTE(SUBSTITUTE(SUBSTITUTE(SUBSTITUTE(SUBSTITUTE(MAIN!C545, "0", ""), "1", ""), "2", ""), "3", ""), "4", ""), "5", ""), "6", ""), "7", ""), "8", ""), "9", ""))))</f>
        <v>--</v>
      </c>
      <c r="D545" t="str">
        <f>IF(ISBLANK(MAIN!D545), "--", IF(ISNUMBER(MATCH(SUBSTITUTE(LEFT(MAIN!D545, IFERROR(FIND(",", MAIN!D545)-1, LEN(MAIN!D545))), " ", ""), lookup_values!$B$2:$B$51, 0)), UPPER(SUBSTITUTE(LEFT(MAIN!D545, IFERROR(FIND(",", MAIN!D545)-1, LEN(MAIN!D545))), " ", "")), IF(ISNA(VLOOKUP(SUBSTITUTE(LEFT(MAIN!D545, IFERROR(FIND(",", MAIN!D545)-1, LEN(MAIN!D545))), " ", ""), lookup_values!$A$2:$B$51, 2, FALSE)), "--", VLOOKUP(SUBSTITUTE(LEFT(MAIN!D545, IFERROR(FIND(",", MAIN!D545)-1, LEN(MAIN!D545))), " ", ""), lookup_values!$A$2:$B$51, 2, FALSE))))</f>
        <v>--</v>
      </c>
      <c r="E545" t="str">
        <f>IF(CLEAN_DATA!D545&lt;&gt;"--","US",IF(ISBLANK(MAIN!E545), "--", IF(ISNUMBER(MATCH(SUBSTITUTE(LEFT(MAIN!E545, IFERROR(FIND(",", MAIN!E545)-1, LEN(MAIN!E545))), " ", ""), lookup_values!$E$2:$E$197, 0)), UPPER(SUBSTITUTE(LEFT(MAIN!E545, IFERROR(FIND(",", MAIN!E545)-1, LEN(MAIN!E545))), " ", "")), IF(ISNA(VLOOKUP(SUBSTITUTE(LEFT(MAIN!E545, IFERROR(FIND(",", MAIN!E545)-1, LEN(MAIN!E545))), " ", ""), lookup_values!$D$2:$E$197, 2, FALSE)), "--", VLOOKUP(SUBSTITUTE(LEFT(MAIN!E545, IFERROR(FIND(",", MAIN!E545)-1, LEN(MAIN!E545))), " ", ""), lookup_values!$D$2:$E$197, 2, FALSE)))))</f>
        <v>--</v>
      </c>
      <c r="F545" t="str">
        <f>IF(ISBLANK(MAIN!F545), "", IF(AND(ISNUMBER(VALUE(TRIM(MAIN!F545))), LEN(TRIM(MAIN!F545))=4), VALUE(TRIM(MAIN!F545)), ""))</f>
        <v/>
      </c>
      <c r="G545">
        <f>IF(ISBLANK(MAIN!G545), 0, IF(ISNUMBER(VALUE(TRIM(MAIN!G545))), VALUE(TRIM(MAIN!G545)), 0))</f>
        <v>0</v>
      </c>
      <c r="H545">
        <f>IF(ISBLANK(MAIN!H545), 0, IF(ISNUMBER(VALUE(TRIM(MAIN!H545))), VALUE(TRIM(MAIN!H545)), 0))</f>
        <v>0</v>
      </c>
      <c r="I545">
        <f>IF(ISBLANK(MAIN!I545), 0, IF(ISNUMBER(VALUE(TRIM(MAIN!I545))), VALUE(TRIM(MAIN!I545)), 0))</f>
        <v>0</v>
      </c>
      <c r="J545">
        <f>IF(ISBLANK(MAIN!J545), 0, IF(ISNUMBER(VALUE(TRIM(MAIN!J545))), VALUE(TRIM(MAIN!J545)), 0))</f>
        <v>0</v>
      </c>
      <c r="K545" cm="1">
        <f t="array" ref="K545">IFERROR(
    VALUE(
        IFERROR(
            UPPER(
                IF(MAX(IFERROR(SEARCH("WD",MAIN!G545:J545), 0))&gt;0, "WD",
                IF(MAX(IFERROR(SEARCH("NS",MAIN!G545:J545), 0))&gt;0, "NS",
                IF(MAX(IFERROR(SEARCH("NC",MAIN!G545:J545), 0))&gt;0, "NC",
                IF(MAX(IFERROR(SEARCH("DQ",MAIN!G545:J545), 0))&gt;0, "DQ",
                IF(ISNUMBER(SEARCH("WD",MAIN!K545)), "WD",
                IF(ISNUMBER(SEARCH("NS",MAIN!K545)), "NS",
                IF(ISNUMBER(SEARCH("NC",MAIN!K545)), "NC",
                IF(ISNUMBER(SEARCH("DQ",MAIN!K545)), "DQ",
                IF(ISNUMBER(SEARCH("A",MAIN!K545)), 0,
                IF(OR(MAIN!K545=0,MAIN!K545=""), 0, --TRIM(MAIN!K545)))))))))))),
            0
        )
    ),
    IFERROR(
        UPPER(
            IF(MAX(IFERROR(SEARCH("WD",MAIN!G545:J545), 0))&gt;0, "WD",
            IF(MAX(IFERROR(SEARCH("NS",MAIN!G545:J545), 0))&gt;0, "NS",
            IF(MAX(IFERROR(SEARCH("NC",MAIN!G545:J545), 0))&gt;0, "NC",
            IF(MAX(IFERROR(SEARCH("DQ",MAIN!G545:J545), 0))&gt;0, "DQ",
            IF(ISNUMBER(SEARCH("WD",MAIN!K545)), "WD",
            IF(ISNUMBER(SEARCH("NS",MAIN!K545)), "NS",
            IF(ISNUMBER(SEARCH("NC",MAIN!K545)), "NC",
            IF(ISNUMBER(SEARCH("DQ",MAIN!K545)), "DQ",
            IF(ISNUMBER(SEARCH("A",MAIN!K545)), 0,
            IF(OR(MAIN!K545=0,MAIN!K545=""), 0, --TRIM(MAIN!K545)))))))))))),
        0
    )
)</f>
        <v>0</v>
      </c>
    </row>
    <row r="546" spans="1:11" x14ac:dyDescent="0.25">
      <c r="A546" t="str">
        <f>IF(ISBLANK(MAIN!A546), "--", IFERROR(PROPER(SUBSTITUTE(SUBSTITUTE(SUBSTITUTE(SUBSTITUTE(SUBSTITUTE(SUBSTITUTE(SUBSTITUTE(SUBSTITUTE(SUBSTITUTE(SUBSTITUTE(LEFT(MAIN!A546, FIND(",",MAIN!A546) -1), "0", ""), "1", ""), "2", ""), "3", ""), "4", ""), "5", ""), "6", ""), "7", ""), "8", ""), "9", "")), PROPER(SUBSTITUTE(SUBSTITUTE(SUBSTITUTE(SUBSTITUTE(SUBSTITUTE(SUBSTITUTE(SUBSTITUTE(SUBSTITUTE(SUBSTITUTE(SUBSTITUTE(MAIN!A546, "0", ""), "1", ""), "2", ""), "3", ""), "4", ""), "5", ""), "6", ""), "7", ""), "8", ""), "9", ""))))</f>
        <v>--</v>
      </c>
      <c r="B546" t="str">
        <f>IF(ISBLANK(MAIN!B546), "--", IFERROR(PROPER(SUBSTITUTE(SUBSTITUTE(SUBSTITUTE(SUBSTITUTE(SUBSTITUTE(SUBSTITUTE(SUBSTITUTE(SUBSTITUTE(SUBSTITUTE(SUBSTITUTE(LEFT(MAIN!B546, FIND(",",MAIN!B546) -1), "0", ""), "1", ""), "2", ""), "3", ""), "4", ""), "5", ""), "6", ""), "7", ""), "8", ""), "9", "")), PROPER(SUBSTITUTE(SUBSTITUTE(SUBSTITUTE(SUBSTITUTE(SUBSTITUTE(SUBSTITUTE(SUBSTITUTE(SUBSTITUTE(SUBSTITUTE(SUBSTITUTE(MAIN!B546, "0", ""), "1", ""), "2", ""), "3", ""), "4", ""), "5", ""), "6", ""), "7", ""), "8", ""), "9", ""))))</f>
        <v>--</v>
      </c>
      <c r="C546" t="str">
        <f>IF(ISBLANK(MAIN!C546), "--", IFERROR(PROPER(SUBSTITUTE(SUBSTITUTE(SUBSTITUTE(SUBSTITUTE(SUBSTITUTE(SUBSTITUTE(SUBSTITUTE(SUBSTITUTE(SUBSTITUTE(SUBSTITUTE(LEFT(MAIN!C546, FIND(",",MAIN!C546) -1), "0", ""), "1", ""), "2", ""), "3", ""), "4", ""), "5", ""), "6", ""), "7", ""), "8", ""), "9", "")), PROPER(SUBSTITUTE(SUBSTITUTE(SUBSTITUTE(SUBSTITUTE(SUBSTITUTE(SUBSTITUTE(SUBSTITUTE(SUBSTITUTE(SUBSTITUTE(SUBSTITUTE(MAIN!C546, "0", ""), "1", ""), "2", ""), "3", ""), "4", ""), "5", ""), "6", ""), "7", ""), "8", ""), "9", ""))))</f>
        <v>--</v>
      </c>
      <c r="D546" t="str">
        <f>IF(ISBLANK(MAIN!D546), "--", IF(ISNUMBER(MATCH(SUBSTITUTE(LEFT(MAIN!D546, IFERROR(FIND(",", MAIN!D546)-1, LEN(MAIN!D546))), " ", ""), lookup_values!$B$2:$B$51, 0)), UPPER(SUBSTITUTE(LEFT(MAIN!D546, IFERROR(FIND(",", MAIN!D546)-1, LEN(MAIN!D546))), " ", "")), IF(ISNA(VLOOKUP(SUBSTITUTE(LEFT(MAIN!D546, IFERROR(FIND(",", MAIN!D546)-1, LEN(MAIN!D546))), " ", ""), lookup_values!$A$2:$B$51, 2, FALSE)), "--", VLOOKUP(SUBSTITUTE(LEFT(MAIN!D546, IFERROR(FIND(",", MAIN!D546)-1, LEN(MAIN!D546))), " ", ""), lookup_values!$A$2:$B$51, 2, FALSE))))</f>
        <v>--</v>
      </c>
      <c r="E546" t="str">
        <f>IF(CLEAN_DATA!D546&lt;&gt;"--","US",IF(ISBLANK(MAIN!E546), "--", IF(ISNUMBER(MATCH(SUBSTITUTE(LEFT(MAIN!E546, IFERROR(FIND(",", MAIN!E546)-1, LEN(MAIN!E546))), " ", ""), lookup_values!$E$2:$E$197, 0)), UPPER(SUBSTITUTE(LEFT(MAIN!E546, IFERROR(FIND(",", MAIN!E546)-1, LEN(MAIN!E546))), " ", "")), IF(ISNA(VLOOKUP(SUBSTITUTE(LEFT(MAIN!E546, IFERROR(FIND(",", MAIN!E546)-1, LEN(MAIN!E546))), " ", ""), lookup_values!$D$2:$E$197, 2, FALSE)), "--", VLOOKUP(SUBSTITUTE(LEFT(MAIN!E546, IFERROR(FIND(",", MAIN!E546)-1, LEN(MAIN!E546))), " ", ""), lookup_values!$D$2:$E$197, 2, FALSE)))))</f>
        <v>--</v>
      </c>
      <c r="F546" t="str">
        <f>IF(ISBLANK(MAIN!F546), "", IF(AND(ISNUMBER(VALUE(TRIM(MAIN!F546))), LEN(TRIM(MAIN!F546))=4), VALUE(TRIM(MAIN!F546)), ""))</f>
        <v/>
      </c>
      <c r="G546">
        <f>IF(ISBLANK(MAIN!G546), 0, IF(ISNUMBER(VALUE(TRIM(MAIN!G546))), VALUE(TRIM(MAIN!G546)), 0))</f>
        <v>0</v>
      </c>
      <c r="H546">
        <f>IF(ISBLANK(MAIN!H546), 0, IF(ISNUMBER(VALUE(TRIM(MAIN!H546))), VALUE(TRIM(MAIN!H546)), 0))</f>
        <v>0</v>
      </c>
      <c r="I546">
        <f>IF(ISBLANK(MAIN!I546), 0, IF(ISNUMBER(VALUE(TRIM(MAIN!I546))), VALUE(TRIM(MAIN!I546)), 0))</f>
        <v>0</v>
      </c>
      <c r="J546">
        <f>IF(ISBLANK(MAIN!J546), 0, IF(ISNUMBER(VALUE(TRIM(MAIN!J546))), VALUE(TRIM(MAIN!J546)), 0))</f>
        <v>0</v>
      </c>
      <c r="K546" cm="1">
        <f t="array" ref="K546">IFERROR(
    VALUE(
        IFERROR(
            UPPER(
                IF(MAX(IFERROR(SEARCH("WD",MAIN!G546:J546), 0))&gt;0, "WD",
                IF(MAX(IFERROR(SEARCH("NS",MAIN!G546:J546), 0))&gt;0, "NS",
                IF(MAX(IFERROR(SEARCH("NC",MAIN!G546:J546), 0))&gt;0, "NC",
                IF(MAX(IFERROR(SEARCH("DQ",MAIN!G546:J546), 0))&gt;0, "DQ",
                IF(ISNUMBER(SEARCH("WD",MAIN!K546)), "WD",
                IF(ISNUMBER(SEARCH("NS",MAIN!K546)), "NS",
                IF(ISNUMBER(SEARCH("NC",MAIN!K546)), "NC",
                IF(ISNUMBER(SEARCH("DQ",MAIN!K546)), "DQ",
                IF(ISNUMBER(SEARCH("A",MAIN!K546)), 0,
                IF(OR(MAIN!K546=0,MAIN!K546=""), 0, --TRIM(MAIN!K546)))))))))))),
            0
        )
    ),
    IFERROR(
        UPPER(
            IF(MAX(IFERROR(SEARCH("WD",MAIN!G546:J546), 0))&gt;0, "WD",
            IF(MAX(IFERROR(SEARCH("NS",MAIN!G546:J546), 0))&gt;0, "NS",
            IF(MAX(IFERROR(SEARCH("NC",MAIN!G546:J546), 0))&gt;0, "NC",
            IF(MAX(IFERROR(SEARCH("DQ",MAIN!G546:J546), 0))&gt;0, "DQ",
            IF(ISNUMBER(SEARCH("WD",MAIN!K546)), "WD",
            IF(ISNUMBER(SEARCH("NS",MAIN!K546)), "NS",
            IF(ISNUMBER(SEARCH("NC",MAIN!K546)), "NC",
            IF(ISNUMBER(SEARCH("DQ",MAIN!K546)), "DQ",
            IF(ISNUMBER(SEARCH("A",MAIN!K546)), 0,
            IF(OR(MAIN!K546=0,MAIN!K546=""), 0, --TRIM(MAIN!K546)))))))))))),
        0
    )
)</f>
        <v>0</v>
      </c>
    </row>
    <row r="547" spans="1:11" x14ac:dyDescent="0.25">
      <c r="A547" t="str">
        <f>IF(ISBLANK(MAIN!A547), "--", IFERROR(PROPER(SUBSTITUTE(SUBSTITUTE(SUBSTITUTE(SUBSTITUTE(SUBSTITUTE(SUBSTITUTE(SUBSTITUTE(SUBSTITUTE(SUBSTITUTE(SUBSTITUTE(LEFT(MAIN!A547, FIND(",",MAIN!A547) -1), "0", ""), "1", ""), "2", ""), "3", ""), "4", ""), "5", ""), "6", ""), "7", ""), "8", ""), "9", "")), PROPER(SUBSTITUTE(SUBSTITUTE(SUBSTITUTE(SUBSTITUTE(SUBSTITUTE(SUBSTITUTE(SUBSTITUTE(SUBSTITUTE(SUBSTITUTE(SUBSTITUTE(MAIN!A547, "0", ""), "1", ""), "2", ""), "3", ""), "4", ""), "5", ""), "6", ""), "7", ""), "8", ""), "9", ""))))</f>
        <v>--</v>
      </c>
      <c r="B547" t="str">
        <f>IF(ISBLANK(MAIN!B547), "--", IFERROR(PROPER(SUBSTITUTE(SUBSTITUTE(SUBSTITUTE(SUBSTITUTE(SUBSTITUTE(SUBSTITUTE(SUBSTITUTE(SUBSTITUTE(SUBSTITUTE(SUBSTITUTE(LEFT(MAIN!B547, FIND(",",MAIN!B547) -1), "0", ""), "1", ""), "2", ""), "3", ""), "4", ""), "5", ""), "6", ""), "7", ""), "8", ""), "9", "")), PROPER(SUBSTITUTE(SUBSTITUTE(SUBSTITUTE(SUBSTITUTE(SUBSTITUTE(SUBSTITUTE(SUBSTITUTE(SUBSTITUTE(SUBSTITUTE(SUBSTITUTE(MAIN!B547, "0", ""), "1", ""), "2", ""), "3", ""), "4", ""), "5", ""), "6", ""), "7", ""), "8", ""), "9", ""))))</f>
        <v>--</v>
      </c>
      <c r="C547" t="str">
        <f>IF(ISBLANK(MAIN!C547), "--", IFERROR(PROPER(SUBSTITUTE(SUBSTITUTE(SUBSTITUTE(SUBSTITUTE(SUBSTITUTE(SUBSTITUTE(SUBSTITUTE(SUBSTITUTE(SUBSTITUTE(SUBSTITUTE(LEFT(MAIN!C547, FIND(",",MAIN!C547) -1), "0", ""), "1", ""), "2", ""), "3", ""), "4", ""), "5", ""), "6", ""), "7", ""), "8", ""), "9", "")), PROPER(SUBSTITUTE(SUBSTITUTE(SUBSTITUTE(SUBSTITUTE(SUBSTITUTE(SUBSTITUTE(SUBSTITUTE(SUBSTITUTE(SUBSTITUTE(SUBSTITUTE(MAIN!C547, "0", ""), "1", ""), "2", ""), "3", ""), "4", ""), "5", ""), "6", ""), "7", ""), "8", ""), "9", ""))))</f>
        <v>--</v>
      </c>
      <c r="D547" t="str">
        <f>IF(ISBLANK(MAIN!D547), "--", IF(ISNUMBER(MATCH(SUBSTITUTE(LEFT(MAIN!D547, IFERROR(FIND(",", MAIN!D547)-1, LEN(MAIN!D547))), " ", ""), lookup_values!$B$2:$B$51, 0)), UPPER(SUBSTITUTE(LEFT(MAIN!D547, IFERROR(FIND(",", MAIN!D547)-1, LEN(MAIN!D547))), " ", "")), IF(ISNA(VLOOKUP(SUBSTITUTE(LEFT(MAIN!D547, IFERROR(FIND(",", MAIN!D547)-1, LEN(MAIN!D547))), " ", ""), lookup_values!$A$2:$B$51, 2, FALSE)), "--", VLOOKUP(SUBSTITUTE(LEFT(MAIN!D547, IFERROR(FIND(",", MAIN!D547)-1, LEN(MAIN!D547))), " ", ""), lookup_values!$A$2:$B$51, 2, FALSE))))</f>
        <v>--</v>
      </c>
      <c r="E547" t="str">
        <f>IF(CLEAN_DATA!D547&lt;&gt;"--","US",IF(ISBLANK(MAIN!E547), "--", IF(ISNUMBER(MATCH(SUBSTITUTE(LEFT(MAIN!E547, IFERROR(FIND(",", MAIN!E547)-1, LEN(MAIN!E547))), " ", ""), lookup_values!$E$2:$E$197, 0)), UPPER(SUBSTITUTE(LEFT(MAIN!E547, IFERROR(FIND(",", MAIN!E547)-1, LEN(MAIN!E547))), " ", "")), IF(ISNA(VLOOKUP(SUBSTITUTE(LEFT(MAIN!E547, IFERROR(FIND(",", MAIN!E547)-1, LEN(MAIN!E547))), " ", ""), lookup_values!$D$2:$E$197, 2, FALSE)), "--", VLOOKUP(SUBSTITUTE(LEFT(MAIN!E547, IFERROR(FIND(",", MAIN!E547)-1, LEN(MAIN!E547))), " ", ""), lookup_values!$D$2:$E$197, 2, FALSE)))))</f>
        <v>--</v>
      </c>
      <c r="F547" t="str">
        <f>IF(ISBLANK(MAIN!F547), "", IF(AND(ISNUMBER(VALUE(TRIM(MAIN!F547))), LEN(TRIM(MAIN!F547))=4), VALUE(TRIM(MAIN!F547)), ""))</f>
        <v/>
      </c>
      <c r="G547">
        <f>IF(ISBLANK(MAIN!G547), 0, IF(ISNUMBER(VALUE(TRIM(MAIN!G547))), VALUE(TRIM(MAIN!G547)), 0))</f>
        <v>0</v>
      </c>
      <c r="H547">
        <f>IF(ISBLANK(MAIN!H547), 0, IF(ISNUMBER(VALUE(TRIM(MAIN!H547))), VALUE(TRIM(MAIN!H547)), 0))</f>
        <v>0</v>
      </c>
      <c r="I547">
        <f>IF(ISBLANK(MAIN!I547), 0, IF(ISNUMBER(VALUE(TRIM(MAIN!I547))), VALUE(TRIM(MAIN!I547)), 0))</f>
        <v>0</v>
      </c>
      <c r="J547">
        <f>IF(ISBLANK(MAIN!J547), 0, IF(ISNUMBER(VALUE(TRIM(MAIN!J547))), VALUE(TRIM(MAIN!J547)), 0))</f>
        <v>0</v>
      </c>
      <c r="K547" cm="1">
        <f t="array" ref="K547">IFERROR(
    VALUE(
        IFERROR(
            UPPER(
                IF(MAX(IFERROR(SEARCH("WD",MAIN!G547:J547), 0))&gt;0, "WD",
                IF(MAX(IFERROR(SEARCH("NS",MAIN!G547:J547), 0))&gt;0, "NS",
                IF(MAX(IFERROR(SEARCH("NC",MAIN!G547:J547), 0))&gt;0, "NC",
                IF(MAX(IFERROR(SEARCH("DQ",MAIN!G547:J547), 0))&gt;0, "DQ",
                IF(ISNUMBER(SEARCH("WD",MAIN!K547)), "WD",
                IF(ISNUMBER(SEARCH("NS",MAIN!K547)), "NS",
                IF(ISNUMBER(SEARCH("NC",MAIN!K547)), "NC",
                IF(ISNUMBER(SEARCH("DQ",MAIN!K547)), "DQ",
                IF(ISNUMBER(SEARCH("A",MAIN!K547)), 0,
                IF(OR(MAIN!K547=0,MAIN!K547=""), 0, --TRIM(MAIN!K547)))))))))))),
            0
        )
    ),
    IFERROR(
        UPPER(
            IF(MAX(IFERROR(SEARCH("WD",MAIN!G547:J547), 0))&gt;0, "WD",
            IF(MAX(IFERROR(SEARCH("NS",MAIN!G547:J547), 0))&gt;0, "NS",
            IF(MAX(IFERROR(SEARCH("NC",MAIN!G547:J547), 0))&gt;0, "NC",
            IF(MAX(IFERROR(SEARCH("DQ",MAIN!G547:J547), 0))&gt;0, "DQ",
            IF(ISNUMBER(SEARCH("WD",MAIN!K547)), "WD",
            IF(ISNUMBER(SEARCH("NS",MAIN!K547)), "NS",
            IF(ISNUMBER(SEARCH("NC",MAIN!K547)), "NC",
            IF(ISNUMBER(SEARCH("DQ",MAIN!K547)), "DQ",
            IF(ISNUMBER(SEARCH("A",MAIN!K547)), 0,
            IF(OR(MAIN!K547=0,MAIN!K547=""), 0, --TRIM(MAIN!K547)))))))))))),
        0
    )
)</f>
        <v>0</v>
      </c>
    </row>
    <row r="548" spans="1:11" x14ac:dyDescent="0.25">
      <c r="A548" t="str">
        <f>IF(ISBLANK(MAIN!A548), "--", IFERROR(PROPER(SUBSTITUTE(SUBSTITUTE(SUBSTITUTE(SUBSTITUTE(SUBSTITUTE(SUBSTITUTE(SUBSTITUTE(SUBSTITUTE(SUBSTITUTE(SUBSTITUTE(LEFT(MAIN!A548, FIND(",",MAIN!A548) -1), "0", ""), "1", ""), "2", ""), "3", ""), "4", ""), "5", ""), "6", ""), "7", ""), "8", ""), "9", "")), PROPER(SUBSTITUTE(SUBSTITUTE(SUBSTITUTE(SUBSTITUTE(SUBSTITUTE(SUBSTITUTE(SUBSTITUTE(SUBSTITUTE(SUBSTITUTE(SUBSTITUTE(MAIN!A548, "0", ""), "1", ""), "2", ""), "3", ""), "4", ""), "5", ""), "6", ""), "7", ""), "8", ""), "9", ""))))</f>
        <v>--</v>
      </c>
      <c r="B548" t="str">
        <f>IF(ISBLANK(MAIN!B548), "--", IFERROR(PROPER(SUBSTITUTE(SUBSTITUTE(SUBSTITUTE(SUBSTITUTE(SUBSTITUTE(SUBSTITUTE(SUBSTITUTE(SUBSTITUTE(SUBSTITUTE(SUBSTITUTE(LEFT(MAIN!B548, FIND(",",MAIN!B548) -1), "0", ""), "1", ""), "2", ""), "3", ""), "4", ""), "5", ""), "6", ""), "7", ""), "8", ""), "9", "")), PROPER(SUBSTITUTE(SUBSTITUTE(SUBSTITUTE(SUBSTITUTE(SUBSTITUTE(SUBSTITUTE(SUBSTITUTE(SUBSTITUTE(SUBSTITUTE(SUBSTITUTE(MAIN!B548, "0", ""), "1", ""), "2", ""), "3", ""), "4", ""), "5", ""), "6", ""), "7", ""), "8", ""), "9", ""))))</f>
        <v>--</v>
      </c>
      <c r="C548" t="str">
        <f>IF(ISBLANK(MAIN!C548), "--", IFERROR(PROPER(SUBSTITUTE(SUBSTITUTE(SUBSTITUTE(SUBSTITUTE(SUBSTITUTE(SUBSTITUTE(SUBSTITUTE(SUBSTITUTE(SUBSTITUTE(SUBSTITUTE(LEFT(MAIN!C548, FIND(",",MAIN!C548) -1), "0", ""), "1", ""), "2", ""), "3", ""), "4", ""), "5", ""), "6", ""), "7", ""), "8", ""), "9", "")), PROPER(SUBSTITUTE(SUBSTITUTE(SUBSTITUTE(SUBSTITUTE(SUBSTITUTE(SUBSTITUTE(SUBSTITUTE(SUBSTITUTE(SUBSTITUTE(SUBSTITUTE(MAIN!C548, "0", ""), "1", ""), "2", ""), "3", ""), "4", ""), "5", ""), "6", ""), "7", ""), "8", ""), "9", ""))))</f>
        <v>--</v>
      </c>
      <c r="D548" t="str">
        <f>IF(ISBLANK(MAIN!D548), "--", IF(ISNUMBER(MATCH(SUBSTITUTE(LEFT(MAIN!D548, IFERROR(FIND(",", MAIN!D548)-1, LEN(MAIN!D548))), " ", ""), lookup_values!$B$2:$B$51, 0)), UPPER(SUBSTITUTE(LEFT(MAIN!D548, IFERROR(FIND(",", MAIN!D548)-1, LEN(MAIN!D548))), " ", "")), IF(ISNA(VLOOKUP(SUBSTITUTE(LEFT(MAIN!D548, IFERROR(FIND(",", MAIN!D548)-1, LEN(MAIN!D548))), " ", ""), lookup_values!$A$2:$B$51, 2, FALSE)), "--", VLOOKUP(SUBSTITUTE(LEFT(MAIN!D548, IFERROR(FIND(",", MAIN!D548)-1, LEN(MAIN!D548))), " ", ""), lookup_values!$A$2:$B$51, 2, FALSE))))</f>
        <v>--</v>
      </c>
      <c r="E548" t="str">
        <f>IF(CLEAN_DATA!D548&lt;&gt;"--","US",IF(ISBLANK(MAIN!E548), "--", IF(ISNUMBER(MATCH(SUBSTITUTE(LEFT(MAIN!E548, IFERROR(FIND(",", MAIN!E548)-1, LEN(MAIN!E548))), " ", ""), lookup_values!$E$2:$E$197, 0)), UPPER(SUBSTITUTE(LEFT(MAIN!E548, IFERROR(FIND(",", MAIN!E548)-1, LEN(MAIN!E548))), " ", "")), IF(ISNA(VLOOKUP(SUBSTITUTE(LEFT(MAIN!E548, IFERROR(FIND(",", MAIN!E548)-1, LEN(MAIN!E548))), " ", ""), lookup_values!$D$2:$E$197, 2, FALSE)), "--", VLOOKUP(SUBSTITUTE(LEFT(MAIN!E548, IFERROR(FIND(",", MAIN!E548)-1, LEN(MAIN!E548))), " ", ""), lookup_values!$D$2:$E$197, 2, FALSE)))))</f>
        <v>--</v>
      </c>
      <c r="F548" t="str">
        <f>IF(ISBLANK(MAIN!F548), "", IF(AND(ISNUMBER(VALUE(TRIM(MAIN!F548))), LEN(TRIM(MAIN!F548))=4), VALUE(TRIM(MAIN!F548)), ""))</f>
        <v/>
      </c>
      <c r="G548">
        <f>IF(ISBLANK(MAIN!G548), 0, IF(ISNUMBER(VALUE(TRIM(MAIN!G548))), VALUE(TRIM(MAIN!G548)), 0))</f>
        <v>0</v>
      </c>
      <c r="H548">
        <f>IF(ISBLANK(MAIN!H548), 0, IF(ISNUMBER(VALUE(TRIM(MAIN!H548))), VALUE(TRIM(MAIN!H548)), 0))</f>
        <v>0</v>
      </c>
      <c r="I548">
        <f>IF(ISBLANK(MAIN!I548), 0, IF(ISNUMBER(VALUE(TRIM(MAIN!I548))), VALUE(TRIM(MAIN!I548)), 0))</f>
        <v>0</v>
      </c>
      <c r="J548">
        <f>IF(ISBLANK(MAIN!J548), 0, IF(ISNUMBER(VALUE(TRIM(MAIN!J548))), VALUE(TRIM(MAIN!J548)), 0))</f>
        <v>0</v>
      </c>
      <c r="K548" cm="1">
        <f t="array" ref="K548">IFERROR(
    VALUE(
        IFERROR(
            UPPER(
                IF(MAX(IFERROR(SEARCH("WD",MAIN!G548:J548), 0))&gt;0, "WD",
                IF(MAX(IFERROR(SEARCH("NS",MAIN!G548:J548), 0))&gt;0, "NS",
                IF(MAX(IFERROR(SEARCH("NC",MAIN!G548:J548), 0))&gt;0, "NC",
                IF(MAX(IFERROR(SEARCH("DQ",MAIN!G548:J548), 0))&gt;0, "DQ",
                IF(ISNUMBER(SEARCH("WD",MAIN!K548)), "WD",
                IF(ISNUMBER(SEARCH("NS",MAIN!K548)), "NS",
                IF(ISNUMBER(SEARCH("NC",MAIN!K548)), "NC",
                IF(ISNUMBER(SEARCH("DQ",MAIN!K548)), "DQ",
                IF(ISNUMBER(SEARCH("A",MAIN!K548)), 0,
                IF(OR(MAIN!K548=0,MAIN!K548=""), 0, --TRIM(MAIN!K548)))))))))))),
            0
        )
    ),
    IFERROR(
        UPPER(
            IF(MAX(IFERROR(SEARCH("WD",MAIN!G548:J548), 0))&gt;0, "WD",
            IF(MAX(IFERROR(SEARCH("NS",MAIN!G548:J548), 0))&gt;0, "NS",
            IF(MAX(IFERROR(SEARCH("NC",MAIN!G548:J548), 0))&gt;0, "NC",
            IF(MAX(IFERROR(SEARCH("DQ",MAIN!G548:J548), 0))&gt;0, "DQ",
            IF(ISNUMBER(SEARCH("WD",MAIN!K548)), "WD",
            IF(ISNUMBER(SEARCH("NS",MAIN!K548)), "NS",
            IF(ISNUMBER(SEARCH("NC",MAIN!K548)), "NC",
            IF(ISNUMBER(SEARCH("DQ",MAIN!K548)), "DQ",
            IF(ISNUMBER(SEARCH("A",MAIN!K548)), 0,
            IF(OR(MAIN!K548=0,MAIN!K548=""), 0, --TRIM(MAIN!K548)))))))))))),
        0
    )
)</f>
        <v>0</v>
      </c>
    </row>
    <row r="549" spans="1:11" x14ac:dyDescent="0.25">
      <c r="A549" t="str">
        <f>IF(ISBLANK(MAIN!A549), "--", IFERROR(PROPER(SUBSTITUTE(SUBSTITUTE(SUBSTITUTE(SUBSTITUTE(SUBSTITUTE(SUBSTITUTE(SUBSTITUTE(SUBSTITUTE(SUBSTITUTE(SUBSTITUTE(LEFT(MAIN!A549, FIND(",",MAIN!A549) -1), "0", ""), "1", ""), "2", ""), "3", ""), "4", ""), "5", ""), "6", ""), "7", ""), "8", ""), "9", "")), PROPER(SUBSTITUTE(SUBSTITUTE(SUBSTITUTE(SUBSTITUTE(SUBSTITUTE(SUBSTITUTE(SUBSTITUTE(SUBSTITUTE(SUBSTITUTE(SUBSTITUTE(MAIN!A549, "0", ""), "1", ""), "2", ""), "3", ""), "4", ""), "5", ""), "6", ""), "7", ""), "8", ""), "9", ""))))</f>
        <v>--</v>
      </c>
      <c r="B549" t="str">
        <f>IF(ISBLANK(MAIN!B549), "--", IFERROR(PROPER(SUBSTITUTE(SUBSTITUTE(SUBSTITUTE(SUBSTITUTE(SUBSTITUTE(SUBSTITUTE(SUBSTITUTE(SUBSTITUTE(SUBSTITUTE(SUBSTITUTE(LEFT(MAIN!B549, FIND(",",MAIN!B549) -1), "0", ""), "1", ""), "2", ""), "3", ""), "4", ""), "5", ""), "6", ""), "7", ""), "8", ""), "9", "")), PROPER(SUBSTITUTE(SUBSTITUTE(SUBSTITUTE(SUBSTITUTE(SUBSTITUTE(SUBSTITUTE(SUBSTITUTE(SUBSTITUTE(SUBSTITUTE(SUBSTITUTE(MAIN!B549, "0", ""), "1", ""), "2", ""), "3", ""), "4", ""), "5", ""), "6", ""), "7", ""), "8", ""), "9", ""))))</f>
        <v>--</v>
      </c>
      <c r="C549" t="str">
        <f>IF(ISBLANK(MAIN!C549), "--", IFERROR(PROPER(SUBSTITUTE(SUBSTITUTE(SUBSTITUTE(SUBSTITUTE(SUBSTITUTE(SUBSTITUTE(SUBSTITUTE(SUBSTITUTE(SUBSTITUTE(SUBSTITUTE(LEFT(MAIN!C549, FIND(",",MAIN!C549) -1), "0", ""), "1", ""), "2", ""), "3", ""), "4", ""), "5", ""), "6", ""), "7", ""), "8", ""), "9", "")), PROPER(SUBSTITUTE(SUBSTITUTE(SUBSTITUTE(SUBSTITUTE(SUBSTITUTE(SUBSTITUTE(SUBSTITUTE(SUBSTITUTE(SUBSTITUTE(SUBSTITUTE(MAIN!C549, "0", ""), "1", ""), "2", ""), "3", ""), "4", ""), "5", ""), "6", ""), "7", ""), "8", ""), "9", ""))))</f>
        <v>--</v>
      </c>
      <c r="D549" t="str">
        <f>IF(ISBLANK(MAIN!D549), "--", IF(ISNUMBER(MATCH(SUBSTITUTE(LEFT(MAIN!D549, IFERROR(FIND(",", MAIN!D549)-1, LEN(MAIN!D549))), " ", ""), lookup_values!$B$2:$B$51, 0)), UPPER(SUBSTITUTE(LEFT(MAIN!D549, IFERROR(FIND(",", MAIN!D549)-1, LEN(MAIN!D549))), " ", "")), IF(ISNA(VLOOKUP(SUBSTITUTE(LEFT(MAIN!D549, IFERROR(FIND(",", MAIN!D549)-1, LEN(MAIN!D549))), " ", ""), lookup_values!$A$2:$B$51, 2, FALSE)), "--", VLOOKUP(SUBSTITUTE(LEFT(MAIN!D549, IFERROR(FIND(",", MAIN!D549)-1, LEN(MAIN!D549))), " ", ""), lookup_values!$A$2:$B$51, 2, FALSE))))</f>
        <v>--</v>
      </c>
      <c r="E549" t="str">
        <f>IF(CLEAN_DATA!D549&lt;&gt;"--","US",IF(ISBLANK(MAIN!E549), "--", IF(ISNUMBER(MATCH(SUBSTITUTE(LEFT(MAIN!E549, IFERROR(FIND(",", MAIN!E549)-1, LEN(MAIN!E549))), " ", ""), lookup_values!$E$2:$E$197, 0)), UPPER(SUBSTITUTE(LEFT(MAIN!E549, IFERROR(FIND(",", MAIN!E549)-1, LEN(MAIN!E549))), " ", "")), IF(ISNA(VLOOKUP(SUBSTITUTE(LEFT(MAIN!E549, IFERROR(FIND(",", MAIN!E549)-1, LEN(MAIN!E549))), " ", ""), lookup_values!$D$2:$E$197, 2, FALSE)), "--", VLOOKUP(SUBSTITUTE(LEFT(MAIN!E549, IFERROR(FIND(",", MAIN!E549)-1, LEN(MAIN!E549))), " ", ""), lookup_values!$D$2:$E$197, 2, FALSE)))))</f>
        <v>--</v>
      </c>
      <c r="F549" t="str">
        <f>IF(ISBLANK(MAIN!F549), "", IF(AND(ISNUMBER(VALUE(TRIM(MAIN!F549))), LEN(TRIM(MAIN!F549))=4), VALUE(TRIM(MAIN!F549)), ""))</f>
        <v/>
      </c>
      <c r="G549">
        <f>IF(ISBLANK(MAIN!G549), 0, IF(ISNUMBER(VALUE(TRIM(MAIN!G549))), VALUE(TRIM(MAIN!G549)), 0))</f>
        <v>0</v>
      </c>
      <c r="H549">
        <f>IF(ISBLANK(MAIN!H549), 0, IF(ISNUMBER(VALUE(TRIM(MAIN!H549))), VALUE(TRIM(MAIN!H549)), 0))</f>
        <v>0</v>
      </c>
      <c r="I549">
        <f>IF(ISBLANK(MAIN!I549), 0, IF(ISNUMBER(VALUE(TRIM(MAIN!I549))), VALUE(TRIM(MAIN!I549)), 0))</f>
        <v>0</v>
      </c>
      <c r="J549">
        <f>IF(ISBLANK(MAIN!J549), 0, IF(ISNUMBER(VALUE(TRIM(MAIN!J549))), VALUE(TRIM(MAIN!J549)), 0))</f>
        <v>0</v>
      </c>
      <c r="K549" cm="1">
        <f t="array" ref="K549">IFERROR(
    VALUE(
        IFERROR(
            UPPER(
                IF(MAX(IFERROR(SEARCH("WD",MAIN!G549:J549), 0))&gt;0, "WD",
                IF(MAX(IFERROR(SEARCH("NS",MAIN!G549:J549), 0))&gt;0, "NS",
                IF(MAX(IFERROR(SEARCH("NC",MAIN!G549:J549), 0))&gt;0, "NC",
                IF(MAX(IFERROR(SEARCH("DQ",MAIN!G549:J549), 0))&gt;0, "DQ",
                IF(ISNUMBER(SEARCH("WD",MAIN!K549)), "WD",
                IF(ISNUMBER(SEARCH("NS",MAIN!K549)), "NS",
                IF(ISNUMBER(SEARCH("NC",MAIN!K549)), "NC",
                IF(ISNUMBER(SEARCH("DQ",MAIN!K549)), "DQ",
                IF(ISNUMBER(SEARCH("A",MAIN!K549)), 0,
                IF(OR(MAIN!K549=0,MAIN!K549=""), 0, --TRIM(MAIN!K549)))))))))))),
            0
        )
    ),
    IFERROR(
        UPPER(
            IF(MAX(IFERROR(SEARCH("WD",MAIN!G549:J549), 0))&gt;0, "WD",
            IF(MAX(IFERROR(SEARCH("NS",MAIN!G549:J549), 0))&gt;0, "NS",
            IF(MAX(IFERROR(SEARCH("NC",MAIN!G549:J549), 0))&gt;0, "NC",
            IF(MAX(IFERROR(SEARCH("DQ",MAIN!G549:J549), 0))&gt;0, "DQ",
            IF(ISNUMBER(SEARCH("WD",MAIN!K549)), "WD",
            IF(ISNUMBER(SEARCH("NS",MAIN!K549)), "NS",
            IF(ISNUMBER(SEARCH("NC",MAIN!K549)), "NC",
            IF(ISNUMBER(SEARCH("DQ",MAIN!K549)), "DQ",
            IF(ISNUMBER(SEARCH("A",MAIN!K549)), 0,
            IF(OR(MAIN!K549=0,MAIN!K549=""), 0, --TRIM(MAIN!K549)))))))))))),
        0
    )
)</f>
        <v>0</v>
      </c>
    </row>
    <row r="550" spans="1:11" x14ac:dyDescent="0.25">
      <c r="A550" t="str">
        <f>IF(ISBLANK(MAIN!A550), "--", IFERROR(PROPER(SUBSTITUTE(SUBSTITUTE(SUBSTITUTE(SUBSTITUTE(SUBSTITUTE(SUBSTITUTE(SUBSTITUTE(SUBSTITUTE(SUBSTITUTE(SUBSTITUTE(LEFT(MAIN!A550, FIND(",",MAIN!A550) -1), "0", ""), "1", ""), "2", ""), "3", ""), "4", ""), "5", ""), "6", ""), "7", ""), "8", ""), "9", "")), PROPER(SUBSTITUTE(SUBSTITUTE(SUBSTITUTE(SUBSTITUTE(SUBSTITUTE(SUBSTITUTE(SUBSTITUTE(SUBSTITUTE(SUBSTITUTE(SUBSTITUTE(MAIN!A550, "0", ""), "1", ""), "2", ""), "3", ""), "4", ""), "5", ""), "6", ""), "7", ""), "8", ""), "9", ""))))</f>
        <v>--</v>
      </c>
      <c r="B550" t="str">
        <f>IF(ISBLANK(MAIN!B550), "--", IFERROR(PROPER(SUBSTITUTE(SUBSTITUTE(SUBSTITUTE(SUBSTITUTE(SUBSTITUTE(SUBSTITUTE(SUBSTITUTE(SUBSTITUTE(SUBSTITUTE(SUBSTITUTE(LEFT(MAIN!B550, FIND(",",MAIN!B550) -1), "0", ""), "1", ""), "2", ""), "3", ""), "4", ""), "5", ""), "6", ""), "7", ""), "8", ""), "9", "")), PROPER(SUBSTITUTE(SUBSTITUTE(SUBSTITUTE(SUBSTITUTE(SUBSTITUTE(SUBSTITUTE(SUBSTITUTE(SUBSTITUTE(SUBSTITUTE(SUBSTITUTE(MAIN!B550, "0", ""), "1", ""), "2", ""), "3", ""), "4", ""), "5", ""), "6", ""), "7", ""), "8", ""), "9", ""))))</f>
        <v>--</v>
      </c>
      <c r="C550" t="str">
        <f>IF(ISBLANK(MAIN!C550), "--", IFERROR(PROPER(SUBSTITUTE(SUBSTITUTE(SUBSTITUTE(SUBSTITUTE(SUBSTITUTE(SUBSTITUTE(SUBSTITUTE(SUBSTITUTE(SUBSTITUTE(SUBSTITUTE(LEFT(MAIN!C550, FIND(",",MAIN!C550) -1), "0", ""), "1", ""), "2", ""), "3", ""), "4", ""), "5", ""), "6", ""), "7", ""), "8", ""), "9", "")), PROPER(SUBSTITUTE(SUBSTITUTE(SUBSTITUTE(SUBSTITUTE(SUBSTITUTE(SUBSTITUTE(SUBSTITUTE(SUBSTITUTE(SUBSTITUTE(SUBSTITUTE(MAIN!C550, "0", ""), "1", ""), "2", ""), "3", ""), "4", ""), "5", ""), "6", ""), "7", ""), "8", ""), "9", ""))))</f>
        <v>--</v>
      </c>
      <c r="D550" t="str">
        <f>IF(ISBLANK(MAIN!D550), "--", IF(ISNUMBER(MATCH(SUBSTITUTE(LEFT(MAIN!D550, IFERROR(FIND(",", MAIN!D550)-1, LEN(MAIN!D550))), " ", ""), lookup_values!$B$2:$B$51, 0)), UPPER(SUBSTITUTE(LEFT(MAIN!D550, IFERROR(FIND(",", MAIN!D550)-1, LEN(MAIN!D550))), " ", "")), IF(ISNA(VLOOKUP(SUBSTITUTE(LEFT(MAIN!D550, IFERROR(FIND(",", MAIN!D550)-1, LEN(MAIN!D550))), " ", ""), lookup_values!$A$2:$B$51, 2, FALSE)), "--", VLOOKUP(SUBSTITUTE(LEFT(MAIN!D550, IFERROR(FIND(",", MAIN!D550)-1, LEN(MAIN!D550))), " ", ""), lookup_values!$A$2:$B$51, 2, FALSE))))</f>
        <v>--</v>
      </c>
      <c r="E550" t="str">
        <f>IF(CLEAN_DATA!D550&lt;&gt;"--","US",IF(ISBLANK(MAIN!E550), "--", IF(ISNUMBER(MATCH(SUBSTITUTE(LEFT(MAIN!E550, IFERROR(FIND(",", MAIN!E550)-1, LEN(MAIN!E550))), " ", ""), lookup_values!$E$2:$E$197, 0)), UPPER(SUBSTITUTE(LEFT(MAIN!E550, IFERROR(FIND(",", MAIN!E550)-1, LEN(MAIN!E550))), " ", "")), IF(ISNA(VLOOKUP(SUBSTITUTE(LEFT(MAIN!E550, IFERROR(FIND(",", MAIN!E550)-1, LEN(MAIN!E550))), " ", ""), lookup_values!$D$2:$E$197, 2, FALSE)), "--", VLOOKUP(SUBSTITUTE(LEFT(MAIN!E550, IFERROR(FIND(",", MAIN!E550)-1, LEN(MAIN!E550))), " ", ""), lookup_values!$D$2:$E$197, 2, FALSE)))))</f>
        <v>--</v>
      </c>
      <c r="F550" t="str">
        <f>IF(ISBLANK(MAIN!F550), "", IF(AND(ISNUMBER(VALUE(TRIM(MAIN!F550))), LEN(TRIM(MAIN!F550))=4), VALUE(TRIM(MAIN!F550)), ""))</f>
        <v/>
      </c>
      <c r="G550">
        <f>IF(ISBLANK(MAIN!G550), 0, IF(ISNUMBER(VALUE(TRIM(MAIN!G550))), VALUE(TRIM(MAIN!G550)), 0))</f>
        <v>0</v>
      </c>
      <c r="H550">
        <f>IF(ISBLANK(MAIN!H550), 0, IF(ISNUMBER(VALUE(TRIM(MAIN!H550))), VALUE(TRIM(MAIN!H550)), 0))</f>
        <v>0</v>
      </c>
      <c r="I550">
        <f>IF(ISBLANK(MAIN!I550), 0, IF(ISNUMBER(VALUE(TRIM(MAIN!I550))), VALUE(TRIM(MAIN!I550)), 0))</f>
        <v>0</v>
      </c>
      <c r="J550">
        <f>IF(ISBLANK(MAIN!J550), 0, IF(ISNUMBER(VALUE(TRIM(MAIN!J550))), VALUE(TRIM(MAIN!J550)), 0))</f>
        <v>0</v>
      </c>
      <c r="K550" cm="1">
        <f t="array" ref="K550">IFERROR(
    VALUE(
        IFERROR(
            UPPER(
                IF(MAX(IFERROR(SEARCH("WD",MAIN!G550:J550), 0))&gt;0, "WD",
                IF(MAX(IFERROR(SEARCH("NS",MAIN!G550:J550), 0))&gt;0, "NS",
                IF(MAX(IFERROR(SEARCH("NC",MAIN!G550:J550), 0))&gt;0, "NC",
                IF(MAX(IFERROR(SEARCH("DQ",MAIN!G550:J550), 0))&gt;0, "DQ",
                IF(ISNUMBER(SEARCH("WD",MAIN!K550)), "WD",
                IF(ISNUMBER(SEARCH("NS",MAIN!K550)), "NS",
                IF(ISNUMBER(SEARCH("NC",MAIN!K550)), "NC",
                IF(ISNUMBER(SEARCH("DQ",MAIN!K550)), "DQ",
                IF(ISNUMBER(SEARCH("A",MAIN!K550)), 0,
                IF(OR(MAIN!K550=0,MAIN!K550=""), 0, --TRIM(MAIN!K550)))))))))))),
            0
        )
    ),
    IFERROR(
        UPPER(
            IF(MAX(IFERROR(SEARCH("WD",MAIN!G550:J550), 0))&gt;0, "WD",
            IF(MAX(IFERROR(SEARCH("NS",MAIN!G550:J550), 0))&gt;0, "NS",
            IF(MAX(IFERROR(SEARCH("NC",MAIN!G550:J550), 0))&gt;0, "NC",
            IF(MAX(IFERROR(SEARCH("DQ",MAIN!G550:J550), 0))&gt;0, "DQ",
            IF(ISNUMBER(SEARCH("WD",MAIN!K550)), "WD",
            IF(ISNUMBER(SEARCH("NS",MAIN!K550)), "NS",
            IF(ISNUMBER(SEARCH("NC",MAIN!K550)), "NC",
            IF(ISNUMBER(SEARCH("DQ",MAIN!K550)), "DQ",
            IF(ISNUMBER(SEARCH("A",MAIN!K550)), 0,
            IF(OR(MAIN!K550=0,MAIN!K550=""), 0, --TRIM(MAIN!K550)))))))))))),
        0
    )
)</f>
        <v>0</v>
      </c>
    </row>
    <row r="551" spans="1:11" x14ac:dyDescent="0.25">
      <c r="A551" t="str">
        <f>IF(ISBLANK(MAIN!A551), "--", IFERROR(PROPER(SUBSTITUTE(SUBSTITUTE(SUBSTITUTE(SUBSTITUTE(SUBSTITUTE(SUBSTITUTE(SUBSTITUTE(SUBSTITUTE(SUBSTITUTE(SUBSTITUTE(LEFT(MAIN!A551, FIND(",",MAIN!A551) -1), "0", ""), "1", ""), "2", ""), "3", ""), "4", ""), "5", ""), "6", ""), "7", ""), "8", ""), "9", "")), PROPER(SUBSTITUTE(SUBSTITUTE(SUBSTITUTE(SUBSTITUTE(SUBSTITUTE(SUBSTITUTE(SUBSTITUTE(SUBSTITUTE(SUBSTITUTE(SUBSTITUTE(MAIN!A551, "0", ""), "1", ""), "2", ""), "3", ""), "4", ""), "5", ""), "6", ""), "7", ""), "8", ""), "9", ""))))</f>
        <v>--</v>
      </c>
      <c r="B551" t="str">
        <f>IF(ISBLANK(MAIN!B551), "--", IFERROR(PROPER(SUBSTITUTE(SUBSTITUTE(SUBSTITUTE(SUBSTITUTE(SUBSTITUTE(SUBSTITUTE(SUBSTITUTE(SUBSTITUTE(SUBSTITUTE(SUBSTITUTE(LEFT(MAIN!B551, FIND(",",MAIN!B551) -1), "0", ""), "1", ""), "2", ""), "3", ""), "4", ""), "5", ""), "6", ""), "7", ""), "8", ""), "9", "")), PROPER(SUBSTITUTE(SUBSTITUTE(SUBSTITUTE(SUBSTITUTE(SUBSTITUTE(SUBSTITUTE(SUBSTITUTE(SUBSTITUTE(SUBSTITUTE(SUBSTITUTE(MAIN!B551, "0", ""), "1", ""), "2", ""), "3", ""), "4", ""), "5", ""), "6", ""), "7", ""), "8", ""), "9", ""))))</f>
        <v>--</v>
      </c>
      <c r="C551" t="str">
        <f>IF(ISBLANK(MAIN!C551), "--", IFERROR(PROPER(SUBSTITUTE(SUBSTITUTE(SUBSTITUTE(SUBSTITUTE(SUBSTITUTE(SUBSTITUTE(SUBSTITUTE(SUBSTITUTE(SUBSTITUTE(SUBSTITUTE(LEFT(MAIN!C551, FIND(",",MAIN!C551) -1), "0", ""), "1", ""), "2", ""), "3", ""), "4", ""), "5", ""), "6", ""), "7", ""), "8", ""), "9", "")), PROPER(SUBSTITUTE(SUBSTITUTE(SUBSTITUTE(SUBSTITUTE(SUBSTITUTE(SUBSTITUTE(SUBSTITUTE(SUBSTITUTE(SUBSTITUTE(SUBSTITUTE(MAIN!C551, "0", ""), "1", ""), "2", ""), "3", ""), "4", ""), "5", ""), "6", ""), "7", ""), "8", ""), "9", ""))))</f>
        <v>--</v>
      </c>
      <c r="D551" t="str">
        <f>IF(ISBLANK(MAIN!D551), "--", IF(ISNUMBER(MATCH(SUBSTITUTE(LEFT(MAIN!D551, IFERROR(FIND(",", MAIN!D551)-1, LEN(MAIN!D551))), " ", ""), lookup_values!$B$2:$B$51, 0)), UPPER(SUBSTITUTE(LEFT(MAIN!D551, IFERROR(FIND(",", MAIN!D551)-1, LEN(MAIN!D551))), " ", "")), IF(ISNA(VLOOKUP(SUBSTITUTE(LEFT(MAIN!D551, IFERROR(FIND(",", MAIN!D551)-1, LEN(MAIN!D551))), " ", ""), lookup_values!$A$2:$B$51, 2, FALSE)), "--", VLOOKUP(SUBSTITUTE(LEFT(MAIN!D551, IFERROR(FIND(",", MAIN!D551)-1, LEN(MAIN!D551))), " ", ""), lookup_values!$A$2:$B$51, 2, FALSE))))</f>
        <v>--</v>
      </c>
      <c r="E551" t="str">
        <f>IF(CLEAN_DATA!D551&lt;&gt;"--","US",IF(ISBLANK(MAIN!E551), "--", IF(ISNUMBER(MATCH(SUBSTITUTE(LEFT(MAIN!E551, IFERROR(FIND(",", MAIN!E551)-1, LEN(MAIN!E551))), " ", ""), lookup_values!$E$2:$E$197, 0)), UPPER(SUBSTITUTE(LEFT(MAIN!E551, IFERROR(FIND(",", MAIN!E551)-1, LEN(MAIN!E551))), " ", "")), IF(ISNA(VLOOKUP(SUBSTITUTE(LEFT(MAIN!E551, IFERROR(FIND(",", MAIN!E551)-1, LEN(MAIN!E551))), " ", ""), lookup_values!$D$2:$E$197, 2, FALSE)), "--", VLOOKUP(SUBSTITUTE(LEFT(MAIN!E551, IFERROR(FIND(",", MAIN!E551)-1, LEN(MAIN!E551))), " ", ""), lookup_values!$D$2:$E$197, 2, FALSE)))))</f>
        <v>--</v>
      </c>
      <c r="F551" t="str">
        <f>IF(ISBLANK(MAIN!F551), "", IF(AND(ISNUMBER(VALUE(TRIM(MAIN!F551))), LEN(TRIM(MAIN!F551))=4), VALUE(TRIM(MAIN!F551)), ""))</f>
        <v/>
      </c>
      <c r="G551">
        <f>IF(ISBLANK(MAIN!G551), 0, IF(ISNUMBER(VALUE(TRIM(MAIN!G551))), VALUE(TRIM(MAIN!G551)), 0))</f>
        <v>0</v>
      </c>
      <c r="H551">
        <f>IF(ISBLANK(MAIN!H551), 0, IF(ISNUMBER(VALUE(TRIM(MAIN!H551))), VALUE(TRIM(MAIN!H551)), 0))</f>
        <v>0</v>
      </c>
      <c r="I551">
        <f>IF(ISBLANK(MAIN!I551), 0, IF(ISNUMBER(VALUE(TRIM(MAIN!I551))), VALUE(TRIM(MAIN!I551)), 0))</f>
        <v>0</v>
      </c>
      <c r="J551">
        <f>IF(ISBLANK(MAIN!J551), 0, IF(ISNUMBER(VALUE(TRIM(MAIN!J551))), VALUE(TRIM(MAIN!J551)), 0))</f>
        <v>0</v>
      </c>
      <c r="K551" cm="1">
        <f t="array" ref="K551">IFERROR(
    VALUE(
        IFERROR(
            UPPER(
                IF(MAX(IFERROR(SEARCH("WD",MAIN!G551:J551), 0))&gt;0, "WD",
                IF(MAX(IFERROR(SEARCH("NS",MAIN!G551:J551), 0))&gt;0, "NS",
                IF(MAX(IFERROR(SEARCH("NC",MAIN!G551:J551), 0))&gt;0, "NC",
                IF(MAX(IFERROR(SEARCH("DQ",MAIN!G551:J551), 0))&gt;0, "DQ",
                IF(ISNUMBER(SEARCH("WD",MAIN!K551)), "WD",
                IF(ISNUMBER(SEARCH("NS",MAIN!K551)), "NS",
                IF(ISNUMBER(SEARCH("NC",MAIN!K551)), "NC",
                IF(ISNUMBER(SEARCH("DQ",MAIN!K551)), "DQ",
                IF(ISNUMBER(SEARCH("A",MAIN!K551)), 0,
                IF(OR(MAIN!K551=0,MAIN!K551=""), 0, --TRIM(MAIN!K551)))))))))))),
            0
        )
    ),
    IFERROR(
        UPPER(
            IF(MAX(IFERROR(SEARCH("WD",MAIN!G551:J551), 0))&gt;0, "WD",
            IF(MAX(IFERROR(SEARCH("NS",MAIN!G551:J551), 0))&gt;0, "NS",
            IF(MAX(IFERROR(SEARCH("NC",MAIN!G551:J551), 0))&gt;0, "NC",
            IF(MAX(IFERROR(SEARCH("DQ",MAIN!G551:J551), 0))&gt;0, "DQ",
            IF(ISNUMBER(SEARCH("WD",MAIN!K551)), "WD",
            IF(ISNUMBER(SEARCH("NS",MAIN!K551)), "NS",
            IF(ISNUMBER(SEARCH("NC",MAIN!K551)), "NC",
            IF(ISNUMBER(SEARCH("DQ",MAIN!K551)), "DQ",
            IF(ISNUMBER(SEARCH("A",MAIN!K551)), 0,
            IF(OR(MAIN!K551=0,MAIN!K551=""), 0, --TRIM(MAIN!K551)))))))))))),
        0
    )
)</f>
        <v>0</v>
      </c>
    </row>
    <row r="552" spans="1:11" x14ac:dyDescent="0.25">
      <c r="A552" t="str">
        <f>IF(ISBLANK(MAIN!A552), "--", IFERROR(PROPER(SUBSTITUTE(SUBSTITUTE(SUBSTITUTE(SUBSTITUTE(SUBSTITUTE(SUBSTITUTE(SUBSTITUTE(SUBSTITUTE(SUBSTITUTE(SUBSTITUTE(LEFT(MAIN!A552, FIND(",",MAIN!A552) -1), "0", ""), "1", ""), "2", ""), "3", ""), "4", ""), "5", ""), "6", ""), "7", ""), "8", ""), "9", "")), PROPER(SUBSTITUTE(SUBSTITUTE(SUBSTITUTE(SUBSTITUTE(SUBSTITUTE(SUBSTITUTE(SUBSTITUTE(SUBSTITUTE(SUBSTITUTE(SUBSTITUTE(MAIN!A552, "0", ""), "1", ""), "2", ""), "3", ""), "4", ""), "5", ""), "6", ""), "7", ""), "8", ""), "9", ""))))</f>
        <v>--</v>
      </c>
      <c r="B552" t="str">
        <f>IF(ISBLANK(MAIN!B552), "--", IFERROR(PROPER(SUBSTITUTE(SUBSTITUTE(SUBSTITUTE(SUBSTITUTE(SUBSTITUTE(SUBSTITUTE(SUBSTITUTE(SUBSTITUTE(SUBSTITUTE(SUBSTITUTE(LEFT(MAIN!B552, FIND(",",MAIN!B552) -1), "0", ""), "1", ""), "2", ""), "3", ""), "4", ""), "5", ""), "6", ""), "7", ""), "8", ""), "9", "")), PROPER(SUBSTITUTE(SUBSTITUTE(SUBSTITUTE(SUBSTITUTE(SUBSTITUTE(SUBSTITUTE(SUBSTITUTE(SUBSTITUTE(SUBSTITUTE(SUBSTITUTE(MAIN!B552, "0", ""), "1", ""), "2", ""), "3", ""), "4", ""), "5", ""), "6", ""), "7", ""), "8", ""), "9", ""))))</f>
        <v>--</v>
      </c>
      <c r="C552" t="str">
        <f>IF(ISBLANK(MAIN!C552), "--", IFERROR(PROPER(SUBSTITUTE(SUBSTITUTE(SUBSTITUTE(SUBSTITUTE(SUBSTITUTE(SUBSTITUTE(SUBSTITUTE(SUBSTITUTE(SUBSTITUTE(SUBSTITUTE(LEFT(MAIN!C552, FIND(",",MAIN!C552) -1), "0", ""), "1", ""), "2", ""), "3", ""), "4", ""), "5", ""), "6", ""), "7", ""), "8", ""), "9", "")), PROPER(SUBSTITUTE(SUBSTITUTE(SUBSTITUTE(SUBSTITUTE(SUBSTITUTE(SUBSTITUTE(SUBSTITUTE(SUBSTITUTE(SUBSTITUTE(SUBSTITUTE(MAIN!C552, "0", ""), "1", ""), "2", ""), "3", ""), "4", ""), "5", ""), "6", ""), "7", ""), "8", ""), "9", ""))))</f>
        <v>--</v>
      </c>
      <c r="D552" t="str">
        <f>IF(ISBLANK(MAIN!D552), "--", IF(ISNUMBER(MATCH(SUBSTITUTE(LEFT(MAIN!D552, IFERROR(FIND(",", MAIN!D552)-1, LEN(MAIN!D552))), " ", ""), lookup_values!$B$2:$B$51, 0)), UPPER(SUBSTITUTE(LEFT(MAIN!D552, IFERROR(FIND(",", MAIN!D552)-1, LEN(MAIN!D552))), " ", "")), IF(ISNA(VLOOKUP(SUBSTITUTE(LEFT(MAIN!D552, IFERROR(FIND(",", MAIN!D552)-1, LEN(MAIN!D552))), " ", ""), lookup_values!$A$2:$B$51, 2, FALSE)), "--", VLOOKUP(SUBSTITUTE(LEFT(MAIN!D552, IFERROR(FIND(",", MAIN!D552)-1, LEN(MAIN!D552))), " ", ""), lookup_values!$A$2:$B$51, 2, FALSE))))</f>
        <v>--</v>
      </c>
      <c r="E552" t="str">
        <f>IF(CLEAN_DATA!D552&lt;&gt;"--","US",IF(ISBLANK(MAIN!E552), "--", IF(ISNUMBER(MATCH(SUBSTITUTE(LEFT(MAIN!E552, IFERROR(FIND(",", MAIN!E552)-1, LEN(MAIN!E552))), " ", ""), lookup_values!$E$2:$E$197, 0)), UPPER(SUBSTITUTE(LEFT(MAIN!E552, IFERROR(FIND(",", MAIN!E552)-1, LEN(MAIN!E552))), " ", "")), IF(ISNA(VLOOKUP(SUBSTITUTE(LEFT(MAIN!E552, IFERROR(FIND(",", MAIN!E552)-1, LEN(MAIN!E552))), " ", ""), lookup_values!$D$2:$E$197, 2, FALSE)), "--", VLOOKUP(SUBSTITUTE(LEFT(MAIN!E552, IFERROR(FIND(",", MAIN!E552)-1, LEN(MAIN!E552))), " ", ""), lookup_values!$D$2:$E$197, 2, FALSE)))))</f>
        <v>--</v>
      </c>
      <c r="F552" t="str">
        <f>IF(ISBLANK(MAIN!F552), "", IF(AND(ISNUMBER(VALUE(TRIM(MAIN!F552))), LEN(TRIM(MAIN!F552))=4), VALUE(TRIM(MAIN!F552)), ""))</f>
        <v/>
      </c>
      <c r="G552">
        <f>IF(ISBLANK(MAIN!G552), 0, IF(ISNUMBER(VALUE(TRIM(MAIN!G552))), VALUE(TRIM(MAIN!G552)), 0))</f>
        <v>0</v>
      </c>
      <c r="H552">
        <f>IF(ISBLANK(MAIN!H552), 0, IF(ISNUMBER(VALUE(TRIM(MAIN!H552))), VALUE(TRIM(MAIN!H552)), 0))</f>
        <v>0</v>
      </c>
      <c r="I552">
        <f>IF(ISBLANK(MAIN!I552), 0, IF(ISNUMBER(VALUE(TRIM(MAIN!I552))), VALUE(TRIM(MAIN!I552)), 0))</f>
        <v>0</v>
      </c>
      <c r="J552">
        <f>IF(ISBLANK(MAIN!J552), 0, IF(ISNUMBER(VALUE(TRIM(MAIN!J552))), VALUE(TRIM(MAIN!J552)), 0))</f>
        <v>0</v>
      </c>
      <c r="K552" cm="1">
        <f t="array" ref="K552">IFERROR(
    VALUE(
        IFERROR(
            UPPER(
                IF(MAX(IFERROR(SEARCH("WD",MAIN!G552:J552), 0))&gt;0, "WD",
                IF(MAX(IFERROR(SEARCH("NS",MAIN!G552:J552), 0))&gt;0, "NS",
                IF(MAX(IFERROR(SEARCH("NC",MAIN!G552:J552), 0))&gt;0, "NC",
                IF(MAX(IFERROR(SEARCH("DQ",MAIN!G552:J552), 0))&gt;0, "DQ",
                IF(ISNUMBER(SEARCH("WD",MAIN!K552)), "WD",
                IF(ISNUMBER(SEARCH("NS",MAIN!K552)), "NS",
                IF(ISNUMBER(SEARCH("NC",MAIN!K552)), "NC",
                IF(ISNUMBER(SEARCH("DQ",MAIN!K552)), "DQ",
                IF(ISNUMBER(SEARCH("A",MAIN!K552)), 0,
                IF(OR(MAIN!K552=0,MAIN!K552=""), 0, --TRIM(MAIN!K552)))))))))))),
            0
        )
    ),
    IFERROR(
        UPPER(
            IF(MAX(IFERROR(SEARCH("WD",MAIN!G552:J552), 0))&gt;0, "WD",
            IF(MAX(IFERROR(SEARCH("NS",MAIN!G552:J552), 0))&gt;0, "NS",
            IF(MAX(IFERROR(SEARCH("NC",MAIN!G552:J552), 0))&gt;0, "NC",
            IF(MAX(IFERROR(SEARCH("DQ",MAIN!G552:J552), 0))&gt;0, "DQ",
            IF(ISNUMBER(SEARCH("WD",MAIN!K552)), "WD",
            IF(ISNUMBER(SEARCH("NS",MAIN!K552)), "NS",
            IF(ISNUMBER(SEARCH("NC",MAIN!K552)), "NC",
            IF(ISNUMBER(SEARCH("DQ",MAIN!K552)), "DQ",
            IF(ISNUMBER(SEARCH("A",MAIN!K552)), 0,
            IF(OR(MAIN!K552=0,MAIN!K552=""), 0, --TRIM(MAIN!K552)))))))))))),
        0
    )
)</f>
        <v>0</v>
      </c>
    </row>
    <row r="553" spans="1:11" x14ac:dyDescent="0.25">
      <c r="A553" t="str">
        <f>IF(ISBLANK(MAIN!A553), "--", IFERROR(PROPER(SUBSTITUTE(SUBSTITUTE(SUBSTITUTE(SUBSTITUTE(SUBSTITUTE(SUBSTITUTE(SUBSTITUTE(SUBSTITUTE(SUBSTITUTE(SUBSTITUTE(LEFT(MAIN!A553, FIND(",",MAIN!A553) -1), "0", ""), "1", ""), "2", ""), "3", ""), "4", ""), "5", ""), "6", ""), "7", ""), "8", ""), "9", "")), PROPER(SUBSTITUTE(SUBSTITUTE(SUBSTITUTE(SUBSTITUTE(SUBSTITUTE(SUBSTITUTE(SUBSTITUTE(SUBSTITUTE(SUBSTITUTE(SUBSTITUTE(MAIN!A553, "0", ""), "1", ""), "2", ""), "3", ""), "4", ""), "5", ""), "6", ""), "7", ""), "8", ""), "9", ""))))</f>
        <v>--</v>
      </c>
      <c r="B553" t="str">
        <f>IF(ISBLANK(MAIN!B553), "--", IFERROR(PROPER(SUBSTITUTE(SUBSTITUTE(SUBSTITUTE(SUBSTITUTE(SUBSTITUTE(SUBSTITUTE(SUBSTITUTE(SUBSTITUTE(SUBSTITUTE(SUBSTITUTE(LEFT(MAIN!B553, FIND(",",MAIN!B553) -1), "0", ""), "1", ""), "2", ""), "3", ""), "4", ""), "5", ""), "6", ""), "7", ""), "8", ""), "9", "")), PROPER(SUBSTITUTE(SUBSTITUTE(SUBSTITUTE(SUBSTITUTE(SUBSTITUTE(SUBSTITUTE(SUBSTITUTE(SUBSTITUTE(SUBSTITUTE(SUBSTITUTE(MAIN!B553, "0", ""), "1", ""), "2", ""), "3", ""), "4", ""), "5", ""), "6", ""), "7", ""), "8", ""), "9", ""))))</f>
        <v>--</v>
      </c>
      <c r="C553" t="str">
        <f>IF(ISBLANK(MAIN!C553), "--", IFERROR(PROPER(SUBSTITUTE(SUBSTITUTE(SUBSTITUTE(SUBSTITUTE(SUBSTITUTE(SUBSTITUTE(SUBSTITUTE(SUBSTITUTE(SUBSTITUTE(SUBSTITUTE(LEFT(MAIN!C553, FIND(",",MAIN!C553) -1), "0", ""), "1", ""), "2", ""), "3", ""), "4", ""), "5", ""), "6", ""), "7", ""), "8", ""), "9", "")), PROPER(SUBSTITUTE(SUBSTITUTE(SUBSTITUTE(SUBSTITUTE(SUBSTITUTE(SUBSTITUTE(SUBSTITUTE(SUBSTITUTE(SUBSTITUTE(SUBSTITUTE(MAIN!C553, "0", ""), "1", ""), "2", ""), "3", ""), "4", ""), "5", ""), "6", ""), "7", ""), "8", ""), "9", ""))))</f>
        <v>--</v>
      </c>
      <c r="D553" t="str">
        <f>IF(ISBLANK(MAIN!D553), "--", IF(ISNUMBER(MATCH(SUBSTITUTE(LEFT(MAIN!D553, IFERROR(FIND(",", MAIN!D553)-1, LEN(MAIN!D553))), " ", ""), lookup_values!$B$2:$B$51, 0)), UPPER(SUBSTITUTE(LEFT(MAIN!D553, IFERROR(FIND(",", MAIN!D553)-1, LEN(MAIN!D553))), " ", "")), IF(ISNA(VLOOKUP(SUBSTITUTE(LEFT(MAIN!D553, IFERROR(FIND(",", MAIN!D553)-1, LEN(MAIN!D553))), " ", ""), lookup_values!$A$2:$B$51, 2, FALSE)), "--", VLOOKUP(SUBSTITUTE(LEFT(MAIN!D553, IFERROR(FIND(",", MAIN!D553)-1, LEN(MAIN!D553))), " ", ""), lookup_values!$A$2:$B$51, 2, FALSE))))</f>
        <v>--</v>
      </c>
      <c r="E553" t="str">
        <f>IF(CLEAN_DATA!D553&lt;&gt;"--","US",IF(ISBLANK(MAIN!E553), "--", IF(ISNUMBER(MATCH(SUBSTITUTE(LEFT(MAIN!E553, IFERROR(FIND(",", MAIN!E553)-1, LEN(MAIN!E553))), " ", ""), lookup_values!$E$2:$E$197, 0)), UPPER(SUBSTITUTE(LEFT(MAIN!E553, IFERROR(FIND(",", MAIN!E553)-1, LEN(MAIN!E553))), " ", "")), IF(ISNA(VLOOKUP(SUBSTITUTE(LEFT(MAIN!E553, IFERROR(FIND(",", MAIN!E553)-1, LEN(MAIN!E553))), " ", ""), lookup_values!$D$2:$E$197, 2, FALSE)), "--", VLOOKUP(SUBSTITUTE(LEFT(MAIN!E553, IFERROR(FIND(",", MAIN!E553)-1, LEN(MAIN!E553))), " ", ""), lookup_values!$D$2:$E$197, 2, FALSE)))))</f>
        <v>--</v>
      </c>
      <c r="F553" t="str">
        <f>IF(ISBLANK(MAIN!F553), "", IF(AND(ISNUMBER(VALUE(TRIM(MAIN!F553))), LEN(TRIM(MAIN!F553))=4), VALUE(TRIM(MAIN!F553)), ""))</f>
        <v/>
      </c>
      <c r="G553">
        <f>IF(ISBLANK(MAIN!G553), 0, IF(ISNUMBER(VALUE(TRIM(MAIN!G553))), VALUE(TRIM(MAIN!G553)), 0))</f>
        <v>0</v>
      </c>
      <c r="H553">
        <f>IF(ISBLANK(MAIN!H553), 0, IF(ISNUMBER(VALUE(TRIM(MAIN!H553))), VALUE(TRIM(MAIN!H553)), 0))</f>
        <v>0</v>
      </c>
      <c r="I553">
        <f>IF(ISBLANK(MAIN!I553), 0, IF(ISNUMBER(VALUE(TRIM(MAIN!I553))), VALUE(TRIM(MAIN!I553)), 0))</f>
        <v>0</v>
      </c>
      <c r="J553">
        <f>IF(ISBLANK(MAIN!J553), 0, IF(ISNUMBER(VALUE(TRIM(MAIN!J553))), VALUE(TRIM(MAIN!J553)), 0))</f>
        <v>0</v>
      </c>
      <c r="K553" cm="1">
        <f t="array" ref="K553">IFERROR(
    VALUE(
        IFERROR(
            UPPER(
                IF(MAX(IFERROR(SEARCH("WD",MAIN!G553:J553), 0))&gt;0, "WD",
                IF(MAX(IFERROR(SEARCH("NS",MAIN!G553:J553), 0))&gt;0, "NS",
                IF(MAX(IFERROR(SEARCH("NC",MAIN!G553:J553), 0))&gt;0, "NC",
                IF(MAX(IFERROR(SEARCH("DQ",MAIN!G553:J553), 0))&gt;0, "DQ",
                IF(ISNUMBER(SEARCH("WD",MAIN!K553)), "WD",
                IF(ISNUMBER(SEARCH("NS",MAIN!K553)), "NS",
                IF(ISNUMBER(SEARCH("NC",MAIN!K553)), "NC",
                IF(ISNUMBER(SEARCH("DQ",MAIN!K553)), "DQ",
                IF(ISNUMBER(SEARCH("A",MAIN!K553)), 0,
                IF(OR(MAIN!K553=0,MAIN!K553=""), 0, --TRIM(MAIN!K553)))))))))))),
            0
        )
    ),
    IFERROR(
        UPPER(
            IF(MAX(IFERROR(SEARCH("WD",MAIN!G553:J553), 0))&gt;0, "WD",
            IF(MAX(IFERROR(SEARCH("NS",MAIN!G553:J553), 0))&gt;0, "NS",
            IF(MAX(IFERROR(SEARCH("NC",MAIN!G553:J553), 0))&gt;0, "NC",
            IF(MAX(IFERROR(SEARCH("DQ",MAIN!G553:J553), 0))&gt;0, "DQ",
            IF(ISNUMBER(SEARCH("WD",MAIN!K553)), "WD",
            IF(ISNUMBER(SEARCH("NS",MAIN!K553)), "NS",
            IF(ISNUMBER(SEARCH("NC",MAIN!K553)), "NC",
            IF(ISNUMBER(SEARCH("DQ",MAIN!K553)), "DQ",
            IF(ISNUMBER(SEARCH("A",MAIN!K553)), 0,
            IF(OR(MAIN!K553=0,MAIN!K553=""), 0, --TRIM(MAIN!K553)))))))))))),
        0
    )
)</f>
        <v>0</v>
      </c>
    </row>
    <row r="554" spans="1:11" x14ac:dyDescent="0.25">
      <c r="A554" t="str">
        <f>IF(ISBLANK(MAIN!A554), "--", IFERROR(PROPER(SUBSTITUTE(SUBSTITUTE(SUBSTITUTE(SUBSTITUTE(SUBSTITUTE(SUBSTITUTE(SUBSTITUTE(SUBSTITUTE(SUBSTITUTE(SUBSTITUTE(LEFT(MAIN!A554, FIND(",",MAIN!A554) -1), "0", ""), "1", ""), "2", ""), "3", ""), "4", ""), "5", ""), "6", ""), "7", ""), "8", ""), "9", "")), PROPER(SUBSTITUTE(SUBSTITUTE(SUBSTITUTE(SUBSTITUTE(SUBSTITUTE(SUBSTITUTE(SUBSTITUTE(SUBSTITUTE(SUBSTITUTE(SUBSTITUTE(MAIN!A554, "0", ""), "1", ""), "2", ""), "3", ""), "4", ""), "5", ""), "6", ""), "7", ""), "8", ""), "9", ""))))</f>
        <v>--</v>
      </c>
      <c r="B554" t="str">
        <f>IF(ISBLANK(MAIN!B554), "--", IFERROR(PROPER(SUBSTITUTE(SUBSTITUTE(SUBSTITUTE(SUBSTITUTE(SUBSTITUTE(SUBSTITUTE(SUBSTITUTE(SUBSTITUTE(SUBSTITUTE(SUBSTITUTE(LEFT(MAIN!B554, FIND(",",MAIN!B554) -1), "0", ""), "1", ""), "2", ""), "3", ""), "4", ""), "5", ""), "6", ""), "7", ""), "8", ""), "9", "")), PROPER(SUBSTITUTE(SUBSTITUTE(SUBSTITUTE(SUBSTITUTE(SUBSTITUTE(SUBSTITUTE(SUBSTITUTE(SUBSTITUTE(SUBSTITUTE(SUBSTITUTE(MAIN!B554, "0", ""), "1", ""), "2", ""), "3", ""), "4", ""), "5", ""), "6", ""), "7", ""), "8", ""), "9", ""))))</f>
        <v>--</v>
      </c>
      <c r="C554" t="str">
        <f>IF(ISBLANK(MAIN!C554), "--", IFERROR(PROPER(SUBSTITUTE(SUBSTITUTE(SUBSTITUTE(SUBSTITUTE(SUBSTITUTE(SUBSTITUTE(SUBSTITUTE(SUBSTITUTE(SUBSTITUTE(SUBSTITUTE(LEFT(MAIN!C554, FIND(",",MAIN!C554) -1), "0", ""), "1", ""), "2", ""), "3", ""), "4", ""), "5", ""), "6", ""), "7", ""), "8", ""), "9", "")), PROPER(SUBSTITUTE(SUBSTITUTE(SUBSTITUTE(SUBSTITUTE(SUBSTITUTE(SUBSTITUTE(SUBSTITUTE(SUBSTITUTE(SUBSTITUTE(SUBSTITUTE(MAIN!C554, "0", ""), "1", ""), "2", ""), "3", ""), "4", ""), "5", ""), "6", ""), "7", ""), "8", ""), "9", ""))))</f>
        <v>--</v>
      </c>
      <c r="D554" t="str">
        <f>IF(ISBLANK(MAIN!D554), "--", IF(ISNUMBER(MATCH(SUBSTITUTE(LEFT(MAIN!D554, IFERROR(FIND(",", MAIN!D554)-1, LEN(MAIN!D554))), " ", ""), lookup_values!$B$2:$B$51, 0)), UPPER(SUBSTITUTE(LEFT(MAIN!D554, IFERROR(FIND(",", MAIN!D554)-1, LEN(MAIN!D554))), " ", "")), IF(ISNA(VLOOKUP(SUBSTITUTE(LEFT(MAIN!D554, IFERROR(FIND(",", MAIN!D554)-1, LEN(MAIN!D554))), " ", ""), lookup_values!$A$2:$B$51, 2, FALSE)), "--", VLOOKUP(SUBSTITUTE(LEFT(MAIN!D554, IFERROR(FIND(",", MAIN!D554)-1, LEN(MAIN!D554))), " ", ""), lookup_values!$A$2:$B$51, 2, FALSE))))</f>
        <v>--</v>
      </c>
      <c r="E554" t="str">
        <f>IF(CLEAN_DATA!D554&lt;&gt;"--","US",IF(ISBLANK(MAIN!E554), "--", IF(ISNUMBER(MATCH(SUBSTITUTE(LEFT(MAIN!E554, IFERROR(FIND(",", MAIN!E554)-1, LEN(MAIN!E554))), " ", ""), lookup_values!$E$2:$E$197, 0)), UPPER(SUBSTITUTE(LEFT(MAIN!E554, IFERROR(FIND(",", MAIN!E554)-1, LEN(MAIN!E554))), " ", "")), IF(ISNA(VLOOKUP(SUBSTITUTE(LEFT(MAIN!E554, IFERROR(FIND(",", MAIN!E554)-1, LEN(MAIN!E554))), " ", ""), lookup_values!$D$2:$E$197, 2, FALSE)), "--", VLOOKUP(SUBSTITUTE(LEFT(MAIN!E554, IFERROR(FIND(",", MAIN!E554)-1, LEN(MAIN!E554))), " ", ""), lookup_values!$D$2:$E$197, 2, FALSE)))))</f>
        <v>--</v>
      </c>
      <c r="F554" t="str">
        <f>IF(ISBLANK(MAIN!F554), "", IF(AND(ISNUMBER(VALUE(TRIM(MAIN!F554))), LEN(TRIM(MAIN!F554))=4), VALUE(TRIM(MAIN!F554)), ""))</f>
        <v/>
      </c>
      <c r="G554">
        <f>IF(ISBLANK(MAIN!G554), 0, IF(ISNUMBER(VALUE(TRIM(MAIN!G554))), VALUE(TRIM(MAIN!G554)), 0))</f>
        <v>0</v>
      </c>
      <c r="H554">
        <f>IF(ISBLANK(MAIN!H554), 0, IF(ISNUMBER(VALUE(TRIM(MAIN!H554))), VALUE(TRIM(MAIN!H554)), 0))</f>
        <v>0</v>
      </c>
      <c r="I554">
        <f>IF(ISBLANK(MAIN!I554), 0, IF(ISNUMBER(VALUE(TRIM(MAIN!I554))), VALUE(TRIM(MAIN!I554)), 0))</f>
        <v>0</v>
      </c>
      <c r="J554">
        <f>IF(ISBLANK(MAIN!J554), 0, IF(ISNUMBER(VALUE(TRIM(MAIN!J554))), VALUE(TRIM(MAIN!J554)), 0))</f>
        <v>0</v>
      </c>
      <c r="K554" cm="1">
        <f t="array" ref="K554">IFERROR(
    VALUE(
        IFERROR(
            UPPER(
                IF(MAX(IFERROR(SEARCH("WD",MAIN!G554:J554), 0))&gt;0, "WD",
                IF(MAX(IFERROR(SEARCH("NS",MAIN!G554:J554), 0))&gt;0, "NS",
                IF(MAX(IFERROR(SEARCH("NC",MAIN!G554:J554), 0))&gt;0, "NC",
                IF(MAX(IFERROR(SEARCH("DQ",MAIN!G554:J554), 0))&gt;0, "DQ",
                IF(ISNUMBER(SEARCH("WD",MAIN!K554)), "WD",
                IF(ISNUMBER(SEARCH("NS",MAIN!K554)), "NS",
                IF(ISNUMBER(SEARCH("NC",MAIN!K554)), "NC",
                IF(ISNUMBER(SEARCH("DQ",MAIN!K554)), "DQ",
                IF(ISNUMBER(SEARCH("A",MAIN!K554)), 0,
                IF(OR(MAIN!K554=0,MAIN!K554=""), 0, --TRIM(MAIN!K554)))))))))))),
            0
        )
    ),
    IFERROR(
        UPPER(
            IF(MAX(IFERROR(SEARCH("WD",MAIN!G554:J554), 0))&gt;0, "WD",
            IF(MAX(IFERROR(SEARCH("NS",MAIN!G554:J554), 0))&gt;0, "NS",
            IF(MAX(IFERROR(SEARCH("NC",MAIN!G554:J554), 0))&gt;0, "NC",
            IF(MAX(IFERROR(SEARCH("DQ",MAIN!G554:J554), 0))&gt;0, "DQ",
            IF(ISNUMBER(SEARCH("WD",MAIN!K554)), "WD",
            IF(ISNUMBER(SEARCH("NS",MAIN!K554)), "NS",
            IF(ISNUMBER(SEARCH("NC",MAIN!K554)), "NC",
            IF(ISNUMBER(SEARCH("DQ",MAIN!K554)), "DQ",
            IF(ISNUMBER(SEARCH("A",MAIN!K554)), 0,
            IF(OR(MAIN!K554=0,MAIN!K554=""), 0, --TRIM(MAIN!K554)))))))))))),
        0
    )
)</f>
        <v>0</v>
      </c>
    </row>
    <row r="555" spans="1:11" x14ac:dyDescent="0.25">
      <c r="A555" t="str">
        <f>IF(ISBLANK(MAIN!A555), "--", IFERROR(PROPER(SUBSTITUTE(SUBSTITUTE(SUBSTITUTE(SUBSTITUTE(SUBSTITUTE(SUBSTITUTE(SUBSTITUTE(SUBSTITUTE(SUBSTITUTE(SUBSTITUTE(LEFT(MAIN!A555, FIND(",",MAIN!A555) -1), "0", ""), "1", ""), "2", ""), "3", ""), "4", ""), "5", ""), "6", ""), "7", ""), "8", ""), "9", "")), PROPER(SUBSTITUTE(SUBSTITUTE(SUBSTITUTE(SUBSTITUTE(SUBSTITUTE(SUBSTITUTE(SUBSTITUTE(SUBSTITUTE(SUBSTITUTE(SUBSTITUTE(MAIN!A555, "0", ""), "1", ""), "2", ""), "3", ""), "4", ""), "5", ""), "6", ""), "7", ""), "8", ""), "9", ""))))</f>
        <v>--</v>
      </c>
      <c r="B555" t="str">
        <f>IF(ISBLANK(MAIN!B555), "--", IFERROR(PROPER(SUBSTITUTE(SUBSTITUTE(SUBSTITUTE(SUBSTITUTE(SUBSTITUTE(SUBSTITUTE(SUBSTITUTE(SUBSTITUTE(SUBSTITUTE(SUBSTITUTE(LEFT(MAIN!B555, FIND(",",MAIN!B555) -1), "0", ""), "1", ""), "2", ""), "3", ""), "4", ""), "5", ""), "6", ""), "7", ""), "8", ""), "9", "")), PROPER(SUBSTITUTE(SUBSTITUTE(SUBSTITUTE(SUBSTITUTE(SUBSTITUTE(SUBSTITUTE(SUBSTITUTE(SUBSTITUTE(SUBSTITUTE(SUBSTITUTE(MAIN!B555, "0", ""), "1", ""), "2", ""), "3", ""), "4", ""), "5", ""), "6", ""), "7", ""), "8", ""), "9", ""))))</f>
        <v>--</v>
      </c>
      <c r="C555" t="str">
        <f>IF(ISBLANK(MAIN!C555), "--", IFERROR(PROPER(SUBSTITUTE(SUBSTITUTE(SUBSTITUTE(SUBSTITUTE(SUBSTITUTE(SUBSTITUTE(SUBSTITUTE(SUBSTITUTE(SUBSTITUTE(SUBSTITUTE(LEFT(MAIN!C555, FIND(",",MAIN!C555) -1), "0", ""), "1", ""), "2", ""), "3", ""), "4", ""), "5", ""), "6", ""), "7", ""), "8", ""), "9", "")), PROPER(SUBSTITUTE(SUBSTITUTE(SUBSTITUTE(SUBSTITUTE(SUBSTITUTE(SUBSTITUTE(SUBSTITUTE(SUBSTITUTE(SUBSTITUTE(SUBSTITUTE(MAIN!C555, "0", ""), "1", ""), "2", ""), "3", ""), "4", ""), "5", ""), "6", ""), "7", ""), "8", ""), "9", ""))))</f>
        <v>--</v>
      </c>
      <c r="D555" t="str">
        <f>IF(ISBLANK(MAIN!D555), "--", IF(ISNUMBER(MATCH(SUBSTITUTE(LEFT(MAIN!D555, IFERROR(FIND(",", MAIN!D555)-1, LEN(MAIN!D555))), " ", ""), lookup_values!$B$2:$B$51, 0)), UPPER(SUBSTITUTE(LEFT(MAIN!D555, IFERROR(FIND(",", MAIN!D555)-1, LEN(MAIN!D555))), " ", "")), IF(ISNA(VLOOKUP(SUBSTITUTE(LEFT(MAIN!D555, IFERROR(FIND(",", MAIN!D555)-1, LEN(MAIN!D555))), " ", ""), lookup_values!$A$2:$B$51, 2, FALSE)), "--", VLOOKUP(SUBSTITUTE(LEFT(MAIN!D555, IFERROR(FIND(",", MAIN!D555)-1, LEN(MAIN!D555))), " ", ""), lookup_values!$A$2:$B$51, 2, FALSE))))</f>
        <v>--</v>
      </c>
      <c r="E555" t="str">
        <f>IF(CLEAN_DATA!D555&lt;&gt;"--","US",IF(ISBLANK(MAIN!E555), "--", IF(ISNUMBER(MATCH(SUBSTITUTE(LEFT(MAIN!E555, IFERROR(FIND(",", MAIN!E555)-1, LEN(MAIN!E555))), " ", ""), lookup_values!$E$2:$E$197, 0)), UPPER(SUBSTITUTE(LEFT(MAIN!E555, IFERROR(FIND(",", MAIN!E555)-1, LEN(MAIN!E555))), " ", "")), IF(ISNA(VLOOKUP(SUBSTITUTE(LEFT(MAIN!E555, IFERROR(FIND(",", MAIN!E555)-1, LEN(MAIN!E555))), " ", ""), lookup_values!$D$2:$E$197, 2, FALSE)), "--", VLOOKUP(SUBSTITUTE(LEFT(MAIN!E555, IFERROR(FIND(",", MAIN!E555)-1, LEN(MAIN!E555))), " ", ""), lookup_values!$D$2:$E$197, 2, FALSE)))))</f>
        <v>--</v>
      </c>
      <c r="F555" t="str">
        <f>IF(ISBLANK(MAIN!F555), "", IF(AND(ISNUMBER(VALUE(TRIM(MAIN!F555))), LEN(TRIM(MAIN!F555))=4), VALUE(TRIM(MAIN!F555)), ""))</f>
        <v/>
      </c>
      <c r="G555">
        <f>IF(ISBLANK(MAIN!G555), 0, IF(ISNUMBER(VALUE(TRIM(MAIN!G555))), VALUE(TRIM(MAIN!G555)), 0))</f>
        <v>0</v>
      </c>
      <c r="H555">
        <f>IF(ISBLANK(MAIN!H555), 0, IF(ISNUMBER(VALUE(TRIM(MAIN!H555))), VALUE(TRIM(MAIN!H555)), 0))</f>
        <v>0</v>
      </c>
      <c r="I555">
        <f>IF(ISBLANK(MAIN!I555), 0, IF(ISNUMBER(VALUE(TRIM(MAIN!I555))), VALUE(TRIM(MAIN!I555)), 0))</f>
        <v>0</v>
      </c>
      <c r="J555">
        <f>IF(ISBLANK(MAIN!J555), 0, IF(ISNUMBER(VALUE(TRIM(MAIN!J555))), VALUE(TRIM(MAIN!J555)), 0))</f>
        <v>0</v>
      </c>
      <c r="K555" cm="1">
        <f t="array" ref="K555">IFERROR(
    VALUE(
        IFERROR(
            UPPER(
                IF(MAX(IFERROR(SEARCH("WD",MAIN!G555:J555), 0))&gt;0, "WD",
                IF(MAX(IFERROR(SEARCH("NS",MAIN!G555:J555), 0))&gt;0, "NS",
                IF(MAX(IFERROR(SEARCH("NC",MAIN!G555:J555), 0))&gt;0, "NC",
                IF(MAX(IFERROR(SEARCH("DQ",MAIN!G555:J555), 0))&gt;0, "DQ",
                IF(ISNUMBER(SEARCH("WD",MAIN!K555)), "WD",
                IF(ISNUMBER(SEARCH("NS",MAIN!K555)), "NS",
                IF(ISNUMBER(SEARCH("NC",MAIN!K555)), "NC",
                IF(ISNUMBER(SEARCH("DQ",MAIN!K555)), "DQ",
                IF(ISNUMBER(SEARCH("A",MAIN!K555)), 0,
                IF(OR(MAIN!K555=0,MAIN!K555=""), 0, --TRIM(MAIN!K555)))))))))))),
            0
        )
    ),
    IFERROR(
        UPPER(
            IF(MAX(IFERROR(SEARCH("WD",MAIN!G555:J555), 0))&gt;0, "WD",
            IF(MAX(IFERROR(SEARCH("NS",MAIN!G555:J555), 0))&gt;0, "NS",
            IF(MAX(IFERROR(SEARCH("NC",MAIN!G555:J555), 0))&gt;0, "NC",
            IF(MAX(IFERROR(SEARCH("DQ",MAIN!G555:J555), 0))&gt;0, "DQ",
            IF(ISNUMBER(SEARCH("WD",MAIN!K555)), "WD",
            IF(ISNUMBER(SEARCH("NS",MAIN!K555)), "NS",
            IF(ISNUMBER(SEARCH("NC",MAIN!K555)), "NC",
            IF(ISNUMBER(SEARCH("DQ",MAIN!K555)), "DQ",
            IF(ISNUMBER(SEARCH("A",MAIN!K555)), 0,
            IF(OR(MAIN!K555=0,MAIN!K555=""), 0, --TRIM(MAIN!K555)))))))))))),
        0
    )
)</f>
        <v>0</v>
      </c>
    </row>
    <row r="556" spans="1:11" x14ac:dyDescent="0.25">
      <c r="A556" t="str">
        <f>IF(ISBLANK(MAIN!A556), "--", IFERROR(PROPER(SUBSTITUTE(SUBSTITUTE(SUBSTITUTE(SUBSTITUTE(SUBSTITUTE(SUBSTITUTE(SUBSTITUTE(SUBSTITUTE(SUBSTITUTE(SUBSTITUTE(LEFT(MAIN!A556, FIND(",",MAIN!A556) -1), "0", ""), "1", ""), "2", ""), "3", ""), "4", ""), "5", ""), "6", ""), "7", ""), "8", ""), "9", "")), PROPER(SUBSTITUTE(SUBSTITUTE(SUBSTITUTE(SUBSTITUTE(SUBSTITUTE(SUBSTITUTE(SUBSTITUTE(SUBSTITUTE(SUBSTITUTE(SUBSTITUTE(MAIN!A556, "0", ""), "1", ""), "2", ""), "3", ""), "4", ""), "5", ""), "6", ""), "7", ""), "8", ""), "9", ""))))</f>
        <v>--</v>
      </c>
      <c r="B556" t="str">
        <f>IF(ISBLANK(MAIN!B556), "--", IFERROR(PROPER(SUBSTITUTE(SUBSTITUTE(SUBSTITUTE(SUBSTITUTE(SUBSTITUTE(SUBSTITUTE(SUBSTITUTE(SUBSTITUTE(SUBSTITUTE(SUBSTITUTE(LEFT(MAIN!B556, FIND(",",MAIN!B556) -1), "0", ""), "1", ""), "2", ""), "3", ""), "4", ""), "5", ""), "6", ""), "7", ""), "8", ""), "9", "")), PROPER(SUBSTITUTE(SUBSTITUTE(SUBSTITUTE(SUBSTITUTE(SUBSTITUTE(SUBSTITUTE(SUBSTITUTE(SUBSTITUTE(SUBSTITUTE(SUBSTITUTE(MAIN!B556, "0", ""), "1", ""), "2", ""), "3", ""), "4", ""), "5", ""), "6", ""), "7", ""), "8", ""), "9", ""))))</f>
        <v>--</v>
      </c>
      <c r="C556" t="str">
        <f>IF(ISBLANK(MAIN!C556), "--", IFERROR(PROPER(SUBSTITUTE(SUBSTITUTE(SUBSTITUTE(SUBSTITUTE(SUBSTITUTE(SUBSTITUTE(SUBSTITUTE(SUBSTITUTE(SUBSTITUTE(SUBSTITUTE(LEFT(MAIN!C556, FIND(",",MAIN!C556) -1), "0", ""), "1", ""), "2", ""), "3", ""), "4", ""), "5", ""), "6", ""), "7", ""), "8", ""), "9", "")), PROPER(SUBSTITUTE(SUBSTITUTE(SUBSTITUTE(SUBSTITUTE(SUBSTITUTE(SUBSTITUTE(SUBSTITUTE(SUBSTITUTE(SUBSTITUTE(SUBSTITUTE(MAIN!C556, "0", ""), "1", ""), "2", ""), "3", ""), "4", ""), "5", ""), "6", ""), "7", ""), "8", ""), "9", ""))))</f>
        <v>--</v>
      </c>
      <c r="D556" t="str">
        <f>IF(ISBLANK(MAIN!D556), "--", IF(ISNUMBER(MATCH(SUBSTITUTE(LEFT(MAIN!D556, IFERROR(FIND(",", MAIN!D556)-1, LEN(MAIN!D556))), " ", ""), lookup_values!$B$2:$B$51, 0)), UPPER(SUBSTITUTE(LEFT(MAIN!D556, IFERROR(FIND(",", MAIN!D556)-1, LEN(MAIN!D556))), " ", "")), IF(ISNA(VLOOKUP(SUBSTITUTE(LEFT(MAIN!D556, IFERROR(FIND(",", MAIN!D556)-1, LEN(MAIN!D556))), " ", ""), lookup_values!$A$2:$B$51, 2, FALSE)), "--", VLOOKUP(SUBSTITUTE(LEFT(MAIN!D556, IFERROR(FIND(",", MAIN!D556)-1, LEN(MAIN!D556))), " ", ""), lookup_values!$A$2:$B$51, 2, FALSE))))</f>
        <v>--</v>
      </c>
      <c r="E556" t="str">
        <f>IF(CLEAN_DATA!D556&lt;&gt;"--","US",IF(ISBLANK(MAIN!E556), "--", IF(ISNUMBER(MATCH(SUBSTITUTE(LEFT(MAIN!E556, IFERROR(FIND(",", MAIN!E556)-1, LEN(MAIN!E556))), " ", ""), lookup_values!$E$2:$E$197, 0)), UPPER(SUBSTITUTE(LEFT(MAIN!E556, IFERROR(FIND(",", MAIN!E556)-1, LEN(MAIN!E556))), " ", "")), IF(ISNA(VLOOKUP(SUBSTITUTE(LEFT(MAIN!E556, IFERROR(FIND(",", MAIN!E556)-1, LEN(MAIN!E556))), " ", ""), lookup_values!$D$2:$E$197, 2, FALSE)), "--", VLOOKUP(SUBSTITUTE(LEFT(MAIN!E556, IFERROR(FIND(",", MAIN!E556)-1, LEN(MAIN!E556))), " ", ""), lookup_values!$D$2:$E$197, 2, FALSE)))))</f>
        <v>--</v>
      </c>
      <c r="F556" t="str">
        <f>IF(ISBLANK(MAIN!F556), "", IF(AND(ISNUMBER(VALUE(TRIM(MAIN!F556))), LEN(TRIM(MAIN!F556))=4), VALUE(TRIM(MAIN!F556)), ""))</f>
        <v/>
      </c>
      <c r="G556">
        <f>IF(ISBLANK(MAIN!G556), 0, IF(ISNUMBER(VALUE(TRIM(MAIN!G556))), VALUE(TRIM(MAIN!G556)), 0))</f>
        <v>0</v>
      </c>
      <c r="H556">
        <f>IF(ISBLANK(MAIN!H556), 0, IF(ISNUMBER(VALUE(TRIM(MAIN!H556))), VALUE(TRIM(MAIN!H556)), 0))</f>
        <v>0</v>
      </c>
      <c r="I556">
        <f>IF(ISBLANK(MAIN!I556), 0, IF(ISNUMBER(VALUE(TRIM(MAIN!I556))), VALUE(TRIM(MAIN!I556)), 0))</f>
        <v>0</v>
      </c>
      <c r="J556">
        <f>IF(ISBLANK(MAIN!J556), 0, IF(ISNUMBER(VALUE(TRIM(MAIN!J556))), VALUE(TRIM(MAIN!J556)), 0))</f>
        <v>0</v>
      </c>
      <c r="K556" cm="1">
        <f t="array" ref="K556">IFERROR(
    VALUE(
        IFERROR(
            UPPER(
                IF(MAX(IFERROR(SEARCH("WD",MAIN!G556:J556), 0))&gt;0, "WD",
                IF(MAX(IFERROR(SEARCH("NS",MAIN!G556:J556), 0))&gt;0, "NS",
                IF(MAX(IFERROR(SEARCH("NC",MAIN!G556:J556), 0))&gt;0, "NC",
                IF(MAX(IFERROR(SEARCH("DQ",MAIN!G556:J556), 0))&gt;0, "DQ",
                IF(ISNUMBER(SEARCH("WD",MAIN!K556)), "WD",
                IF(ISNUMBER(SEARCH("NS",MAIN!K556)), "NS",
                IF(ISNUMBER(SEARCH("NC",MAIN!K556)), "NC",
                IF(ISNUMBER(SEARCH("DQ",MAIN!K556)), "DQ",
                IF(ISNUMBER(SEARCH("A",MAIN!K556)), 0,
                IF(OR(MAIN!K556=0,MAIN!K556=""), 0, --TRIM(MAIN!K556)))))))))))),
            0
        )
    ),
    IFERROR(
        UPPER(
            IF(MAX(IFERROR(SEARCH("WD",MAIN!G556:J556), 0))&gt;0, "WD",
            IF(MAX(IFERROR(SEARCH("NS",MAIN!G556:J556), 0))&gt;0, "NS",
            IF(MAX(IFERROR(SEARCH("NC",MAIN!G556:J556), 0))&gt;0, "NC",
            IF(MAX(IFERROR(SEARCH("DQ",MAIN!G556:J556), 0))&gt;0, "DQ",
            IF(ISNUMBER(SEARCH("WD",MAIN!K556)), "WD",
            IF(ISNUMBER(SEARCH("NS",MAIN!K556)), "NS",
            IF(ISNUMBER(SEARCH("NC",MAIN!K556)), "NC",
            IF(ISNUMBER(SEARCH("DQ",MAIN!K556)), "DQ",
            IF(ISNUMBER(SEARCH("A",MAIN!K556)), 0,
            IF(OR(MAIN!K556=0,MAIN!K556=""), 0, --TRIM(MAIN!K556)))))))))))),
        0
    )
)</f>
        <v>0</v>
      </c>
    </row>
    <row r="557" spans="1:11" x14ac:dyDescent="0.25">
      <c r="A557" t="str">
        <f>IF(ISBLANK(MAIN!A557), "--", IFERROR(PROPER(SUBSTITUTE(SUBSTITUTE(SUBSTITUTE(SUBSTITUTE(SUBSTITUTE(SUBSTITUTE(SUBSTITUTE(SUBSTITUTE(SUBSTITUTE(SUBSTITUTE(LEFT(MAIN!A557, FIND(",",MAIN!A557) -1), "0", ""), "1", ""), "2", ""), "3", ""), "4", ""), "5", ""), "6", ""), "7", ""), "8", ""), "9", "")), PROPER(SUBSTITUTE(SUBSTITUTE(SUBSTITUTE(SUBSTITUTE(SUBSTITUTE(SUBSTITUTE(SUBSTITUTE(SUBSTITUTE(SUBSTITUTE(SUBSTITUTE(MAIN!A557, "0", ""), "1", ""), "2", ""), "3", ""), "4", ""), "5", ""), "6", ""), "7", ""), "8", ""), "9", ""))))</f>
        <v>--</v>
      </c>
      <c r="B557" t="str">
        <f>IF(ISBLANK(MAIN!B557), "--", IFERROR(PROPER(SUBSTITUTE(SUBSTITUTE(SUBSTITUTE(SUBSTITUTE(SUBSTITUTE(SUBSTITUTE(SUBSTITUTE(SUBSTITUTE(SUBSTITUTE(SUBSTITUTE(LEFT(MAIN!B557, FIND(",",MAIN!B557) -1), "0", ""), "1", ""), "2", ""), "3", ""), "4", ""), "5", ""), "6", ""), "7", ""), "8", ""), "9", "")), PROPER(SUBSTITUTE(SUBSTITUTE(SUBSTITUTE(SUBSTITUTE(SUBSTITUTE(SUBSTITUTE(SUBSTITUTE(SUBSTITUTE(SUBSTITUTE(SUBSTITUTE(MAIN!B557, "0", ""), "1", ""), "2", ""), "3", ""), "4", ""), "5", ""), "6", ""), "7", ""), "8", ""), "9", ""))))</f>
        <v>--</v>
      </c>
      <c r="C557" t="str">
        <f>IF(ISBLANK(MAIN!C557), "--", IFERROR(PROPER(SUBSTITUTE(SUBSTITUTE(SUBSTITUTE(SUBSTITUTE(SUBSTITUTE(SUBSTITUTE(SUBSTITUTE(SUBSTITUTE(SUBSTITUTE(SUBSTITUTE(LEFT(MAIN!C557, FIND(",",MAIN!C557) -1), "0", ""), "1", ""), "2", ""), "3", ""), "4", ""), "5", ""), "6", ""), "7", ""), "8", ""), "9", "")), PROPER(SUBSTITUTE(SUBSTITUTE(SUBSTITUTE(SUBSTITUTE(SUBSTITUTE(SUBSTITUTE(SUBSTITUTE(SUBSTITUTE(SUBSTITUTE(SUBSTITUTE(MAIN!C557, "0", ""), "1", ""), "2", ""), "3", ""), "4", ""), "5", ""), "6", ""), "7", ""), "8", ""), "9", ""))))</f>
        <v>--</v>
      </c>
      <c r="D557" t="str">
        <f>IF(ISBLANK(MAIN!D557), "--", IF(ISNUMBER(MATCH(SUBSTITUTE(LEFT(MAIN!D557, IFERROR(FIND(",", MAIN!D557)-1, LEN(MAIN!D557))), " ", ""), lookup_values!$B$2:$B$51, 0)), UPPER(SUBSTITUTE(LEFT(MAIN!D557, IFERROR(FIND(",", MAIN!D557)-1, LEN(MAIN!D557))), " ", "")), IF(ISNA(VLOOKUP(SUBSTITUTE(LEFT(MAIN!D557, IFERROR(FIND(",", MAIN!D557)-1, LEN(MAIN!D557))), " ", ""), lookup_values!$A$2:$B$51, 2, FALSE)), "--", VLOOKUP(SUBSTITUTE(LEFT(MAIN!D557, IFERROR(FIND(",", MAIN!D557)-1, LEN(MAIN!D557))), " ", ""), lookup_values!$A$2:$B$51, 2, FALSE))))</f>
        <v>--</v>
      </c>
      <c r="E557" t="str">
        <f>IF(CLEAN_DATA!D557&lt;&gt;"--","US",IF(ISBLANK(MAIN!E557), "--", IF(ISNUMBER(MATCH(SUBSTITUTE(LEFT(MAIN!E557, IFERROR(FIND(",", MAIN!E557)-1, LEN(MAIN!E557))), " ", ""), lookup_values!$E$2:$E$197, 0)), UPPER(SUBSTITUTE(LEFT(MAIN!E557, IFERROR(FIND(",", MAIN!E557)-1, LEN(MAIN!E557))), " ", "")), IF(ISNA(VLOOKUP(SUBSTITUTE(LEFT(MAIN!E557, IFERROR(FIND(",", MAIN!E557)-1, LEN(MAIN!E557))), " ", ""), lookup_values!$D$2:$E$197, 2, FALSE)), "--", VLOOKUP(SUBSTITUTE(LEFT(MAIN!E557, IFERROR(FIND(",", MAIN!E557)-1, LEN(MAIN!E557))), " ", ""), lookup_values!$D$2:$E$197, 2, FALSE)))))</f>
        <v>--</v>
      </c>
      <c r="F557" t="str">
        <f>IF(ISBLANK(MAIN!F557), "", IF(AND(ISNUMBER(VALUE(TRIM(MAIN!F557))), LEN(TRIM(MAIN!F557))=4), VALUE(TRIM(MAIN!F557)), ""))</f>
        <v/>
      </c>
      <c r="G557">
        <f>IF(ISBLANK(MAIN!G557), 0, IF(ISNUMBER(VALUE(TRIM(MAIN!G557))), VALUE(TRIM(MAIN!G557)), 0))</f>
        <v>0</v>
      </c>
      <c r="H557">
        <f>IF(ISBLANK(MAIN!H557), 0, IF(ISNUMBER(VALUE(TRIM(MAIN!H557))), VALUE(TRIM(MAIN!H557)), 0))</f>
        <v>0</v>
      </c>
      <c r="I557">
        <f>IF(ISBLANK(MAIN!I557), 0, IF(ISNUMBER(VALUE(TRIM(MAIN!I557))), VALUE(TRIM(MAIN!I557)), 0))</f>
        <v>0</v>
      </c>
      <c r="J557">
        <f>IF(ISBLANK(MAIN!J557), 0, IF(ISNUMBER(VALUE(TRIM(MAIN!J557))), VALUE(TRIM(MAIN!J557)), 0))</f>
        <v>0</v>
      </c>
      <c r="K557" cm="1">
        <f t="array" ref="K557">IFERROR(
    VALUE(
        IFERROR(
            UPPER(
                IF(MAX(IFERROR(SEARCH("WD",MAIN!G557:J557), 0))&gt;0, "WD",
                IF(MAX(IFERROR(SEARCH("NS",MAIN!G557:J557), 0))&gt;0, "NS",
                IF(MAX(IFERROR(SEARCH("NC",MAIN!G557:J557), 0))&gt;0, "NC",
                IF(MAX(IFERROR(SEARCH("DQ",MAIN!G557:J557), 0))&gt;0, "DQ",
                IF(ISNUMBER(SEARCH("WD",MAIN!K557)), "WD",
                IF(ISNUMBER(SEARCH("NS",MAIN!K557)), "NS",
                IF(ISNUMBER(SEARCH("NC",MAIN!K557)), "NC",
                IF(ISNUMBER(SEARCH("DQ",MAIN!K557)), "DQ",
                IF(ISNUMBER(SEARCH("A",MAIN!K557)), 0,
                IF(OR(MAIN!K557=0,MAIN!K557=""), 0, --TRIM(MAIN!K557)))))))))))),
            0
        )
    ),
    IFERROR(
        UPPER(
            IF(MAX(IFERROR(SEARCH("WD",MAIN!G557:J557), 0))&gt;0, "WD",
            IF(MAX(IFERROR(SEARCH("NS",MAIN!G557:J557), 0))&gt;0, "NS",
            IF(MAX(IFERROR(SEARCH("NC",MAIN!G557:J557), 0))&gt;0, "NC",
            IF(MAX(IFERROR(SEARCH("DQ",MAIN!G557:J557), 0))&gt;0, "DQ",
            IF(ISNUMBER(SEARCH("WD",MAIN!K557)), "WD",
            IF(ISNUMBER(SEARCH("NS",MAIN!K557)), "NS",
            IF(ISNUMBER(SEARCH("NC",MAIN!K557)), "NC",
            IF(ISNUMBER(SEARCH("DQ",MAIN!K557)), "DQ",
            IF(ISNUMBER(SEARCH("A",MAIN!K557)), 0,
            IF(OR(MAIN!K557=0,MAIN!K557=""), 0, --TRIM(MAIN!K557)))))))))))),
        0
    )
)</f>
        <v>0</v>
      </c>
    </row>
    <row r="558" spans="1:11" x14ac:dyDescent="0.25">
      <c r="A558" t="str">
        <f>IF(ISBLANK(MAIN!A558), "--", IFERROR(PROPER(SUBSTITUTE(SUBSTITUTE(SUBSTITUTE(SUBSTITUTE(SUBSTITUTE(SUBSTITUTE(SUBSTITUTE(SUBSTITUTE(SUBSTITUTE(SUBSTITUTE(LEFT(MAIN!A558, FIND(",",MAIN!A558) -1), "0", ""), "1", ""), "2", ""), "3", ""), "4", ""), "5", ""), "6", ""), "7", ""), "8", ""), "9", "")), PROPER(SUBSTITUTE(SUBSTITUTE(SUBSTITUTE(SUBSTITUTE(SUBSTITUTE(SUBSTITUTE(SUBSTITUTE(SUBSTITUTE(SUBSTITUTE(SUBSTITUTE(MAIN!A558, "0", ""), "1", ""), "2", ""), "3", ""), "4", ""), "5", ""), "6", ""), "7", ""), "8", ""), "9", ""))))</f>
        <v>--</v>
      </c>
      <c r="B558" t="str">
        <f>IF(ISBLANK(MAIN!B558), "--", IFERROR(PROPER(SUBSTITUTE(SUBSTITUTE(SUBSTITUTE(SUBSTITUTE(SUBSTITUTE(SUBSTITUTE(SUBSTITUTE(SUBSTITUTE(SUBSTITUTE(SUBSTITUTE(LEFT(MAIN!B558, FIND(",",MAIN!B558) -1), "0", ""), "1", ""), "2", ""), "3", ""), "4", ""), "5", ""), "6", ""), "7", ""), "8", ""), "9", "")), PROPER(SUBSTITUTE(SUBSTITUTE(SUBSTITUTE(SUBSTITUTE(SUBSTITUTE(SUBSTITUTE(SUBSTITUTE(SUBSTITUTE(SUBSTITUTE(SUBSTITUTE(MAIN!B558, "0", ""), "1", ""), "2", ""), "3", ""), "4", ""), "5", ""), "6", ""), "7", ""), "8", ""), "9", ""))))</f>
        <v>--</v>
      </c>
      <c r="C558" t="str">
        <f>IF(ISBLANK(MAIN!C558), "--", IFERROR(PROPER(SUBSTITUTE(SUBSTITUTE(SUBSTITUTE(SUBSTITUTE(SUBSTITUTE(SUBSTITUTE(SUBSTITUTE(SUBSTITUTE(SUBSTITUTE(SUBSTITUTE(LEFT(MAIN!C558, FIND(",",MAIN!C558) -1), "0", ""), "1", ""), "2", ""), "3", ""), "4", ""), "5", ""), "6", ""), "7", ""), "8", ""), "9", "")), PROPER(SUBSTITUTE(SUBSTITUTE(SUBSTITUTE(SUBSTITUTE(SUBSTITUTE(SUBSTITUTE(SUBSTITUTE(SUBSTITUTE(SUBSTITUTE(SUBSTITUTE(MAIN!C558, "0", ""), "1", ""), "2", ""), "3", ""), "4", ""), "5", ""), "6", ""), "7", ""), "8", ""), "9", ""))))</f>
        <v>--</v>
      </c>
      <c r="D558" t="str">
        <f>IF(ISBLANK(MAIN!D558), "--", IF(ISNUMBER(MATCH(SUBSTITUTE(LEFT(MAIN!D558, IFERROR(FIND(",", MAIN!D558)-1, LEN(MAIN!D558))), " ", ""), lookup_values!$B$2:$B$51, 0)), UPPER(SUBSTITUTE(LEFT(MAIN!D558, IFERROR(FIND(",", MAIN!D558)-1, LEN(MAIN!D558))), " ", "")), IF(ISNA(VLOOKUP(SUBSTITUTE(LEFT(MAIN!D558, IFERROR(FIND(",", MAIN!D558)-1, LEN(MAIN!D558))), " ", ""), lookup_values!$A$2:$B$51, 2, FALSE)), "--", VLOOKUP(SUBSTITUTE(LEFT(MAIN!D558, IFERROR(FIND(",", MAIN!D558)-1, LEN(MAIN!D558))), " ", ""), lookup_values!$A$2:$B$51, 2, FALSE))))</f>
        <v>--</v>
      </c>
      <c r="E558" t="str">
        <f>IF(CLEAN_DATA!D558&lt;&gt;"--","US",IF(ISBLANK(MAIN!E558), "--", IF(ISNUMBER(MATCH(SUBSTITUTE(LEFT(MAIN!E558, IFERROR(FIND(",", MAIN!E558)-1, LEN(MAIN!E558))), " ", ""), lookup_values!$E$2:$E$197, 0)), UPPER(SUBSTITUTE(LEFT(MAIN!E558, IFERROR(FIND(",", MAIN!E558)-1, LEN(MAIN!E558))), " ", "")), IF(ISNA(VLOOKUP(SUBSTITUTE(LEFT(MAIN!E558, IFERROR(FIND(",", MAIN!E558)-1, LEN(MAIN!E558))), " ", ""), lookup_values!$D$2:$E$197, 2, FALSE)), "--", VLOOKUP(SUBSTITUTE(LEFT(MAIN!E558, IFERROR(FIND(",", MAIN!E558)-1, LEN(MAIN!E558))), " ", ""), lookup_values!$D$2:$E$197, 2, FALSE)))))</f>
        <v>--</v>
      </c>
      <c r="F558" t="str">
        <f>IF(ISBLANK(MAIN!F558), "", IF(AND(ISNUMBER(VALUE(TRIM(MAIN!F558))), LEN(TRIM(MAIN!F558))=4), VALUE(TRIM(MAIN!F558)), ""))</f>
        <v/>
      </c>
      <c r="G558">
        <f>IF(ISBLANK(MAIN!G558), 0, IF(ISNUMBER(VALUE(TRIM(MAIN!G558))), VALUE(TRIM(MAIN!G558)), 0))</f>
        <v>0</v>
      </c>
      <c r="H558">
        <f>IF(ISBLANK(MAIN!H558), 0, IF(ISNUMBER(VALUE(TRIM(MAIN!H558))), VALUE(TRIM(MAIN!H558)), 0))</f>
        <v>0</v>
      </c>
      <c r="I558">
        <f>IF(ISBLANK(MAIN!I558), 0, IF(ISNUMBER(VALUE(TRIM(MAIN!I558))), VALUE(TRIM(MAIN!I558)), 0))</f>
        <v>0</v>
      </c>
      <c r="J558">
        <f>IF(ISBLANK(MAIN!J558), 0, IF(ISNUMBER(VALUE(TRIM(MAIN!J558))), VALUE(TRIM(MAIN!J558)), 0))</f>
        <v>0</v>
      </c>
      <c r="K558" cm="1">
        <f t="array" ref="K558">IFERROR(
    VALUE(
        IFERROR(
            UPPER(
                IF(MAX(IFERROR(SEARCH("WD",MAIN!G558:J558), 0))&gt;0, "WD",
                IF(MAX(IFERROR(SEARCH("NS",MAIN!G558:J558), 0))&gt;0, "NS",
                IF(MAX(IFERROR(SEARCH("NC",MAIN!G558:J558), 0))&gt;0, "NC",
                IF(MAX(IFERROR(SEARCH("DQ",MAIN!G558:J558), 0))&gt;0, "DQ",
                IF(ISNUMBER(SEARCH("WD",MAIN!K558)), "WD",
                IF(ISNUMBER(SEARCH("NS",MAIN!K558)), "NS",
                IF(ISNUMBER(SEARCH("NC",MAIN!K558)), "NC",
                IF(ISNUMBER(SEARCH("DQ",MAIN!K558)), "DQ",
                IF(ISNUMBER(SEARCH("A",MAIN!K558)), 0,
                IF(OR(MAIN!K558=0,MAIN!K558=""), 0, --TRIM(MAIN!K558)))))))))))),
            0
        )
    ),
    IFERROR(
        UPPER(
            IF(MAX(IFERROR(SEARCH("WD",MAIN!G558:J558), 0))&gt;0, "WD",
            IF(MAX(IFERROR(SEARCH("NS",MAIN!G558:J558), 0))&gt;0, "NS",
            IF(MAX(IFERROR(SEARCH("NC",MAIN!G558:J558), 0))&gt;0, "NC",
            IF(MAX(IFERROR(SEARCH("DQ",MAIN!G558:J558), 0))&gt;0, "DQ",
            IF(ISNUMBER(SEARCH("WD",MAIN!K558)), "WD",
            IF(ISNUMBER(SEARCH("NS",MAIN!K558)), "NS",
            IF(ISNUMBER(SEARCH("NC",MAIN!K558)), "NC",
            IF(ISNUMBER(SEARCH("DQ",MAIN!K558)), "DQ",
            IF(ISNUMBER(SEARCH("A",MAIN!K558)), 0,
            IF(OR(MAIN!K558=0,MAIN!K558=""), 0, --TRIM(MAIN!K558)))))))))))),
        0
    )
)</f>
        <v>0</v>
      </c>
    </row>
    <row r="559" spans="1:11" x14ac:dyDescent="0.25">
      <c r="A559" t="str">
        <f>IF(ISBLANK(MAIN!A559), "--", IFERROR(PROPER(SUBSTITUTE(SUBSTITUTE(SUBSTITUTE(SUBSTITUTE(SUBSTITUTE(SUBSTITUTE(SUBSTITUTE(SUBSTITUTE(SUBSTITUTE(SUBSTITUTE(LEFT(MAIN!A559, FIND(",",MAIN!A559) -1), "0", ""), "1", ""), "2", ""), "3", ""), "4", ""), "5", ""), "6", ""), "7", ""), "8", ""), "9", "")), PROPER(SUBSTITUTE(SUBSTITUTE(SUBSTITUTE(SUBSTITUTE(SUBSTITUTE(SUBSTITUTE(SUBSTITUTE(SUBSTITUTE(SUBSTITUTE(SUBSTITUTE(MAIN!A559, "0", ""), "1", ""), "2", ""), "3", ""), "4", ""), "5", ""), "6", ""), "7", ""), "8", ""), "9", ""))))</f>
        <v>--</v>
      </c>
      <c r="B559" t="str">
        <f>IF(ISBLANK(MAIN!B559), "--", IFERROR(PROPER(SUBSTITUTE(SUBSTITUTE(SUBSTITUTE(SUBSTITUTE(SUBSTITUTE(SUBSTITUTE(SUBSTITUTE(SUBSTITUTE(SUBSTITUTE(SUBSTITUTE(LEFT(MAIN!B559, FIND(",",MAIN!B559) -1), "0", ""), "1", ""), "2", ""), "3", ""), "4", ""), "5", ""), "6", ""), "7", ""), "8", ""), "9", "")), PROPER(SUBSTITUTE(SUBSTITUTE(SUBSTITUTE(SUBSTITUTE(SUBSTITUTE(SUBSTITUTE(SUBSTITUTE(SUBSTITUTE(SUBSTITUTE(SUBSTITUTE(MAIN!B559, "0", ""), "1", ""), "2", ""), "3", ""), "4", ""), "5", ""), "6", ""), "7", ""), "8", ""), "9", ""))))</f>
        <v>--</v>
      </c>
      <c r="C559" t="str">
        <f>IF(ISBLANK(MAIN!C559), "--", IFERROR(PROPER(SUBSTITUTE(SUBSTITUTE(SUBSTITUTE(SUBSTITUTE(SUBSTITUTE(SUBSTITUTE(SUBSTITUTE(SUBSTITUTE(SUBSTITUTE(SUBSTITUTE(LEFT(MAIN!C559, FIND(",",MAIN!C559) -1), "0", ""), "1", ""), "2", ""), "3", ""), "4", ""), "5", ""), "6", ""), "7", ""), "8", ""), "9", "")), PROPER(SUBSTITUTE(SUBSTITUTE(SUBSTITUTE(SUBSTITUTE(SUBSTITUTE(SUBSTITUTE(SUBSTITUTE(SUBSTITUTE(SUBSTITUTE(SUBSTITUTE(MAIN!C559, "0", ""), "1", ""), "2", ""), "3", ""), "4", ""), "5", ""), "6", ""), "7", ""), "8", ""), "9", ""))))</f>
        <v>--</v>
      </c>
      <c r="D559" t="str">
        <f>IF(ISBLANK(MAIN!D559), "--", IF(ISNUMBER(MATCH(SUBSTITUTE(LEFT(MAIN!D559, IFERROR(FIND(",", MAIN!D559)-1, LEN(MAIN!D559))), " ", ""), lookup_values!$B$2:$B$51, 0)), UPPER(SUBSTITUTE(LEFT(MAIN!D559, IFERROR(FIND(",", MAIN!D559)-1, LEN(MAIN!D559))), " ", "")), IF(ISNA(VLOOKUP(SUBSTITUTE(LEFT(MAIN!D559, IFERROR(FIND(",", MAIN!D559)-1, LEN(MAIN!D559))), " ", ""), lookup_values!$A$2:$B$51, 2, FALSE)), "--", VLOOKUP(SUBSTITUTE(LEFT(MAIN!D559, IFERROR(FIND(",", MAIN!D559)-1, LEN(MAIN!D559))), " ", ""), lookup_values!$A$2:$B$51, 2, FALSE))))</f>
        <v>--</v>
      </c>
      <c r="E559" t="str">
        <f>IF(CLEAN_DATA!D559&lt;&gt;"--","US",IF(ISBLANK(MAIN!E559), "--", IF(ISNUMBER(MATCH(SUBSTITUTE(LEFT(MAIN!E559, IFERROR(FIND(",", MAIN!E559)-1, LEN(MAIN!E559))), " ", ""), lookup_values!$E$2:$E$197, 0)), UPPER(SUBSTITUTE(LEFT(MAIN!E559, IFERROR(FIND(",", MAIN!E559)-1, LEN(MAIN!E559))), " ", "")), IF(ISNA(VLOOKUP(SUBSTITUTE(LEFT(MAIN!E559, IFERROR(FIND(",", MAIN!E559)-1, LEN(MAIN!E559))), " ", ""), lookup_values!$D$2:$E$197, 2, FALSE)), "--", VLOOKUP(SUBSTITUTE(LEFT(MAIN!E559, IFERROR(FIND(",", MAIN!E559)-1, LEN(MAIN!E559))), " ", ""), lookup_values!$D$2:$E$197, 2, FALSE)))))</f>
        <v>--</v>
      </c>
      <c r="F559" t="str">
        <f>IF(ISBLANK(MAIN!F559), "", IF(AND(ISNUMBER(VALUE(TRIM(MAIN!F559))), LEN(TRIM(MAIN!F559))=4), VALUE(TRIM(MAIN!F559)), ""))</f>
        <v/>
      </c>
      <c r="G559">
        <f>IF(ISBLANK(MAIN!G559), 0, IF(ISNUMBER(VALUE(TRIM(MAIN!G559))), VALUE(TRIM(MAIN!G559)), 0))</f>
        <v>0</v>
      </c>
      <c r="H559">
        <f>IF(ISBLANK(MAIN!H559), 0, IF(ISNUMBER(VALUE(TRIM(MAIN!H559))), VALUE(TRIM(MAIN!H559)), 0))</f>
        <v>0</v>
      </c>
      <c r="I559">
        <f>IF(ISBLANK(MAIN!I559), 0, IF(ISNUMBER(VALUE(TRIM(MAIN!I559))), VALUE(TRIM(MAIN!I559)), 0))</f>
        <v>0</v>
      </c>
      <c r="J559">
        <f>IF(ISBLANK(MAIN!J559), 0, IF(ISNUMBER(VALUE(TRIM(MAIN!J559))), VALUE(TRIM(MAIN!J559)), 0))</f>
        <v>0</v>
      </c>
      <c r="K559" cm="1">
        <f t="array" ref="K559">IFERROR(
    VALUE(
        IFERROR(
            UPPER(
                IF(MAX(IFERROR(SEARCH("WD",MAIN!G559:J559), 0))&gt;0, "WD",
                IF(MAX(IFERROR(SEARCH("NS",MAIN!G559:J559), 0))&gt;0, "NS",
                IF(MAX(IFERROR(SEARCH("NC",MAIN!G559:J559), 0))&gt;0, "NC",
                IF(MAX(IFERROR(SEARCH("DQ",MAIN!G559:J559), 0))&gt;0, "DQ",
                IF(ISNUMBER(SEARCH("WD",MAIN!K559)), "WD",
                IF(ISNUMBER(SEARCH("NS",MAIN!K559)), "NS",
                IF(ISNUMBER(SEARCH("NC",MAIN!K559)), "NC",
                IF(ISNUMBER(SEARCH("DQ",MAIN!K559)), "DQ",
                IF(ISNUMBER(SEARCH("A",MAIN!K559)), 0,
                IF(OR(MAIN!K559=0,MAIN!K559=""), 0, --TRIM(MAIN!K559)))))))))))),
            0
        )
    ),
    IFERROR(
        UPPER(
            IF(MAX(IFERROR(SEARCH("WD",MAIN!G559:J559), 0))&gt;0, "WD",
            IF(MAX(IFERROR(SEARCH("NS",MAIN!G559:J559), 0))&gt;0, "NS",
            IF(MAX(IFERROR(SEARCH("NC",MAIN!G559:J559), 0))&gt;0, "NC",
            IF(MAX(IFERROR(SEARCH("DQ",MAIN!G559:J559), 0))&gt;0, "DQ",
            IF(ISNUMBER(SEARCH("WD",MAIN!K559)), "WD",
            IF(ISNUMBER(SEARCH("NS",MAIN!K559)), "NS",
            IF(ISNUMBER(SEARCH("NC",MAIN!K559)), "NC",
            IF(ISNUMBER(SEARCH("DQ",MAIN!K559)), "DQ",
            IF(ISNUMBER(SEARCH("A",MAIN!K559)), 0,
            IF(OR(MAIN!K559=0,MAIN!K559=""), 0, --TRIM(MAIN!K559)))))))))))),
        0
    )
)</f>
        <v>0</v>
      </c>
    </row>
    <row r="560" spans="1:11" x14ac:dyDescent="0.25">
      <c r="A560" t="str">
        <f>IF(ISBLANK(MAIN!A560), "--", IFERROR(PROPER(SUBSTITUTE(SUBSTITUTE(SUBSTITUTE(SUBSTITUTE(SUBSTITUTE(SUBSTITUTE(SUBSTITUTE(SUBSTITUTE(SUBSTITUTE(SUBSTITUTE(LEFT(MAIN!A560, FIND(",",MAIN!A560) -1), "0", ""), "1", ""), "2", ""), "3", ""), "4", ""), "5", ""), "6", ""), "7", ""), "8", ""), "9", "")), PROPER(SUBSTITUTE(SUBSTITUTE(SUBSTITUTE(SUBSTITUTE(SUBSTITUTE(SUBSTITUTE(SUBSTITUTE(SUBSTITUTE(SUBSTITUTE(SUBSTITUTE(MAIN!A560, "0", ""), "1", ""), "2", ""), "3", ""), "4", ""), "5", ""), "6", ""), "7", ""), "8", ""), "9", ""))))</f>
        <v>--</v>
      </c>
      <c r="B560" t="str">
        <f>IF(ISBLANK(MAIN!B560), "--", IFERROR(PROPER(SUBSTITUTE(SUBSTITUTE(SUBSTITUTE(SUBSTITUTE(SUBSTITUTE(SUBSTITUTE(SUBSTITUTE(SUBSTITUTE(SUBSTITUTE(SUBSTITUTE(LEFT(MAIN!B560, FIND(",",MAIN!B560) -1), "0", ""), "1", ""), "2", ""), "3", ""), "4", ""), "5", ""), "6", ""), "7", ""), "8", ""), "9", "")), PROPER(SUBSTITUTE(SUBSTITUTE(SUBSTITUTE(SUBSTITUTE(SUBSTITUTE(SUBSTITUTE(SUBSTITUTE(SUBSTITUTE(SUBSTITUTE(SUBSTITUTE(MAIN!B560, "0", ""), "1", ""), "2", ""), "3", ""), "4", ""), "5", ""), "6", ""), "7", ""), "8", ""), "9", ""))))</f>
        <v>--</v>
      </c>
      <c r="C560" t="str">
        <f>IF(ISBLANK(MAIN!C560), "--", IFERROR(PROPER(SUBSTITUTE(SUBSTITUTE(SUBSTITUTE(SUBSTITUTE(SUBSTITUTE(SUBSTITUTE(SUBSTITUTE(SUBSTITUTE(SUBSTITUTE(SUBSTITUTE(LEFT(MAIN!C560, FIND(",",MAIN!C560) -1), "0", ""), "1", ""), "2", ""), "3", ""), "4", ""), "5", ""), "6", ""), "7", ""), "8", ""), "9", "")), PROPER(SUBSTITUTE(SUBSTITUTE(SUBSTITUTE(SUBSTITUTE(SUBSTITUTE(SUBSTITUTE(SUBSTITUTE(SUBSTITUTE(SUBSTITUTE(SUBSTITUTE(MAIN!C560, "0", ""), "1", ""), "2", ""), "3", ""), "4", ""), "5", ""), "6", ""), "7", ""), "8", ""), "9", ""))))</f>
        <v>--</v>
      </c>
      <c r="D560" t="str">
        <f>IF(ISBLANK(MAIN!D560), "--", IF(ISNUMBER(MATCH(SUBSTITUTE(LEFT(MAIN!D560, IFERROR(FIND(",", MAIN!D560)-1, LEN(MAIN!D560))), " ", ""), lookup_values!$B$2:$B$51, 0)), UPPER(SUBSTITUTE(LEFT(MAIN!D560, IFERROR(FIND(",", MAIN!D560)-1, LEN(MAIN!D560))), " ", "")), IF(ISNA(VLOOKUP(SUBSTITUTE(LEFT(MAIN!D560, IFERROR(FIND(",", MAIN!D560)-1, LEN(MAIN!D560))), " ", ""), lookup_values!$A$2:$B$51, 2, FALSE)), "--", VLOOKUP(SUBSTITUTE(LEFT(MAIN!D560, IFERROR(FIND(",", MAIN!D560)-1, LEN(MAIN!D560))), " ", ""), lookup_values!$A$2:$B$51, 2, FALSE))))</f>
        <v>--</v>
      </c>
      <c r="E560" t="str">
        <f>IF(CLEAN_DATA!D560&lt;&gt;"--","US",IF(ISBLANK(MAIN!E560), "--", IF(ISNUMBER(MATCH(SUBSTITUTE(LEFT(MAIN!E560, IFERROR(FIND(",", MAIN!E560)-1, LEN(MAIN!E560))), " ", ""), lookup_values!$E$2:$E$197, 0)), UPPER(SUBSTITUTE(LEFT(MAIN!E560, IFERROR(FIND(",", MAIN!E560)-1, LEN(MAIN!E560))), " ", "")), IF(ISNA(VLOOKUP(SUBSTITUTE(LEFT(MAIN!E560, IFERROR(FIND(",", MAIN!E560)-1, LEN(MAIN!E560))), " ", ""), lookup_values!$D$2:$E$197, 2, FALSE)), "--", VLOOKUP(SUBSTITUTE(LEFT(MAIN!E560, IFERROR(FIND(",", MAIN!E560)-1, LEN(MAIN!E560))), " ", ""), lookup_values!$D$2:$E$197, 2, FALSE)))))</f>
        <v>--</v>
      </c>
      <c r="F560" t="str">
        <f>IF(ISBLANK(MAIN!F560), "", IF(AND(ISNUMBER(VALUE(TRIM(MAIN!F560))), LEN(TRIM(MAIN!F560))=4), VALUE(TRIM(MAIN!F560)), ""))</f>
        <v/>
      </c>
      <c r="G560">
        <f>IF(ISBLANK(MAIN!G560), 0, IF(ISNUMBER(VALUE(TRIM(MAIN!G560))), VALUE(TRIM(MAIN!G560)), 0))</f>
        <v>0</v>
      </c>
      <c r="H560">
        <f>IF(ISBLANK(MAIN!H560), 0, IF(ISNUMBER(VALUE(TRIM(MAIN!H560))), VALUE(TRIM(MAIN!H560)), 0))</f>
        <v>0</v>
      </c>
      <c r="I560">
        <f>IF(ISBLANK(MAIN!I560), 0, IF(ISNUMBER(VALUE(TRIM(MAIN!I560))), VALUE(TRIM(MAIN!I560)), 0))</f>
        <v>0</v>
      </c>
      <c r="J560">
        <f>IF(ISBLANK(MAIN!J560), 0, IF(ISNUMBER(VALUE(TRIM(MAIN!J560))), VALUE(TRIM(MAIN!J560)), 0))</f>
        <v>0</v>
      </c>
      <c r="K560" cm="1">
        <f t="array" ref="K560">IFERROR(
    VALUE(
        IFERROR(
            UPPER(
                IF(MAX(IFERROR(SEARCH("WD",MAIN!G560:J560), 0))&gt;0, "WD",
                IF(MAX(IFERROR(SEARCH("NS",MAIN!G560:J560), 0))&gt;0, "NS",
                IF(MAX(IFERROR(SEARCH("NC",MAIN!G560:J560), 0))&gt;0, "NC",
                IF(MAX(IFERROR(SEARCH("DQ",MAIN!G560:J560), 0))&gt;0, "DQ",
                IF(ISNUMBER(SEARCH("WD",MAIN!K560)), "WD",
                IF(ISNUMBER(SEARCH("NS",MAIN!K560)), "NS",
                IF(ISNUMBER(SEARCH("NC",MAIN!K560)), "NC",
                IF(ISNUMBER(SEARCH("DQ",MAIN!K560)), "DQ",
                IF(ISNUMBER(SEARCH("A",MAIN!K560)), 0,
                IF(OR(MAIN!K560=0,MAIN!K560=""), 0, --TRIM(MAIN!K560)))))))))))),
            0
        )
    ),
    IFERROR(
        UPPER(
            IF(MAX(IFERROR(SEARCH("WD",MAIN!G560:J560), 0))&gt;0, "WD",
            IF(MAX(IFERROR(SEARCH("NS",MAIN!G560:J560), 0))&gt;0, "NS",
            IF(MAX(IFERROR(SEARCH("NC",MAIN!G560:J560), 0))&gt;0, "NC",
            IF(MAX(IFERROR(SEARCH("DQ",MAIN!G560:J560), 0))&gt;0, "DQ",
            IF(ISNUMBER(SEARCH("WD",MAIN!K560)), "WD",
            IF(ISNUMBER(SEARCH("NS",MAIN!K560)), "NS",
            IF(ISNUMBER(SEARCH("NC",MAIN!K560)), "NC",
            IF(ISNUMBER(SEARCH("DQ",MAIN!K560)), "DQ",
            IF(ISNUMBER(SEARCH("A",MAIN!K560)), 0,
            IF(OR(MAIN!K560=0,MAIN!K560=""), 0, --TRIM(MAIN!K560)))))))))))),
        0
    )
)</f>
        <v>0</v>
      </c>
    </row>
    <row r="561" spans="1:11" x14ac:dyDescent="0.25">
      <c r="A561" t="str">
        <f>IF(ISBLANK(MAIN!A561), "--", IFERROR(PROPER(SUBSTITUTE(SUBSTITUTE(SUBSTITUTE(SUBSTITUTE(SUBSTITUTE(SUBSTITUTE(SUBSTITUTE(SUBSTITUTE(SUBSTITUTE(SUBSTITUTE(LEFT(MAIN!A561, FIND(",",MAIN!A561) -1), "0", ""), "1", ""), "2", ""), "3", ""), "4", ""), "5", ""), "6", ""), "7", ""), "8", ""), "9", "")), PROPER(SUBSTITUTE(SUBSTITUTE(SUBSTITUTE(SUBSTITUTE(SUBSTITUTE(SUBSTITUTE(SUBSTITUTE(SUBSTITUTE(SUBSTITUTE(SUBSTITUTE(MAIN!A561, "0", ""), "1", ""), "2", ""), "3", ""), "4", ""), "5", ""), "6", ""), "7", ""), "8", ""), "9", ""))))</f>
        <v>--</v>
      </c>
      <c r="B561" t="str">
        <f>IF(ISBLANK(MAIN!B561), "--", IFERROR(PROPER(SUBSTITUTE(SUBSTITUTE(SUBSTITUTE(SUBSTITUTE(SUBSTITUTE(SUBSTITUTE(SUBSTITUTE(SUBSTITUTE(SUBSTITUTE(SUBSTITUTE(LEFT(MAIN!B561, FIND(",",MAIN!B561) -1), "0", ""), "1", ""), "2", ""), "3", ""), "4", ""), "5", ""), "6", ""), "7", ""), "8", ""), "9", "")), PROPER(SUBSTITUTE(SUBSTITUTE(SUBSTITUTE(SUBSTITUTE(SUBSTITUTE(SUBSTITUTE(SUBSTITUTE(SUBSTITUTE(SUBSTITUTE(SUBSTITUTE(MAIN!B561, "0", ""), "1", ""), "2", ""), "3", ""), "4", ""), "5", ""), "6", ""), "7", ""), "8", ""), "9", ""))))</f>
        <v>--</v>
      </c>
      <c r="C561" t="str">
        <f>IF(ISBLANK(MAIN!C561), "--", IFERROR(PROPER(SUBSTITUTE(SUBSTITUTE(SUBSTITUTE(SUBSTITUTE(SUBSTITUTE(SUBSTITUTE(SUBSTITUTE(SUBSTITUTE(SUBSTITUTE(SUBSTITUTE(LEFT(MAIN!C561, FIND(",",MAIN!C561) -1), "0", ""), "1", ""), "2", ""), "3", ""), "4", ""), "5", ""), "6", ""), "7", ""), "8", ""), "9", "")), PROPER(SUBSTITUTE(SUBSTITUTE(SUBSTITUTE(SUBSTITUTE(SUBSTITUTE(SUBSTITUTE(SUBSTITUTE(SUBSTITUTE(SUBSTITUTE(SUBSTITUTE(MAIN!C561, "0", ""), "1", ""), "2", ""), "3", ""), "4", ""), "5", ""), "6", ""), "7", ""), "8", ""), "9", ""))))</f>
        <v>--</v>
      </c>
      <c r="D561" t="str">
        <f>IF(ISBLANK(MAIN!D561), "--", IF(ISNUMBER(MATCH(SUBSTITUTE(LEFT(MAIN!D561, IFERROR(FIND(",", MAIN!D561)-1, LEN(MAIN!D561))), " ", ""), lookup_values!$B$2:$B$51, 0)), UPPER(SUBSTITUTE(LEFT(MAIN!D561, IFERROR(FIND(",", MAIN!D561)-1, LEN(MAIN!D561))), " ", "")), IF(ISNA(VLOOKUP(SUBSTITUTE(LEFT(MAIN!D561, IFERROR(FIND(",", MAIN!D561)-1, LEN(MAIN!D561))), " ", ""), lookup_values!$A$2:$B$51, 2, FALSE)), "--", VLOOKUP(SUBSTITUTE(LEFT(MAIN!D561, IFERROR(FIND(",", MAIN!D561)-1, LEN(MAIN!D561))), " ", ""), lookup_values!$A$2:$B$51, 2, FALSE))))</f>
        <v>--</v>
      </c>
      <c r="E561" t="str">
        <f>IF(CLEAN_DATA!D561&lt;&gt;"--","US",IF(ISBLANK(MAIN!E561), "--", IF(ISNUMBER(MATCH(SUBSTITUTE(LEFT(MAIN!E561, IFERROR(FIND(",", MAIN!E561)-1, LEN(MAIN!E561))), " ", ""), lookup_values!$E$2:$E$197, 0)), UPPER(SUBSTITUTE(LEFT(MAIN!E561, IFERROR(FIND(",", MAIN!E561)-1, LEN(MAIN!E561))), " ", "")), IF(ISNA(VLOOKUP(SUBSTITUTE(LEFT(MAIN!E561, IFERROR(FIND(",", MAIN!E561)-1, LEN(MAIN!E561))), " ", ""), lookup_values!$D$2:$E$197, 2, FALSE)), "--", VLOOKUP(SUBSTITUTE(LEFT(MAIN!E561, IFERROR(FIND(",", MAIN!E561)-1, LEN(MAIN!E561))), " ", ""), lookup_values!$D$2:$E$197, 2, FALSE)))))</f>
        <v>--</v>
      </c>
      <c r="F561" t="str">
        <f>IF(ISBLANK(MAIN!F561), "", IF(AND(ISNUMBER(VALUE(TRIM(MAIN!F561))), LEN(TRIM(MAIN!F561))=4), VALUE(TRIM(MAIN!F561)), ""))</f>
        <v/>
      </c>
      <c r="G561">
        <f>IF(ISBLANK(MAIN!G561), 0, IF(ISNUMBER(VALUE(TRIM(MAIN!G561))), VALUE(TRIM(MAIN!G561)), 0))</f>
        <v>0</v>
      </c>
      <c r="H561">
        <f>IF(ISBLANK(MAIN!H561), 0, IF(ISNUMBER(VALUE(TRIM(MAIN!H561))), VALUE(TRIM(MAIN!H561)), 0))</f>
        <v>0</v>
      </c>
      <c r="I561">
        <f>IF(ISBLANK(MAIN!I561), 0, IF(ISNUMBER(VALUE(TRIM(MAIN!I561))), VALUE(TRIM(MAIN!I561)), 0))</f>
        <v>0</v>
      </c>
      <c r="J561">
        <f>IF(ISBLANK(MAIN!J561), 0, IF(ISNUMBER(VALUE(TRIM(MAIN!J561))), VALUE(TRIM(MAIN!J561)), 0))</f>
        <v>0</v>
      </c>
      <c r="K561" cm="1">
        <f t="array" ref="K561">IFERROR(
    VALUE(
        IFERROR(
            UPPER(
                IF(MAX(IFERROR(SEARCH("WD",MAIN!G561:J561), 0))&gt;0, "WD",
                IF(MAX(IFERROR(SEARCH("NS",MAIN!G561:J561), 0))&gt;0, "NS",
                IF(MAX(IFERROR(SEARCH("NC",MAIN!G561:J561), 0))&gt;0, "NC",
                IF(MAX(IFERROR(SEARCH("DQ",MAIN!G561:J561), 0))&gt;0, "DQ",
                IF(ISNUMBER(SEARCH("WD",MAIN!K561)), "WD",
                IF(ISNUMBER(SEARCH("NS",MAIN!K561)), "NS",
                IF(ISNUMBER(SEARCH("NC",MAIN!K561)), "NC",
                IF(ISNUMBER(SEARCH("DQ",MAIN!K561)), "DQ",
                IF(ISNUMBER(SEARCH("A",MAIN!K561)), 0,
                IF(OR(MAIN!K561=0,MAIN!K561=""), 0, --TRIM(MAIN!K561)))))))))))),
            0
        )
    ),
    IFERROR(
        UPPER(
            IF(MAX(IFERROR(SEARCH("WD",MAIN!G561:J561), 0))&gt;0, "WD",
            IF(MAX(IFERROR(SEARCH("NS",MAIN!G561:J561), 0))&gt;0, "NS",
            IF(MAX(IFERROR(SEARCH("NC",MAIN!G561:J561), 0))&gt;0, "NC",
            IF(MAX(IFERROR(SEARCH("DQ",MAIN!G561:J561), 0))&gt;0, "DQ",
            IF(ISNUMBER(SEARCH("WD",MAIN!K561)), "WD",
            IF(ISNUMBER(SEARCH("NS",MAIN!K561)), "NS",
            IF(ISNUMBER(SEARCH("NC",MAIN!K561)), "NC",
            IF(ISNUMBER(SEARCH("DQ",MAIN!K561)), "DQ",
            IF(ISNUMBER(SEARCH("A",MAIN!K561)), 0,
            IF(OR(MAIN!K561=0,MAIN!K561=""), 0, --TRIM(MAIN!K561)))))))))))),
        0
    )
)</f>
        <v>0</v>
      </c>
    </row>
    <row r="562" spans="1:11" x14ac:dyDescent="0.25">
      <c r="A562" t="str">
        <f>IF(ISBLANK(MAIN!A562), "--", IFERROR(PROPER(SUBSTITUTE(SUBSTITUTE(SUBSTITUTE(SUBSTITUTE(SUBSTITUTE(SUBSTITUTE(SUBSTITUTE(SUBSTITUTE(SUBSTITUTE(SUBSTITUTE(LEFT(MAIN!A562, FIND(",",MAIN!A562) -1), "0", ""), "1", ""), "2", ""), "3", ""), "4", ""), "5", ""), "6", ""), "7", ""), "8", ""), "9", "")), PROPER(SUBSTITUTE(SUBSTITUTE(SUBSTITUTE(SUBSTITUTE(SUBSTITUTE(SUBSTITUTE(SUBSTITUTE(SUBSTITUTE(SUBSTITUTE(SUBSTITUTE(MAIN!A562, "0", ""), "1", ""), "2", ""), "3", ""), "4", ""), "5", ""), "6", ""), "7", ""), "8", ""), "9", ""))))</f>
        <v>--</v>
      </c>
      <c r="B562" t="str">
        <f>IF(ISBLANK(MAIN!B562), "--", IFERROR(PROPER(SUBSTITUTE(SUBSTITUTE(SUBSTITUTE(SUBSTITUTE(SUBSTITUTE(SUBSTITUTE(SUBSTITUTE(SUBSTITUTE(SUBSTITUTE(SUBSTITUTE(LEFT(MAIN!B562, FIND(",",MAIN!B562) -1), "0", ""), "1", ""), "2", ""), "3", ""), "4", ""), "5", ""), "6", ""), "7", ""), "8", ""), "9", "")), PROPER(SUBSTITUTE(SUBSTITUTE(SUBSTITUTE(SUBSTITUTE(SUBSTITUTE(SUBSTITUTE(SUBSTITUTE(SUBSTITUTE(SUBSTITUTE(SUBSTITUTE(MAIN!B562, "0", ""), "1", ""), "2", ""), "3", ""), "4", ""), "5", ""), "6", ""), "7", ""), "8", ""), "9", ""))))</f>
        <v>--</v>
      </c>
      <c r="C562" t="str">
        <f>IF(ISBLANK(MAIN!C562), "--", IFERROR(PROPER(SUBSTITUTE(SUBSTITUTE(SUBSTITUTE(SUBSTITUTE(SUBSTITUTE(SUBSTITUTE(SUBSTITUTE(SUBSTITUTE(SUBSTITUTE(SUBSTITUTE(LEFT(MAIN!C562, FIND(",",MAIN!C562) -1), "0", ""), "1", ""), "2", ""), "3", ""), "4", ""), "5", ""), "6", ""), "7", ""), "8", ""), "9", "")), PROPER(SUBSTITUTE(SUBSTITUTE(SUBSTITUTE(SUBSTITUTE(SUBSTITUTE(SUBSTITUTE(SUBSTITUTE(SUBSTITUTE(SUBSTITUTE(SUBSTITUTE(MAIN!C562, "0", ""), "1", ""), "2", ""), "3", ""), "4", ""), "5", ""), "6", ""), "7", ""), "8", ""), "9", ""))))</f>
        <v>--</v>
      </c>
      <c r="D562" t="str">
        <f>IF(ISBLANK(MAIN!D562), "--", IF(ISNUMBER(MATCH(SUBSTITUTE(LEFT(MAIN!D562, IFERROR(FIND(",", MAIN!D562)-1, LEN(MAIN!D562))), " ", ""), lookup_values!$B$2:$B$51, 0)), UPPER(SUBSTITUTE(LEFT(MAIN!D562, IFERROR(FIND(",", MAIN!D562)-1, LEN(MAIN!D562))), " ", "")), IF(ISNA(VLOOKUP(SUBSTITUTE(LEFT(MAIN!D562, IFERROR(FIND(",", MAIN!D562)-1, LEN(MAIN!D562))), " ", ""), lookup_values!$A$2:$B$51, 2, FALSE)), "--", VLOOKUP(SUBSTITUTE(LEFT(MAIN!D562, IFERROR(FIND(",", MAIN!D562)-1, LEN(MAIN!D562))), " ", ""), lookup_values!$A$2:$B$51, 2, FALSE))))</f>
        <v>--</v>
      </c>
      <c r="E562" t="str">
        <f>IF(CLEAN_DATA!D562&lt;&gt;"--","US",IF(ISBLANK(MAIN!E562), "--", IF(ISNUMBER(MATCH(SUBSTITUTE(LEFT(MAIN!E562, IFERROR(FIND(",", MAIN!E562)-1, LEN(MAIN!E562))), " ", ""), lookup_values!$E$2:$E$197, 0)), UPPER(SUBSTITUTE(LEFT(MAIN!E562, IFERROR(FIND(",", MAIN!E562)-1, LEN(MAIN!E562))), " ", "")), IF(ISNA(VLOOKUP(SUBSTITUTE(LEFT(MAIN!E562, IFERROR(FIND(",", MAIN!E562)-1, LEN(MAIN!E562))), " ", ""), lookup_values!$D$2:$E$197, 2, FALSE)), "--", VLOOKUP(SUBSTITUTE(LEFT(MAIN!E562, IFERROR(FIND(",", MAIN!E562)-1, LEN(MAIN!E562))), " ", ""), lookup_values!$D$2:$E$197, 2, FALSE)))))</f>
        <v>--</v>
      </c>
      <c r="F562" t="str">
        <f>IF(ISBLANK(MAIN!F562), "", IF(AND(ISNUMBER(VALUE(TRIM(MAIN!F562))), LEN(TRIM(MAIN!F562))=4), VALUE(TRIM(MAIN!F562)), ""))</f>
        <v/>
      </c>
      <c r="G562">
        <f>IF(ISBLANK(MAIN!G562), 0, IF(ISNUMBER(VALUE(TRIM(MAIN!G562))), VALUE(TRIM(MAIN!G562)), 0))</f>
        <v>0</v>
      </c>
      <c r="H562">
        <f>IF(ISBLANK(MAIN!H562), 0, IF(ISNUMBER(VALUE(TRIM(MAIN!H562))), VALUE(TRIM(MAIN!H562)), 0))</f>
        <v>0</v>
      </c>
      <c r="I562">
        <f>IF(ISBLANK(MAIN!I562), 0, IF(ISNUMBER(VALUE(TRIM(MAIN!I562))), VALUE(TRIM(MAIN!I562)), 0))</f>
        <v>0</v>
      </c>
      <c r="J562">
        <f>IF(ISBLANK(MAIN!J562), 0, IF(ISNUMBER(VALUE(TRIM(MAIN!J562))), VALUE(TRIM(MAIN!J562)), 0))</f>
        <v>0</v>
      </c>
      <c r="K562" cm="1">
        <f t="array" ref="K562">IFERROR(
    VALUE(
        IFERROR(
            UPPER(
                IF(MAX(IFERROR(SEARCH("WD",MAIN!G562:J562), 0))&gt;0, "WD",
                IF(MAX(IFERROR(SEARCH("NS",MAIN!G562:J562), 0))&gt;0, "NS",
                IF(MAX(IFERROR(SEARCH("NC",MAIN!G562:J562), 0))&gt;0, "NC",
                IF(MAX(IFERROR(SEARCH("DQ",MAIN!G562:J562), 0))&gt;0, "DQ",
                IF(ISNUMBER(SEARCH("WD",MAIN!K562)), "WD",
                IF(ISNUMBER(SEARCH("NS",MAIN!K562)), "NS",
                IF(ISNUMBER(SEARCH("NC",MAIN!K562)), "NC",
                IF(ISNUMBER(SEARCH("DQ",MAIN!K562)), "DQ",
                IF(ISNUMBER(SEARCH("A",MAIN!K562)), 0,
                IF(OR(MAIN!K562=0,MAIN!K562=""), 0, --TRIM(MAIN!K562)))))))))))),
            0
        )
    ),
    IFERROR(
        UPPER(
            IF(MAX(IFERROR(SEARCH("WD",MAIN!G562:J562), 0))&gt;0, "WD",
            IF(MAX(IFERROR(SEARCH("NS",MAIN!G562:J562), 0))&gt;0, "NS",
            IF(MAX(IFERROR(SEARCH("NC",MAIN!G562:J562), 0))&gt;0, "NC",
            IF(MAX(IFERROR(SEARCH("DQ",MAIN!G562:J562), 0))&gt;0, "DQ",
            IF(ISNUMBER(SEARCH("WD",MAIN!K562)), "WD",
            IF(ISNUMBER(SEARCH("NS",MAIN!K562)), "NS",
            IF(ISNUMBER(SEARCH("NC",MAIN!K562)), "NC",
            IF(ISNUMBER(SEARCH("DQ",MAIN!K562)), "DQ",
            IF(ISNUMBER(SEARCH("A",MAIN!K562)), 0,
            IF(OR(MAIN!K562=0,MAIN!K562=""), 0, --TRIM(MAIN!K562)))))))))))),
        0
    )
)</f>
        <v>0</v>
      </c>
    </row>
    <row r="563" spans="1:11" x14ac:dyDescent="0.25">
      <c r="A563" t="str">
        <f>IF(ISBLANK(MAIN!A563), "--", IFERROR(PROPER(SUBSTITUTE(SUBSTITUTE(SUBSTITUTE(SUBSTITUTE(SUBSTITUTE(SUBSTITUTE(SUBSTITUTE(SUBSTITUTE(SUBSTITUTE(SUBSTITUTE(LEFT(MAIN!A563, FIND(",",MAIN!A563) -1), "0", ""), "1", ""), "2", ""), "3", ""), "4", ""), "5", ""), "6", ""), "7", ""), "8", ""), "9", "")), PROPER(SUBSTITUTE(SUBSTITUTE(SUBSTITUTE(SUBSTITUTE(SUBSTITUTE(SUBSTITUTE(SUBSTITUTE(SUBSTITUTE(SUBSTITUTE(SUBSTITUTE(MAIN!A563, "0", ""), "1", ""), "2", ""), "3", ""), "4", ""), "5", ""), "6", ""), "7", ""), "8", ""), "9", ""))))</f>
        <v>--</v>
      </c>
      <c r="B563" t="str">
        <f>IF(ISBLANK(MAIN!B563), "--", IFERROR(PROPER(SUBSTITUTE(SUBSTITUTE(SUBSTITUTE(SUBSTITUTE(SUBSTITUTE(SUBSTITUTE(SUBSTITUTE(SUBSTITUTE(SUBSTITUTE(SUBSTITUTE(LEFT(MAIN!B563, FIND(",",MAIN!B563) -1), "0", ""), "1", ""), "2", ""), "3", ""), "4", ""), "5", ""), "6", ""), "7", ""), "8", ""), "9", "")), PROPER(SUBSTITUTE(SUBSTITUTE(SUBSTITUTE(SUBSTITUTE(SUBSTITUTE(SUBSTITUTE(SUBSTITUTE(SUBSTITUTE(SUBSTITUTE(SUBSTITUTE(MAIN!B563, "0", ""), "1", ""), "2", ""), "3", ""), "4", ""), "5", ""), "6", ""), "7", ""), "8", ""), "9", ""))))</f>
        <v>--</v>
      </c>
      <c r="C563" t="str">
        <f>IF(ISBLANK(MAIN!C563), "--", IFERROR(PROPER(SUBSTITUTE(SUBSTITUTE(SUBSTITUTE(SUBSTITUTE(SUBSTITUTE(SUBSTITUTE(SUBSTITUTE(SUBSTITUTE(SUBSTITUTE(SUBSTITUTE(LEFT(MAIN!C563, FIND(",",MAIN!C563) -1), "0", ""), "1", ""), "2", ""), "3", ""), "4", ""), "5", ""), "6", ""), "7", ""), "8", ""), "9", "")), PROPER(SUBSTITUTE(SUBSTITUTE(SUBSTITUTE(SUBSTITUTE(SUBSTITUTE(SUBSTITUTE(SUBSTITUTE(SUBSTITUTE(SUBSTITUTE(SUBSTITUTE(MAIN!C563, "0", ""), "1", ""), "2", ""), "3", ""), "4", ""), "5", ""), "6", ""), "7", ""), "8", ""), "9", ""))))</f>
        <v>--</v>
      </c>
      <c r="D563" t="str">
        <f>IF(ISBLANK(MAIN!D563), "--", IF(ISNUMBER(MATCH(SUBSTITUTE(LEFT(MAIN!D563, IFERROR(FIND(",", MAIN!D563)-1, LEN(MAIN!D563))), " ", ""), lookup_values!$B$2:$B$51, 0)), UPPER(SUBSTITUTE(LEFT(MAIN!D563, IFERROR(FIND(",", MAIN!D563)-1, LEN(MAIN!D563))), " ", "")), IF(ISNA(VLOOKUP(SUBSTITUTE(LEFT(MAIN!D563, IFERROR(FIND(",", MAIN!D563)-1, LEN(MAIN!D563))), " ", ""), lookup_values!$A$2:$B$51, 2, FALSE)), "--", VLOOKUP(SUBSTITUTE(LEFT(MAIN!D563, IFERROR(FIND(",", MAIN!D563)-1, LEN(MAIN!D563))), " ", ""), lookup_values!$A$2:$B$51, 2, FALSE))))</f>
        <v>--</v>
      </c>
      <c r="E563" t="str">
        <f>IF(CLEAN_DATA!D563&lt;&gt;"--","US",IF(ISBLANK(MAIN!E563), "--", IF(ISNUMBER(MATCH(SUBSTITUTE(LEFT(MAIN!E563, IFERROR(FIND(",", MAIN!E563)-1, LEN(MAIN!E563))), " ", ""), lookup_values!$E$2:$E$197, 0)), UPPER(SUBSTITUTE(LEFT(MAIN!E563, IFERROR(FIND(",", MAIN!E563)-1, LEN(MAIN!E563))), " ", "")), IF(ISNA(VLOOKUP(SUBSTITUTE(LEFT(MAIN!E563, IFERROR(FIND(",", MAIN!E563)-1, LEN(MAIN!E563))), " ", ""), lookup_values!$D$2:$E$197, 2, FALSE)), "--", VLOOKUP(SUBSTITUTE(LEFT(MAIN!E563, IFERROR(FIND(",", MAIN!E563)-1, LEN(MAIN!E563))), " ", ""), lookup_values!$D$2:$E$197, 2, FALSE)))))</f>
        <v>--</v>
      </c>
      <c r="F563" t="str">
        <f>IF(ISBLANK(MAIN!F563), "", IF(AND(ISNUMBER(VALUE(TRIM(MAIN!F563))), LEN(TRIM(MAIN!F563))=4), VALUE(TRIM(MAIN!F563)), ""))</f>
        <v/>
      </c>
      <c r="G563">
        <f>IF(ISBLANK(MAIN!G563), 0, IF(ISNUMBER(VALUE(TRIM(MAIN!G563))), VALUE(TRIM(MAIN!G563)), 0))</f>
        <v>0</v>
      </c>
      <c r="H563">
        <f>IF(ISBLANK(MAIN!H563), 0, IF(ISNUMBER(VALUE(TRIM(MAIN!H563))), VALUE(TRIM(MAIN!H563)), 0))</f>
        <v>0</v>
      </c>
      <c r="I563">
        <f>IF(ISBLANK(MAIN!I563), 0, IF(ISNUMBER(VALUE(TRIM(MAIN!I563))), VALUE(TRIM(MAIN!I563)), 0))</f>
        <v>0</v>
      </c>
      <c r="J563">
        <f>IF(ISBLANK(MAIN!J563), 0, IF(ISNUMBER(VALUE(TRIM(MAIN!J563))), VALUE(TRIM(MAIN!J563)), 0))</f>
        <v>0</v>
      </c>
      <c r="K563" cm="1">
        <f t="array" ref="K563">IFERROR(
    VALUE(
        IFERROR(
            UPPER(
                IF(MAX(IFERROR(SEARCH("WD",MAIN!G563:J563), 0))&gt;0, "WD",
                IF(MAX(IFERROR(SEARCH("NS",MAIN!G563:J563), 0))&gt;0, "NS",
                IF(MAX(IFERROR(SEARCH("NC",MAIN!G563:J563), 0))&gt;0, "NC",
                IF(MAX(IFERROR(SEARCH("DQ",MAIN!G563:J563), 0))&gt;0, "DQ",
                IF(ISNUMBER(SEARCH("WD",MAIN!K563)), "WD",
                IF(ISNUMBER(SEARCH("NS",MAIN!K563)), "NS",
                IF(ISNUMBER(SEARCH("NC",MAIN!K563)), "NC",
                IF(ISNUMBER(SEARCH("DQ",MAIN!K563)), "DQ",
                IF(ISNUMBER(SEARCH("A",MAIN!K563)), 0,
                IF(OR(MAIN!K563=0,MAIN!K563=""), 0, --TRIM(MAIN!K563)))))))))))),
            0
        )
    ),
    IFERROR(
        UPPER(
            IF(MAX(IFERROR(SEARCH("WD",MAIN!G563:J563), 0))&gt;0, "WD",
            IF(MAX(IFERROR(SEARCH("NS",MAIN!G563:J563), 0))&gt;0, "NS",
            IF(MAX(IFERROR(SEARCH("NC",MAIN!G563:J563), 0))&gt;0, "NC",
            IF(MAX(IFERROR(SEARCH("DQ",MAIN!G563:J563), 0))&gt;0, "DQ",
            IF(ISNUMBER(SEARCH("WD",MAIN!K563)), "WD",
            IF(ISNUMBER(SEARCH("NS",MAIN!K563)), "NS",
            IF(ISNUMBER(SEARCH("NC",MAIN!K563)), "NC",
            IF(ISNUMBER(SEARCH("DQ",MAIN!K563)), "DQ",
            IF(ISNUMBER(SEARCH("A",MAIN!K563)), 0,
            IF(OR(MAIN!K563=0,MAIN!K563=""), 0, --TRIM(MAIN!K563)))))))))))),
        0
    )
)</f>
        <v>0</v>
      </c>
    </row>
    <row r="564" spans="1:11" x14ac:dyDescent="0.25">
      <c r="A564" t="str">
        <f>IF(ISBLANK(MAIN!A564), "--", IFERROR(PROPER(SUBSTITUTE(SUBSTITUTE(SUBSTITUTE(SUBSTITUTE(SUBSTITUTE(SUBSTITUTE(SUBSTITUTE(SUBSTITUTE(SUBSTITUTE(SUBSTITUTE(LEFT(MAIN!A564, FIND(",",MAIN!A564) -1), "0", ""), "1", ""), "2", ""), "3", ""), "4", ""), "5", ""), "6", ""), "7", ""), "8", ""), "9", "")), PROPER(SUBSTITUTE(SUBSTITUTE(SUBSTITUTE(SUBSTITUTE(SUBSTITUTE(SUBSTITUTE(SUBSTITUTE(SUBSTITUTE(SUBSTITUTE(SUBSTITUTE(MAIN!A564, "0", ""), "1", ""), "2", ""), "3", ""), "4", ""), "5", ""), "6", ""), "7", ""), "8", ""), "9", ""))))</f>
        <v>--</v>
      </c>
      <c r="B564" t="str">
        <f>IF(ISBLANK(MAIN!B564), "--", IFERROR(PROPER(SUBSTITUTE(SUBSTITUTE(SUBSTITUTE(SUBSTITUTE(SUBSTITUTE(SUBSTITUTE(SUBSTITUTE(SUBSTITUTE(SUBSTITUTE(SUBSTITUTE(LEFT(MAIN!B564, FIND(",",MAIN!B564) -1), "0", ""), "1", ""), "2", ""), "3", ""), "4", ""), "5", ""), "6", ""), "7", ""), "8", ""), "9", "")), PROPER(SUBSTITUTE(SUBSTITUTE(SUBSTITUTE(SUBSTITUTE(SUBSTITUTE(SUBSTITUTE(SUBSTITUTE(SUBSTITUTE(SUBSTITUTE(SUBSTITUTE(MAIN!B564, "0", ""), "1", ""), "2", ""), "3", ""), "4", ""), "5", ""), "6", ""), "7", ""), "8", ""), "9", ""))))</f>
        <v>--</v>
      </c>
      <c r="C564" t="str">
        <f>IF(ISBLANK(MAIN!C564), "--", IFERROR(PROPER(SUBSTITUTE(SUBSTITUTE(SUBSTITUTE(SUBSTITUTE(SUBSTITUTE(SUBSTITUTE(SUBSTITUTE(SUBSTITUTE(SUBSTITUTE(SUBSTITUTE(LEFT(MAIN!C564, FIND(",",MAIN!C564) -1), "0", ""), "1", ""), "2", ""), "3", ""), "4", ""), "5", ""), "6", ""), "7", ""), "8", ""), "9", "")), PROPER(SUBSTITUTE(SUBSTITUTE(SUBSTITUTE(SUBSTITUTE(SUBSTITUTE(SUBSTITUTE(SUBSTITUTE(SUBSTITUTE(SUBSTITUTE(SUBSTITUTE(MAIN!C564, "0", ""), "1", ""), "2", ""), "3", ""), "4", ""), "5", ""), "6", ""), "7", ""), "8", ""), "9", ""))))</f>
        <v>--</v>
      </c>
      <c r="D564" t="str">
        <f>IF(ISBLANK(MAIN!D564), "--", IF(ISNUMBER(MATCH(SUBSTITUTE(LEFT(MAIN!D564, IFERROR(FIND(",", MAIN!D564)-1, LEN(MAIN!D564))), " ", ""), lookup_values!$B$2:$B$51, 0)), UPPER(SUBSTITUTE(LEFT(MAIN!D564, IFERROR(FIND(",", MAIN!D564)-1, LEN(MAIN!D564))), " ", "")), IF(ISNA(VLOOKUP(SUBSTITUTE(LEFT(MAIN!D564, IFERROR(FIND(",", MAIN!D564)-1, LEN(MAIN!D564))), " ", ""), lookup_values!$A$2:$B$51, 2, FALSE)), "--", VLOOKUP(SUBSTITUTE(LEFT(MAIN!D564, IFERROR(FIND(",", MAIN!D564)-1, LEN(MAIN!D564))), " ", ""), lookup_values!$A$2:$B$51, 2, FALSE))))</f>
        <v>--</v>
      </c>
      <c r="E564" t="str">
        <f>IF(CLEAN_DATA!D564&lt;&gt;"--","US",IF(ISBLANK(MAIN!E564), "--", IF(ISNUMBER(MATCH(SUBSTITUTE(LEFT(MAIN!E564, IFERROR(FIND(",", MAIN!E564)-1, LEN(MAIN!E564))), " ", ""), lookup_values!$E$2:$E$197, 0)), UPPER(SUBSTITUTE(LEFT(MAIN!E564, IFERROR(FIND(",", MAIN!E564)-1, LEN(MAIN!E564))), " ", "")), IF(ISNA(VLOOKUP(SUBSTITUTE(LEFT(MAIN!E564, IFERROR(FIND(",", MAIN!E564)-1, LEN(MAIN!E564))), " ", ""), lookup_values!$D$2:$E$197, 2, FALSE)), "--", VLOOKUP(SUBSTITUTE(LEFT(MAIN!E564, IFERROR(FIND(",", MAIN!E564)-1, LEN(MAIN!E564))), " ", ""), lookup_values!$D$2:$E$197, 2, FALSE)))))</f>
        <v>--</v>
      </c>
      <c r="F564" t="str">
        <f>IF(ISBLANK(MAIN!F564), "", IF(AND(ISNUMBER(VALUE(TRIM(MAIN!F564))), LEN(TRIM(MAIN!F564))=4), VALUE(TRIM(MAIN!F564)), ""))</f>
        <v/>
      </c>
      <c r="G564">
        <f>IF(ISBLANK(MAIN!G564), 0, IF(ISNUMBER(VALUE(TRIM(MAIN!G564))), VALUE(TRIM(MAIN!G564)), 0))</f>
        <v>0</v>
      </c>
      <c r="H564">
        <f>IF(ISBLANK(MAIN!H564), 0, IF(ISNUMBER(VALUE(TRIM(MAIN!H564))), VALUE(TRIM(MAIN!H564)), 0))</f>
        <v>0</v>
      </c>
      <c r="I564">
        <f>IF(ISBLANK(MAIN!I564), 0, IF(ISNUMBER(VALUE(TRIM(MAIN!I564))), VALUE(TRIM(MAIN!I564)), 0))</f>
        <v>0</v>
      </c>
      <c r="J564">
        <f>IF(ISBLANK(MAIN!J564), 0, IF(ISNUMBER(VALUE(TRIM(MAIN!J564))), VALUE(TRIM(MAIN!J564)), 0))</f>
        <v>0</v>
      </c>
      <c r="K564" cm="1">
        <f t="array" ref="K564">IFERROR(
    VALUE(
        IFERROR(
            UPPER(
                IF(MAX(IFERROR(SEARCH("WD",MAIN!G564:J564), 0))&gt;0, "WD",
                IF(MAX(IFERROR(SEARCH("NS",MAIN!G564:J564), 0))&gt;0, "NS",
                IF(MAX(IFERROR(SEARCH("NC",MAIN!G564:J564), 0))&gt;0, "NC",
                IF(MAX(IFERROR(SEARCH("DQ",MAIN!G564:J564), 0))&gt;0, "DQ",
                IF(ISNUMBER(SEARCH("WD",MAIN!K564)), "WD",
                IF(ISNUMBER(SEARCH("NS",MAIN!K564)), "NS",
                IF(ISNUMBER(SEARCH("NC",MAIN!K564)), "NC",
                IF(ISNUMBER(SEARCH("DQ",MAIN!K564)), "DQ",
                IF(ISNUMBER(SEARCH("A",MAIN!K564)), 0,
                IF(OR(MAIN!K564=0,MAIN!K564=""), 0, --TRIM(MAIN!K564)))))))))))),
            0
        )
    ),
    IFERROR(
        UPPER(
            IF(MAX(IFERROR(SEARCH("WD",MAIN!G564:J564), 0))&gt;0, "WD",
            IF(MAX(IFERROR(SEARCH("NS",MAIN!G564:J564), 0))&gt;0, "NS",
            IF(MAX(IFERROR(SEARCH("NC",MAIN!G564:J564), 0))&gt;0, "NC",
            IF(MAX(IFERROR(SEARCH("DQ",MAIN!G564:J564), 0))&gt;0, "DQ",
            IF(ISNUMBER(SEARCH("WD",MAIN!K564)), "WD",
            IF(ISNUMBER(SEARCH("NS",MAIN!K564)), "NS",
            IF(ISNUMBER(SEARCH("NC",MAIN!K564)), "NC",
            IF(ISNUMBER(SEARCH("DQ",MAIN!K564)), "DQ",
            IF(ISNUMBER(SEARCH("A",MAIN!K564)), 0,
            IF(OR(MAIN!K564=0,MAIN!K564=""), 0, --TRIM(MAIN!K564)))))))))))),
        0
    )
)</f>
        <v>0</v>
      </c>
    </row>
    <row r="565" spans="1:11" x14ac:dyDescent="0.25">
      <c r="A565" t="str">
        <f>IF(ISBLANK(MAIN!A565), "--", IFERROR(PROPER(SUBSTITUTE(SUBSTITUTE(SUBSTITUTE(SUBSTITUTE(SUBSTITUTE(SUBSTITUTE(SUBSTITUTE(SUBSTITUTE(SUBSTITUTE(SUBSTITUTE(LEFT(MAIN!A565, FIND(",",MAIN!A565) -1), "0", ""), "1", ""), "2", ""), "3", ""), "4", ""), "5", ""), "6", ""), "7", ""), "8", ""), "9", "")), PROPER(SUBSTITUTE(SUBSTITUTE(SUBSTITUTE(SUBSTITUTE(SUBSTITUTE(SUBSTITUTE(SUBSTITUTE(SUBSTITUTE(SUBSTITUTE(SUBSTITUTE(MAIN!A565, "0", ""), "1", ""), "2", ""), "3", ""), "4", ""), "5", ""), "6", ""), "7", ""), "8", ""), "9", ""))))</f>
        <v>--</v>
      </c>
      <c r="B565" t="str">
        <f>IF(ISBLANK(MAIN!B565), "--", IFERROR(PROPER(SUBSTITUTE(SUBSTITUTE(SUBSTITUTE(SUBSTITUTE(SUBSTITUTE(SUBSTITUTE(SUBSTITUTE(SUBSTITUTE(SUBSTITUTE(SUBSTITUTE(LEFT(MAIN!B565, FIND(",",MAIN!B565) -1), "0", ""), "1", ""), "2", ""), "3", ""), "4", ""), "5", ""), "6", ""), "7", ""), "8", ""), "9", "")), PROPER(SUBSTITUTE(SUBSTITUTE(SUBSTITUTE(SUBSTITUTE(SUBSTITUTE(SUBSTITUTE(SUBSTITUTE(SUBSTITUTE(SUBSTITUTE(SUBSTITUTE(MAIN!B565, "0", ""), "1", ""), "2", ""), "3", ""), "4", ""), "5", ""), "6", ""), "7", ""), "8", ""), "9", ""))))</f>
        <v>--</v>
      </c>
      <c r="C565" t="str">
        <f>IF(ISBLANK(MAIN!C565), "--", IFERROR(PROPER(SUBSTITUTE(SUBSTITUTE(SUBSTITUTE(SUBSTITUTE(SUBSTITUTE(SUBSTITUTE(SUBSTITUTE(SUBSTITUTE(SUBSTITUTE(SUBSTITUTE(LEFT(MAIN!C565, FIND(",",MAIN!C565) -1), "0", ""), "1", ""), "2", ""), "3", ""), "4", ""), "5", ""), "6", ""), "7", ""), "8", ""), "9", "")), PROPER(SUBSTITUTE(SUBSTITUTE(SUBSTITUTE(SUBSTITUTE(SUBSTITUTE(SUBSTITUTE(SUBSTITUTE(SUBSTITUTE(SUBSTITUTE(SUBSTITUTE(MAIN!C565, "0", ""), "1", ""), "2", ""), "3", ""), "4", ""), "5", ""), "6", ""), "7", ""), "8", ""), "9", ""))))</f>
        <v>--</v>
      </c>
      <c r="D565" t="str">
        <f>IF(ISBLANK(MAIN!D565), "--", IF(ISNUMBER(MATCH(SUBSTITUTE(LEFT(MAIN!D565, IFERROR(FIND(",", MAIN!D565)-1, LEN(MAIN!D565))), " ", ""), lookup_values!$B$2:$B$51, 0)), UPPER(SUBSTITUTE(LEFT(MAIN!D565, IFERROR(FIND(",", MAIN!D565)-1, LEN(MAIN!D565))), " ", "")), IF(ISNA(VLOOKUP(SUBSTITUTE(LEFT(MAIN!D565, IFERROR(FIND(",", MAIN!D565)-1, LEN(MAIN!D565))), " ", ""), lookup_values!$A$2:$B$51, 2, FALSE)), "--", VLOOKUP(SUBSTITUTE(LEFT(MAIN!D565, IFERROR(FIND(",", MAIN!D565)-1, LEN(MAIN!D565))), " ", ""), lookup_values!$A$2:$B$51, 2, FALSE))))</f>
        <v>--</v>
      </c>
      <c r="E565" t="str">
        <f>IF(CLEAN_DATA!D565&lt;&gt;"--","US",IF(ISBLANK(MAIN!E565), "--", IF(ISNUMBER(MATCH(SUBSTITUTE(LEFT(MAIN!E565, IFERROR(FIND(",", MAIN!E565)-1, LEN(MAIN!E565))), " ", ""), lookup_values!$E$2:$E$197, 0)), UPPER(SUBSTITUTE(LEFT(MAIN!E565, IFERROR(FIND(",", MAIN!E565)-1, LEN(MAIN!E565))), " ", "")), IF(ISNA(VLOOKUP(SUBSTITUTE(LEFT(MAIN!E565, IFERROR(FIND(",", MAIN!E565)-1, LEN(MAIN!E565))), " ", ""), lookup_values!$D$2:$E$197, 2, FALSE)), "--", VLOOKUP(SUBSTITUTE(LEFT(MAIN!E565, IFERROR(FIND(",", MAIN!E565)-1, LEN(MAIN!E565))), " ", ""), lookup_values!$D$2:$E$197, 2, FALSE)))))</f>
        <v>--</v>
      </c>
      <c r="F565" t="str">
        <f>IF(ISBLANK(MAIN!F565), "", IF(AND(ISNUMBER(VALUE(TRIM(MAIN!F565))), LEN(TRIM(MAIN!F565))=4), VALUE(TRIM(MAIN!F565)), ""))</f>
        <v/>
      </c>
      <c r="G565">
        <f>IF(ISBLANK(MAIN!G565), 0, IF(ISNUMBER(VALUE(TRIM(MAIN!G565))), VALUE(TRIM(MAIN!G565)), 0))</f>
        <v>0</v>
      </c>
      <c r="H565">
        <f>IF(ISBLANK(MAIN!H565), 0, IF(ISNUMBER(VALUE(TRIM(MAIN!H565))), VALUE(TRIM(MAIN!H565)), 0))</f>
        <v>0</v>
      </c>
      <c r="I565">
        <f>IF(ISBLANK(MAIN!I565), 0, IF(ISNUMBER(VALUE(TRIM(MAIN!I565))), VALUE(TRIM(MAIN!I565)), 0))</f>
        <v>0</v>
      </c>
      <c r="J565">
        <f>IF(ISBLANK(MAIN!J565), 0, IF(ISNUMBER(VALUE(TRIM(MAIN!J565))), VALUE(TRIM(MAIN!J565)), 0))</f>
        <v>0</v>
      </c>
      <c r="K565" cm="1">
        <f t="array" ref="K565">IFERROR(
    VALUE(
        IFERROR(
            UPPER(
                IF(MAX(IFERROR(SEARCH("WD",MAIN!G565:J565), 0))&gt;0, "WD",
                IF(MAX(IFERROR(SEARCH("NS",MAIN!G565:J565), 0))&gt;0, "NS",
                IF(MAX(IFERROR(SEARCH("NC",MAIN!G565:J565), 0))&gt;0, "NC",
                IF(MAX(IFERROR(SEARCH("DQ",MAIN!G565:J565), 0))&gt;0, "DQ",
                IF(ISNUMBER(SEARCH("WD",MAIN!K565)), "WD",
                IF(ISNUMBER(SEARCH("NS",MAIN!K565)), "NS",
                IF(ISNUMBER(SEARCH("NC",MAIN!K565)), "NC",
                IF(ISNUMBER(SEARCH("DQ",MAIN!K565)), "DQ",
                IF(ISNUMBER(SEARCH("A",MAIN!K565)), 0,
                IF(OR(MAIN!K565=0,MAIN!K565=""), 0, --TRIM(MAIN!K565)))))))))))),
            0
        )
    ),
    IFERROR(
        UPPER(
            IF(MAX(IFERROR(SEARCH("WD",MAIN!G565:J565), 0))&gt;0, "WD",
            IF(MAX(IFERROR(SEARCH("NS",MAIN!G565:J565), 0))&gt;0, "NS",
            IF(MAX(IFERROR(SEARCH("NC",MAIN!G565:J565), 0))&gt;0, "NC",
            IF(MAX(IFERROR(SEARCH("DQ",MAIN!G565:J565), 0))&gt;0, "DQ",
            IF(ISNUMBER(SEARCH("WD",MAIN!K565)), "WD",
            IF(ISNUMBER(SEARCH("NS",MAIN!K565)), "NS",
            IF(ISNUMBER(SEARCH("NC",MAIN!K565)), "NC",
            IF(ISNUMBER(SEARCH("DQ",MAIN!K565)), "DQ",
            IF(ISNUMBER(SEARCH("A",MAIN!K565)), 0,
            IF(OR(MAIN!K565=0,MAIN!K565=""), 0, --TRIM(MAIN!K565)))))))))))),
        0
    )
)</f>
        <v>0</v>
      </c>
    </row>
    <row r="566" spans="1:11" x14ac:dyDescent="0.25">
      <c r="A566" t="str">
        <f>IF(ISBLANK(MAIN!A566), "--", IFERROR(PROPER(SUBSTITUTE(SUBSTITUTE(SUBSTITUTE(SUBSTITUTE(SUBSTITUTE(SUBSTITUTE(SUBSTITUTE(SUBSTITUTE(SUBSTITUTE(SUBSTITUTE(LEFT(MAIN!A566, FIND(",",MAIN!A566) -1), "0", ""), "1", ""), "2", ""), "3", ""), "4", ""), "5", ""), "6", ""), "7", ""), "8", ""), "9", "")), PROPER(SUBSTITUTE(SUBSTITUTE(SUBSTITUTE(SUBSTITUTE(SUBSTITUTE(SUBSTITUTE(SUBSTITUTE(SUBSTITUTE(SUBSTITUTE(SUBSTITUTE(MAIN!A566, "0", ""), "1", ""), "2", ""), "3", ""), "4", ""), "5", ""), "6", ""), "7", ""), "8", ""), "9", ""))))</f>
        <v>--</v>
      </c>
      <c r="B566" t="str">
        <f>IF(ISBLANK(MAIN!B566), "--", IFERROR(PROPER(SUBSTITUTE(SUBSTITUTE(SUBSTITUTE(SUBSTITUTE(SUBSTITUTE(SUBSTITUTE(SUBSTITUTE(SUBSTITUTE(SUBSTITUTE(SUBSTITUTE(LEFT(MAIN!B566, FIND(",",MAIN!B566) -1), "0", ""), "1", ""), "2", ""), "3", ""), "4", ""), "5", ""), "6", ""), "7", ""), "8", ""), "9", "")), PROPER(SUBSTITUTE(SUBSTITUTE(SUBSTITUTE(SUBSTITUTE(SUBSTITUTE(SUBSTITUTE(SUBSTITUTE(SUBSTITUTE(SUBSTITUTE(SUBSTITUTE(MAIN!B566, "0", ""), "1", ""), "2", ""), "3", ""), "4", ""), "5", ""), "6", ""), "7", ""), "8", ""), "9", ""))))</f>
        <v>--</v>
      </c>
      <c r="C566" t="str">
        <f>IF(ISBLANK(MAIN!C566), "--", IFERROR(PROPER(SUBSTITUTE(SUBSTITUTE(SUBSTITUTE(SUBSTITUTE(SUBSTITUTE(SUBSTITUTE(SUBSTITUTE(SUBSTITUTE(SUBSTITUTE(SUBSTITUTE(LEFT(MAIN!C566, FIND(",",MAIN!C566) -1), "0", ""), "1", ""), "2", ""), "3", ""), "4", ""), "5", ""), "6", ""), "7", ""), "8", ""), "9", "")), PROPER(SUBSTITUTE(SUBSTITUTE(SUBSTITUTE(SUBSTITUTE(SUBSTITUTE(SUBSTITUTE(SUBSTITUTE(SUBSTITUTE(SUBSTITUTE(SUBSTITUTE(MAIN!C566, "0", ""), "1", ""), "2", ""), "3", ""), "4", ""), "5", ""), "6", ""), "7", ""), "8", ""), "9", ""))))</f>
        <v>--</v>
      </c>
      <c r="D566" t="str">
        <f>IF(ISBLANK(MAIN!D566), "--", IF(ISNUMBER(MATCH(SUBSTITUTE(LEFT(MAIN!D566, IFERROR(FIND(",", MAIN!D566)-1, LEN(MAIN!D566))), " ", ""), lookup_values!$B$2:$B$51, 0)), UPPER(SUBSTITUTE(LEFT(MAIN!D566, IFERROR(FIND(",", MAIN!D566)-1, LEN(MAIN!D566))), " ", "")), IF(ISNA(VLOOKUP(SUBSTITUTE(LEFT(MAIN!D566, IFERROR(FIND(",", MAIN!D566)-1, LEN(MAIN!D566))), " ", ""), lookup_values!$A$2:$B$51, 2, FALSE)), "--", VLOOKUP(SUBSTITUTE(LEFT(MAIN!D566, IFERROR(FIND(",", MAIN!D566)-1, LEN(MAIN!D566))), " ", ""), lookup_values!$A$2:$B$51, 2, FALSE))))</f>
        <v>--</v>
      </c>
      <c r="E566" t="str">
        <f>IF(CLEAN_DATA!D566&lt;&gt;"--","US",IF(ISBLANK(MAIN!E566), "--", IF(ISNUMBER(MATCH(SUBSTITUTE(LEFT(MAIN!E566, IFERROR(FIND(",", MAIN!E566)-1, LEN(MAIN!E566))), " ", ""), lookup_values!$E$2:$E$197, 0)), UPPER(SUBSTITUTE(LEFT(MAIN!E566, IFERROR(FIND(",", MAIN!E566)-1, LEN(MAIN!E566))), " ", "")), IF(ISNA(VLOOKUP(SUBSTITUTE(LEFT(MAIN!E566, IFERROR(FIND(",", MAIN!E566)-1, LEN(MAIN!E566))), " ", ""), lookup_values!$D$2:$E$197, 2, FALSE)), "--", VLOOKUP(SUBSTITUTE(LEFT(MAIN!E566, IFERROR(FIND(",", MAIN!E566)-1, LEN(MAIN!E566))), " ", ""), lookup_values!$D$2:$E$197, 2, FALSE)))))</f>
        <v>--</v>
      </c>
      <c r="F566" t="str">
        <f>IF(ISBLANK(MAIN!F566), "", IF(AND(ISNUMBER(VALUE(TRIM(MAIN!F566))), LEN(TRIM(MAIN!F566))=4), VALUE(TRIM(MAIN!F566)), ""))</f>
        <v/>
      </c>
      <c r="G566">
        <f>IF(ISBLANK(MAIN!G566), 0, IF(ISNUMBER(VALUE(TRIM(MAIN!G566))), VALUE(TRIM(MAIN!G566)), 0))</f>
        <v>0</v>
      </c>
      <c r="H566">
        <f>IF(ISBLANK(MAIN!H566), 0, IF(ISNUMBER(VALUE(TRIM(MAIN!H566))), VALUE(TRIM(MAIN!H566)), 0))</f>
        <v>0</v>
      </c>
      <c r="I566">
        <f>IF(ISBLANK(MAIN!I566), 0, IF(ISNUMBER(VALUE(TRIM(MAIN!I566))), VALUE(TRIM(MAIN!I566)), 0))</f>
        <v>0</v>
      </c>
      <c r="J566">
        <f>IF(ISBLANK(MAIN!J566), 0, IF(ISNUMBER(VALUE(TRIM(MAIN!J566))), VALUE(TRIM(MAIN!J566)), 0))</f>
        <v>0</v>
      </c>
      <c r="K566" cm="1">
        <f t="array" ref="K566">IFERROR(
    VALUE(
        IFERROR(
            UPPER(
                IF(MAX(IFERROR(SEARCH("WD",MAIN!G566:J566), 0))&gt;0, "WD",
                IF(MAX(IFERROR(SEARCH("NS",MAIN!G566:J566), 0))&gt;0, "NS",
                IF(MAX(IFERROR(SEARCH("NC",MAIN!G566:J566), 0))&gt;0, "NC",
                IF(MAX(IFERROR(SEARCH("DQ",MAIN!G566:J566), 0))&gt;0, "DQ",
                IF(ISNUMBER(SEARCH("WD",MAIN!K566)), "WD",
                IF(ISNUMBER(SEARCH("NS",MAIN!K566)), "NS",
                IF(ISNUMBER(SEARCH("NC",MAIN!K566)), "NC",
                IF(ISNUMBER(SEARCH("DQ",MAIN!K566)), "DQ",
                IF(ISNUMBER(SEARCH("A",MAIN!K566)), 0,
                IF(OR(MAIN!K566=0,MAIN!K566=""), 0, --TRIM(MAIN!K566)))))))))))),
            0
        )
    ),
    IFERROR(
        UPPER(
            IF(MAX(IFERROR(SEARCH("WD",MAIN!G566:J566), 0))&gt;0, "WD",
            IF(MAX(IFERROR(SEARCH("NS",MAIN!G566:J566), 0))&gt;0, "NS",
            IF(MAX(IFERROR(SEARCH("NC",MAIN!G566:J566), 0))&gt;0, "NC",
            IF(MAX(IFERROR(SEARCH("DQ",MAIN!G566:J566), 0))&gt;0, "DQ",
            IF(ISNUMBER(SEARCH("WD",MAIN!K566)), "WD",
            IF(ISNUMBER(SEARCH("NS",MAIN!K566)), "NS",
            IF(ISNUMBER(SEARCH("NC",MAIN!K566)), "NC",
            IF(ISNUMBER(SEARCH("DQ",MAIN!K566)), "DQ",
            IF(ISNUMBER(SEARCH("A",MAIN!K566)), 0,
            IF(OR(MAIN!K566=0,MAIN!K566=""), 0, --TRIM(MAIN!K566)))))))))))),
        0
    )
)</f>
        <v>0</v>
      </c>
    </row>
    <row r="567" spans="1:11" x14ac:dyDescent="0.25">
      <c r="A567" t="str">
        <f>IF(ISBLANK(MAIN!A567), "--", IFERROR(PROPER(SUBSTITUTE(SUBSTITUTE(SUBSTITUTE(SUBSTITUTE(SUBSTITUTE(SUBSTITUTE(SUBSTITUTE(SUBSTITUTE(SUBSTITUTE(SUBSTITUTE(LEFT(MAIN!A567, FIND(",",MAIN!A567) -1), "0", ""), "1", ""), "2", ""), "3", ""), "4", ""), "5", ""), "6", ""), "7", ""), "8", ""), "9", "")), PROPER(SUBSTITUTE(SUBSTITUTE(SUBSTITUTE(SUBSTITUTE(SUBSTITUTE(SUBSTITUTE(SUBSTITUTE(SUBSTITUTE(SUBSTITUTE(SUBSTITUTE(MAIN!A567, "0", ""), "1", ""), "2", ""), "3", ""), "4", ""), "5", ""), "6", ""), "7", ""), "8", ""), "9", ""))))</f>
        <v>--</v>
      </c>
      <c r="B567" t="str">
        <f>IF(ISBLANK(MAIN!B567), "--", IFERROR(PROPER(SUBSTITUTE(SUBSTITUTE(SUBSTITUTE(SUBSTITUTE(SUBSTITUTE(SUBSTITUTE(SUBSTITUTE(SUBSTITUTE(SUBSTITUTE(SUBSTITUTE(LEFT(MAIN!B567, FIND(",",MAIN!B567) -1), "0", ""), "1", ""), "2", ""), "3", ""), "4", ""), "5", ""), "6", ""), "7", ""), "8", ""), "9", "")), PROPER(SUBSTITUTE(SUBSTITUTE(SUBSTITUTE(SUBSTITUTE(SUBSTITUTE(SUBSTITUTE(SUBSTITUTE(SUBSTITUTE(SUBSTITUTE(SUBSTITUTE(MAIN!B567, "0", ""), "1", ""), "2", ""), "3", ""), "4", ""), "5", ""), "6", ""), "7", ""), "8", ""), "9", ""))))</f>
        <v>--</v>
      </c>
      <c r="C567" t="str">
        <f>IF(ISBLANK(MAIN!C567), "--", IFERROR(PROPER(SUBSTITUTE(SUBSTITUTE(SUBSTITUTE(SUBSTITUTE(SUBSTITUTE(SUBSTITUTE(SUBSTITUTE(SUBSTITUTE(SUBSTITUTE(SUBSTITUTE(LEFT(MAIN!C567, FIND(",",MAIN!C567) -1), "0", ""), "1", ""), "2", ""), "3", ""), "4", ""), "5", ""), "6", ""), "7", ""), "8", ""), "9", "")), PROPER(SUBSTITUTE(SUBSTITUTE(SUBSTITUTE(SUBSTITUTE(SUBSTITUTE(SUBSTITUTE(SUBSTITUTE(SUBSTITUTE(SUBSTITUTE(SUBSTITUTE(MAIN!C567, "0", ""), "1", ""), "2", ""), "3", ""), "4", ""), "5", ""), "6", ""), "7", ""), "8", ""), "9", ""))))</f>
        <v>--</v>
      </c>
      <c r="D567" t="str">
        <f>IF(ISBLANK(MAIN!D567), "--", IF(ISNUMBER(MATCH(SUBSTITUTE(LEFT(MAIN!D567, IFERROR(FIND(",", MAIN!D567)-1, LEN(MAIN!D567))), " ", ""), lookup_values!$B$2:$B$51, 0)), UPPER(SUBSTITUTE(LEFT(MAIN!D567, IFERROR(FIND(",", MAIN!D567)-1, LEN(MAIN!D567))), " ", "")), IF(ISNA(VLOOKUP(SUBSTITUTE(LEFT(MAIN!D567, IFERROR(FIND(",", MAIN!D567)-1, LEN(MAIN!D567))), " ", ""), lookup_values!$A$2:$B$51, 2, FALSE)), "--", VLOOKUP(SUBSTITUTE(LEFT(MAIN!D567, IFERROR(FIND(",", MAIN!D567)-1, LEN(MAIN!D567))), " ", ""), lookup_values!$A$2:$B$51, 2, FALSE))))</f>
        <v>--</v>
      </c>
      <c r="E567" t="str">
        <f>IF(CLEAN_DATA!D567&lt;&gt;"--","US",IF(ISBLANK(MAIN!E567), "--", IF(ISNUMBER(MATCH(SUBSTITUTE(LEFT(MAIN!E567, IFERROR(FIND(",", MAIN!E567)-1, LEN(MAIN!E567))), " ", ""), lookup_values!$E$2:$E$197, 0)), UPPER(SUBSTITUTE(LEFT(MAIN!E567, IFERROR(FIND(",", MAIN!E567)-1, LEN(MAIN!E567))), " ", "")), IF(ISNA(VLOOKUP(SUBSTITUTE(LEFT(MAIN!E567, IFERROR(FIND(",", MAIN!E567)-1, LEN(MAIN!E567))), " ", ""), lookup_values!$D$2:$E$197, 2, FALSE)), "--", VLOOKUP(SUBSTITUTE(LEFT(MAIN!E567, IFERROR(FIND(",", MAIN!E567)-1, LEN(MAIN!E567))), " ", ""), lookup_values!$D$2:$E$197, 2, FALSE)))))</f>
        <v>--</v>
      </c>
      <c r="F567" t="str">
        <f>IF(ISBLANK(MAIN!F567), "", IF(AND(ISNUMBER(VALUE(TRIM(MAIN!F567))), LEN(TRIM(MAIN!F567))=4), VALUE(TRIM(MAIN!F567)), ""))</f>
        <v/>
      </c>
      <c r="G567">
        <f>IF(ISBLANK(MAIN!G567), 0, IF(ISNUMBER(VALUE(TRIM(MAIN!G567))), VALUE(TRIM(MAIN!G567)), 0))</f>
        <v>0</v>
      </c>
      <c r="H567">
        <f>IF(ISBLANK(MAIN!H567), 0, IF(ISNUMBER(VALUE(TRIM(MAIN!H567))), VALUE(TRIM(MAIN!H567)), 0))</f>
        <v>0</v>
      </c>
      <c r="I567">
        <f>IF(ISBLANK(MAIN!I567), 0, IF(ISNUMBER(VALUE(TRIM(MAIN!I567))), VALUE(TRIM(MAIN!I567)), 0))</f>
        <v>0</v>
      </c>
      <c r="J567">
        <f>IF(ISBLANK(MAIN!J567), 0, IF(ISNUMBER(VALUE(TRIM(MAIN!J567))), VALUE(TRIM(MAIN!J567)), 0))</f>
        <v>0</v>
      </c>
      <c r="K567" cm="1">
        <f t="array" ref="K567">IFERROR(
    VALUE(
        IFERROR(
            UPPER(
                IF(MAX(IFERROR(SEARCH("WD",MAIN!G567:J567), 0))&gt;0, "WD",
                IF(MAX(IFERROR(SEARCH("NS",MAIN!G567:J567), 0))&gt;0, "NS",
                IF(MAX(IFERROR(SEARCH("NC",MAIN!G567:J567), 0))&gt;0, "NC",
                IF(MAX(IFERROR(SEARCH("DQ",MAIN!G567:J567), 0))&gt;0, "DQ",
                IF(ISNUMBER(SEARCH("WD",MAIN!K567)), "WD",
                IF(ISNUMBER(SEARCH("NS",MAIN!K567)), "NS",
                IF(ISNUMBER(SEARCH("NC",MAIN!K567)), "NC",
                IF(ISNUMBER(SEARCH("DQ",MAIN!K567)), "DQ",
                IF(ISNUMBER(SEARCH("A",MAIN!K567)), 0,
                IF(OR(MAIN!K567=0,MAIN!K567=""), 0, --TRIM(MAIN!K567)))))))))))),
            0
        )
    ),
    IFERROR(
        UPPER(
            IF(MAX(IFERROR(SEARCH("WD",MAIN!G567:J567), 0))&gt;0, "WD",
            IF(MAX(IFERROR(SEARCH("NS",MAIN!G567:J567), 0))&gt;0, "NS",
            IF(MAX(IFERROR(SEARCH("NC",MAIN!G567:J567), 0))&gt;0, "NC",
            IF(MAX(IFERROR(SEARCH("DQ",MAIN!G567:J567), 0))&gt;0, "DQ",
            IF(ISNUMBER(SEARCH("WD",MAIN!K567)), "WD",
            IF(ISNUMBER(SEARCH("NS",MAIN!K567)), "NS",
            IF(ISNUMBER(SEARCH("NC",MAIN!K567)), "NC",
            IF(ISNUMBER(SEARCH("DQ",MAIN!K567)), "DQ",
            IF(ISNUMBER(SEARCH("A",MAIN!K567)), 0,
            IF(OR(MAIN!K567=0,MAIN!K567=""), 0, --TRIM(MAIN!K567)))))))))))),
        0
    )
)</f>
        <v>0</v>
      </c>
    </row>
    <row r="568" spans="1:11" x14ac:dyDescent="0.25">
      <c r="A568" t="str">
        <f>IF(ISBLANK(MAIN!A568), "--", IFERROR(PROPER(SUBSTITUTE(SUBSTITUTE(SUBSTITUTE(SUBSTITUTE(SUBSTITUTE(SUBSTITUTE(SUBSTITUTE(SUBSTITUTE(SUBSTITUTE(SUBSTITUTE(LEFT(MAIN!A568, FIND(",",MAIN!A568) -1), "0", ""), "1", ""), "2", ""), "3", ""), "4", ""), "5", ""), "6", ""), "7", ""), "8", ""), "9", "")), PROPER(SUBSTITUTE(SUBSTITUTE(SUBSTITUTE(SUBSTITUTE(SUBSTITUTE(SUBSTITUTE(SUBSTITUTE(SUBSTITUTE(SUBSTITUTE(SUBSTITUTE(MAIN!A568, "0", ""), "1", ""), "2", ""), "3", ""), "4", ""), "5", ""), "6", ""), "7", ""), "8", ""), "9", ""))))</f>
        <v>--</v>
      </c>
      <c r="B568" t="str">
        <f>IF(ISBLANK(MAIN!B568), "--", IFERROR(PROPER(SUBSTITUTE(SUBSTITUTE(SUBSTITUTE(SUBSTITUTE(SUBSTITUTE(SUBSTITUTE(SUBSTITUTE(SUBSTITUTE(SUBSTITUTE(SUBSTITUTE(LEFT(MAIN!B568, FIND(",",MAIN!B568) -1), "0", ""), "1", ""), "2", ""), "3", ""), "4", ""), "5", ""), "6", ""), "7", ""), "8", ""), "9", "")), PROPER(SUBSTITUTE(SUBSTITUTE(SUBSTITUTE(SUBSTITUTE(SUBSTITUTE(SUBSTITUTE(SUBSTITUTE(SUBSTITUTE(SUBSTITUTE(SUBSTITUTE(MAIN!B568, "0", ""), "1", ""), "2", ""), "3", ""), "4", ""), "5", ""), "6", ""), "7", ""), "8", ""), "9", ""))))</f>
        <v>--</v>
      </c>
      <c r="C568" t="str">
        <f>IF(ISBLANK(MAIN!C568), "--", IFERROR(PROPER(SUBSTITUTE(SUBSTITUTE(SUBSTITUTE(SUBSTITUTE(SUBSTITUTE(SUBSTITUTE(SUBSTITUTE(SUBSTITUTE(SUBSTITUTE(SUBSTITUTE(LEFT(MAIN!C568, FIND(",",MAIN!C568) -1), "0", ""), "1", ""), "2", ""), "3", ""), "4", ""), "5", ""), "6", ""), "7", ""), "8", ""), "9", "")), PROPER(SUBSTITUTE(SUBSTITUTE(SUBSTITUTE(SUBSTITUTE(SUBSTITUTE(SUBSTITUTE(SUBSTITUTE(SUBSTITUTE(SUBSTITUTE(SUBSTITUTE(MAIN!C568, "0", ""), "1", ""), "2", ""), "3", ""), "4", ""), "5", ""), "6", ""), "7", ""), "8", ""), "9", ""))))</f>
        <v>--</v>
      </c>
      <c r="D568" t="str">
        <f>IF(ISBLANK(MAIN!D568), "--", IF(ISNUMBER(MATCH(SUBSTITUTE(LEFT(MAIN!D568, IFERROR(FIND(",", MAIN!D568)-1, LEN(MAIN!D568))), " ", ""), lookup_values!$B$2:$B$51, 0)), UPPER(SUBSTITUTE(LEFT(MAIN!D568, IFERROR(FIND(",", MAIN!D568)-1, LEN(MAIN!D568))), " ", "")), IF(ISNA(VLOOKUP(SUBSTITUTE(LEFT(MAIN!D568, IFERROR(FIND(",", MAIN!D568)-1, LEN(MAIN!D568))), " ", ""), lookup_values!$A$2:$B$51, 2, FALSE)), "--", VLOOKUP(SUBSTITUTE(LEFT(MAIN!D568, IFERROR(FIND(",", MAIN!D568)-1, LEN(MAIN!D568))), " ", ""), lookup_values!$A$2:$B$51, 2, FALSE))))</f>
        <v>--</v>
      </c>
      <c r="E568" t="str">
        <f>IF(CLEAN_DATA!D568&lt;&gt;"--","US",IF(ISBLANK(MAIN!E568), "--", IF(ISNUMBER(MATCH(SUBSTITUTE(LEFT(MAIN!E568, IFERROR(FIND(",", MAIN!E568)-1, LEN(MAIN!E568))), " ", ""), lookup_values!$E$2:$E$197, 0)), UPPER(SUBSTITUTE(LEFT(MAIN!E568, IFERROR(FIND(",", MAIN!E568)-1, LEN(MAIN!E568))), " ", "")), IF(ISNA(VLOOKUP(SUBSTITUTE(LEFT(MAIN!E568, IFERROR(FIND(",", MAIN!E568)-1, LEN(MAIN!E568))), " ", ""), lookup_values!$D$2:$E$197, 2, FALSE)), "--", VLOOKUP(SUBSTITUTE(LEFT(MAIN!E568, IFERROR(FIND(",", MAIN!E568)-1, LEN(MAIN!E568))), " ", ""), lookup_values!$D$2:$E$197, 2, FALSE)))))</f>
        <v>--</v>
      </c>
      <c r="F568" t="str">
        <f>IF(ISBLANK(MAIN!F568), "", IF(AND(ISNUMBER(VALUE(TRIM(MAIN!F568))), LEN(TRIM(MAIN!F568))=4), VALUE(TRIM(MAIN!F568)), ""))</f>
        <v/>
      </c>
      <c r="G568">
        <f>IF(ISBLANK(MAIN!G568), 0, IF(ISNUMBER(VALUE(TRIM(MAIN!G568))), VALUE(TRIM(MAIN!G568)), 0))</f>
        <v>0</v>
      </c>
      <c r="H568">
        <f>IF(ISBLANK(MAIN!H568), 0, IF(ISNUMBER(VALUE(TRIM(MAIN!H568))), VALUE(TRIM(MAIN!H568)), 0))</f>
        <v>0</v>
      </c>
      <c r="I568">
        <f>IF(ISBLANK(MAIN!I568), 0, IF(ISNUMBER(VALUE(TRIM(MAIN!I568))), VALUE(TRIM(MAIN!I568)), 0))</f>
        <v>0</v>
      </c>
      <c r="J568">
        <f>IF(ISBLANK(MAIN!J568), 0, IF(ISNUMBER(VALUE(TRIM(MAIN!J568))), VALUE(TRIM(MAIN!J568)), 0))</f>
        <v>0</v>
      </c>
      <c r="K568" cm="1">
        <f t="array" ref="K568">IFERROR(
    VALUE(
        IFERROR(
            UPPER(
                IF(MAX(IFERROR(SEARCH("WD",MAIN!G568:J568), 0))&gt;0, "WD",
                IF(MAX(IFERROR(SEARCH("NS",MAIN!G568:J568), 0))&gt;0, "NS",
                IF(MAX(IFERROR(SEARCH("NC",MAIN!G568:J568), 0))&gt;0, "NC",
                IF(MAX(IFERROR(SEARCH("DQ",MAIN!G568:J568), 0))&gt;0, "DQ",
                IF(ISNUMBER(SEARCH("WD",MAIN!K568)), "WD",
                IF(ISNUMBER(SEARCH("NS",MAIN!K568)), "NS",
                IF(ISNUMBER(SEARCH("NC",MAIN!K568)), "NC",
                IF(ISNUMBER(SEARCH("DQ",MAIN!K568)), "DQ",
                IF(ISNUMBER(SEARCH("A",MAIN!K568)), 0,
                IF(OR(MAIN!K568=0,MAIN!K568=""), 0, --TRIM(MAIN!K568)))))))))))),
            0
        )
    ),
    IFERROR(
        UPPER(
            IF(MAX(IFERROR(SEARCH("WD",MAIN!G568:J568), 0))&gt;0, "WD",
            IF(MAX(IFERROR(SEARCH("NS",MAIN!G568:J568), 0))&gt;0, "NS",
            IF(MAX(IFERROR(SEARCH("NC",MAIN!G568:J568), 0))&gt;0, "NC",
            IF(MAX(IFERROR(SEARCH("DQ",MAIN!G568:J568), 0))&gt;0, "DQ",
            IF(ISNUMBER(SEARCH("WD",MAIN!K568)), "WD",
            IF(ISNUMBER(SEARCH("NS",MAIN!K568)), "NS",
            IF(ISNUMBER(SEARCH("NC",MAIN!K568)), "NC",
            IF(ISNUMBER(SEARCH("DQ",MAIN!K568)), "DQ",
            IF(ISNUMBER(SEARCH("A",MAIN!K568)), 0,
            IF(OR(MAIN!K568=0,MAIN!K568=""), 0, --TRIM(MAIN!K568)))))))))))),
        0
    )
)</f>
        <v>0</v>
      </c>
    </row>
    <row r="569" spans="1:11" x14ac:dyDescent="0.25">
      <c r="A569" t="str">
        <f>IF(ISBLANK(MAIN!A569), "--", IFERROR(PROPER(SUBSTITUTE(SUBSTITUTE(SUBSTITUTE(SUBSTITUTE(SUBSTITUTE(SUBSTITUTE(SUBSTITUTE(SUBSTITUTE(SUBSTITUTE(SUBSTITUTE(LEFT(MAIN!A569, FIND(",",MAIN!A569) -1), "0", ""), "1", ""), "2", ""), "3", ""), "4", ""), "5", ""), "6", ""), "7", ""), "8", ""), "9", "")), PROPER(SUBSTITUTE(SUBSTITUTE(SUBSTITUTE(SUBSTITUTE(SUBSTITUTE(SUBSTITUTE(SUBSTITUTE(SUBSTITUTE(SUBSTITUTE(SUBSTITUTE(MAIN!A569, "0", ""), "1", ""), "2", ""), "3", ""), "4", ""), "5", ""), "6", ""), "7", ""), "8", ""), "9", ""))))</f>
        <v>--</v>
      </c>
      <c r="B569" t="str">
        <f>IF(ISBLANK(MAIN!B569), "--", IFERROR(PROPER(SUBSTITUTE(SUBSTITUTE(SUBSTITUTE(SUBSTITUTE(SUBSTITUTE(SUBSTITUTE(SUBSTITUTE(SUBSTITUTE(SUBSTITUTE(SUBSTITUTE(LEFT(MAIN!B569, FIND(",",MAIN!B569) -1), "0", ""), "1", ""), "2", ""), "3", ""), "4", ""), "5", ""), "6", ""), "7", ""), "8", ""), "9", "")), PROPER(SUBSTITUTE(SUBSTITUTE(SUBSTITUTE(SUBSTITUTE(SUBSTITUTE(SUBSTITUTE(SUBSTITUTE(SUBSTITUTE(SUBSTITUTE(SUBSTITUTE(MAIN!B569, "0", ""), "1", ""), "2", ""), "3", ""), "4", ""), "5", ""), "6", ""), "7", ""), "8", ""), "9", ""))))</f>
        <v>--</v>
      </c>
      <c r="C569" t="str">
        <f>IF(ISBLANK(MAIN!C569), "--", IFERROR(PROPER(SUBSTITUTE(SUBSTITUTE(SUBSTITUTE(SUBSTITUTE(SUBSTITUTE(SUBSTITUTE(SUBSTITUTE(SUBSTITUTE(SUBSTITUTE(SUBSTITUTE(LEFT(MAIN!C569, FIND(",",MAIN!C569) -1), "0", ""), "1", ""), "2", ""), "3", ""), "4", ""), "5", ""), "6", ""), "7", ""), "8", ""), "9", "")), PROPER(SUBSTITUTE(SUBSTITUTE(SUBSTITUTE(SUBSTITUTE(SUBSTITUTE(SUBSTITUTE(SUBSTITUTE(SUBSTITUTE(SUBSTITUTE(SUBSTITUTE(MAIN!C569, "0", ""), "1", ""), "2", ""), "3", ""), "4", ""), "5", ""), "6", ""), "7", ""), "8", ""), "9", ""))))</f>
        <v>--</v>
      </c>
      <c r="D569" t="str">
        <f>IF(ISBLANK(MAIN!D569), "--", IF(ISNUMBER(MATCH(SUBSTITUTE(LEFT(MAIN!D569, IFERROR(FIND(",", MAIN!D569)-1, LEN(MAIN!D569))), " ", ""), lookup_values!$B$2:$B$51, 0)), UPPER(SUBSTITUTE(LEFT(MAIN!D569, IFERROR(FIND(",", MAIN!D569)-1, LEN(MAIN!D569))), " ", "")), IF(ISNA(VLOOKUP(SUBSTITUTE(LEFT(MAIN!D569, IFERROR(FIND(",", MAIN!D569)-1, LEN(MAIN!D569))), " ", ""), lookup_values!$A$2:$B$51, 2, FALSE)), "--", VLOOKUP(SUBSTITUTE(LEFT(MAIN!D569, IFERROR(FIND(",", MAIN!D569)-1, LEN(MAIN!D569))), " ", ""), lookup_values!$A$2:$B$51, 2, FALSE))))</f>
        <v>--</v>
      </c>
      <c r="E569" t="str">
        <f>IF(CLEAN_DATA!D569&lt;&gt;"--","US",IF(ISBLANK(MAIN!E569), "--", IF(ISNUMBER(MATCH(SUBSTITUTE(LEFT(MAIN!E569, IFERROR(FIND(",", MAIN!E569)-1, LEN(MAIN!E569))), " ", ""), lookup_values!$E$2:$E$197, 0)), UPPER(SUBSTITUTE(LEFT(MAIN!E569, IFERROR(FIND(",", MAIN!E569)-1, LEN(MAIN!E569))), " ", "")), IF(ISNA(VLOOKUP(SUBSTITUTE(LEFT(MAIN!E569, IFERROR(FIND(",", MAIN!E569)-1, LEN(MAIN!E569))), " ", ""), lookup_values!$D$2:$E$197, 2, FALSE)), "--", VLOOKUP(SUBSTITUTE(LEFT(MAIN!E569, IFERROR(FIND(",", MAIN!E569)-1, LEN(MAIN!E569))), " ", ""), lookup_values!$D$2:$E$197, 2, FALSE)))))</f>
        <v>--</v>
      </c>
      <c r="F569" t="str">
        <f>IF(ISBLANK(MAIN!F569), "", IF(AND(ISNUMBER(VALUE(TRIM(MAIN!F569))), LEN(TRIM(MAIN!F569))=4), VALUE(TRIM(MAIN!F569)), ""))</f>
        <v/>
      </c>
      <c r="G569">
        <f>IF(ISBLANK(MAIN!G569), 0, IF(ISNUMBER(VALUE(TRIM(MAIN!G569))), VALUE(TRIM(MAIN!G569)), 0))</f>
        <v>0</v>
      </c>
      <c r="H569">
        <f>IF(ISBLANK(MAIN!H569), 0, IF(ISNUMBER(VALUE(TRIM(MAIN!H569))), VALUE(TRIM(MAIN!H569)), 0))</f>
        <v>0</v>
      </c>
      <c r="I569">
        <f>IF(ISBLANK(MAIN!I569), 0, IF(ISNUMBER(VALUE(TRIM(MAIN!I569))), VALUE(TRIM(MAIN!I569)), 0))</f>
        <v>0</v>
      </c>
      <c r="J569">
        <f>IF(ISBLANK(MAIN!J569), 0, IF(ISNUMBER(VALUE(TRIM(MAIN!J569))), VALUE(TRIM(MAIN!J569)), 0))</f>
        <v>0</v>
      </c>
      <c r="K569" cm="1">
        <f t="array" ref="K569">IFERROR(
    VALUE(
        IFERROR(
            UPPER(
                IF(MAX(IFERROR(SEARCH("WD",MAIN!G569:J569), 0))&gt;0, "WD",
                IF(MAX(IFERROR(SEARCH("NS",MAIN!G569:J569), 0))&gt;0, "NS",
                IF(MAX(IFERROR(SEARCH("NC",MAIN!G569:J569), 0))&gt;0, "NC",
                IF(MAX(IFERROR(SEARCH("DQ",MAIN!G569:J569), 0))&gt;0, "DQ",
                IF(ISNUMBER(SEARCH("WD",MAIN!K569)), "WD",
                IF(ISNUMBER(SEARCH("NS",MAIN!K569)), "NS",
                IF(ISNUMBER(SEARCH("NC",MAIN!K569)), "NC",
                IF(ISNUMBER(SEARCH("DQ",MAIN!K569)), "DQ",
                IF(ISNUMBER(SEARCH("A",MAIN!K569)), 0,
                IF(OR(MAIN!K569=0,MAIN!K569=""), 0, --TRIM(MAIN!K569)))))))))))),
            0
        )
    ),
    IFERROR(
        UPPER(
            IF(MAX(IFERROR(SEARCH("WD",MAIN!G569:J569), 0))&gt;0, "WD",
            IF(MAX(IFERROR(SEARCH("NS",MAIN!G569:J569), 0))&gt;0, "NS",
            IF(MAX(IFERROR(SEARCH("NC",MAIN!G569:J569), 0))&gt;0, "NC",
            IF(MAX(IFERROR(SEARCH("DQ",MAIN!G569:J569), 0))&gt;0, "DQ",
            IF(ISNUMBER(SEARCH("WD",MAIN!K569)), "WD",
            IF(ISNUMBER(SEARCH("NS",MAIN!K569)), "NS",
            IF(ISNUMBER(SEARCH("NC",MAIN!K569)), "NC",
            IF(ISNUMBER(SEARCH("DQ",MAIN!K569)), "DQ",
            IF(ISNUMBER(SEARCH("A",MAIN!K569)), 0,
            IF(OR(MAIN!K569=0,MAIN!K569=""), 0, --TRIM(MAIN!K569)))))))))))),
        0
    )
)</f>
        <v>0</v>
      </c>
    </row>
    <row r="570" spans="1:11" x14ac:dyDescent="0.25">
      <c r="A570" t="str">
        <f>IF(ISBLANK(MAIN!A570), "--", IFERROR(PROPER(SUBSTITUTE(SUBSTITUTE(SUBSTITUTE(SUBSTITUTE(SUBSTITUTE(SUBSTITUTE(SUBSTITUTE(SUBSTITUTE(SUBSTITUTE(SUBSTITUTE(LEFT(MAIN!A570, FIND(",",MAIN!A570) -1), "0", ""), "1", ""), "2", ""), "3", ""), "4", ""), "5", ""), "6", ""), "7", ""), "8", ""), "9", "")), PROPER(SUBSTITUTE(SUBSTITUTE(SUBSTITUTE(SUBSTITUTE(SUBSTITUTE(SUBSTITUTE(SUBSTITUTE(SUBSTITUTE(SUBSTITUTE(SUBSTITUTE(MAIN!A570, "0", ""), "1", ""), "2", ""), "3", ""), "4", ""), "5", ""), "6", ""), "7", ""), "8", ""), "9", ""))))</f>
        <v>--</v>
      </c>
      <c r="B570" t="str">
        <f>IF(ISBLANK(MAIN!B570), "--", IFERROR(PROPER(SUBSTITUTE(SUBSTITUTE(SUBSTITUTE(SUBSTITUTE(SUBSTITUTE(SUBSTITUTE(SUBSTITUTE(SUBSTITUTE(SUBSTITUTE(SUBSTITUTE(LEFT(MAIN!B570, FIND(",",MAIN!B570) -1), "0", ""), "1", ""), "2", ""), "3", ""), "4", ""), "5", ""), "6", ""), "7", ""), "8", ""), "9", "")), PROPER(SUBSTITUTE(SUBSTITUTE(SUBSTITUTE(SUBSTITUTE(SUBSTITUTE(SUBSTITUTE(SUBSTITUTE(SUBSTITUTE(SUBSTITUTE(SUBSTITUTE(MAIN!B570, "0", ""), "1", ""), "2", ""), "3", ""), "4", ""), "5", ""), "6", ""), "7", ""), "8", ""), "9", ""))))</f>
        <v>--</v>
      </c>
      <c r="C570" t="str">
        <f>IF(ISBLANK(MAIN!C570), "--", IFERROR(PROPER(SUBSTITUTE(SUBSTITUTE(SUBSTITUTE(SUBSTITUTE(SUBSTITUTE(SUBSTITUTE(SUBSTITUTE(SUBSTITUTE(SUBSTITUTE(SUBSTITUTE(LEFT(MAIN!C570, FIND(",",MAIN!C570) -1), "0", ""), "1", ""), "2", ""), "3", ""), "4", ""), "5", ""), "6", ""), "7", ""), "8", ""), "9", "")), PROPER(SUBSTITUTE(SUBSTITUTE(SUBSTITUTE(SUBSTITUTE(SUBSTITUTE(SUBSTITUTE(SUBSTITUTE(SUBSTITUTE(SUBSTITUTE(SUBSTITUTE(MAIN!C570, "0", ""), "1", ""), "2", ""), "3", ""), "4", ""), "5", ""), "6", ""), "7", ""), "8", ""), "9", ""))))</f>
        <v>--</v>
      </c>
      <c r="D570" t="str">
        <f>IF(ISBLANK(MAIN!D570), "--", IF(ISNUMBER(MATCH(SUBSTITUTE(LEFT(MAIN!D570, IFERROR(FIND(",", MAIN!D570)-1, LEN(MAIN!D570))), " ", ""), lookup_values!$B$2:$B$51, 0)), UPPER(SUBSTITUTE(LEFT(MAIN!D570, IFERROR(FIND(",", MAIN!D570)-1, LEN(MAIN!D570))), " ", "")), IF(ISNA(VLOOKUP(SUBSTITUTE(LEFT(MAIN!D570, IFERROR(FIND(",", MAIN!D570)-1, LEN(MAIN!D570))), " ", ""), lookup_values!$A$2:$B$51, 2, FALSE)), "--", VLOOKUP(SUBSTITUTE(LEFT(MAIN!D570, IFERROR(FIND(",", MAIN!D570)-1, LEN(MAIN!D570))), " ", ""), lookup_values!$A$2:$B$51, 2, FALSE))))</f>
        <v>--</v>
      </c>
      <c r="E570" t="str">
        <f>IF(CLEAN_DATA!D570&lt;&gt;"--","US",IF(ISBLANK(MAIN!E570), "--", IF(ISNUMBER(MATCH(SUBSTITUTE(LEFT(MAIN!E570, IFERROR(FIND(",", MAIN!E570)-1, LEN(MAIN!E570))), " ", ""), lookup_values!$E$2:$E$197, 0)), UPPER(SUBSTITUTE(LEFT(MAIN!E570, IFERROR(FIND(",", MAIN!E570)-1, LEN(MAIN!E570))), " ", "")), IF(ISNA(VLOOKUP(SUBSTITUTE(LEFT(MAIN!E570, IFERROR(FIND(",", MAIN!E570)-1, LEN(MAIN!E570))), " ", ""), lookup_values!$D$2:$E$197, 2, FALSE)), "--", VLOOKUP(SUBSTITUTE(LEFT(MAIN!E570, IFERROR(FIND(",", MAIN!E570)-1, LEN(MAIN!E570))), " ", ""), lookup_values!$D$2:$E$197, 2, FALSE)))))</f>
        <v>--</v>
      </c>
      <c r="F570" t="str">
        <f>IF(ISBLANK(MAIN!F570), "", IF(AND(ISNUMBER(VALUE(TRIM(MAIN!F570))), LEN(TRIM(MAIN!F570))=4), VALUE(TRIM(MAIN!F570)), ""))</f>
        <v/>
      </c>
      <c r="G570">
        <f>IF(ISBLANK(MAIN!G570), 0, IF(ISNUMBER(VALUE(TRIM(MAIN!G570))), VALUE(TRIM(MAIN!G570)), 0))</f>
        <v>0</v>
      </c>
      <c r="H570">
        <f>IF(ISBLANK(MAIN!H570), 0, IF(ISNUMBER(VALUE(TRIM(MAIN!H570))), VALUE(TRIM(MAIN!H570)), 0))</f>
        <v>0</v>
      </c>
      <c r="I570">
        <f>IF(ISBLANK(MAIN!I570), 0, IF(ISNUMBER(VALUE(TRIM(MAIN!I570))), VALUE(TRIM(MAIN!I570)), 0))</f>
        <v>0</v>
      </c>
      <c r="J570">
        <f>IF(ISBLANK(MAIN!J570), 0, IF(ISNUMBER(VALUE(TRIM(MAIN!J570))), VALUE(TRIM(MAIN!J570)), 0))</f>
        <v>0</v>
      </c>
      <c r="K570" cm="1">
        <f t="array" ref="K570">IFERROR(
    VALUE(
        IFERROR(
            UPPER(
                IF(MAX(IFERROR(SEARCH("WD",MAIN!G570:J570), 0))&gt;0, "WD",
                IF(MAX(IFERROR(SEARCH("NS",MAIN!G570:J570), 0))&gt;0, "NS",
                IF(MAX(IFERROR(SEARCH("NC",MAIN!G570:J570), 0))&gt;0, "NC",
                IF(MAX(IFERROR(SEARCH("DQ",MAIN!G570:J570), 0))&gt;0, "DQ",
                IF(ISNUMBER(SEARCH("WD",MAIN!K570)), "WD",
                IF(ISNUMBER(SEARCH("NS",MAIN!K570)), "NS",
                IF(ISNUMBER(SEARCH("NC",MAIN!K570)), "NC",
                IF(ISNUMBER(SEARCH("DQ",MAIN!K570)), "DQ",
                IF(ISNUMBER(SEARCH("A",MAIN!K570)), 0,
                IF(OR(MAIN!K570=0,MAIN!K570=""), 0, --TRIM(MAIN!K570)))))))))))),
            0
        )
    ),
    IFERROR(
        UPPER(
            IF(MAX(IFERROR(SEARCH("WD",MAIN!G570:J570), 0))&gt;0, "WD",
            IF(MAX(IFERROR(SEARCH("NS",MAIN!G570:J570), 0))&gt;0, "NS",
            IF(MAX(IFERROR(SEARCH("NC",MAIN!G570:J570), 0))&gt;0, "NC",
            IF(MAX(IFERROR(SEARCH("DQ",MAIN!G570:J570), 0))&gt;0, "DQ",
            IF(ISNUMBER(SEARCH("WD",MAIN!K570)), "WD",
            IF(ISNUMBER(SEARCH("NS",MAIN!K570)), "NS",
            IF(ISNUMBER(SEARCH("NC",MAIN!K570)), "NC",
            IF(ISNUMBER(SEARCH("DQ",MAIN!K570)), "DQ",
            IF(ISNUMBER(SEARCH("A",MAIN!K570)), 0,
            IF(OR(MAIN!K570=0,MAIN!K570=""), 0, --TRIM(MAIN!K570)))))))))))),
        0
    )
)</f>
        <v>0</v>
      </c>
    </row>
    <row r="571" spans="1:11" x14ac:dyDescent="0.25">
      <c r="A571" t="str">
        <f>IF(ISBLANK(MAIN!A571), "--", IFERROR(PROPER(SUBSTITUTE(SUBSTITUTE(SUBSTITUTE(SUBSTITUTE(SUBSTITUTE(SUBSTITUTE(SUBSTITUTE(SUBSTITUTE(SUBSTITUTE(SUBSTITUTE(LEFT(MAIN!A571, FIND(",",MAIN!A571) -1), "0", ""), "1", ""), "2", ""), "3", ""), "4", ""), "5", ""), "6", ""), "7", ""), "8", ""), "9", "")), PROPER(SUBSTITUTE(SUBSTITUTE(SUBSTITUTE(SUBSTITUTE(SUBSTITUTE(SUBSTITUTE(SUBSTITUTE(SUBSTITUTE(SUBSTITUTE(SUBSTITUTE(MAIN!A571, "0", ""), "1", ""), "2", ""), "3", ""), "4", ""), "5", ""), "6", ""), "7", ""), "8", ""), "9", ""))))</f>
        <v>--</v>
      </c>
      <c r="B571" t="str">
        <f>IF(ISBLANK(MAIN!B571), "--", IFERROR(PROPER(SUBSTITUTE(SUBSTITUTE(SUBSTITUTE(SUBSTITUTE(SUBSTITUTE(SUBSTITUTE(SUBSTITUTE(SUBSTITUTE(SUBSTITUTE(SUBSTITUTE(LEFT(MAIN!B571, FIND(",",MAIN!B571) -1), "0", ""), "1", ""), "2", ""), "3", ""), "4", ""), "5", ""), "6", ""), "7", ""), "8", ""), "9", "")), PROPER(SUBSTITUTE(SUBSTITUTE(SUBSTITUTE(SUBSTITUTE(SUBSTITUTE(SUBSTITUTE(SUBSTITUTE(SUBSTITUTE(SUBSTITUTE(SUBSTITUTE(MAIN!B571, "0", ""), "1", ""), "2", ""), "3", ""), "4", ""), "5", ""), "6", ""), "7", ""), "8", ""), "9", ""))))</f>
        <v>--</v>
      </c>
      <c r="C571" t="str">
        <f>IF(ISBLANK(MAIN!C571), "--", IFERROR(PROPER(SUBSTITUTE(SUBSTITUTE(SUBSTITUTE(SUBSTITUTE(SUBSTITUTE(SUBSTITUTE(SUBSTITUTE(SUBSTITUTE(SUBSTITUTE(SUBSTITUTE(LEFT(MAIN!C571, FIND(",",MAIN!C571) -1), "0", ""), "1", ""), "2", ""), "3", ""), "4", ""), "5", ""), "6", ""), "7", ""), "8", ""), "9", "")), PROPER(SUBSTITUTE(SUBSTITUTE(SUBSTITUTE(SUBSTITUTE(SUBSTITUTE(SUBSTITUTE(SUBSTITUTE(SUBSTITUTE(SUBSTITUTE(SUBSTITUTE(MAIN!C571, "0", ""), "1", ""), "2", ""), "3", ""), "4", ""), "5", ""), "6", ""), "7", ""), "8", ""), "9", ""))))</f>
        <v>--</v>
      </c>
      <c r="D571" t="str">
        <f>IF(ISBLANK(MAIN!D571), "--", IF(ISNUMBER(MATCH(SUBSTITUTE(LEFT(MAIN!D571, IFERROR(FIND(",", MAIN!D571)-1, LEN(MAIN!D571))), " ", ""), lookup_values!$B$2:$B$51, 0)), UPPER(SUBSTITUTE(LEFT(MAIN!D571, IFERROR(FIND(",", MAIN!D571)-1, LEN(MAIN!D571))), " ", "")), IF(ISNA(VLOOKUP(SUBSTITUTE(LEFT(MAIN!D571, IFERROR(FIND(",", MAIN!D571)-1, LEN(MAIN!D571))), " ", ""), lookup_values!$A$2:$B$51, 2, FALSE)), "--", VLOOKUP(SUBSTITUTE(LEFT(MAIN!D571, IFERROR(FIND(",", MAIN!D571)-1, LEN(MAIN!D571))), " ", ""), lookup_values!$A$2:$B$51, 2, FALSE))))</f>
        <v>--</v>
      </c>
      <c r="E571" t="str">
        <f>IF(CLEAN_DATA!D571&lt;&gt;"--","US",IF(ISBLANK(MAIN!E571), "--", IF(ISNUMBER(MATCH(SUBSTITUTE(LEFT(MAIN!E571, IFERROR(FIND(",", MAIN!E571)-1, LEN(MAIN!E571))), " ", ""), lookup_values!$E$2:$E$197, 0)), UPPER(SUBSTITUTE(LEFT(MAIN!E571, IFERROR(FIND(",", MAIN!E571)-1, LEN(MAIN!E571))), " ", "")), IF(ISNA(VLOOKUP(SUBSTITUTE(LEFT(MAIN!E571, IFERROR(FIND(",", MAIN!E571)-1, LEN(MAIN!E571))), " ", ""), lookup_values!$D$2:$E$197, 2, FALSE)), "--", VLOOKUP(SUBSTITUTE(LEFT(MAIN!E571, IFERROR(FIND(",", MAIN!E571)-1, LEN(MAIN!E571))), " ", ""), lookup_values!$D$2:$E$197, 2, FALSE)))))</f>
        <v>--</v>
      </c>
      <c r="F571" t="str">
        <f>IF(ISBLANK(MAIN!F571), "", IF(AND(ISNUMBER(VALUE(TRIM(MAIN!F571))), LEN(TRIM(MAIN!F571))=4), VALUE(TRIM(MAIN!F571)), ""))</f>
        <v/>
      </c>
      <c r="G571">
        <f>IF(ISBLANK(MAIN!G571), 0, IF(ISNUMBER(VALUE(TRIM(MAIN!G571))), VALUE(TRIM(MAIN!G571)), 0))</f>
        <v>0</v>
      </c>
      <c r="H571">
        <f>IF(ISBLANK(MAIN!H571), 0, IF(ISNUMBER(VALUE(TRIM(MAIN!H571))), VALUE(TRIM(MAIN!H571)), 0))</f>
        <v>0</v>
      </c>
      <c r="I571">
        <f>IF(ISBLANK(MAIN!I571), 0, IF(ISNUMBER(VALUE(TRIM(MAIN!I571))), VALUE(TRIM(MAIN!I571)), 0))</f>
        <v>0</v>
      </c>
      <c r="J571">
        <f>IF(ISBLANK(MAIN!J571), 0, IF(ISNUMBER(VALUE(TRIM(MAIN!J571))), VALUE(TRIM(MAIN!J571)), 0))</f>
        <v>0</v>
      </c>
      <c r="K571" cm="1">
        <f t="array" ref="K571">IFERROR(
    VALUE(
        IFERROR(
            UPPER(
                IF(MAX(IFERROR(SEARCH("WD",MAIN!G571:J571), 0))&gt;0, "WD",
                IF(MAX(IFERROR(SEARCH("NS",MAIN!G571:J571), 0))&gt;0, "NS",
                IF(MAX(IFERROR(SEARCH("NC",MAIN!G571:J571), 0))&gt;0, "NC",
                IF(MAX(IFERROR(SEARCH("DQ",MAIN!G571:J571), 0))&gt;0, "DQ",
                IF(ISNUMBER(SEARCH("WD",MAIN!K571)), "WD",
                IF(ISNUMBER(SEARCH("NS",MAIN!K571)), "NS",
                IF(ISNUMBER(SEARCH("NC",MAIN!K571)), "NC",
                IF(ISNUMBER(SEARCH("DQ",MAIN!K571)), "DQ",
                IF(ISNUMBER(SEARCH("A",MAIN!K571)), 0,
                IF(OR(MAIN!K571=0,MAIN!K571=""), 0, --TRIM(MAIN!K571)))))))))))),
            0
        )
    ),
    IFERROR(
        UPPER(
            IF(MAX(IFERROR(SEARCH("WD",MAIN!G571:J571), 0))&gt;0, "WD",
            IF(MAX(IFERROR(SEARCH("NS",MAIN!G571:J571), 0))&gt;0, "NS",
            IF(MAX(IFERROR(SEARCH("NC",MAIN!G571:J571), 0))&gt;0, "NC",
            IF(MAX(IFERROR(SEARCH("DQ",MAIN!G571:J571), 0))&gt;0, "DQ",
            IF(ISNUMBER(SEARCH("WD",MAIN!K571)), "WD",
            IF(ISNUMBER(SEARCH("NS",MAIN!K571)), "NS",
            IF(ISNUMBER(SEARCH("NC",MAIN!K571)), "NC",
            IF(ISNUMBER(SEARCH("DQ",MAIN!K571)), "DQ",
            IF(ISNUMBER(SEARCH("A",MAIN!K571)), 0,
            IF(OR(MAIN!K571=0,MAIN!K571=""), 0, --TRIM(MAIN!K571)))))))))))),
        0
    )
)</f>
        <v>0</v>
      </c>
    </row>
    <row r="572" spans="1:11" x14ac:dyDescent="0.25">
      <c r="A572" t="str">
        <f>IF(ISBLANK(MAIN!A572), "--", IFERROR(PROPER(SUBSTITUTE(SUBSTITUTE(SUBSTITUTE(SUBSTITUTE(SUBSTITUTE(SUBSTITUTE(SUBSTITUTE(SUBSTITUTE(SUBSTITUTE(SUBSTITUTE(LEFT(MAIN!A572, FIND(",",MAIN!A572) -1), "0", ""), "1", ""), "2", ""), "3", ""), "4", ""), "5", ""), "6", ""), "7", ""), "8", ""), "9", "")), PROPER(SUBSTITUTE(SUBSTITUTE(SUBSTITUTE(SUBSTITUTE(SUBSTITUTE(SUBSTITUTE(SUBSTITUTE(SUBSTITUTE(SUBSTITUTE(SUBSTITUTE(MAIN!A572, "0", ""), "1", ""), "2", ""), "3", ""), "4", ""), "5", ""), "6", ""), "7", ""), "8", ""), "9", ""))))</f>
        <v>--</v>
      </c>
      <c r="B572" t="str">
        <f>IF(ISBLANK(MAIN!B572), "--", IFERROR(PROPER(SUBSTITUTE(SUBSTITUTE(SUBSTITUTE(SUBSTITUTE(SUBSTITUTE(SUBSTITUTE(SUBSTITUTE(SUBSTITUTE(SUBSTITUTE(SUBSTITUTE(LEFT(MAIN!B572, FIND(",",MAIN!B572) -1), "0", ""), "1", ""), "2", ""), "3", ""), "4", ""), "5", ""), "6", ""), "7", ""), "8", ""), "9", "")), PROPER(SUBSTITUTE(SUBSTITUTE(SUBSTITUTE(SUBSTITUTE(SUBSTITUTE(SUBSTITUTE(SUBSTITUTE(SUBSTITUTE(SUBSTITUTE(SUBSTITUTE(MAIN!B572, "0", ""), "1", ""), "2", ""), "3", ""), "4", ""), "5", ""), "6", ""), "7", ""), "8", ""), "9", ""))))</f>
        <v>--</v>
      </c>
      <c r="C572" t="str">
        <f>IF(ISBLANK(MAIN!C572), "--", IFERROR(PROPER(SUBSTITUTE(SUBSTITUTE(SUBSTITUTE(SUBSTITUTE(SUBSTITUTE(SUBSTITUTE(SUBSTITUTE(SUBSTITUTE(SUBSTITUTE(SUBSTITUTE(LEFT(MAIN!C572, FIND(",",MAIN!C572) -1), "0", ""), "1", ""), "2", ""), "3", ""), "4", ""), "5", ""), "6", ""), "7", ""), "8", ""), "9", "")), PROPER(SUBSTITUTE(SUBSTITUTE(SUBSTITUTE(SUBSTITUTE(SUBSTITUTE(SUBSTITUTE(SUBSTITUTE(SUBSTITUTE(SUBSTITUTE(SUBSTITUTE(MAIN!C572, "0", ""), "1", ""), "2", ""), "3", ""), "4", ""), "5", ""), "6", ""), "7", ""), "8", ""), "9", ""))))</f>
        <v>--</v>
      </c>
      <c r="D572" t="str">
        <f>IF(ISBLANK(MAIN!D572), "--", IF(ISNUMBER(MATCH(SUBSTITUTE(LEFT(MAIN!D572, IFERROR(FIND(",", MAIN!D572)-1, LEN(MAIN!D572))), " ", ""), lookup_values!$B$2:$B$51, 0)), UPPER(SUBSTITUTE(LEFT(MAIN!D572, IFERROR(FIND(",", MAIN!D572)-1, LEN(MAIN!D572))), " ", "")), IF(ISNA(VLOOKUP(SUBSTITUTE(LEFT(MAIN!D572, IFERROR(FIND(",", MAIN!D572)-1, LEN(MAIN!D572))), " ", ""), lookup_values!$A$2:$B$51, 2, FALSE)), "--", VLOOKUP(SUBSTITUTE(LEFT(MAIN!D572, IFERROR(FIND(",", MAIN!D572)-1, LEN(MAIN!D572))), " ", ""), lookup_values!$A$2:$B$51, 2, FALSE))))</f>
        <v>--</v>
      </c>
      <c r="E572" t="str">
        <f>IF(CLEAN_DATA!D572&lt;&gt;"--","US",IF(ISBLANK(MAIN!E572), "--", IF(ISNUMBER(MATCH(SUBSTITUTE(LEFT(MAIN!E572, IFERROR(FIND(",", MAIN!E572)-1, LEN(MAIN!E572))), " ", ""), lookup_values!$E$2:$E$197, 0)), UPPER(SUBSTITUTE(LEFT(MAIN!E572, IFERROR(FIND(",", MAIN!E572)-1, LEN(MAIN!E572))), " ", "")), IF(ISNA(VLOOKUP(SUBSTITUTE(LEFT(MAIN!E572, IFERROR(FIND(",", MAIN!E572)-1, LEN(MAIN!E572))), " ", ""), lookup_values!$D$2:$E$197, 2, FALSE)), "--", VLOOKUP(SUBSTITUTE(LEFT(MAIN!E572, IFERROR(FIND(",", MAIN!E572)-1, LEN(MAIN!E572))), " ", ""), lookup_values!$D$2:$E$197, 2, FALSE)))))</f>
        <v>--</v>
      </c>
      <c r="F572" t="str">
        <f>IF(ISBLANK(MAIN!F572), "", IF(AND(ISNUMBER(VALUE(TRIM(MAIN!F572))), LEN(TRIM(MAIN!F572))=4), VALUE(TRIM(MAIN!F572)), ""))</f>
        <v/>
      </c>
      <c r="G572">
        <f>IF(ISBLANK(MAIN!G572), 0, IF(ISNUMBER(VALUE(TRIM(MAIN!G572))), VALUE(TRIM(MAIN!G572)), 0))</f>
        <v>0</v>
      </c>
      <c r="H572">
        <f>IF(ISBLANK(MAIN!H572), 0, IF(ISNUMBER(VALUE(TRIM(MAIN!H572))), VALUE(TRIM(MAIN!H572)), 0))</f>
        <v>0</v>
      </c>
      <c r="I572">
        <f>IF(ISBLANK(MAIN!I572), 0, IF(ISNUMBER(VALUE(TRIM(MAIN!I572))), VALUE(TRIM(MAIN!I572)), 0))</f>
        <v>0</v>
      </c>
      <c r="J572">
        <f>IF(ISBLANK(MAIN!J572), 0, IF(ISNUMBER(VALUE(TRIM(MAIN!J572))), VALUE(TRIM(MAIN!J572)), 0))</f>
        <v>0</v>
      </c>
      <c r="K572" cm="1">
        <f t="array" ref="K572">IFERROR(
    VALUE(
        IFERROR(
            UPPER(
                IF(MAX(IFERROR(SEARCH("WD",MAIN!G572:J572), 0))&gt;0, "WD",
                IF(MAX(IFERROR(SEARCH("NS",MAIN!G572:J572), 0))&gt;0, "NS",
                IF(MAX(IFERROR(SEARCH("NC",MAIN!G572:J572), 0))&gt;0, "NC",
                IF(MAX(IFERROR(SEARCH("DQ",MAIN!G572:J572), 0))&gt;0, "DQ",
                IF(ISNUMBER(SEARCH("WD",MAIN!K572)), "WD",
                IF(ISNUMBER(SEARCH("NS",MAIN!K572)), "NS",
                IF(ISNUMBER(SEARCH("NC",MAIN!K572)), "NC",
                IF(ISNUMBER(SEARCH("DQ",MAIN!K572)), "DQ",
                IF(ISNUMBER(SEARCH("A",MAIN!K572)), 0,
                IF(OR(MAIN!K572=0,MAIN!K572=""), 0, --TRIM(MAIN!K572)))))))))))),
            0
        )
    ),
    IFERROR(
        UPPER(
            IF(MAX(IFERROR(SEARCH("WD",MAIN!G572:J572), 0))&gt;0, "WD",
            IF(MAX(IFERROR(SEARCH("NS",MAIN!G572:J572), 0))&gt;0, "NS",
            IF(MAX(IFERROR(SEARCH("NC",MAIN!G572:J572), 0))&gt;0, "NC",
            IF(MAX(IFERROR(SEARCH("DQ",MAIN!G572:J572), 0))&gt;0, "DQ",
            IF(ISNUMBER(SEARCH("WD",MAIN!K572)), "WD",
            IF(ISNUMBER(SEARCH("NS",MAIN!K572)), "NS",
            IF(ISNUMBER(SEARCH("NC",MAIN!K572)), "NC",
            IF(ISNUMBER(SEARCH("DQ",MAIN!K572)), "DQ",
            IF(ISNUMBER(SEARCH("A",MAIN!K572)), 0,
            IF(OR(MAIN!K572=0,MAIN!K572=""), 0, --TRIM(MAIN!K572)))))))))))),
        0
    )
)</f>
        <v>0</v>
      </c>
    </row>
    <row r="573" spans="1:11" x14ac:dyDescent="0.25">
      <c r="A573" t="str">
        <f>IF(ISBLANK(MAIN!A573), "--", IFERROR(PROPER(SUBSTITUTE(SUBSTITUTE(SUBSTITUTE(SUBSTITUTE(SUBSTITUTE(SUBSTITUTE(SUBSTITUTE(SUBSTITUTE(SUBSTITUTE(SUBSTITUTE(LEFT(MAIN!A573, FIND(",",MAIN!A573) -1), "0", ""), "1", ""), "2", ""), "3", ""), "4", ""), "5", ""), "6", ""), "7", ""), "8", ""), "9", "")), PROPER(SUBSTITUTE(SUBSTITUTE(SUBSTITUTE(SUBSTITUTE(SUBSTITUTE(SUBSTITUTE(SUBSTITUTE(SUBSTITUTE(SUBSTITUTE(SUBSTITUTE(MAIN!A573, "0", ""), "1", ""), "2", ""), "3", ""), "4", ""), "5", ""), "6", ""), "7", ""), "8", ""), "9", ""))))</f>
        <v>--</v>
      </c>
      <c r="B573" t="str">
        <f>IF(ISBLANK(MAIN!B573), "--", IFERROR(PROPER(SUBSTITUTE(SUBSTITUTE(SUBSTITUTE(SUBSTITUTE(SUBSTITUTE(SUBSTITUTE(SUBSTITUTE(SUBSTITUTE(SUBSTITUTE(SUBSTITUTE(LEFT(MAIN!B573, FIND(",",MAIN!B573) -1), "0", ""), "1", ""), "2", ""), "3", ""), "4", ""), "5", ""), "6", ""), "7", ""), "8", ""), "9", "")), PROPER(SUBSTITUTE(SUBSTITUTE(SUBSTITUTE(SUBSTITUTE(SUBSTITUTE(SUBSTITUTE(SUBSTITUTE(SUBSTITUTE(SUBSTITUTE(SUBSTITUTE(MAIN!B573, "0", ""), "1", ""), "2", ""), "3", ""), "4", ""), "5", ""), "6", ""), "7", ""), "8", ""), "9", ""))))</f>
        <v>--</v>
      </c>
      <c r="C573" t="str">
        <f>IF(ISBLANK(MAIN!C573), "--", IFERROR(PROPER(SUBSTITUTE(SUBSTITUTE(SUBSTITUTE(SUBSTITUTE(SUBSTITUTE(SUBSTITUTE(SUBSTITUTE(SUBSTITUTE(SUBSTITUTE(SUBSTITUTE(LEFT(MAIN!C573, FIND(",",MAIN!C573) -1), "0", ""), "1", ""), "2", ""), "3", ""), "4", ""), "5", ""), "6", ""), "7", ""), "8", ""), "9", "")), PROPER(SUBSTITUTE(SUBSTITUTE(SUBSTITUTE(SUBSTITUTE(SUBSTITUTE(SUBSTITUTE(SUBSTITUTE(SUBSTITUTE(SUBSTITUTE(SUBSTITUTE(MAIN!C573, "0", ""), "1", ""), "2", ""), "3", ""), "4", ""), "5", ""), "6", ""), "7", ""), "8", ""), "9", ""))))</f>
        <v>--</v>
      </c>
      <c r="D573" t="str">
        <f>IF(ISBLANK(MAIN!D573), "--", IF(ISNUMBER(MATCH(SUBSTITUTE(LEFT(MAIN!D573, IFERROR(FIND(",", MAIN!D573)-1, LEN(MAIN!D573))), " ", ""), lookup_values!$B$2:$B$51, 0)), UPPER(SUBSTITUTE(LEFT(MAIN!D573, IFERROR(FIND(",", MAIN!D573)-1, LEN(MAIN!D573))), " ", "")), IF(ISNA(VLOOKUP(SUBSTITUTE(LEFT(MAIN!D573, IFERROR(FIND(",", MAIN!D573)-1, LEN(MAIN!D573))), " ", ""), lookup_values!$A$2:$B$51, 2, FALSE)), "--", VLOOKUP(SUBSTITUTE(LEFT(MAIN!D573, IFERROR(FIND(",", MAIN!D573)-1, LEN(MAIN!D573))), " ", ""), lookup_values!$A$2:$B$51, 2, FALSE))))</f>
        <v>--</v>
      </c>
      <c r="E573" t="str">
        <f>IF(CLEAN_DATA!D573&lt;&gt;"--","US",IF(ISBLANK(MAIN!E573), "--", IF(ISNUMBER(MATCH(SUBSTITUTE(LEFT(MAIN!E573, IFERROR(FIND(",", MAIN!E573)-1, LEN(MAIN!E573))), " ", ""), lookup_values!$E$2:$E$197, 0)), UPPER(SUBSTITUTE(LEFT(MAIN!E573, IFERROR(FIND(",", MAIN!E573)-1, LEN(MAIN!E573))), " ", "")), IF(ISNA(VLOOKUP(SUBSTITUTE(LEFT(MAIN!E573, IFERROR(FIND(",", MAIN!E573)-1, LEN(MAIN!E573))), " ", ""), lookup_values!$D$2:$E$197, 2, FALSE)), "--", VLOOKUP(SUBSTITUTE(LEFT(MAIN!E573, IFERROR(FIND(",", MAIN!E573)-1, LEN(MAIN!E573))), " ", ""), lookup_values!$D$2:$E$197, 2, FALSE)))))</f>
        <v>--</v>
      </c>
      <c r="F573" t="str">
        <f>IF(ISBLANK(MAIN!F573), "", IF(AND(ISNUMBER(VALUE(TRIM(MAIN!F573))), LEN(TRIM(MAIN!F573))=4), VALUE(TRIM(MAIN!F573)), ""))</f>
        <v/>
      </c>
      <c r="G573">
        <f>IF(ISBLANK(MAIN!G573), 0, IF(ISNUMBER(VALUE(TRIM(MAIN!G573))), VALUE(TRIM(MAIN!G573)), 0))</f>
        <v>0</v>
      </c>
      <c r="H573">
        <f>IF(ISBLANK(MAIN!H573), 0, IF(ISNUMBER(VALUE(TRIM(MAIN!H573))), VALUE(TRIM(MAIN!H573)), 0))</f>
        <v>0</v>
      </c>
      <c r="I573">
        <f>IF(ISBLANK(MAIN!I573), 0, IF(ISNUMBER(VALUE(TRIM(MAIN!I573))), VALUE(TRIM(MAIN!I573)), 0))</f>
        <v>0</v>
      </c>
      <c r="J573">
        <f>IF(ISBLANK(MAIN!J573), 0, IF(ISNUMBER(VALUE(TRIM(MAIN!J573))), VALUE(TRIM(MAIN!J573)), 0))</f>
        <v>0</v>
      </c>
      <c r="K573" cm="1">
        <f t="array" ref="K573">IFERROR(
    VALUE(
        IFERROR(
            UPPER(
                IF(MAX(IFERROR(SEARCH("WD",MAIN!G573:J573), 0))&gt;0, "WD",
                IF(MAX(IFERROR(SEARCH("NS",MAIN!G573:J573), 0))&gt;0, "NS",
                IF(MAX(IFERROR(SEARCH("NC",MAIN!G573:J573), 0))&gt;0, "NC",
                IF(MAX(IFERROR(SEARCH("DQ",MAIN!G573:J573), 0))&gt;0, "DQ",
                IF(ISNUMBER(SEARCH("WD",MAIN!K573)), "WD",
                IF(ISNUMBER(SEARCH("NS",MAIN!K573)), "NS",
                IF(ISNUMBER(SEARCH("NC",MAIN!K573)), "NC",
                IF(ISNUMBER(SEARCH("DQ",MAIN!K573)), "DQ",
                IF(ISNUMBER(SEARCH("A",MAIN!K573)), 0,
                IF(OR(MAIN!K573=0,MAIN!K573=""), 0, --TRIM(MAIN!K573)))))))))))),
            0
        )
    ),
    IFERROR(
        UPPER(
            IF(MAX(IFERROR(SEARCH("WD",MAIN!G573:J573), 0))&gt;0, "WD",
            IF(MAX(IFERROR(SEARCH("NS",MAIN!G573:J573), 0))&gt;0, "NS",
            IF(MAX(IFERROR(SEARCH("NC",MAIN!G573:J573), 0))&gt;0, "NC",
            IF(MAX(IFERROR(SEARCH("DQ",MAIN!G573:J573), 0))&gt;0, "DQ",
            IF(ISNUMBER(SEARCH("WD",MAIN!K573)), "WD",
            IF(ISNUMBER(SEARCH("NS",MAIN!K573)), "NS",
            IF(ISNUMBER(SEARCH("NC",MAIN!K573)), "NC",
            IF(ISNUMBER(SEARCH("DQ",MAIN!K573)), "DQ",
            IF(ISNUMBER(SEARCH("A",MAIN!K573)), 0,
            IF(OR(MAIN!K573=0,MAIN!K573=""), 0, --TRIM(MAIN!K573)))))))))))),
        0
    )
)</f>
        <v>0</v>
      </c>
    </row>
    <row r="574" spans="1:11" x14ac:dyDescent="0.25">
      <c r="A574" t="str">
        <f>IF(ISBLANK(MAIN!A574), "--", IFERROR(PROPER(SUBSTITUTE(SUBSTITUTE(SUBSTITUTE(SUBSTITUTE(SUBSTITUTE(SUBSTITUTE(SUBSTITUTE(SUBSTITUTE(SUBSTITUTE(SUBSTITUTE(LEFT(MAIN!A574, FIND(",",MAIN!A574) -1), "0", ""), "1", ""), "2", ""), "3", ""), "4", ""), "5", ""), "6", ""), "7", ""), "8", ""), "9", "")), PROPER(SUBSTITUTE(SUBSTITUTE(SUBSTITUTE(SUBSTITUTE(SUBSTITUTE(SUBSTITUTE(SUBSTITUTE(SUBSTITUTE(SUBSTITUTE(SUBSTITUTE(MAIN!A574, "0", ""), "1", ""), "2", ""), "3", ""), "4", ""), "5", ""), "6", ""), "7", ""), "8", ""), "9", ""))))</f>
        <v>--</v>
      </c>
      <c r="B574" t="str">
        <f>IF(ISBLANK(MAIN!B574), "--", IFERROR(PROPER(SUBSTITUTE(SUBSTITUTE(SUBSTITUTE(SUBSTITUTE(SUBSTITUTE(SUBSTITUTE(SUBSTITUTE(SUBSTITUTE(SUBSTITUTE(SUBSTITUTE(LEFT(MAIN!B574, FIND(",",MAIN!B574) -1), "0", ""), "1", ""), "2", ""), "3", ""), "4", ""), "5", ""), "6", ""), "7", ""), "8", ""), "9", "")), PROPER(SUBSTITUTE(SUBSTITUTE(SUBSTITUTE(SUBSTITUTE(SUBSTITUTE(SUBSTITUTE(SUBSTITUTE(SUBSTITUTE(SUBSTITUTE(SUBSTITUTE(MAIN!B574, "0", ""), "1", ""), "2", ""), "3", ""), "4", ""), "5", ""), "6", ""), "7", ""), "8", ""), "9", ""))))</f>
        <v>--</v>
      </c>
      <c r="C574" t="str">
        <f>IF(ISBLANK(MAIN!C574), "--", IFERROR(PROPER(SUBSTITUTE(SUBSTITUTE(SUBSTITUTE(SUBSTITUTE(SUBSTITUTE(SUBSTITUTE(SUBSTITUTE(SUBSTITUTE(SUBSTITUTE(SUBSTITUTE(LEFT(MAIN!C574, FIND(",",MAIN!C574) -1), "0", ""), "1", ""), "2", ""), "3", ""), "4", ""), "5", ""), "6", ""), "7", ""), "8", ""), "9", "")), PROPER(SUBSTITUTE(SUBSTITUTE(SUBSTITUTE(SUBSTITUTE(SUBSTITUTE(SUBSTITUTE(SUBSTITUTE(SUBSTITUTE(SUBSTITUTE(SUBSTITUTE(MAIN!C574, "0", ""), "1", ""), "2", ""), "3", ""), "4", ""), "5", ""), "6", ""), "7", ""), "8", ""), "9", ""))))</f>
        <v>--</v>
      </c>
      <c r="D574" t="str">
        <f>IF(ISBLANK(MAIN!D574), "--", IF(ISNUMBER(MATCH(SUBSTITUTE(LEFT(MAIN!D574, IFERROR(FIND(",", MAIN!D574)-1, LEN(MAIN!D574))), " ", ""), lookup_values!$B$2:$B$51, 0)), UPPER(SUBSTITUTE(LEFT(MAIN!D574, IFERROR(FIND(",", MAIN!D574)-1, LEN(MAIN!D574))), " ", "")), IF(ISNA(VLOOKUP(SUBSTITUTE(LEFT(MAIN!D574, IFERROR(FIND(",", MAIN!D574)-1, LEN(MAIN!D574))), " ", ""), lookup_values!$A$2:$B$51, 2, FALSE)), "--", VLOOKUP(SUBSTITUTE(LEFT(MAIN!D574, IFERROR(FIND(",", MAIN!D574)-1, LEN(MAIN!D574))), " ", ""), lookup_values!$A$2:$B$51, 2, FALSE))))</f>
        <v>--</v>
      </c>
      <c r="E574" t="str">
        <f>IF(CLEAN_DATA!D574&lt;&gt;"--","US",IF(ISBLANK(MAIN!E574), "--", IF(ISNUMBER(MATCH(SUBSTITUTE(LEFT(MAIN!E574, IFERROR(FIND(",", MAIN!E574)-1, LEN(MAIN!E574))), " ", ""), lookup_values!$E$2:$E$197, 0)), UPPER(SUBSTITUTE(LEFT(MAIN!E574, IFERROR(FIND(",", MAIN!E574)-1, LEN(MAIN!E574))), " ", "")), IF(ISNA(VLOOKUP(SUBSTITUTE(LEFT(MAIN!E574, IFERROR(FIND(",", MAIN!E574)-1, LEN(MAIN!E574))), " ", ""), lookup_values!$D$2:$E$197, 2, FALSE)), "--", VLOOKUP(SUBSTITUTE(LEFT(MAIN!E574, IFERROR(FIND(",", MAIN!E574)-1, LEN(MAIN!E574))), " ", ""), lookup_values!$D$2:$E$197, 2, FALSE)))))</f>
        <v>--</v>
      </c>
      <c r="F574" t="str">
        <f>IF(ISBLANK(MAIN!F574), "", IF(AND(ISNUMBER(VALUE(TRIM(MAIN!F574))), LEN(TRIM(MAIN!F574))=4), VALUE(TRIM(MAIN!F574)), ""))</f>
        <v/>
      </c>
      <c r="G574">
        <f>IF(ISBLANK(MAIN!G574), 0, IF(ISNUMBER(VALUE(TRIM(MAIN!G574))), VALUE(TRIM(MAIN!G574)), 0))</f>
        <v>0</v>
      </c>
      <c r="H574">
        <f>IF(ISBLANK(MAIN!H574), 0, IF(ISNUMBER(VALUE(TRIM(MAIN!H574))), VALUE(TRIM(MAIN!H574)), 0))</f>
        <v>0</v>
      </c>
      <c r="I574">
        <f>IF(ISBLANK(MAIN!I574), 0, IF(ISNUMBER(VALUE(TRIM(MAIN!I574))), VALUE(TRIM(MAIN!I574)), 0))</f>
        <v>0</v>
      </c>
      <c r="J574">
        <f>IF(ISBLANK(MAIN!J574), 0, IF(ISNUMBER(VALUE(TRIM(MAIN!J574))), VALUE(TRIM(MAIN!J574)), 0))</f>
        <v>0</v>
      </c>
      <c r="K574" cm="1">
        <f t="array" ref="K574">IFERROR(
    VALUE(
        IFERROR(
            UPPER(
                IF(MAX(IFERROR(SEARCH("WD",MAIN!G574:J574), 0))&gt;0, "WD",
                IF(MAX(IFERROR(SEARCH("NS",MAIN!G574:J574), 0))&gt;0, "NS",
                IF(MAX(IFERROR(SEARCH("NC",MAIN!G574:J574), 0))&gt;0, "NC",
                IF(MAX(IFERROR(SEARCH("DQ",MAIN!G574:J574), 0))&gt;0, "DQ",
                IF(ISNUMBER(SEARCH("WD",MAIN!K574)), "WD",
                IF(ISNUMBER(SEARCH("NS",MAIN!K574)), "NS",
                IF(ISNUMBER(SEARCH("NC",MAIN!K574)), "NC",
                IF(ISNUMBER(SEARCH("DQ",MAIN!K574)), "DQ",
                IF(ISNUMBER(SEARCH("A",MAIN!K574)), 0,
                IF(OR(MAIN!K574=0,MAIN!K574=""), 0, --TRIM(MAIN!K574)))))))))))),
            0
        )
    ),
    IFERROR(
        UPPER(
            IF(MAX(IFERROR(SEARCH("WD",MAIN!G574:J574), 0))&gt;0, "WD",
            IF(MAX(IFERROR(SEARCH("NS",MAIN!G574:J574), 0))&gt;0, "NS",
            IF(MAX(IFERROR(SEARCH("NC",MAIN!G574:J574), 0))&gt;0, "NC",
            IF(MAX(IFERROR(SEARCH("DQ",MAIN!G574:J574), 0))&gt;0, "DQ",
            IF(ISNUMBER(SEARCH("WD",MAIN!K574)), "WD",
            IF(ISNUMBER(SEARCH("NS",MAIN!K574)), "NS",
            IF(ISNUMBER(SEARCH("NC",MAIN!K574)), "NC",
            IF(ISNUMBER(SEARCH("DQ",MAIN!K574)), "DQ",
            IF(ISNUMBER(SEARCH("A",MAIN!K574)), 0,
            IF(OR(MAIN!K574=0,MAIN!K574=""), 0, --TRIM(MAIN!K574)))))))))))),
        0
    )
)</f>
        <v>0</v>
      </c>
    </row>
    <row r="575" spans="1:11" x14ac:dyDescent="0.25">
      <c r="A575" t="str">
        <f>IF(ISBLANK(MAIN!A575), "--", IFERROR(PROPER(SUBSTITUTE(SUBSTITUTE(SUBSTITUTE(SUBSTITUTE(SUBSTITUTE(SUBSTITUTE(SUBSTITUTE(SUBSTITUTE(SUBSTITUTE(SUBSTITUTE(LEFT(MAIN!A575, FIND(",",MAIN!A575) -1), "0", ""), "1", ""), "2", ""), "3", ""), "4", ""), "5", ""), "6", ""), "7", ""), "8", ""), "9", "")), PROPER(SUBSTITUTE(SUBSTITUTE(SUBSTITUTE(SUBSTITUTE(SUBSTITUTE(SUBSTITUTE(SUBSTITUTE(SUBSTITUTE(SUBSTITUTE(SUBSTITUTE(MAIN!A575, "0", ""), "1", ""), "2", ""), "3", ""), "4", ""), "5", ""), "6", ""), "7", ""), "8", ""), "9", ""))))</f>
        <v>--</v>
      </c>
      <c r="B575" t="str">
        <f>IF(ISBLANK(MAIN!B575), "--", IFERROR(PROPER(SUBSTITUTE(SUBSTITUTE(SUBSTITUTE(SUBSTITUTE(SUBSTITUTE(SUBSTITUTE(SUBSTITUTE(SUBSTITUTE(SUBSTITUTE(SUBSTITUTE(LEFT(MAIN!B575, FIND(",",MAIN!B575) -1), "0", ""), "1", ""), "2", ""), "3", ""), "4", ""), "5", ""), "6", ""), "7", ""), "8", ""), "9", "")), PROPER(SUBSTITUTE(SUBSTITUTE(SUBSTITUTE(SUBSTITUTE(SUBSTITUTE(SUBSTITUTE(SUBSTITUTE(SUBSTITUTE(SUBSTITUTE(SUBSTITUTE(MAIN!B575, "0", ""), "1", ""), "2", ""), "3", ""), "4", ""), "5", ""), "6", ""), "7", ""), "8", ""), "9", ""))))</f>
        <v>--</v>
      </c>
      <c r="C575" t="str">
        <f>IF(ISBLANK(MAIN!C575), "--", IFERROR(PROPER(SUBSTITUTE(SUBSTITUTE(SUBSTITUTE(SUBSTITUTE(SUBSTITUTE(SUBSTITUTE(SUBSTITUTE(SUBSTITUTE(SUBSTITUTE(SUBSTITUTE(LEFT(MAIN!C575, FIND(",",MAIN!C575) -1), "0", ""), "1", ""), "2", ""), "3", ""), "4", ""), "5", ""), "6", ""), "7", ""), "8", ""), "9", "")), PROPER(SUBSTITUTE(SUBSTITUTE(SUBSTITUTE(SUBSTITUTE(SUBSTITUTE(SUBSTITUTE(SUBSTITUTE(SUBSTITUTE(SUBSTITUTE(SUBSTITUTE(MAIN!C575, "0", ""), "1", ""), "2", ""), "3", ""), "4", ""), "5", ""), "6", ""), "7", ""), "8", ""), "9", ""))))</f>
        <v>--</v>
      </c>
      <c r="D575" t="str">
        <f>IF(ISBLANK(MAIN!D575), "--", IF(ISNUMBER(MATCH(SUBSTITUTE(LEFT(MAIN!D575, IFERROR(FIND(",", MAIN!D575)-1, LEN(MAIN!D575))), " ", ""), lookup_values!$B$2:$B$51, 0)), UPPER(SUBSTITUTE(LEFT(MAIN!D575, IFERROR(FIND(",", MAIN!D575)-1, LEN(MAIN!D575))), " ", "")), IF(ISNA(VLOOKUP(SUBSTITUTE(LEFT(MAIN!D575, IFERROR(FIND(",", MAIN!D575)-1, LEN(MAIN!D575))), " ", ""), lookup_values!$A$2:$B$51, 2, FALSE)), "--", VLOOKUP(SUBSTITUTE(LEFT(MAIN!D575, IFERROR(FIND(",", MAIN!D575)-1, LEN(MAIN!D575))), " ", ""), lookup_values!$A$2:$B$51, 2, FALSE))))</f>
        <v>--</v>
      </c>
      <c r="E575" t="str">
        <f>IF(CLEAN_DATA!D575&lt;&gt;"--","US",IF(ISBLANK(MAIN!E575), "--", IF(ISNUMBER(MATCH(SUBSTITUTE(LEFT(MAIN!E575, IFERROR(FIND(",", MAIN!E575)-1, LEN(MAIN!E575))), " ", ""), lookup_values!$E$2:$E$197, 0)), UPPER(SUBSTITUTE(LEFT(MAIN!E575, IFERROR(FIND(",", MAIN!E575)-1, LEN(MAIN!E575))), " ", "")), IF(ISNA(VLOOKUP(SUBSTITUTE(LEFT(MAIN!E575, IFERROR(FIND(",", MAIN!E575)-1, LEN(MAIN!E575))), " ", ""), lookup_values!$D$2:$E$197, 2, FALSE)), "--", VLOOKUP(SUBSTITUTE(LEFT(MAIN!E575, IFERROR(FIND(",", MAIN!E575)-1, LEN(MAIN!E575))), " ", ""), lookup_values!$D$2:$E$197, 2, FALSE)))))</f>
        <v>--</v>
      </c>
      <c r="F575" t="str">
        <f>IF(ISBLANK(MAIN!F575), "", IF(AND(ISNUMBER(VALUE(TRIM(MAIN!F575))), LEN(TRIM(MAIN!F575))=4), VALUE(TRIM(MAIN!F575)), ""))</f>
        <v/>
      </c>
      <c r="G575">
        <f>IF(ISBLANK(MAIN!G575), 0, IF(ISNUMBER(VALUE(TRIM(MAIN!G575))), VALUE(TRIM(MAIN!G575)), 0))</f>
        <v>0</v>
      </c>
      <c r="H575">
        <f>IF(ISBLANK(MAIN!H575), 0, IF(ISNUMBER(VALUE(TRIM(MAIN!H575))), VALUE(TRIM(MAIN!H575)), 0))</f>
        <v>0</v>
      </c>
      <c r="I575">
        <f>IF(ISBLANK(MAIN!I575), 0, IF(ISNUMBER(VALUE(TRIM(MAIN!I575))), VALUE(TRIM(MAIN!I575)), 0))</f>
        <v>0</v>
      </c>
      <c r="J575">
        <f>IF(ISBLANK(MAIN!J575), 0, IF(ISNUMBER(VALUE(TRIM(MAIN!J575))), VALUE(TRIM(MAIN!J575)), 0))</f>
        <v>0</v>
      </c>
      <c r="K575" cm="1">
        <f t="array" ref="K575">IFERROR(
    VALUE(
        IFERROR(
            UPPER(
                IF(MAX(IFERROR(SEARCH("WD",MAIN!G575:J575), 0))&gt;0, "WD",
                IF(MAX(IFERROR(SEARCH("NS",MAIN!G575:J575), 0))&gt;0, "NS",
                IF(MAX(IFERROR(SEARCH("NC",MAIN!G575:J575), 0))&gt;0, "NC",
                IF(MAX(IFERROR(SEARCH("DQ",MAIN!G575:J575), 0))&gt;0, "DQ",
                IF(ISNUMBER(SEARCH("WD",MAIN!K575)), "WD",
                IF(ISNUMBER(SEARCH("NS",MAIN!K575)), "NS",
                IF(ISNUMBER(SEARCH("NC",MAIN!K575)), "NC",
                IF(ISNUMBER(SEARCH("DQ",MAIN!K575)), "DQ",
                IF(ISNUMBER(SEARCH("A",MAIN!K575)), 0,
                IF(OR(MAIN!K575=0,MAIN!K575=""), 0, --TRIM(MAIN!K575)))))))))))),
            0
        )
    ),
    IFERROR(
        UPPER(
            IF(MAX(IFERROR(SEARCH("WD",MAIN!G575:J575), 0))&gt;0, "WD",
            IF(MAX(IFERROR(SEARCH("NS",MAIN!G575:J575), 0))&gt;0, "NS",
            IF(MAX(IFERROR(SEARCH("NC",MAIN!G575:J575), 0))&gt;0, "NC",
            IF(MAX(IFERROR(SEARCH("DQ",MAIN!G575:J575), 0))&gt;0, "DQ",
            IF(ISNUMBER(SEARCH("WD",MAIN!K575)), "WD",
            IF(ISNUMBER(SEARCH("NS",MAIN!K575)), "NS",
            IF(ISNUMBER(SEARCH("NC",MAIN!K575)), "NC",
            IF(ISNUMBER(SEARCH("DQ",MAIN!K575)), "DQ",
            IF(ISNUMBER(SEARCH("A",MAIN!K575)), 0,
            IF(OR(MAIN!K575=0,MAIN!K575=""), 0, --TRIM(MAIN!K575)))))))))))),
        0
    )
)</f>
        <v>0</v>
      </c>
    </row>
    <row r="576" spans="1:11" x14ac:dyDescent="0.25">
      <c r="A576" t="str">
        <f>IF(ISBLANK(MAIN!A576), "--", IFERROR(PROPER(SUBSTITUTE(SUBSTITUTE(SUBSTITUTE(SUBSTITUTE(SUBSTITUTE(SUBSTITUTE(SUBSTITUTE(SUBSTITUTE(SUBSTITUTE(SUBSTITUTE(LEFT(MAIN!A576, FIND(",",MAIN!A576) -1), "0", ""), "1", ""), "2", ""), "3", ""), "4", ""), "5", ""), "6", ""), "7", ""), "8", ""), "9", "")), PROPER(SUBSTITUTE(SUBSTITUTE(SUBSTITUTE(SUBSTITUTE(SUBSTITUTE(SUBSTITUTE(SUBSTITUTE(SUBSTITUTE(SUBSTITUTE(SUBSTITUTE(MAIN!A576, "0", ""), "1", ""), "2", ""), "3", ""), "4", ""), "5", ""), "6", ""), "7", ""), "8", ""), "9", ""))))</f>
        <v>--</v>
      </c>
      <c r="B576" t="str">
        <f>IF(ISBLANK(MAIN!B576), "--", IFERROR(PROPER(SUBSTITUTE(SUBSTITUTE(SUBSTITUTE(SUBSTITUTE(SUBSTITUTE(SUBSTITUTE(SUBSTITUTE(SUBSTITUTE(SUBSTITUTE(SUBSTITUTE(LEFT(MAIN!B576, FIND(",",MAIN!B576) -1), "0", ""), "1", ""), "2", ""), "3", ""), "4", ""), "5", ""), "6", ""), "7", ""), "8", ""), "9", "")), PROPER(SUBSTITUTE(SUBSTITUTE(SUBSTITUTE(SUBSTITUTE(SUBSTITUTE(SUBSTITUTE(SUBSTITUTE(SUBSTITUTE(SUBSTITUTE(SUBSTITUTE(MAIN!B576, "0", ""), "1", ""), "2", ""), "3", ""), "4", ""), "5", ""), "6", ""), "7", ""), "8", ""), "9", ""))))</f>
        <v>--</v>
      </c>
      <c r="C576" t="str">
        <f>IF(ISBLANK(MAIN!C576), "--", IFERROR(PROPER(SUBSTITUTE(SUBSTITUTE(SUBSTITUTE(SUBSTITUTE(SUBSTITUTE(SUBSTITUTE(SUBSTITUTE(SUBSTITUTE(SUBSTITUTE(SUBSTITUTE(LEFT(MAIN!C576, FIND(",",MAIN!C576) -1), "0", ""), "1", ""), "2", ""), "3", ""), "4", ""), "5", ""), "6", ""), "7", ""), "8", ""), "9", "")), PROPER(SUBSTITUTE(SUBSTITUTE(SUBSTITUTE(SUBSTITUTE(SUBSTITUTE(SUBSTITUTE(SUBSTITUTE(SUBSTITUTE(SUBSTITUTE(SUBSTITUTE(MAIN!C576, "0", ""), "1", ""), "2", ""), "3", ""), "4", ""), "5", ""), "6", ""), "7", ""), "8", ""), "9", ""))))</f>
        <v>--</v>
      </c>
      <c r="D576" t="str">
        <f>IF(ISBLANK(MAIN!D576), "--", IF(ISNUMBER(MATCH(SUBSTITUTE(LEFT(MAIN!D576, IFERROR(FIND(",", MAIN!D576)-1, LEN(MAIN!D576))), " ", ""), lookup_values!$B$2:$B$51, 0)), UPPER(SUBSTITUTE(LEFT(MAIN!D576, IFERROR(FIND(",", MAIN!D576)-1, LEN(MAIN!D576))), " ", "")), IF(ISNA(VLOOKUP(SUBSTITUTE(LEFT(MAIN!D576, IFERROR(FIND(",", MAIN!D576)-1, LEN(MAIN!D576))), " ", ""), lookup_values!$A$2:$B$51, 2, FALSE)), "--", VLOOKUP(SUBSTITUTE(LEFT(MAIN!D576, IFERROR(FIND(",", MAIN!D576)-1, LEN(MAIN!D576))), " ", ""), lookup_values!$A$2:$B$51, 2, FALSE))))</f>
        <v>--</v>
      </c>
      <c r="E576" t="str">
        <f>IF(CLEAN_DATA!D576&lt;&gt;"--","US",IF(ISBLANK(MAIN!E576), "--", IF(ISNUMBER(MATCH(SUBSTITUTE(LEFT(MAIN!E576, IFERROR(FIND(",", MAIN!E576)-1, LEN(MAIN!E576))), " ", ""), lookup_values!$E$2:$E$197, 0)), UPPER(SUBSTITUTE(LEFT(MAIN!E576, IFERROR(FIND(",", MAIN!E576)-1, LEN(MAIN!E576))), " ", "")), IF(ISNA(VLOOKUP(SUBSTITUTE(LEFT(MAIN!E576, IFERROR(FIND(",", MAIN!E576)-1, LEN(MAIN!E576))), " ", ""), lookup_values!$D$2:$E$197, 2, FALSE)), "--", VLOOKUP(SUBSTITUTE(LEFT(MAIN!E576, IFERROR(FIND(",", MAIN!E576)-1, LEN(MAIN!E576))), " ", ""), lookup_values!$D$2:$E$197, 2, FALSE)))))</f>
        <v>--</v>
      </c>
      <c r="F576" t="str">
        <f>IF(ISBLANK(MAIN!F576), "", IF(AND(ISNUMBER(VALUE(TRIM(MAIN!F576))), LEN(TRIM(MAIN!F576))=4), VALUE(TRIM(MAIN!F576)), ""))</f>
        <v/>
      </c>
      <c r="G576">
        <f>IF(ISBLANK(MAIN!G576), 0, IF(ISNUMBER(VALUE(TRIM(MAIN!G576))), VALUE(TRIM(MAIN!G576)), 0))</f>
        <v>0</v>
      </c>
      <c r="H576">
        <f>IF(ISBLANK(MAIN!H576), 0, IF(ISNUMBER(VALUE(TRIM(MAIN!H576))), VALUE(TRIM(MAIN!H576)), 0))</f>
        <v>0</v>
      </c>
      <c r="I576">
        <f>IF(ISBLANK(MAIN!I576), 0, IF(ISNUMBER(VALUE(TRIM(MAIN!I576))), VALUE(TRIM(MAIN!I576)), 0))</f>
        <v>0</v>
      </c>
      <c r="J576">
        <f>IF(ISBLANK(MAIN!J576), 0, IF(ISNUMBER(VALUE(TRIM(MAIN!J576))), VALUE(TRIM(MAIN!J576)), 0))</f>
        <v>0</v>
      </c>
      <c r="K576" cm="1">
        <f t="array" ref="K576">IFERROR(
    VALUE(
        IFERROR(
            UPPER(
                IF(MAX(IFERROR(SEARCH("WD",MAIN!G576:J576), 0))&gt;0, "WD",
                IF(MAX(IFERROR(SEARCH("NS",MAIN!G576:J576), 0))&gt;0, "NS",
                IF(MAX(IFERROR(SEARCH("NC",MAIN!G576:J576), 0))&gt;0, "NC",
                IF(MAX(IFERROR(SEARCH("DQ",MAIN!G576:J576), 0))&gt;0, "DQ",
                IF(ISNUMBER(SEARCH("WD",MAIN!K576)), "WD",
                IF(ISNUMBER(SEARCH("NS",MAIN!K576)), "NS",
                IF(ISNUMBER(SEARCH("NC",MAIN!K576)), "NC",
                IF(ISNUMBER(SEARCH("DQ",MAIN!K576)), "DQ",
                IF(ISNUMBER(SEARCH("A",MAIN!K576)), 0,
                IF(OR(MAIN!K576=0,MAIN!K576=""), 0, --TRIM(MAIN!K576)))))))))))),
            0
        )
    ),
    IFERROR(
        UPPER(
            IF(MAX(IFERROR(SEARCH("WD",MAIN!G576:J576), 0))&gt;0, "WD",
            IF(MAX(IFERROR(SEARCH("NS",MAIN!G576:J576), 0))&gt;0, "NS",
            IF(MAX(IFERROR(SEARCH("NC",MAIN!G576:J576), 0))&gt;0, "NC",
            IF(MAX(IFERROR(SEARCH("DQ",MAIN!G576:J576), 0))&gt;0, "DQ",
            IF(ISNUMBER(SEARCH("WD",MAIN!K576)), "WD",
            IF(ISNUMBER(SEARCH("NS",MAIN!K576)), "NS",
            IF(ISNUMBER(SEARCH("NC",MAIN!K576)), "NC",
            IF(ISNUMBER(SEARCH("DQ",MAIN!K576)), "DQ",
            IF(ISNUMBER(SEARCH("A",MAIN!K576)), 0,
            IF(OR(MAIN!K576=0,MAIN!K576=""), 0, --TRIM(MAIN!K576)))))))))))),
        0
    )
)</f>
        <v>0</v>
      </c>
    </row>
    <row r="577" spans="1:11" x14ac:dyDescent="0.25">
      <c r="A577" t="str">
        <f>IF(ISBLANK(MAIN!A577), "--", IFERROR(PROPER(SUBSTITUTE(SUBSTITUTE(SUBSTITUTE(SUBSTITUTE(SUBSTITUTE(SUBSTITUTE(SUBSTITUTE(SUBSTITUTE(SUBSTITUTE(SUBSTITUTE(LEFT(MAIN!A577, FIND(",",MAIN!A577) -1), "0", ""), "1", ""), "2", ""), "3", ""), "4", ""), "5", ""), "6", ""), "7", ""), "8", ""), "9", "")), PROPER(SUBSTITUTE(SUBSTITUTE(SUBSTITUTE(SUBSTITUTE(SUBSTITUTE(SUBSTITUTE(SUBSTITUTE(SUBSTITUTE(SUBSTITUTE(SUBSTITUTE(MAIN!A577, "0", ""), "1", ""), "2", ""), "3", ""), "4", ""), "5", ""), "6", ""), "7", ""), "8", ""), "9", ""))))</f>
        <v>--</v>
      </c>
      <c r="B577" t="str">
        <f>IF(ISBLANK(MAIN!B577), "--", IFERROR(PROPER(SUBSTITUTE(SUBSTITUTE(SUBSTITUTE(SUBSTITUTE(SUBSTITUTE(SUBSTITUTE(SUBSTITUTE(SUBSTITUTE(SUBSTITUTE(SUBSTITUTE(LEFT(MAIN!B577, FIND(",",MAIN!B577) -1), "0", ""), "1", ""), "2", ""), "3", ""), "4", ""), "5", ""), "6", ""), "7", ""), "8", ""), "9", "")), PROPER(SUBSTITUTE(SUBSTITUTE(SUBSTITUTE(SUBSTITUTE(SUBSTITUTE(SUBSTITUTE(SUBSTITUTE(SUBSTITUTE(SUBSTITUTE(SUBSTITUTE(MAIN!B577, "0", ""), "1", ""), "2", ""), "3", ""), "4", ""), "5", ""), "6", ""), "7", ""), "8", ""), "9", ""))))</f>
        <v>--</v>
      </c>
      <c r="C577" t="str">
        <f>IF(ISBLANK(MAIN!C577), "--", IFERROR(PROPER(SUBSTITUTE(SUBSTITUTE(SUBSTITUTE(SUBSTITUTE(SUBSTITUTE(SUBSTITUTE(SUBSTITUTE(SUBSTITUTE(SUBSTITUTE(SUBSTITUTE(LEFT(MAIN!C577, FIND(",",MAIN!C577) -1), "0", ""), "1", ""), "2", ""), "3", ""), "4", ""), "5", ""), "6", ""), "7", ""), "8", ""), "9", "")), PROPER(SUBSTITUTE(SUBSTITUTE(SUBSTITUTE(SUBSTITUTE(SUBSTITUTE(SUBSTITUTE(SUBSTITUTE(SUBSTITUTE(SUBSTITUTE(SUBSTITUTE(MAIN!C577, "0", ""), "1", ""), "2", ""), "3", ""), "4", ""), "5", ""), "6", ""), "7", ""), "8", ""), "9", ""))))</f>
        <v>--</v>
      </c>
      <c r="D577" t="str">
        <f>IF(ISBLANK(MAIN!D577), "--", IF(ISNUMBER(MATCH(SUBSTITUTE(LEFT(MAIN!D577, IFERROR(FIND(",", MAIN!D577)-1, LEN(MAIN!D577))), " ", ""), lookup_values!$B$2:$B$51, 0)), UPPER(SUBSTITUTE(LEFT(MAIN!D577, IFERROR(FIND(",", MAIN!D577)-1, LEN(MAIN!D577))), " ", "")), IF(ISNA(VLOOKUP(SUBSTITUTE(LEFT(MAIN!D577, IFERROR(FIND(",", MAIN!D577)-1, LEN(MAIN!D577))), " ", ""), lookup_values!$A$2:$B$51, 2, FALSE)), "--", VLOOKUP(SUBSTITUTE(LEFT(MAIN!D577, IFERROR(FIND(",", MAIN!D577)-1, LEN(MAIN!D577))), " ", ""), lookup_values!$A$2:$B$51, 2, FALSE))))</f>
        <v>--</v>
      </c>
      <c r="E577" t="str">
        <f>IF(CLEAN_DATA!D577&lt;&gt;"--","US",IF(ISBLANK(MAIN!E577), "--", IF(ISNUMBER(MATCH(SUBSTITUTE(LEFT(MAIN!E577, IFERROR(FIND(",", MAIN!E577)-1, LEN(MAIN!E577))), " ", ""), lookup_values!$E$2:$E$197, 0)), UPPER(SUBSTITUTE(LEFT(MAIN!E577, IFERROR(FIND(",", MAIN!E577)-1, LEN(MAIN!E577))), " ", "")), IF(ISNA(VLOOKUP(SUBSTITUTE(LEFT(MAIN!E577, IFERROR(FIND(",", MAIN!E577)-1, LEN(MAIN!E577))), " ", ""), lookup_values!$D$2:$E$197, 2, FALSE)), "--", VLOOKUP(SUBSTITUTE(LEFT(MAIN!E577, IFERROR(FIND(",", MAIN!E577)-1, LEN(MAIN!E577))), " ", ""), lookup_values!$D$2:$E$197, 2, FALSE)))))</f>
        <v>--</v>
      </c>
      <c r="F577" t="str">
        <f>IF(ISBLANK(MAIN!F577), "", IF(AND(ISNUMBER(VALUE(TRIM(MAIN!F577))), LEN(TRIM(MAIN!F577))=4), VALUE(TRIM(MAIN!F577)), ""))</f>
        <v/>
      </c>
      <c r="G577">
        <f>IF(ISBLANK(MAIN!G577), 0, IF(ISNUMBER(VALUE(TRIM(MAIN!G577))), VALUE(TRIM(MAIN!G577)), 0))</f>
        <v>0</v>
      </c>
      <c r="H577">
        <f>IF(ISBLANK(MAIN!H577), 0, IF(ISNUMBER(VALUE(TRIM(MAIN!H577))), VALUE(TRIM(MAIN!H577)), 0))</f>
        <v>0</v>
      </c>
      <c r="I577">
        <f>IF(ISBLANK(MAIN!I577), 0, IF(ISNUMBER(VALUE(TRIM(MAIN!I577))), VALUE(TRIM(MAIN!I577)), 0))</f>
        <v>0</v>
      </c>
      <c r="J577">
        <f>IF(ISBLANK(MAIN!J577), 0, IF(ISNUMBER(VALUE(TRIM(MAIN!J577))), VALUE(TRIM(MAIN!J577)), 0))</f>
        <v>0</v>
      </c>
      <c r="K577" cm="1">
        <f t="array" ref="K577">IFERROR(
    VALUE(
        IFERROR(
            UPPER(
                IF(MAX(IFERROR(SEARCH("WD",MAIN!G577:J577), 0))&gt;0, "WD",
                IF(MAX(IFERROR(SEARCH("NS",MAIN!G577:J577), 0))&gt;0, "NS",
                IF(MAX(IFERROR(SEARCH("NC",MAIN!G577:J577), 0))&gt;0, "NC",
                IF(MAX(IFERROR(SEARCH("DQ",MAIN!G577:J577), 0))&gt;0, "DQ",
                IF(ISNUMBER(SEARCH("WD",MAIN!K577)), "WD",
                IF(ISNUMBER(SEARCH("NS",MAIN!K577)), "NS",
                IF(ISNUMBER(SEARCH("NC",MAIN!K577)), "NC",
                IF(ISNUMBER(SEARCH("DQ",MAIN!K577)), "DQ",
                IF(ISNUMBER(SEARCH("A",MAIN!K577)), 0,
                IF(OR(MAIN!K577=0,MAIN!K577=""), 0, --TRIM(MAIN!K577)))))))))))),
            0
        )
    ),
    IFERROR(
        UPPER(
            IF(MAX(IFERROR(SEARCH("WD",MAIN!G577:J577), 0))&gt;0, "WD",
            IF(MAX(IFERROR(SEARCH("NS",MAIN!G577:J577), 0))&gt;0, "NS",
            IF(MAX(IFERROR(SEARCH("NC",MAIN!G577:J577), 0))&gt;0, "NC",
            IF(MAX(IFERROR(SEARCH("DQ",MAIN!G577:J577), 0))&gt;0, "DQ",
            IF(ISNUMBER(SEARCH("WD",MAIN!K577)), "WD",
            IF(ISNUMBER(SEARCH("NS",MAIN!K577)), "NS",
            IF(ISNUMBER(SEARCH("NC",MAIN!K577)), "NC",
            IF(ISNUMBER(SEARCH("DQ",MAIN!K577)), "DQ",
            IF(ISNUMBER(SEARCH("A",MAIN!K577)), 0,
            IF(OR(MAIN!K577=0,MAIN!K577=""), 0, --TRIM(MAIN!K577)))))))))))),
        0
    )
)</f>
        <v>0</v>
      </c>
    </row>
    <row r="578" spans="1:11" x14ac:dyDescent="0.25">
      <c r="A578" t="str">
        <f>IF(ISBLANK(MAIN!A578), "--", IFERROR(PROPER(SUBSTITUTE(SUBSTITUTE(SUBSTITUTE(SUBSTITUTE(SUBSTITUTE(SUBSTITUTE(SUBSTITUTE(SUBSTITUTE(SUBSTITUTE(SUBSTITUTE(LEFT(MAIN!A578, FIND(",",MAIN!A578) -1), "0", ""), "1", ""), "2", ""), "3", ""), "4", ""), "5", ""), "6", ""), "7", ""), "8", ""), "9", "")), PROPER(SUBSTITUTE(SUBSTITUTE(SUBSTITUTE(SUBSTITUTE(SUBSTITUTE(SUBSTITUTE(SUBSTITUTE(SUBSTITUTE(SUBSTITUTE(SUBSTITUTE(MAIN!A578, "0", ""), "1", ""), "2", ""), "3", ""), "4", ""), "5", ""), "6", ""), "7", ""), "8", ""), "9", ""))))</f>
        <v>--</v>
      </c>
      <c r="B578" t="str">
        <f>IF(ISBLANK(MAIN!B578), "--", IFERROR(PROPER(SUBSTITUTE(SUBSTITUTE(SUBSTITUTE(SUBSTITUTE(SUBSTITUTE(SUBSTITUTE(SUBSTITUTE(SUBSTITUTE(SUBSTITUTE(SUBSTITUTE(LEFT(MAIN!B578, FIND(",",MAIN!B578) -1), "0", ""), "1", ""), "2", ""), "3", ""), "4", ""), "5", ""), "6", ""), "7", ""), "8", ""), "9", "")), PROPER(SUBSTITUTE(SUBSTITUTE(SUBSTITUTE(SUBSTITUTE(SUBSTITUTE(SUBSTITUTE(SUBSTITUTE(SUBSTITUTE(SUBSTITUTE(SUBSTITUTE(MAIN!B578, "0", ""), "1", ""), "2", ""), "3", ""), "4", ""), "5", ""), "6", ""), "7", ""), "8", ""), "9", ""))))</f>
        <v>--</v>
      </c>
      <c r="C578" t="str">
        <f>IF(ISBLANK(MAIN!C578), "--", IFERROR(PROPER(SUBSTITUTE(SUBSTITUTE(SUBSTITUTE(SUBSTITUTE(SUBSTITUTE(SUBSTITUTE(SUBSTITUTE(SUBSTITUTE(SUBSTITUTE(SUBSTITUTE(LEFT(MAIN!C578, FIND(",",MAIN!C578) -1), "0", ""), "1", ""), "2", ""), "3", ""), "4", ""), "5", ""), "6", ""), "7", ""), "8", ""), "9", "")), PROPER(SUBSTITUTE(SUBSTITUTE(SUBSTITUTE(SUBSTITUTE(SUBSTITUTE(SUBSTITUTE(SUBSTITUTE(SUBSTITUTE(SUBSTITUTE(SUBSTITUTE(MAIN!C578, "0", ""), "1", ""), "2", ""), "3", ""), "4", ""), "5", ""), "6", ""), "7", ""), "8", ""), "9", ""))))</f>
        <v>--</v>
      </c>
      <c r="D578" t="str">
        <f>IF(ISBLANK(MAIN!D578), "--", IF(ISNUMBER(MATCH(SUBSTITUTE(LEFT(MAIN!D578, IFERROR(FIND(",", MAIN!D578)-1, LEN(MAIN!D578))), " ", ""), lookup_values!$B$2:$B$51, 0)), UPPER(SUBSTITUTE(LEFT(MAIN!D578, IFERROR(FIND(",", MAIN!D578)-1, LEN(MAIN!D578))), " ", "")), IF(ISNA(VLOOKUP(SUBSTITUTE(LEFT(MAIN!D578, IFERROR(FIND(",", MAIN!D578)-1, LEN(MAIN!D578))), " ", ""), lookup_values!$A$2:$B$51, 2, FALSE)), "--", VLOOKUP(SUBSTITUTE(LEFT(MAIN!D578, IFERROR(FIND(",", MAIN!D578)-1, LEN(MAIN!D578))), " ", ""), lookup_values!$A$2:$B$51, 2, FALSE))))</f>
        <v>--</v>
      </c>
      <c r="E578" t="str">
        <f>IF(CLEAN_DATA!D578&lt;&gt;"--","US",IF(ISBLANK(MAIN!E578), "--", IF(ISNUMBER(MATCH(SUBSTITUTE(LEFT(MAIN!E578, IFERROR(FIND(",", MAIN!E578)-1, LEN(MAIN!E578))), " ", ""), lookup_values!$E$2:$E$197, 0)), UPPER(SUBSTITUTE(LEFT(MAIN!E578, IFERROR(FIND(",", MAIN!E578)-1, LEN(MAIN!E578))), " ", "")), IF(ISNA(VLOOKUP(SUBSTITUTE(LEFT(MAIN!E578, IFERROR(FIND(",", MAIN!E578)-1, LEN(MAIN!E578))), " ", ""), lookup_values!$D$2:$E$197, 2, FALSE)), "--", VLOOKUP(SUBSTITUTE(LEFT(MAIN!E578, IFERROR(FIND(",", MAIN!E578)-1, LEN(MAIN!E578))), " ", ""), lookup_values!$D$2:$E$197, 2, FALSE)))))</f>
        <v>--</v>
      </c>
      <c r="F578" t="str">
        <f>IF(ISBLANK(MAIN!F578), "", IF(AND(ISNUMBER(VALUE(TRIM(MAIN!F578))), LEN(TRIM(MAIN!F578))=4), VALUE(TRIM(MAIN!F578)), ""))</f>
        <v/>
      </c>
      <c r="G578">
        <f>IF(ISBLANK(MAIN!G578), 0, IF(ISNUMBER(VALUE(TRIM(MAIN!G578))), VALUE(TRIM(MAIN!G578)), 0))</f>
        <v>0</v>
      </c>
      <c r="H578">
        <f>IF(ISBLANK(MAIN!H578), 0, IF(ISNUMBER(VALUE(TRIM(MAIN!H578))), VALUE(TRIM(MAIN!H578)), 0))</f>
        <v>0</v>
      </c>
      <c r="I578">
        <f>IF(ISBLANK(MAIN!I578), 0, IF(ISNUMBER(VALUE(TRIM(MAIN!I578))), VALUE(TRIM(MAIN!I578)), 0))</f>
        <v>0</v>
      </c>
      <c r="J578">
        <f>IF(ISBLANK(MAIN!J578), 0, IF(ISNUMBER(VALUE(TRIM(MAIN!J578))), VALUE(TRIM(MAIN!J578)), 0))</f>
        <v>0</v>
      </c>
      <c r="K578" cm="1">
        <f t="array" ref="K578">IFERROR(
    VALUE(
        IFERROR(
            UPPER(
                IF(MAX(IFERROR(SEARCH("WD",MAIN!G578:J578), 0))&gt;0, "WD",
                IF(MAX(IFERROR(SEARCH("NS",MAIN!G578:J578), 0))&gt;0, "NS",
                IF(MAX(IFERROR(SEARCH("NC",MAIN!G578:J578), 0))&gt;0, "NC",
                IF(MAX(IFERROR(SEARCH("DQ",MAIN!G578:J578), 0))&gt;0, "DQ",
                IF(ISNUMBER(SEARCH("WD",MAIN!K578)), "WD",
                IF(ISNUMBER(SEARCH("NS",MAIN!K578)), "NS",
                IF(ISNUMBER(SEARCH("NC",MAIN!K578)), "NC",
                IF(ISNUMBER(SEARCH("DQ",MAIN!K578)), "DQ",
                IF(ISNUMBER(SEARCH("A",MAIN!K578)), 0,
                IF(OR(MAIN!K578=0,MAIN!K578=""), 0, --TRIM(MAIN!K578)))))))))))),
            0
        )
    ),
    IFERROR(
        UPPER(
            IF(MAX(IFERROR(SEARCH("WD",MAIN!G578:J578), 0))&gt;0, "WD",
            IF(MAX(IFERROR(SEARCH("NS",MAIN!G578:J578), 0))&gt;0, "NS",
            IF(MAX(IFERROR(SEARCH("NC",MAIN!G578:J578), 0))&gt;0, "NC",
            IF(MAX(IFERROR(SEARCH("DQ",MAIN!G578:J578), 0))&gt;0, "DQ",
            IF(ISNUMBER(SEARCH("WD",MAIN!K578)), "WD",
            IF(ISNUMBER(SEARCH("NS",MAIN!K578)), "NS",
            IF(ISNUMBER(SEARCH("NC",MAIN!K578)), "NC",
            IF(ISNUMBER(SEARCH("DQ",MAIN!K578)), "DQ",
            IF(ISNUMBER(SEARCH("A",MAIN!K578)), 0,
            IF(OR(MAIN!K578=0,MAIN!K578=""), 0, --TRIM(MAIN!K578)))))))))))),
        0
    )
)</f>
        <v>0</v>
      </c>
    </row>
    <row r="579" spans="1:11" x14ac:dyDescent="0.25">
      <c r="A579" t="str">
        <f>IF(ISBLANK(MAIN!A579), "--", IFERROR(PROPER(SUBSTITUTE(SUBSTITUTE(SUBSTITUTE(SUBSTITUTE(SUBSTITUTE(SUBSTITUTE(SUBSTITUTE(SUBSTITUTE(SUBSTITUTE(SUBSTITUTE(LEFT(MAIN!A579, FIND(",",MAIN!A579) -1), "0", ""), "1", ""), "2", ""), "3", ""), "4", ""), "5", ""), "6", ""), "7", ""), "8", ""), "9", "")), PROPER(SUBSTITUTE(SUBSTITUTE(SUBSTITUTE(SUBSTITUTE(SUBSTITUTE(SUBSTITUTE(SUBSTITUTE(SUBSTITUTE(SUBSTITUTE(SUBSTITUTE(MAIN!A579, "0", ""), "1", ""), "2", ""), "3", ""), "4", ""), "5", ""), "6", ""), "7", ""), "8", ""), "9", ""))))</f>
        <v>--</v>
      </c>
      <c r="B579" t="str">
        <f>IF(ISBLANK(MAIN!B579), "--", IFERROR(PROPER(SUBSTITUTE(SUBSTITUTE(SUBSTITUTE(SUBSTITUTE(SUBSTITUTE(SUBSTITUTE(SUBSTITUTE(SUBSTITUTE(SUBSTITUTE(SUBSTITUTE(LEFT(MAIN!B579, FIND(",",MAIN!B579) -1), "0", ""), "1", ""), "2", ""), "3", ""), "4", ""), "5", ""), "6", ""), "7", ""), "8", ""), "9", "")), PROPER(SUBSTITUTE(SUBSTITUTE(SUBSTITUTE(SUBSTITUTE(SUBSTITUTE(SUBSTITUTE(SUBSTITUTE(SUBSTITUTE(SUBSTITUTE(SUBSTITUTE(MAIN!B579, "0", ""), "1", ""), "2", ""), "3", ""), "4", ""), "5", ""), "6", ""), "7", ""), "8", ""), "9", ""))))</f>
        <v>--</v>
      </c>
      <c r="C579" t="str">
        <f>IF(ISBLANK(MAIN!C579), "--", IFERROR(PROPER(SUBSTITUTE(SUBSTITUTE(SUBSTITUTE(SUBSTITUTE(SUBSTITUTE(SUBSTITUTE(SUBSTITUTE(SUBSTITUTE(SUBSTITUTE(SUBSTITUTE(LEFT(MAIN!C579, FIND(",",MAIN!C579) -1), "0", ""), "1", ""), "2", ""), "3", ""), "4", ""), "5", ""), "6", ""), "7", ""), "8", ""), "9", "")), PROPER(SUBSTITUTE(SUBSTITUTE(SUBSTITUTE(SUBSTITUTE(SUBSTITUTE(SUBSTITUTE(SUBSTITUTE(SUBSTITUTE(SUBSTITUTE(SUBSTITUTE(MAIN!C579, "0", ""), "1", ""), "2", ""), "3", ""), "4", ""), "5", ""), "6", ""), "7", ""), "8", ""), "9", ""))))</f>
        <v>--</v>
      </c>
      <c r="D579" t="str">
        <f>IF(ISBLANK(MAIN!D579), "--", IF(ISNUMBER(MATCH(SUBSTITUTE(LEFT(MAIN!D579, IFERROR(FIND(",", MAIN!D579)-1, LEN(MAIN!D579))), " ", ""), lookup_values!$B$2:$B$51, 0)), UPPER(SUBSTITUTE(LEFT(MAIN!D579, IFERROR(FIND(",", MAIN!D579)-1, LEN(MAIN!D579))), " ", "")), IF(ISNA(VLOOKUP(SUBSTITUTE(LEFT(MAIN!D579, IFERROR(FIND(",", MAIN!D579)-1, LEN(MAIN!D579))), " ", ""), lookup_values!$A$2:$B$51, 2, FALSE)), "--", VLOOKUP(SUBSTITUTE(LEFT(MAIN!D579, IFERROR(FIND(",", MAIN!D579)-1, LEN(MAIN!D579))), " ", ""), lookup_values!$A$2:$B$51, 2, FALSE))))</f>
        <v>--</v>
      </c>
      <c r="E579" t="str">
        <f>IF(CLEAN_DATA!D579&lt;&gt;"--","US",IF(ISBLANK(MAIN!E579), "--", IF(ISNUMBER(MATCH(SUBSTITUTE(LEFT(MAIN!E579, IFERROR(FIND(",", MAIN!E579)-1, LEN(MAIN!E579))), " ", ""), lookup_values!$E$2:$E$197, 0)), UPPER(SUBSTITUTE(LEFT(MAIN!E579, IFERROR(FIND(",", MAIN!E579)-1, LEN(MAIN!E579))), " ", "")), IF(ISNA(VLOOKUP(SUBSTITUTE(LEFT(MAIN!E579, IFERROR(FIND(",", MAIN!E579)-1, LEN(MAIN!E579))), " ", ""), lookup_values!$D$2:$E$197, 2, FALSE)), "--", VLOOKUP(SUBSTITUTE(LEFT(MAIN!E579, IFERROR(FIND(",", MAIN!E579)-1, LEN(MAIN!E579))), " ", ""), lookup_values!$D$2:$E$197, 2, FALSE)))))</f>
        <v>--</v>
      </c>
      <c r="F579" t="str">
        <f>IF(ISBLANK(MAIN!F579), "", IF(AND(ISNUMBER(VALUE(TRIM(MAIN!F579))), LEN(TRIM(MAIN!F579))=4), VALUE(TRIM(MAIN!F579)), ""))</f>
        <v/>
      </c>
      <c r="G579">
        <f>IF(ISBLANK(MAIN!G579), 0, IF(ISNUMBER(VALUE(TRIM(MAIN!G579))), VALUE(TRIM(MAIN!G579)), 0))</f>
        <v>0</v>
      </c>
      <c r="H579">
        <f>IF(ISBLANK(MAIN!H579), 0, IF(ISNUMBER(VALUE(TRIM(MAIN!H579))), VALUE(TRIM(MAIN!H579)), 0))</f>
        <v>0</v>
      </c>
      <c r="I579">
        <f>IF(ISBLANK(MAIN!I579), 0, IF(ISNUMBER(VALUE(TRIM(MAIN!I579))), VALUE(TRIM(MAIN!I579)), 0))</f>
        <v>0</v>
      </c>
      <c r="J579">
        <f>IF(ISBLANK(MAIN!J579), 0, IF(ISNUMBER(VALUE(TRIM(MAIN!J579))), VALUE(TRIM(MAIN!J579)), 0))</f>
        <v>0</v>
      </c>
      <c r="K579" cm="1">
        <f t="array" ref="K579">IFERROR(
    VALUE(
        IFERROR(
            UPPER(
                IF(MAX(IFERROR(SEARCH("WD",MAIN!G579:J579), 0))&gt;0, "WD",
                IF(MAX(IFERROR(SEARCH("NS",MAIN!G579:J579), 0))&gt;0, "NS",
                IF(MAX(IFERROR(SEARCH("NC",MAIN!G579:J579), 0))&gt;0, "NC",
                IF(MAX(IFERROR(SEARCH("DQ",MAIN!G579:J579), 0))&gt;0, "DQ",
                IF(ISNUMBER(SEARCH("WD",MAIN!K579)), "WD",
                IF(ISNUMBER(SEARCH("NS",MAIN!K579)), "NS",
                IF(ISNUMBER(SEARCH("NC",MAIN!K579)), "NC",
                IF(ISNUMBER(SEARCH("DQ",MAIN!K579)), "DQ",
                IF(ISNUMBER(SEARCH("A",MAIN!K579)), 0,
                IF(OR(MAIN!K579=0,MAIN!K579=""), 0, --TRIM(MAIN!K579)))))))))))),
            0
        )
    ),
    IFERROR(
        UPPER(
            IF(MAX(IFERROR(SEARCH("WD",MAIN!G579:J579), 0))&gt;0, "WD",
            IF(MAX(IFERROR(SEARCH("NS",MAIN!G579:J579), 0))&gt;0, "NS",
            IF(MAX(IFERROR(SEARCH("NC",MAIN!G579:J579), 0))&gt;0, "NC",
            IF(MAX(IFERROR(SEARCH("DQ",MAIN!G579:J579), 0))&gt;0, "DQ",
            IF(ISNUMBER(SEARCH("WD",MAIN!K579)), "WD",
            IF(ISNUMBER(SEARCH("NS",MAIN!K579)), "NS",
            IF(ISNUMBER(SEARCH("NC",MAIN!K579)), "NC",
            IF(ISNUMBER(SEARCH("DQ",MAIN!K579)), "DQ",
            IF(ISNUMBER(SEARCH("A",MAIN!K579)), 0,
            IF(OR(MAIN!K579=0,MAIN!K579=""), 0, --TRIM(MAIN!K579)))))))))))),
        0
    )
)</f>
        <v>0</v>
      </c>
    </row>
    <row r="580" spans="1:11" x14ac:dyDescent="0.25">
      <c r="A580" t="str">
        <f>IF(ISBLANK(MAIN!A580), "--", IFERROR(PROPER(SUBSTITUTE(SUBSTITUTE(SUBSTITUTE(SUBSTITUTE(SUBSTITUTE(SUBSTITUTE(SUBSTITUTE(SUBSTITUTE(SUBSTITUTE(SUBSTITUTE(LEFT(MAIN!A580, FIND(",",MAIN!A580) -1), "0", ""), "1", ""), "2", ""), "3", ""), "4", ""), "5", ""), "6", ""), "7", ""), "8", ""), "9", "")), PROPER(SUBSTITUTE(SUBSTITUTE(SUBSTITUTE(SUBSTITUTE(SUBSTITUTE(SUBSTITUTE(SUBSTITUTE(SUBSTITUTE(SUBSTITUTE(SUBSTITUTE(MAIN!A580, "0", ""), "1", ""), "2", ""), "3", ""), "4", ""), "5", ""), "6", ""), "7", ""), "8", ""), "9", ""))))</f>
        <v>--</v>
      </c>
      <c r="B580" t="str">
        <f>IF(ISBLANK(MAIN!B580), "--", IFERROR(PROPER(SUBSTITUTE(SUBSTITUTE(SUBSTITUTE(SUBSTITUTE(SUBSTITUTE(SUBSTITUTE(SUBSTITUTE(SUBSTITUTE(SUBSTITUTE(SUBSTITUTE(LEFT(MAIN!B580, FIND(",",MAIN!B580) -1), "0", ""), "1", ""), "2", ""), "3", ""), "4", ""), "5", ""), "6", ""), "7", ""), "8", ""), "9", "")), PROPER(SUBSTITUTE(SUBSTITUTE(SUBSTITUTE(SUBSTITUTE(SUBSTITUTE(SUBSTITUTE(SUBSTITUTE(SUBSTITUTE(SUBSTITUTE(SUBSTITUTE(MAIN!B580, "0", ""), "1", ""), "2", ""), "3", ""), "4", ""), "5", ""), "6", ""), "7", ""), "8", ""), "9", ""))))</f>
        <v>--</v>
      </c>
      <c r="C580" t="str">
        <f>IF(ISBLANK(MAIN!C580), "--", IFERROR(PROPER(SUBSTITUTE(SUBSTITUTE(SUBSTITUTE(SUBSTITUTE(SUBSTITUTE(SUBSTITUTE(SUBSTITUTE(SUBSTITUTE(SUBSTITUTE(SUBSTITUTE(LEFT(MAIN!C580, FIND(",",MAIN!C580) -1), "0", ""), "1", ""), "2", ""), "3", ""), "4", ""), "5", ""), "6", ""), "7", ""), "8", ""), "9", "")), PROPER(SUBSTITUTE(SUBSTITUTE(SUBSTITUTE(SUBSTITUTE(SUBSTITUTE(SUBSTITUTE(SUBSTITUTE(SUBSTITUTE(SUBSTITUTE(SUBSTITUTE(MAIN!C580, "0", ""), "1", ""), "2", ""), "3", ""), "4", ""), "5", ""), "6", ""), "7", ""), "8", ""), "9", ""))))</f>
        <v>--</v>
      </c>
      <c r="D580" t="str">
        <f>IF(ISBLANK(MAIN!D580), "--", IF(ISNUMBER(MATCH(SUBSTITUTE(LEFT(MAIN!D580, IFERROR(FIND(",", MAIN!D580)-1, LEN(MAIN!D580))), " ", ""), lookup_values!$B$2:$B$51, 0)), UPPER(SUBSTITUTE(LEFT(MAIN!D580, IFERROR(FIND(",", MAIN!D580)-1, LEN(MAIN!D580))), " ", "")), IF(ISNA(VLOOKUP(SUBSTITUTE(LEFT(MAIN!D580, IFERROR(FIND(",", MAIN!D580)-1, LEN(MAIN!D580))), " ", ""), lookup_values!$A$2:$B$51, 2, FALSE)), "--", VLOOKUP(SUBSTITUTE(LEFT(MAIN!D580, IFERROR(FIND(",", MAIN!D580)-1, LEN(MAIN!D580))), " ", ""), lookup_values!$A$2:$B$51, 2, FALSE))))</f>
        <v>--</v>
      </c>
      <c r="E580" t="str">
        <f>IF(CLEAN_DATA!D580&lt;&gt;"--","US",IF(ISBLANK(MAIN!E580), "--", IF(ISNUMBER(MATCH(SUBSTITUTE(LEFT(MAIN!E580, IFERROR(FIND(",", MAIN!E580)-1, LEN(MAIN!E580))), " ", ""), lookup_values!$E$2:$E$197, 0)), UPPER(SUBSTITUTE(LEFT(MAIN!E580, IFERROR(FIND(",", MAIN!E580)-1, LEN(MAIN!E580))), " ", "")), IF(ISNA(VLOOKUP(SUBSTITUTE(LEFT(MAIN!E580, IFERROR(FIND(",", MAIN!E580)-1, LEN(MAIN!E580))), " ", ""), lookup_values!$D$2:$E$197, 2, FALSE)), "--", VLOOKUP(SUBSTITUTE(LEFT(MAIN!E580, IFERROR(FIND(",", MAIN!E580)-1, LEN(MAIN!E580))), " ", ""), lookup_values!$D$2:$E$197, 2, FALSE)))))</f>
        <v>--</v>
      </c>
      <c r="F580" t="str">
        <f>IF(ISBLANK(MAIN!F580), "", IF(AND(ISNUMBER(VALUE(TRIM(MAIN!F580))), LEN(TRIM(MAIN!F580))=4), VALUE(TRIM(MAIN!F580)), ""))</f>
        <v/>
      </c>
      <c r="G580">
        <f>IF(ISBLANK(MAIN!G580), 0, IF(ISNUMBER(VALUE(TRIM(MAIN!G580))), VALUE(TRIM(MAIN!G580)), 0))</f>
        <v>0</v>
      </c>
      <c r="H580">
        <f>IF(ISBLANK(MAIN!H580), 0, IF(ISNUMBER(VALUE(TRIM(MAIN!H580))), VALUE(TRIM(MAIN!H580)), 0))</f>
        <v>0</v>
      </c>
      <c r="I580">
        <f>IF(ISBLANK(MAIN!I580), 0, IF(ISNUMBER(VALUE(TRIM(MAIN!I580))), VALUE(TRIM(MAIN!I580)), 0))</f>
        <v>0</v>
      </c>
      <c r="J580">
        <f>IF(ISBLANK(MAIN!J580), 0, IF(ISNUMBER(VALUE(TRIM(MAIN!J580))), VALUE(TRIM(MAIN!J580)), 0))</f>
        <v>0</v>
      </c>
      <c r="K580" cm="1">
        <f t="array" ref="K580">IFERROR(
    VALUE(
        IFERROR(
            UPPER(
                IF(MAX(IFERROR(SEARCH("WD",MAIN!G580:J580), 0))&gt;0, "WD",
                IF(MAX(IFERROR(SEARCH("NS",MAIN!G580:J580), 0))&gt;0, "NS",
                IF(MAX(IFERROR(SEARCH("NC",MAIN!G580:J580), 0))&gt;0, "NC",
                IF(MAX(IFERROR(SEARCH("DQ",MAIN!G580:J580), 0))&gt;0, "DQ",
                IF(ISNUMBER(SEARCH("WD",MAIN!K580)), "WD",
                IF(ISNUMBER(SEARCH("NS",MAIN!K580)), "NS",
                IF(ISNUMBER(SEARCH("NC",MAIN!K580)), "NC",
                IF(ISNUMBER(SEARCH("DQ",MAIN!K580)), "DQ",
                IF(ISNUMBER(SEARCH("A",MAIN!K580)), 0,
                IF(OR(MAIN!K580=0,MAIN!K580=""), 0, --TRIM(MAIN!K580)))))))))))),
            0
        )
    ),
    IFERROR(
        UPPER(
            IF(MAX(IFERROR(SEARCH("WD",MAIN!G580:J580), 0))&gt;0, "WD",
            IF(MAX(IFERROR(SEARCH("NS",MAIN!G580:J580), 0))&gt;0, "NS",
            IF(MAX(IFERROR(SEARCH("NC",MAIN!G580:J580), 0))&gt;0, "NC",
            IF(MAX(IFERROR(SEARCH("DQ",MAIN!G580:J580), 0))&gt;0, "DQ",
            IF(ISNUMBER(SEARCH("WD",MAIN!K580)), "WD",
            IF(ISNUMBER(SEARCH("NS",MAIN!K580)), "NS",
            IF(ISNUMBER(SEARCH("NC",MAIN!K580)), "NC",
            IF(ISNUMBER(SEARCH("DQ",MAIN!K580)), "DQ",
            IF(ISNUMBER(SEARCH("A",MAIN!K580)), 0,
            IF(OR(MAIN!K580=0,MAIN!K580=""), 0, --TRIM(MAIN!K580)))))))))))),
        0
    )
)</f>
        <v>0</v>
      </c>
    </row>
    <row r="581" spans="1:11" x14ac:dyDescent="0.25">
      <c r="A581" t="str">
        <f>IF(ISBLANK(MAIN!A581), "--", IFERROR(PROPER(SUBSTITUTE(SUBSTITUTE(SUBSTITUTE(SUBSTITUTE(SUBSTITUTE(SUBSTITUTE(SUBSTITUTE(SUBSTITUTE(SUBSTITUTE(SUBSTITUTE(LEFT(MAIN!A581, FIND(",",MAIN!A581) -1), "0", ""), "1", ""), "2", ""), "3", ""), "4", ""), "5", ""), "6", ""), "7", ""), "8", ""), "9", "")), PROPER(SUBSTITUTE(SUBSTITUTE(SUBSTITUTE(SUBSTITUTE(SUBSTITUTE(SUBSTITUTE(SUBSTITUTE(SUBSTITUTE(SUBSTITUTE(SUBSTITUTE(MAIN!A581, "0", ""), "1", ""), "2", ""), "3", ""), "4", ""), "5", ""), "6", ""), "7", ""), "8", ""), "9", ""))))</f>
        <v>--</v>
      </c>
      <c r="B581" t="str">
        <f>IF(ISBLANK(MAIN!B581), "--", IFERROR(PROPER(SUBSTITUTE(SUBSTITUTE(SUBSTITUTE(SUBSTITUTE(SUBSTITUTE(SUBSTITUTE(SUBSTITUTE(SUBSTITUTE(SUBSTITUTE(SUBSTITUTE(LEFT(MAIN!B581, FIND(",",MAIN!B581) -1), "0", ""), "1", ""), "2", ""), "3", ""), "4", ""), "5", ""), "6", ""), "7", ""), "8", ""), "9", "")), PROPER(SUBSTITUTE(SUBSTITUTE(SUBSTITUTE(SUBSTITUTE(SUBSTITUTE(SUBSTITUTE(SUBSTITUTE(SUBSTITUTE(SUBSTITUTE(SUBSTITUTE(MAIN!B581, "0", ""), "1", ""), "2", ""), "3", ""), "4", ""), "5", ""), "6", ""), "7", ""), "8", ""), "9", ""))))</f>
        <v>--</v>
      </c>
      <c r="C581" t="str">
        <f>IF(ISBLANK(MAIN!C581), "--", IFERROR(PROPER(SUBSTITUTE(SUBSTITUTE(SUBSTITUTE(SUBSTITUTE(SUBSTITUTE(SUBSTITUTE(SUBSTITUTE(SUBSTITUTE(SUBSTITUTE(SUBSTITUTE(LEFT(MAIN!C581, FIND(",",MAIN!C581) -1), "0", ""), "1", ""), "2", ""), "3", ""), "4", ""), "5", ""), "6", ""), "7", ""), "8", ""), "9", "")), PROPER(SUBSTITUTE(SUBSTITUTE(SUBSTITUTE(SUBSTITUTE(SUBSTITUTE(SUBSTITUTE(SUBSTITUTE(SUBSTITUTE(SUBSTITUTE(SUBSTITUTE(MAIN!C581, "0", ""), "1", ""), "2", ""), "3", ""), "4", ""), "5", ""), "6", ""), "7", ""), "8", ""), "9", ""))))</f>
        <v>--</v>
      </c>
      <c r="D581" t="str">
        <f>IF(ISBLANK(MAIN!D581), "--", IF(ISNUMBER(MATCH(SUBSTITUTE(LEFT(MAIN!D581, IFERROR(FIND(",", MAIN!D581)-1, LEN(MAIN!D581))), " ", ""), lookup_values!$B$2:$B$51, 0)), UPPER(SUBSTITUTE(LEFT(MAIN!D581, IFERROR(FIND(",", MAIN!D581)-1, LEN(MAIN!D581))), " ", "")), IF(ISNA(VLOOKUP(SUBSTITUTE(LEFT(MAIN!D581, IFERROR(FIND(",", MAIN!D581)-1, LEN(MAIN!D581))), " ", ""), lookup_values!$A$2:$B$51, 2, FALSE)), "--", VLOOKUP(SUBSTITUTE(LEFT(MAIN!D581, IFERROR(FIND(",", MAIN!D581)-1, LEN(MAIN!D581))), " ", ""), lookup_values!$A$2:$B$51, 2, FALSE))))</f>
        <v>--</v>
      </c>
      <c r="E581" t="str">
        <f>IF(CLEAN_DATA!D581&lt;&gt;"--","US",IF(ISBLANK(MAIN!E581), "--", IF(ISNUMBER(MATCH(SUBSTITUTE(LEFT(MAIN!E581, IFERROR(FIND(",", MAIN!E581)-1, LEN(MAIN!E581))), " ", ""), lookup_values!$E$2:$E$197, 0)), UPPER(SUBSTITUTE(LEFT(MAIN!E581, IFERROR(FIND(",", MAIN!E581)-1, LEN(MAIN!E581))), " ", "")), IF(ISNA(VLOOKUP(SUBSTITUTE(LEFT(MAIN!E581, IFERROR(FIND(",", MAIN!E581)-1, LEN(MAIN!E581))), " ", ""), lookup_values!$D$2:$E$197, 2, FALSE)), "--", VLOOKUP(SUBSTITUTE(LEFT(MAIN!E581, IFERROR(FIND(",", MAIN!E581)-1, LEN(MAIN!E581))), " ", ""), lookup_values!$D$2:$E$197, 2, FALSE)))))</f>
        <v>--</v>
      </c>
      <c r="F581" t="str">
        <f>IF(ISBLANK(MAIN!F581), "", IF(AND(ISNUMBER(VALUE(TRIM(MAIN!F581))), LEN(TRIM(MAIN!F581))=4), VALUE(TRIM(MAIN!F581)), ""))</f>
        <v/>
      </c>
      <c r="G581">
        <f>IF(ISBLANK(MAIN!G581), 0, IF(ISNUMBER(VALUE(TRIM(MAIN!G581))), VALUE(TRIM(MAIN!G581)), 0))</f>
        <v>0</v>
      </c>
      <c r="H581">
        <f>IF(ISBLANK(MAIN!H581), 0, IF(ISNUMBER(VALUE(TRIM(MAIN!H581))), VALUE(TRIM(MAIN!H581)), 0))</f>
        <v>0</v>
      </c>
      <c r="I581">
        <f>IF(ISBLANK(MAIN!I581), 0, IF(ISNUMBER(VALUE(TRIM(MAIN!I581))), VALUE(TRIM(MAIN!I581)), 0))</f>
        <v>0</v>
      </c>
      <c r="J581">
        <f>IF(ISBLANK(MAIN!J581), 0, IF(ISNUMBER(VALUE(TRIM(MAIN!J581))), VALUE(TRIM(MAIN!J581)), 0))</f>
        <v>0</v>
      </c>
      <c r="K581" cm="1">
        <f t="array" ref="K581">IFERROR(
    VALUE(
        IFERROR(
            UPPER(
                IF(MAX(IFERROR(SEARCH("WD",MAIN!G581:J581), 0))&gt;0, "WD",
                IF(MAX(IFERROR(SEARCH("NS",MAIN!G581:J581), 0))&gt;0, "NS",
                IF(MAX(IFERROR(SEARCH("NC",MAIN!G581:J581), 0))&gt;0, "NC",
                IF(MAX(IFERROR(SEARCH("DQ",MAIN!G581:J581), 0))&gt;0, "DQ",
                IF(ISNUMBER(SEARCH("WD",MAIN!K581)), "WD",
                IF(ISNUMBER(SEARCH("NS",MAIN!K581)), "NS",
                IF(ISNUMBER(SEARCH("NC",MAIN!K581)), "NC",
                IF(ISNUMBER(SEARCH("DQ",MAIN!K581)), "DQ",
                IF(ISNUMBER(SEARCH("A",MAIN!K581)), 0,
                IF(OR(MAIN!K581=0,MAIN!K581=""), 0, --TRIM(MAIN!K581)))))))))))),
            0
        )
    ),
    IFERROR(
        UPPER(
            IF(MAX(IFERROR(SEARCH("WD",MAIN!G581:J581), 0))&gt;0, "WD",
            IF(MAX(IFERROR(SEARCH("NS",MAIN!G581:J581), 0))&gt;0, "NS",
            IF(MAX(IFERROR(SEARCH("NC",MAIN!G581:J581), 0))&gt;0, "NC",
            IF(MAX(IFERROR(SEARCH("DQ",MAIN!G581:J581), 0))&gt;0, "DQ",
            IF(ISNUMBER(SEARCH("WD",MAIN!K581)), "WD",
            IF(ISNUMBER(SEARCH("NS",MAIN!K581)), "NS",
            IF(ISNUMBER(SEARCH("NC",MAIN!K581)), "NC",
            IF(ISNUMBER(SEARCH("DQ",MAIN!K581)), "DQ",
            IF(ISNUMBER(SEARCH("A",MAIN!K581)), 0,
            IF(OR(MAIN!K581=0,MAIN!K581=""), 0, --TRIM(MAIN!K581)))))))))))),
        0
    )
)</f>
        <v>0</v>
      </c>
    </row>
    <row r="582" spans="1:11" x14ac:dyDescent="0.25">
      <c r="A582" t="str">
        <f>IF(ISBLANK(MAIN!A582), "--", IFERROR(PROPER(SUBSTITUTE(SUBSTITUTE(SUBSTITUTE(SUBSTITUTE(SUBSTITUTE(SUBSTITUTE(SUBSTITUTE(SUBSTITUTE(SUBSTITUTE(SUBSTITUTE(LEFT(MAIN!A582, FIND(",",MAIN!A582) -1), "0", ""), "1", ""), "2", ""), "3", ""), "4", ""), "5", ""), "6", ""), "7", ""), "8", ""), "9", "")), PROPER(SUBSTITUTE(SUBSTITUTE(SUBSTITUTE(SUBSTITUTE(SUBSTITUTE(SUBSTITUTE(SUBSTITUTE(SUBSTITUTE(SUBSTITUTE(SUBSTITUTE(MAIN!A582, "0", ""), "1", ""), "2", ""), "3", ""), "4", ""), "5", ""), "6", ""), "7", ""), "8", ""), "9", ""))))</f>
        <v>--</v>
      </c>
      <c r="B582" t="str">
        <f>IF(ISBLANK(MAIN!B582), "--", IFERROR(PROPER(SUBSTITUTE(SUBSTITUTE(SUBSTITUTE(SUBSTITUTE(SUBSTITUTE(SUBSTITUTE(SUBSTITUTE(SUBSTITUTE(SUBSTITUTE(SUBSTITUTE(LEFT(MAIN!B582, FIND(",",MAIN!B582) -1), "0", ""), "1", ""), "2", ""), "3", ""), "4", ""), "5", ""), "6", ""), "7", ""), "8", ""), "9", "")), PROPER(SUBSTITUTE(SUBSTITUTE(SUBSTITUTE(SUBSTITUTE(SUBSTITUTE(SUBSTITUTE(SUBSTITUTE(SUBSTITUTE(SUBSTITUTE(SUBSTITUTE(MAIN!B582, "0", ""), "1", ""), "2", ""), "3", ""), "4", ""), "5", ""), "6", ""), "7", ""), "8", ""), "9", ""))))</f>
        <v>--</v>
      </c>
      <c r="C582" t="str">
        <f>IF(ISBLANK(MAIN!C582), "--", IFERROR(PROPER(SUBSTITUTE(SUBSTITUTE(SUBSTITUTE(SUBSTITUTE(SUBSTITUTE(SUBSTITUTE(SUBSTITUTE(SUBSTITUTE(SUBSTITUTE(SUBSTITUTE(LEFT(MAIN!C582, FIND(",",MAIN!C582) -1), "0", ""), "1", ""), "2", ""), "3", ""), "4", ""), "5", ""), "6", ""), "7", ""), "8", ""), "9", "")), PROPER(SUBSTITUTE(SUBSTITUTE(SUBSTITUTE(SUBSTITUTE(SUBSTITUTE(SUBSTITUTE(SUBSTITUTE(SUBSTITUTE(SUBSTITUTE(SUBSTITUTE(MAIN!C582, "0", ""), "1", ""), "2", ""), "3", ""), "4", ""), "5", ""), "6", ""), "7", ""), "8", ""), "9", ""))))</f>
        <v>--</v>
      </c>
      <c r="D582" t="str">
        <f>IF(ISBLANK(MAIN!D582), "--", IF(ISNUMBER(MATCH(SUBSTITUTE(LEFT(MAIN!D582, IFERROR(FIND(",", MAIN!D582)-1, LEN(MAIN!D582))), " ", ""), lookup_values!$B$2:$B$51, 0)), UPPER(SUBSTITUTE(LEFT(MAIN!D582, IFERROR(FIND(",", MAIN!D582)-1, LEN(MAIN!D582))), " ", "")), IF(ISNA(VLOOKUP(SUBSTITUTE(LEFT(MAIN!D582, IFERROR(FIND(",", MAIN!D582)-1, LEN(MAIN!D582))), " ", ""), lookup_values!$A$2:$B$51, 2, FALSE)), "--", VLOOKUP(SUBSTITUTE(LEFT(MAIN!D582, IFERROR(FIND(",", MAIN!D582)-1, LEN(MAIN!D582))), " ", ""), lookup_values!$A$2:$B$51, 2, FALSE))))</f>
        <v>--</v>
      </c>
      <c r="E582" t="str">
        <f>IF(CLEAN_DATA!D582&lt;&gt;"--","US",IF(ISBLANK(MAIN!E582), "--", IF(ISNUMBER(MATCH(SUBSTITUTE(LEFT(MAIN!E582, IFERROR(FIND(",", MAIN!E582)-1, LEN(MAIN!E582))), " ", ""), lookup_values!$E$2:$E$197, 0)), UPPER(SUBSTITUTE(LEFT(MAIN!E582, IFERROR(FIND(",", MAIN!E582)-1, LEN(MAIN!E582))), " ", "")), IF(ISNA(VLOOKUP(SUBSTITUTE(LEFT(MAIN!E582, IFERROR(FIND(",", MAIN!E582)-1, LEN(MAIN!E582))), " ", ""), lookup_values!$D$2:$E$197, 2, FALSE)), "--", VLOOKUP(SUBSTITUTE(LEFT(MAIN!E582, IFERROR(FIND(",", MAIN!E582)-1, LEN(MAIN!E582))), " ", ""), lookup_values!$D$2:$E$197, 2, FALSE)))))</f>
        <v>--</v>
      </c>
      <c r="F582" t="str">
        <f>IF(ISBLANK(MAIN!F582), "", IF(AND(ISNUMBER(VALUE(TRIM(MAIN!F582))), LEN(TRIM(MAIN!F582))=4), VALUE(TRIM(MAIN!F582)), ""))</f>
        <v/>
      </c>
      <c r="G582">
        <f>IF(ISBLANK(MAIN!G582), 0, IF(ISNUMBER(VALUE(TRIM(MAIN!G582))), VALUE(TRIM(MAIN!G582)), 0))</f>
        <v>0</v>
      </c>
      <c r="H582">
        <f>IF(ISBLANK(MAIN!H582), 0, IF(ISNUMBER(VALUE(TRIM(MAIN!H582))), VALUE(TRIM(MAIN!H582)), 0))</f>
        <v>0</v>
      </c>
      <c r="I582">
        <f>IF(ISBLANK(MAIN!I582), 0, IF(ISNUMBER(VALUE(TRIM(MAIN!I582))), VALUE(TRIM(MAIN!I582)), 0))</f>
        <v>0</v>
      </c>
      <c r="J582">
        <f>IF(ISBLANK(MAIN!J582), 0, IF(ISNUMBER(VALUE(TRIM(MAIN!J582))), VALUE(TRIM(MAIN!J582)), 0))</f>
        <v>0</v>
      </c>
      <c r="K582" cm="1">
        <f t="array" ref="K582">IFERROR(
    VALUE(
        IFERROR(
            UPPER(
                IF(MAX(IFERROR(SEARCH("WD",MAIN!G582:J582), 0))&gt;0, "WD",
                IF(MAX(IFERROR(SEARCH("NS",MAIN!G582:J582), 0))&gt;0, "NS",
                IF(MAX(IFERROR(SEARCH("NC",MAIN!G582:J582), 0))&gt;0, "NC",
                IF(MAX(IFERROR(SEARCH("DQ",MAIN!G582:J582), 0))&gt;0, "DQ",
                IF(ISNUMBER(SEARCH("WD",MAIN!K582)), "WD",
                IF(ISNUMBER(SEARCH("NS",MAIN!K582)), "NS",
                IF(ISNUMBER(SEARCH("NC",MAIN!K582)), "NC",
                IF(ISNUMBER(SEARCH("DQ",MAIN!K582)), "DQ",
                IF(ISNUMBER(SEARCH("A",MAIN!K582)), 0,
                IF(OR(MAIN!K582=0,MAIN!K582=""), 0, --TRIM(MAIN!K582)))))))))))),
            0
        )
    ),
    IFERROR(
        UPPER(
            IF(MAX(IFERROR(SEARCH("WD",MAIN!G582:J582), 0))&gt;0, "WD",
            IF(MAX(IFERROR(SEARCH("NS",MAIN!G582:J582), 0))&gt;0, "NS",
            IF(MAX(IFERROR(SEARCH("NC",MAIN!G582:J582), 0))&gt;0, "NC",
            IF(MAX(IFERROR(SEARCH("DQ",MAIN!G582:J582), 0))&gt;0, "DQ",
            IF(ISNUMBER(SEARCH("WD",MAIN!K582)), "WD",
            IF(ISNUMBER(SEARCH("NS",MAIN!K582)), "NS",
            IF(ISNUMBER(SEARCH("NC",MAIN!K582)), "NC",
            IF(ISNUMBER(SEARCH("DQ",MAIN!K582)), "DQ",
            IF(ISNUMBER(SEARCH("A",MAIN!K582)), 0,
            IF(OR(MAIN!K582=0,MAIN!K582=""), 0, --TRIM(MAIN!K582)))))))))))),
        0
    )
)</f>
        <v>0</v>
      </c>
    </row>
    <row r="583" spans="1:11" x14ac:dyDescent="0.25">
      <c r="A583" t="str">
        <f>IF(ISBLANK(MAIN!A583), "--", IFERROR(PROPER(SUBSTITUTE(SUBSTITUTE(SUBSTITUTE(SUBSTITUTE(SUBSTITUTE(SUBSTITUTE(SUBSTITUTE(SUBSTITUTE(SUBSTITUTE(SUBSTITUTE(LEFT(MAIN!A583, FIND(",",MAIN!A583) -1), "0", ""), "1", ""), "2", ""), "3", ""), "4", ""), "5", ""), "6", ""), "7", ""), "8", ""), "9", "")), PROPER(SUBSTITUTE(SUBSTITUTE(SUBSTITUTE(SUBSTITUTE(SUBSTITUTE(SUBSTITUTE(SUBSTITUTE(SUBSTITUTE(SUBSTITUTE(SUBSTITUTE(MAIN!A583, "0", ""), "1", ""), "2", ""), "3", ""), "4", ""), "5", ""), "6", ""), "7", ""), "8", ""), "9", ""))))</f>
        <v>--</v>
      </c>
      <c r="B583" t="str">
        <f>IF(ISBLANK(MAIN!B583), "--", IFERROR(PROPER(SUBSTITUTE(SUBSTITUTE(SUBSTITUTE(SUBSTITUTE(SUBSTITUTE(SUBSTITUTE(SUBSTITUTE(SUBSTITUTE(SUBSTITUTE(SUBSTITUTE(LEFT(MAIN!B583, FIND(",",MAIN!B583) -1), "0", ""), "1", ""), "2", ""), "3", ""), "4", ""), "5", ""), "6", ""), "7", ""), "8", ""), "9", "")), PROPER(SUBSTITUTE(SUBSTITUTE(SUBSTITUTE(SUBSTITUTE(SUBSTITUTE(SUBSTITUTE(SUBSTITUTE(SUBSTITUTE(SUBSTITUTE(SUBSTITUTE(MAIN!B583, "0", ""), "1", ""), "2", ""), "3", ""), "4", ""), "5", ""), "6", ""), "7", ""), "8", ""), "9", ""))))</f>
        <v>--</v>
      </c>
      <c r="C583" t="str">
        <f>IF(ISBLANK(MAIN!C583), "--", IFERROR(PROPER(SUBSTITUTE(SUBSTITUTE(SUBSTITUTE(SUBSTITUTE(SUBSTITUTE(SUBSTITUTE(SUBSTITUTE(SUBSTITUTE(SUBSTITUTE(SUBSTITUTE(LEFT(MAIN!C583, FIND(",",MAIN!C583) -1), "0", ""), "1", ""), "2", ""), "3", ""), "4", ""), "5", ""), "6", ""), "7", ""), "8", ""), "9", "")), PROPER(SUBSTITUTE(SUBSTITUTE(SUBSTITUTE(SUBSTITUTE(SUBSTITUTE(SUBSTITUTE(SUBSTITUTE(SUBSTITUTE(SUBSTITUTE(SUBSTITUTE(MAIN!C583, "0", ""), "1", ""), "2", ""), "3", ""), "4", ""), "5", ""), "6", ""), "7", ""), "8", ""), "9", ""))))</f>
        <v>--</v>
      </c>
      <c r="D583" t="str">
        <f>IF(ISBLANK(MAIN!D583), "--", IF(ISNUMBER(MATCH(SUBSTITUTE(LEFT(MAIN!D583, IFERROR(FIND(",", MAIN!D583)-1, LEN(MAIN!D583))), " ", ""), lookup_values!$B$2:$B$51, 0)), UPPER(SUBSTITUTE(LEFT(MAIN!D583, IFERROR(FIND(",", MAIN!D583)-1, LEN(MAIN!D583))), " ", "")), IF(ISNA(VLOOKUP(SUBSTITUTE(LEFT(MAIN!D583, IFERROR(FIND(",", MAIN!D583)-1, LEN(MAIN!D583))), " ", ""), lookup_values!$A$2:$B$51, 2, FALSE)), "--", VLOOKUP(SUBSTITUTE(LEFT(MAIN!D583, IFERROR(FIND(",", MAIN!D583)-1, LEN(MAIN!D583))), " ", ""), lookup_values!$A$2:$B$51, 2, FALSE))))</f>
        <v>--</v>
      </c>
      <c r="E583" t="str">
        <f>IF(CLEAN_DATA!D583&lt;&gt;"--","US",IF(ISBLANK(MAIN!E583), "--", IF(ISNUMBER(MATCH(SUBSTITUTE(LEFT(MAIN!E583, IFERROR(FIND(",", MAIN!E583)-1, LEN(MAIN!E583))), " ", ""), lookup_values!$E$2:$E$197, 0)), UPPER(SUBSTITUTE(LEFT(MAIN!E583, IFERROR(FIND(",", MAIN!E583)-1, LEN(MAIN!E583))), " ", "")), IF(ISNA(VLOOKUP(SUBSTITUTE(LEFT(MAIN!E583, IFERROR(FIND(",", MAIN!E583)-1, LEN(MAIN!E583))), " ", ""), lookup_values!$D$2:$E$197, 2, FALSE)), "--", VLOOKUP(SUBSTITUTE(LEFT(MAIN!E583, IFERROR(FIND(",", MAIN!E583)-1, LEN(MAIN!E583))), " ", ""), lookup_values!$D$2:$E$197, 2, FALSE)))))</f>
        <v>--</v>
      </c>
      <c r="F583" t="str">
        <f>IF(ISBLANK(MAIN!F583), "", IF(AND(ISNUMBER(VALUE(TRIM(MAIN!F583))), LEN(TRIM(MAIN!F583))=4), VALUE(TRIM(MAIN!F583)), ""))</f>
        <v/>
      </c>
      <c r="G583">
        <f>IF(ISBLANK(MAIN!G583), 0, IF(ISNUMBER(VALUE(TRIM(MAIN!G583))), VALUE(TRIM(MAIN!G583)), 0))</f>
        <v>0</v>
      </c>
      <c r="H583">
        <f>IF(ISBLANK(MAIN!H583), 0, IF(ISNUMBER(VALUE(TRIM(MAIN!H583))), VALUE(TRIM(MAIN!H583)), 0))</f>
        <v>0</v>
      </c>
      <c r="I583">
        <f>IF(ISBLANK(MAIN!I583), 0, IF(ISNUMBER(VALUE(TRIM(MAIN!I583))), VALUE(TRIM(MAIN!I583)), 0))</f>
        <v>0</v>
      </c>
      <c r="J583">
        <f>IF(ISBLANK(MAIN!J583), 0, IF(ISNUMBER(VALUE(TRIM(MAIN!J583))), VALUE(TRIM(MAIN!J583)), 0))</f>
        <v>0</v>
      </c>
      <c r="K583" cm="1">
        <f t="array" ref="K583">IFERROR(
    VALUE(
        IFERROR(
            UPPER(
                IF(MAX(IFERROR(SEARCH("WD",MAIN!G583:J583), 0))&gt;0, "WD",
                IF(MAX(IFERROR(SEARCH("NS",MAIN!G583:J583), 0))&gt;0, "NS",
                IF(MAX(IFERROR(SEARCH("NC",MAIN!G583:J583), 0))&gt;0, "NC",
                IF(MAX(IFERROR(SEARCH("DQ",MAIN!G583:J583), 0))&gt;0, "DQ",
                IF(ISNUMBER(SEARCH("WD",MAIN!K583)), "WD",
                IF(ISNUMBER(SEARCH("NS",MAIN!K583)), "NS",
                IF(ISNUMBER(SEARCH("NC",MAIN!K583)), "NC",
                IF(ISNUMBER(SEARCH("DQ",MAIN!K583)), "DQ",
                IF(ISNUMBER(SEARCH("A",MAIN!K583)), 0,
                IF(OR(MAIN!K583=0,MAIN!K583=""), 0, --TRIM(MAIN!K583)))))))))))),
            0
        )
    ),
    IFERROR(
        UPPER(
            IF(MAX(IFERROR(SEARCH("WD",MAIN!G583:J583), 0))&gt;0, "WD",
            IF(MAX(IFERROR(SEARCH("NS",MAIN!G583:J583), 0))&gt;0, "NS",
            IF(MAX(IFERROR(SEARCH("NC",MAIN!G583:J583), 0))&gt;0, "NC",
            IF(MAX(IFERROR(SEARCH("DQ",MAIN!G583:J583), 0))&gt;0, "DQ",
            IF(ISNUMBER(SEARCH("WD",MAIN!K583)), "WD",
            IF(ISNUMBER(SEARCH("NS",MAIN!K583)), "NS",
            IF(ISNUMBER(SEARCH("NC",MAIN!K583)), "NC",
            IF(ISNUMBER(SEARCH("DQ",MAIN!K583)), "DQ",
            IF(ISNUMBER(SEARCH("A",MAIN!K583)), 0,
            IF(OR(MAIN!K583=0,MAIN!K583=""), 0, --TRIM(MAIN!K583)))))))))))),
        0
    )
)</f>
        <v>0</v>
      </c>
    </row>
    <row r="584" spans="1:11" x14ac:dyDescent="0.25">
      <c r="A584" t="str">
        <f>IF(ISBLANK(MAIN!A584), "--", IFERROR(PROPER(SUBSTITUTE(SUBSTITUTE(SUBSTITUTE(SUBSTITUTE(SUBSTITUTE(SUBSTITUTE(SUBSTITUTE(SUBSTITUTE(SUBSTITUTE(SUBSTITUTE(LEFT(MAIN!A584, FIND(",",MAIN!A584) -1), "0", ""), "1", ""), "2", ""), "3", ""), "4", ""), "5", ""), "6", ""), "7", ""), "8", ""), "9", "")), PROPER(SUBSTITUTE(SUBSTITUTE(SUBSTITUTE(SUBSTITUTE(SUBSTITUTE(SUBSTITUTE(SUBSTITUTE(SUBSTITUTE(SUBSTITUTE(SUBSTITUTE(MAIN!A584, "0", ""), "1", ""), "2", ""), "3", ""), "4", ""), "5", ""), "6", ""), "7", ""), "8", ""), "9", ""))))</f>
        <v>--</v>
      </c>
      <c r="B584" t="str">
        <f>IF(ISBLANK(MAIN!B584), "--", IFERROR(PROPER(SUBSTITUTE(SUBSTITUTE(SUBSTITUTE(SUBSTITUTE(SUBSTITUTE(SUBSTITUTE(SUBSTITUTE(SUBSTITUTE(SUBSTITUTE(SUBSTITUTE(LEFT(MAIN!B584, FIND(",",MAIN!B584) -1), "0", ""), "1", ""), "2", ""), "3", ""), "4", ""), "5", ""), "6", ""), "7", ""), "8", ""), "9", "")), PROPER(SUBSTITUTE(SUBSTITUTE(SUBSTITUTE(SUBSTITUTE(SUBSTITUTE(SUBSTITUTE(SUBSTITUTE(SUBSTITUTE(SUBSTITUTE(SUBSTITUTE(MAIN!B584, "0", ""), "1", ""), "2", ""), "3", ""), "4", ""), "5", ""), "6", ""), "7", ""), "8", ""), "9", ""))))</f>
        <v>--</v>
      </c>
      <c r="C584" t="str">
        <f>IF(ISBLANK(MAIN!C584), "--", IFERROR(PROPER(SUBSTITUTE(SUBSTITUTE(SUBSTITUTE(SUBSTITUTE(SUBSTITUTE(SUBSTITUTE(SUBSTITUTE(SUBSTITUTE(SUBSTITUTE(SUBSTITUTE(LEFT(MAIN!C584, FIND(",",MAIN!C584) -1), "0", ""), "1", ""), "2", ""), "3", ""), "4", ""), "5", ""), "6", ""), "7", ""), "8", ""), "9", "")), PROPER(SUBSTITUTE(SUBSTITUTE(SUBSTITUTE(SUBSTITUTE(SUBSTITUTE(SUBSTITUTE(SUBSTITUTE(SUBSTITUTE(SUBSTITUTE(SUBSTITUTE(MAIN!C584, "0", ""), "1", ""), "2", ""), "3", ""), "4", ""), "5", ""), "6", ""), "7", ""), "8", ""), "9", ""))))</f>
        <v>--</v>
      </c>
      <c r="D584" t="str">
        <f>IF(ISBLANK(MAIN!D584), "--", IF(ISNUMBER(MATCH(SUBSTITUTE(LEFT(MAIN!D584, IFERROR(FIND(",", MAIN!D584)-1, LEN(MAIN!D584))), " ", ""), lookup_values!$B$2:$B$51, 0)), UPPER(SUBSTITUTE(LEFT(MAIN!D584, IFERROR(FIND(",", MAIN!D584)-1, LEN(MAIN!D584))), " ", "")), IF(ISNA(VLOOKUP(SUBSTITUTE(LEFT(MAIN!D584, IFERROR(FIND(",", MAIN!D584)-1, LEN(MAIN!D584))), " ", ""), lookup_values!$A$2:$B$51, 2, FALSE)), "--", VLOOKUP(SUBSTITUTE(LEFT(MAIN!D584, IFERROR(FIND(",", MAIN!D584)-1, LEN(MAIN!D584))), " ", ""), lookup_values!$A$2:$B$51, 2, FALSE))))</f>
        <v>--</v>
      </c>
      <c r="E584" t="str">
        <f>IF(CLEAN_DATA!D584&lt;&gt;"--","US",IF(ISBLANK(MAIN!E584), "--", IF(ISNUMBER(MATCH(SUBSTITUTE(LEFT(MAIN!E584, IFERROR(FIND(",", MAIN!E584)-1, LEN(MAIN!E584))), " ", ""), lookup_values!$E$2:$E$197, 0)), UPPER(SUBSTITUTE(LEFT(MAIN!E584, IFERROR(FIND(",", MAIN!E584)-1, LEN(MAIN!E584))), " ", "")), IF(ISNA(VLOOKUP(SUBSTITUTE(LEFT(MAIN!E584, IFERROR(FIND(",", MAIN!E584)-1, LEN(MAIN!E584))), " ", ""), lookup_values!$D$2:$E$197, 2, FALSE)), "--", VLOOKUP(SUBSTITUTE(LEFT(MAIN!E584, IFERROR(FIND(",", MAIN!E584)-1, LEN(MAIN!E584))), " ", ""), lookup_values!$D$2:$E$197, 2, FALSE)))))</f>
        <v>--</v>
      </c>
      <c r="F584" t="str">
        <f>IF(ISBLANK(MAIN!F584), "", IF(AND(ISNUMBER(VALUE(TRIM(MAIN!F584))), LEN(TRIM(MAIN!F584))=4), VALUE(TRIM(MAIN!F584)), ""))</f>
        <v/>
      </c>
      <c r="G584">
        <f>IF(ISBLANK(MAIN!G584), 0, IF(ISNUMBER(VALUE(TRIM(MAIN!G584))), VALUE(TRIM(MAIN!G584)), 0))</f>
        <v>0</v>
      </c>
      <c r="H584">
        <f>IF(ISBLANK(MAIN!H584), 0, IF(ISNUMBER(VALUE(TRIM(MAIN!H584))), VALUE(TRIM(MAIN!H584)), 0))</f>
        <v>0</v>
      </c>
      <c r="I584">
        <f>IF(ISBLANK(MAIN!I584), 0, IF(ISNUMBER(VALUE(TRIM(MAIN!I584))), VALUE(TRIM(MAIN!I584)), 0))</f>
        <v>0</v>
      </c>
      <c r="J584">
        <f>IF(ISBLANK(MAIN!J584), 0, IF(ISNUMBER(VALUE(TRIM(MAIN!J584))), VALUE(TRIM(MAIN!J584)), 0))</f>
        <v>0</v>
      </c>
      <c r="K584" cm="1">
        <f t="array" ref="K584">IFERROR(
    VALUE(
        IFERROR(
            UPPER(
                IF(MAX(IFERROR(SEARCH("WD",MAIN!G584:J584), 0))&gt;0, "WD",
                IF(MAX(IFERROR(SEARCH("NS",MAIN!G584:J584), 0))&gt;0, "NS",
                IF(MAX(IFERROR(SEARCH("NC",MAIN!G584:J584), 0))&gt;0, "NC",
                IF(MAX(IFERROR(SEARCH("DQ",MAIN!G584:J584), 0))&gt;0, "DQ",
                IF(ISNUMBER(SEARCH("WD",MAIN!K584)), "WD",
                IF(ISNUMBER(SEARCH("NS",MAIN!K584)), "NS",
                IF(ISNUMBER(SEARCH("NC",MAIN!K584)), "NC",
                IF(ISNUMBER(SEARCH("DQ",MAIN!K584)), "DQ",
                IF(ISNUMBER(SEARCH("A",MAIN!K584)), 0,
                IF(OR(MAIN!K584=0,MAIN!K584=""), 0, --TRIM(MAIN!K584)))))))))))),
            0
        )
    ),
    IFERROR(
        UPPER(
            IF(MAX(IFERROR(SEARCH("WD",MAIN!G584:J584), 0))&gt;0, "WD",
            IF(MAX(IFERROR(SEARCH("NS",MAIN!G584:J584), 0))&gt;0, "NS",
            IF(MAX(IFERROR(SEARCH("NC",MAIN!G584:J584), 0))&gt;0, "NC",
            IF(MAX(IFERROR(SEARCH("DQ",MAIN!G584:J584), 0))&gt;0, "DQ",
            IF(ISNUMBER(SEARCH("WD",MAIN!K584)), "WD",
            IF(ISNUMBER(SEARCH("NS",MAIN!K584)), "NS",
            IF(ISNUMBER(SEARCH("NC",MAIN!K584)), "NC",
            IF(ISNUMBER(SEARCH("DQ",MAIN!K584)), "DQ",
            IF(ISNUMBER(SEARCH("A",MAIN!K584)), 0,
            IF(OR(MAIN!K584=0,MAIN!K584=""), 0, --TRIM(MAIN!K584)))))))))))),
        0
    )
)</f>
        <v>0</v>
      </c>
    </row>
    <row r="585" spans="1:11" x14ac:dyDescent="0.25">
      <c r="A585" t="str">
        <f>IF(ISBLANK(MAIN!A585), "--", IFERROR(PROPER(SUBSTITUTE(SUBSTITUTE(SUBSTITUTE(SUBSTITUTE(SUBSTITUTE(SUBSTITUTE(SUBSTITUTE(SUBSTITUTE(SUBSTITUTE(SUBSTITUTE(LEFT(MAIN!A585, FIND(",",MAIN!A585) -1), "0", ""), "1", ""), "2", ""), "3", ""), "4", ""), "5", ""), "6", ""), "7", ""), "8", ""), "9", "")), PROPER(SUBSTITUTE(SUBSTITUTE(SUBSTITUTE(SUBSTITUTE(SUBSTITUTE(SUBSTITUTE(SUBSTITUTE(SUBSTITUTE(SUBSTITUTE(SUBSTITUTE(MAIN!A585, "0", ""), "1", ""), "2", ""), "3", ""), "4", ""), "5", ""), "6", ""), "7", ""), "8", ""), "9", ""))))</f>
        <v>--</v>
      </c>
      <c r="B585" t="str">
        <f>IF(ISBLANK(MAIN!B585), "--", IFERROR(PROPER(SUBSTITUTE(SUBSTITUTE(SUBSTITUTE(SUBSTITUTE(SUBSTITUTE(SUBSTITUTE(SUBSTITUTE(SUBSTITUTE(SUBSTITUTE(SUBSTITUTE(LEFT(MAIN!B585, FIND(",",MAIN!B585) -1), "0", ""), "1", ""), "2", ""), "3", ""), "4", ""), "5", ""), "6", ""), "7", ""), "8", ""), "9", "")), PROPER(SUBSTITUTE(SUBSTITUTE(SUBSTITUTE(SUBSTITUTE(SUBSTITUTE(SUBSTITUTE(SUBSTITUTE(SUBSTITUTE(SUBSTITUTE(SUBSTITUTE(MAIN!B585, "0", ""), "1", ""), "2", ""), "3", ""), "4", ""), "5", ""), "6", ""), "7", ""), "8", ""), "9", ""))))</f>
        <v>--</v>
      </c>
      <c r="C585" t="str">
        <f>IF(ISBLANK(MAIN!C585), "--", IFERROR(PROPER(SUBSTITUTE(SUBSTITUTE(SUBSTITUTE(SUBSTITUTE(SUBSTITUTE(SUBSTITUTE(SUBSTITUTE(SUBSTITUTE(SUBSTITUTE(SUBSTITUTE(LEFT(MAIN!C585, FIND(",",MAIN!C585) -1), "0", ""), "1", ""), "2", ""), "3", ""), "4", ""), "5", ""), "6", ""), "7", ""), "8", ""), "9", "")), PROPER(SUBSTITUTE(SUBSTITUTE(SUBSTITUTE(SUBSTITUTE(SUBSTITUTE(SUBSTITUTE(SUBSTITUTE(SUBSTITUTE(SUBSTITUTE(SUBSTITUTE(MAIN!C585, "0", ""), "1", ""), "2", ""), "3", ""), "4", ""), "5", ""), "6", ""), "7", ""), "8", ""), "9", ""))))</f>
        <v>--</v>
      </c>
      <c r="D585" t="str">
        <f>IF(ISBLANK(MAIN!D585), "--", IF(ISNUMBER(MATCH(SUBSTITUTE(LEFT(MAIN!D585, IFERROR(FIND(",", MAIN!D585)-1, LEN(MAIN!D585))), " ", ""), lookup_values!$B$2:$B$51, 0)), UPPER(SUBSTITUTE(LEFT(MAIN!D585, IFERROR(FIND(",", MAIN!D585)-1, LEN(MAIN!D585))), " ", "")), IF(ISNA(VLOOKUP(SUBSTITUTE(LEFT(MAIN!D585, IFERROR(FIND(",", MAIN!D585)-1, LEN(MAIN!D585))), " ", ""), lookup_values!$A$2:$B$51, 2, FALSE)), "--", VLOOKUP(SUBSTITUTE(LEFT(MAIN!D585, IFERROR(FIND(",", MAIN!D585)-1, LEN(MAIN!D585))), " ", ""), lookup_values!$A$2:$B$51, 2, FALSE))))</f>
        <v>--</v>
      </c>
      <c r="E585" t="str">
        <f>IF(CLEAN_DATA!D585&lt;&gt;"--","US",IF(ISBLANK(MAIN!E585), "--", IF(ISNUMBER(MATCH(SUBSTITUTE(LEFT(MAIN!E585, IFERROR(FIND(",", MAIN!E585)-1, LEN(MAIN!E585))), " ", ""), lookup_values!$E$2:$E$197, 0)), UPPER(SUBSTITUTE(LEFT(MAIN!E585, IFERROR(FIND(",", MAIN!E585)-1, LEN(MAIN!E585))), " ", "")), IF(ISNA(VLOOKUP(SUBSTITUTE(LEFT(MAIN!E585, IFERROR(FIND(",", MAIN!E585)-1, LEN(MAIN!E585))), " ", ""), lookup_values!$D$2:$E$197, 2, FALSE)), "--", VLOOKUP(SUBSTITUTE(LEFT(MAIN!E585, IFERROR(FIND(",", MAIN!E585)-1, LEN(MAIN!E585))), " ", ""), lookup_values!$D$2:$E$197, 2, FALSE)))))</f>
        <v>--</v>
      </c>
      <c r="F585" t="str">
        <f>IF(ISBLANK(MAIN!F585), "", IF(AND(ISNUMBER(VALUE(TRIM(MAIN!F585))), LEN(TRIM(MAIN!F585))=4), VALUE(TRIM(MAIN!F585)), ""))</f>
        <v/>
      </c>
      <c r="G585">
        <f>IF(ISBLANK(MAIN!G585), 0, IF(ISNUMBER(VALUE(TRIM(MAIN!G585))), VALUE(TRIM(MAIN!G585)), 0))</f>
        <v>0</v>
      </c>
      <c r="H585">
        <f>IF(ISBLANK(MAIN!H585), 0, IF(ISNUMBER(VALUE(TRIM(MAIN!H585))), VALUE(TRIM(MAIN!H585)), 0))</f>
        <v>0</v>
      </c>
      <c r="I585">
        <f>IF(ISBLANK(MAIN!I585), 0, IF(ISNUMBER(VALUE(TRIM(MAIN!I585))), VALUE(TRIM(MAIN!I585)), 0))</f>
        <v>0</v>
      </c>
      <c r="J585">
        <f>IF(ISBLANK(MAIN!J585), 0, IF(ISNUMBER(VALUE(TRIM(MAIN!J585))), VALUE(TRIM(MAIN!J585)), 0))</f>
        <v>0</v>
      </c>
      <c r="K585" cm="1">
        <f t="array" ref="K585">IFERROR(
    VALUE(
        IFERROR(
            UPPER(
                IF(MAX(IFERROR(SEARCH("WD",MAIN!G585:J585), 0))&gt;0, "WD",
                IF(MAX(IFERROR(SEARCH("NS",MAIN!G585:J585), 0))&gt;0, "NS",
                IF(MAX(IFERROR(SEARCH("NC",MAIN!G585:J585), 0))&gt;0, "NC",
                IF(MAX(IFERROR(SEARCH("DQ",MAIN!G585:J585), 0))&gt;0, "DQ",
                IF(ISNUMBER(SEARCH("WD",MAIN!K585)), "WD",
                IF(ISNUMBER(SEARCH("NS",MAIN!K585)), "NS",
                IF(ISNUMBER(SEARCH("NC",MAIN!K585)), "NC",
                IF(ISNUMBER(SEARCH("DQ",MAIN!K585)), "DQ",
                IF(ISNUMBER(SEARCH("A",MAIN!K585)), 0,
                IF(OR(MAIN!K585=0,MAIN!K585=""), 0, --TRIM(MAIN!K585)))))))))))),
            0
        )
    ),
    IFERROR(
        UPPER(
            IF(MAX(IFERROR(SEARCH("WD",MAIN!G585:J585), 0))&gt;0, "WD",
            IF(MAX(IFERROR(SEARCH("NS",MAIN!G585:J585), 0))&gt;0, "NS",
            IF(MAX(IFERROR(SEARCH("NC",MAIN!G585:J585), 0))&gt;0, "NC",
            IF(MAX(IFERROR(SEARCH("DQ",MAIN!G585:J585), 0))&gt;0, "DQ",
            IF(ISNUMBER(SEARCH("WD",MAIN!K585)), "WD",
            IF(ISNUMBER(SEARCH("NS",MAIN!K585)), "NS",
            IF(ISNUMBER(SEARCH("NC",MAIN!K585)), "NC",
            IF(ISNUMBER(SEARCH("DQ",MAIN!K585)), "DQ",
            IF(ISNUMBER(SEARCH("A",MAIN!K585)), 0,
            IF(OR(MAIN!K585=0,MAIN!K585=""), 0, --TRIM(MAIN!K585)))))))))))),
        0
    )
)</f>
        <v>0</v>
      </c>
    </row>
    <row r="586" spans="1:11" x14ac:dyDescent="0.25">
      <c r="A586" t="str">
        <f>IF(ISBLANK(MAIN!A586), "--", IFERROR(PROPER(SUBSTITUTE(SUBSTITUTE(SUBSTITUTE(SUBSTITUTE(SUBSTITUTE(SUBSTITUTE(SUBSTITUTE(SUBSTITUTE(SUBSTITUTE(SUBSTITUTE(LEFT(MAIN!A586, FIND(",",MAIN!A586) -1), "0", ""), "1", ""), "2", ""), "3", ""), "4", ""), "5", ""), "6", ""), "7", ""), "8", ""), "9", "")), PROPER(SUBSTITUTE(SUBSTITUTE(SUBSTITUTE(SUBSTITUTE(SUBSTITUTE(SUBSTITUTE(SUBSTITUTE(SUBSTITUTE(SUBSTITUTE(SUBSTITUTE(MAIN!A586, "0", ""), "1", ""), "2", ""), "3", ""), "4", ""), "5", ""), "6", ""), "7", ""), "8", ""), "9", ""))))</f>
        <v>--</v>
      </c>
      <c r="B586" t="str">
        <f>IF(ISBLANK(MAIN!B586), "--", IFERROR(PROPER(SUBSTITUTE(SUBSTITUTE(SUBSTITUTE(SUBSTITUTE(SUBSTITUTE(SUBSTITUTE(SUBSTITUTE(SUBSTITUTE(SUBSTITUTE(SUBSTITUTE(LEFT(MAIN!B586, FIND(",",MAIN!B586) -1), "0", ""), "1", ""), "2", ""), "3", ""), "4", ""), "5", ""), "6", ""), "7", ""), "8", ""), "9", "")), PROPER(SUBSTITUTE(SUBSTITUTE(SUBSTITUTE(SUBSTITUTE(SUBSTITUTE(SUBSTITUTE(SUBSTITUTE(SUBSTITUTE(SUBSTITUTE(SUBSTITUTE(MAIN!B586, "0", ""), "1", ""), "2", ""), "3", ""), "4", ""), "5", ""), "6", ""), "7", ""), "8", ""), "9", ""))))</f>
        <v>--</v>
      </c>
      <c r="C586" t="str">
        <f>IF(ISBLANK(MAIN!C586), "--", IFERROR(PROPER(SUBSTITUTE(SUBSTITUTE(SUBSTITUTE(SUBSTITUTE(SUBSTITUTE(SUBSTITUTE(SUBSTITUTE(SUBSTITUTE(SUBSTITUTE(SUBSTITUTE(LEFT(MAIN!C586, FIND(",",MAIN!C586) -1), "0", ""), "1", ""), "2", ""), "3", ""), "4", ""), "5", ""), "6", ""), "7", ""), "8", ""), "9", "")), PROPER(SUBSTITUTE(SUBSTITUTE(SUBSTITUTE(SUBSTITUTE(SUBSTITUTE(SUBSTITUTE(SUBSTITUTE(SUBSTITUTE(SUBSTITUTE(SUBSTITUTE(MAIN!C586, "0", ""), "1", ""), "2", ""), "3", ""), "4", ""), "5", ""), "6", ""), "7", ""), "8", ""), "9", ""))))</f>
        <v>--</v>
      </c>
      <c r="D586" t="str">
        <f>IF(ISBLANK(MAIN!D586), "--", IF(ISNUMBER(MATCH(SUBSTITUTE(LEFT(MAIN!D586, IFERROR(FIND(",", MAIN!D586)-1, LEN(MAIN!D586))), " ", ""), lookup_values!$B$2:$B$51, 0)), UPPER(SUBSTITUTE(LEFT(MAIN!D586, IFERROR(FIND(",", MAIN!D586)-1, LEN(MAIN!D586))), " ", "")), IF(ISNA(VLOOKUP(SUBSTITUTE(LEFT(MAIN!D586, IFERROR(FIND(",", MAIN!D586)-1, LEN(MAIN!D586))), " ", ""), lookup_values!$A$2:$B$51, 2, FALSE)), "--", VLOOKUP(SUBSTITUTE(LEFT(MAIN!D586, IFERROR(FIND(",", MAIN!D586)-1, LEN(MAIN!D586))), " ", ""), lookup_values!$A$2:$B$51, 2, FALSE))))</f>
        <v>--</v>
      </c>
      <c r="E586" t="str">
        <f>IF(CLEAN_DATA!D586&lt;&gt;"--","US",IF(ISBLANK(MAIN!E586), "--", IF(ISNUMBER(MATCH(SUBSTITUTE(LEFT(MAIN!E586, IFERROR(FIND(",", MAIN!E586)-1, LEN(MAIN!E586))), " ", ""), lookup_values!$E$2:$E$197, 0)), UPPER(SUBSTITUTE(LEFT(MAIN!E586, IFERROR(FIND(",", MAIN!E586)-1, LEN(MAIN!E586))), " ", "")), IF(ISNA(VLOOKUP(SUBSTITUTE(LEFT(MAIN!E586, IFERROR(FIND(",", MAIN!E586)-1, LEN(MAIN!E586))), " ", ""), lookup_values!$D$2:$E$197, 2, FALSE)), "--", VLOOKUP(SUBSTITUTE(LEFT(MAIN!E586, IFERROR(FIND(",", MAIN!E586)-1, LEN(MAIN!E586))), " ", ""), lookup_values!$D$2:$E$197, 2, FALSE)))))</f>
        <v>--</v>
      </c>
      <c r="F586" t="str">
        <f>IF(ISBLANK(MAIN!F586), "", IF(AND(ISNUMBER(VALUE(TRIM(MAIN!F586))), LEN(TRIM(MAIN!F586))=4), VALUE(TRIM(MAIN!F586)), ""))</f>
        <v/>
      </c>
      <c r="G586">
        <f>IF(ISBLANK(MAIN!G586), 0, IF(ISNUMBER(VALUE(TRIM(MAIN!G586))), VALUE(TRIM(MAIN!G586)), 0))</f>
        <v>0</v>
      </c>
      <c r="H586">
        <f>IF(ISBLANK(MAIN!H586), 0, IF(ISNUMBER(VALUE(TRIM(MAIN!H586))), VALUE(TRIM(MAIN!H586)), 0))</f>
        <v>0</v>
      </c>
      <c r="I586">
        <f>IF(ISBLANK(MAIN!I586), 0, IF(ISNUMBER(VALUE(TRIM(MAIN!I586))), VALUE(TRIM(MAIN!I586)), 0))</f>
        <v>0</v>
      </c>
      <c r="J586">
        <f>IF(ISBLANK(MAIN!J586), 0, IF(ISNUMBER(VALUE(TRIM(MAIN!J586))), VALUE(TRIM(MAIN!J586)), 0))</f>
        <v>0</v>
      </c>
      <c r="K586" cm="1">
        <f t="array" ref="K586">IFERROR(
    VALUE(
        IFERROR(
            UPPER(
                IF(MAX(IFERROR(SEARCH("WD",MAIN!G586:J586), 0))&gt;0, "WD",
                IF(MAX(IFERROR(SEARCH("NS",MAIN!G586:J586), 0))&gt;0, "NS",
                IF(MAX(IFERROR(SEARCH("NC",MAIN!G586:J586), 0))&gt;0, "NC",
                IF(MAX(IFERROR(SEARCH("DQ",MAIN!G586:J586), 0))&gt;0, "DQ",
                IF(ISNUMBER(SEARCH("WD",MAIN!K586)), "WD",
                IF(ISNUMBER(SEARCH("NS",MAIN!K586)), "NS",
                IF(ISNUMBER(SEARCH("NC",MAIN!K586)), "NC",
                IF(ISNUMBER(SEARCH("DQ",MAIN!K586)), "DQ",
                IF(ISNUMBER(SEARCH("A",MAIN!K586)), 0,
                IF(OR(MAIN!K586=0,MAIN!K586=""), 0, --TRIM(MAIN!K586)))))))))))),
            0
        )
    ),
    IFERROR(
        UPPER(
            IF(MAX(IFERROR(SEARCH("WD",MAIN!G586:J586), 0))&gt;0, "WD",
            IF(MAX(IFERROR(SEARCH("NS",MAIN!G586:J586), 0))&gt;0, "NS",
            IF(MAX(IFERROR(SEARCH("NC",MAIN!G586:J586), 0))&gt;0, "NC",
            IF(MAX(IFERROR(SEARCH("DQ",MAIN!G586:J586), 0))&gt;0, "DQ",
            IF(ISNUMBER(SEARCH("WD",MAIN!K586)), "WD",
            IF(ISNUMBER(SEARCH("NS",MAIN!K586)), "NS",
            IF(ISNUMBER(SEARCH("NC",MAIN!K586)), "NC",
            IF(ISNUMBER(SEARCH("DQ",MAIN!K586)), "DQ",
            IF(ISNUMBER(SEARCH("A",MAIN!K586)), 0,
            IF(OR(MAIN!K586=0,MAIN!K586=""), 0, --TRIM(MAIN!K586)))))))))))),
        0
    )
)</f>
        <v>0</v>
      </c>
    </row>
    <row r="587" spans="1:11" x14ac:dyDescent="0.25">
      <c r="A587" t="str">
        <f>IF(ISBLANK(MAIN!A587), "--", IFERROR(PROPER(SUBSTITUTE(SUBSTITUTE(SUBSTITUTE(SUBSTITUTE(SUBSTITUTE(SUBSTITUTE(SUBSTITUTE(SUBSTITUTE(SUBSTITUTE(SUBSTITUTE(LEFT(MAIN!A587, FIND(",",MAIN!A587) -1), "0", ""), "1", ""), "2", ""), "3", ""), "4", ""), "5", ""), "6", ""), "7", ""), "8", ""), "9", "")), PROPER(SUBSTITUTE(SUBSTITUTE(SUBSTITUTE(SUBSTITUTE(SUBSTITUTE(SUBSTITUTE(SUBSTITUTE(SUBSTITUTE(SUBSTITUTE(SUBSTITUTE(MAIN!A587, "0", ""), "1", ""), "2", ""), "3", ""), "4", ""), "5", ""), "6", ""), "7", ""), "8", ""), "9", ""))))</f>
        <v>--</v>
      </c>
      <c r="B587" t="str">
        <f>IF(ISBLANK(MAIN!B587), "--", IFERROR(PROPER(SUBSTITUTE(SUBSTITUTE(SUBSTITUTE(SUBSTITUTE(SUBSTITUTE(SUBSTITUTE(SUBSTITUTE(SUBSTITUTE(SUBSTITUTE(SUBSTITUTE(LEFT(MAIN!B587, FIND(",",MAIN!B587) -1), "0", ""), "1", ""), "2", ""), "3", ""), "4", ""), "5", ""), "6", ""), "7", ""), "8", ""), "9", "")), PROPER(SUBSTITUTE(SUBSTITUTE(SUBSTITUTE(SUBSTITUTE(SUBSTITUTE(SUBSTITUTE(SUBSTITUTE(SUBSTITUTE(SUBSTITUTE(SUBSTITUTE(MAIN!B587, "0", ""), "1", ""), "2", ""), "3", ""), "4", ""), "5", ""), "6", ""), "7", ""), "8", ""), "9", ""))))</f>
        <v>--</v>
      </c>
      <c r="C587" t="str">
        <f>IF(ISBLANK(MAIN!C587), "--", IFERROR(PROPER(SUBSTITUTE(SUBSTITUTE(SUBSTITUTE(SUBSTITUTE(SUBSTITUTE(SUBSTITUTE(SUBSTITUTE(SUBSTITUTE(SUBSTITUTE(SUBSTITUTE(LEFT(MAIN!C587, FIND(",",MAIN!C587) -1), "0", ""), "1", ""), "2", ""), "3", ""), "4", ""), "5", ""), "6", ""), "7", ""), "8", ""), "9", "")), PROPER(SUBSTITUTE(SUBSTITUTE(SUBSTITUTE(SUBSTITUTE(SUBSTITUTE(SUBSTITUTE(SUBSTITUTE(SUBSTITUTE(SUBSTITUTE(SUBSTITUTE(MAIN!C587, "0", ""), "1", ""), "2", ""), "3", ""), "4", ""), "5", ""), "6", ""), "7", ""), "8", ""), "9", ""))))</f>
        <v>--</v>
      </c>
      <c r="D587" t="str">
        <f>IF(ISBLANK(MAIN!D587), "--", IF(ISNUMBER(MATCH(SUBSTITUTE(LEFT(MAIN!D587, IFERROR(FIND(",", MAIN!D587)-1, LEN(MAIN!D587))), " ", ""), lookup_values!$B$2:$B$51, 0)), UPPER(SUBSTITUTE(LEFT(MAIN!D587, IFERROR(FIND(",", MAIN!D587)-1, LEN(MAIN!D587))), " ", "")), IF(ISNA(VLOOKUP(SUBSTITUTE(LEFT(MAIN!D587, IFERROR(FIND(",", MAIN!D587)-1, LEN(MAIN!D587))), " ", ""), lookup_values!$A$2:$B$51, 2, FALSE)), "--", VLOOKUP(SUBSTITUTE(LEFT(MAIN!D587, IFERROR(FIND(",", MAIN!D587)-1, LEN(MAIN!D587))), " ", ""), lookup_values!$A$2:$B$51, 2, FALSE))))</f>
        <v>--</v>
      </c>
      <c r="E587" t="str">
        <f>IF(CLEAN_DATA!D587&lt;&gt;"--","US",IF(ISBLANK(MAIN!E587), "--", IF(ISNUMBER(MATCH(SUBSTITUTE(LEFT(MAIN!E587, IFERROR(FIND(",", MAIN!E587)-1, LEN(MAIN!E587))), " ", ""), lookup_values!$E$2:$E$197, 0)), UPPER(SUBSTITUTE(LEFT(MAIN!E587, IFERROR(FIND(",", MAIN!E587)-1, LEN(MAIN!E587))), " ", "")), IF(ISNA(VLOOKUP(SUBSTITUTE(LEFT(MAIN!E587, IFERROR(FIND(",", MAIN!E587)-1, LEN(MAIN!E587))), " ", ""), lookup_values!$D$2:$E$197, 2, FALSE)), "--", VLOOKUP(SUBSTITUTE(LEFT(MAIN!E587, IFERROR(FIND(",", MAIN!E587)-1, LEN(MAIN!E587))), " ", ""), lookup_values!$D$2:$E$197, 2, FALSE)))))</f>
        <v>--</v>
      </c>
      <c r="F587" t="str">
        <f>IF(ISBLANK(MAIN!F587), "", IF(AND(ISNUMBER(VALUE(TRIM(MAIN!F587))), LEN(TRIM(MAIN!F587))=4), VALUE(TRIM(MAIN!F587)), ""))</f>
        <v/>
      </c>
      <c r="G587">
        <f>IF(ISBLANK(MAIN!G587), 0, IF(ISNUMBER(VALUE(TRIM(MAIN!G587))), VALUE(TRIM(MAIN!G587)), 0))</f>
        <v>0</v>
      </c>
      <c r="H587">
        <f>IF(ISBLANK(MAIN!H587), 0, IF(ISNUMBER(VALUE(TRIM(MAIN!H587))), VALUE(TRIM(MAIN!H587)), 0))</f>
        <v>0</v>
      </c>
      <c r="I587">
        <f>IF(ISBLANK(MAIN!I587), 0, IF(ISNUMBER(VALUE(TRIM(MAIN!I587))), VALUE(TRIM(MAIN!I587)), 0))</f>
        <v>0</v>
      </c>
      <c r="J587">
        <f>IF(ISBLANK(MAIN!J587), 0, IF(ISNUMBER(VALUE(TRIM(MAIN!J587))), VALUE(TRIM(MAIN!J587)), 0))</f>
        <v>0</v>
      </c>
      <c r="K587" cm="1">
        <f t="array" ref="K587">IFERROR(
    VALUE(
        IFERROR(
            UPPER(
                IF(MAX(IFERROR(SEARCH("WD",MAIN!G587:J587), 0))&gt;0, "WD",
                IF(MAX(IFERROR(SEARCH("NS",MAIN!G587:J587), 0))&gt;0, "NS",
                IF(MAX(IFERROR(SEARCH("NC",MAIN!G587:J587), 0))&gt;0, "NC",
                IF(MAX(IFERROR(SEARCH("DQ",MAIN!G587:J587), 0))&gt;0, "DQ",
                IF(ISNUMBER(SEARCH("WD",MAIN!K587)), "WD",
                IF(ISNUMBER(SEARCH("NS",MAIN!K587)), "NS",
                IF(ISNUMBER(SEARCH("NC",MAIN!K587)), "NC",
                IF(ISNUMBER(SEARCH("DQ",MAIN!K587)), "DQ",
                IF(ISNUMBER(SEARCH("A",MAIN!K587)), 0,
                IF(OR(MAIN!K587=0,MAIN!K587=""), 0, --TRIM(MAIN!K587)))))))))))),
            0
        )
    ),
    IFERROR(
        UPPER(
            IF(MAX(IFERROR(SEARCH("WD",MAIN!G587:J587), 0))&gt;0, "WD",
            IF(MAX(IFERROR(SEARCH("NS",MAIN!G587:J587), 0))&gt;0, "NS",
            IF(MAX(IFERROR(SEARCH("NC",MAIN!G587:J587), 0))&gt;0, "NC",
            IF(MAX(IFERROR(SEARCH("DQ",MAIN!G587:J587), 0))&gt;0, "DQ",
            IF(ISNUMBER(SEARCH("WD",MAIN!K587)), "WD",
            IF(ISNUMBER(SEARCH("NS",MAIN!K587)), "NS",
            IF(ISNUMBER(SEARCH("NC",MAIN!K587)), "NC",
            IF(ISNUMBER(SEARCH("DQ",MAIN!K587)), "DQ",
            IF(ISNUMBER(SEARCH("A",MAIN!K587)), 0,
            IF(OR(MAIN!K587=0,MAIN!K587=""), 0, --TRIM(MAIN!K587)))))))))))),
        0
    )
)</f>
        <v>0</v>
      </c>
    </row>
    <row r="588" spans="1:11" x14ac:dyDescent="0.25">
      <c r="A588" t="str">
        <f>IF(ISBLANK(MAIN!A588), "--", IFERROR(PROPER(SUBSTITUTE(SUBSTITUTE(SUBSTITUTE(SUBSTITUTE(SUBSTITUTE(SUBSTITUTE(SUBSTITUTE(SUBSTITUTE(SUBSTITUTE(SUBSTITUTE(LEFT(MAIN!A588, FIND(",",MAIN!A588) -1), "0", ""), "1", ""), "2", ""), "3", ""), "4", ""), "5", ""), "6", ""), "7", ""), "8", ""), "9", "")), PROPER(SUBSTITUTE(SUBSTITUTE(SUBSTITUTE(SUBSTITUTE(SUBSTITUTE(SUBSTITUTE(SUBSTITUTE(SUBSTITUTE(SUBSTITUTE(SUBSTITUTE(MAIN!A588, "0", ""), "1", ""), "2", ""), "3", ""), "4", ""), "5", ""), "6", ""), "7", ""), "8", ""), "9", ""))))</f>
        <v>--</v>
      </c>
      <c r="B588" t="str">
        <f>IF(ISBLANK(MAIN!B588), "--", IFERROR(PROPER(SUBSTITUTE(SUBSTITUTE(SUBSTITUTE(SUBSTITUTE(SUBSTITUTE(SUBSTITUTE(SUBSTITUTE(SUBSTITUTE(SUBSTITUTE(SUBSTITUTE(LEFT(MAIN!B588, FIND(",",MAIN!B588) -1), "0", ""), "1", ""), "2", ""), "3", ""), "4", ""), "5", ""), "6", ""), "7", ""), "8", ""), "9", "")), PROPER(SUBSTITUTE(SUBSTITUTE(SUBSTITUTE(SUBSTITUTE(SUBSTITUTE(SUBSTITUTE(SUBSTITUTE(SUBSTITUTE(SUBSTITUTE(SUBSTITUTE(MAIN!B588, "0", ""), "1", ""), "2", ""), "3", ""), "4", ""), "5", ""), "6", ""), "7", ""), "8", ""), "9", ""))))</f>
        <v>--</v>
      </c>
      <c r="C588" t="str">
        <f>IF(ISBLANK(MAIN!C588), "--", IFERROR(PROPER(SUBSTITUTE(SUBSTITUTE(SUBSTITUTE(SUBSTITUTE(SUBSTITUTE(SUBSTITUTE(SUBSTITUTE(SUBSTITUTE(SUBSTITUTE(SUBSTITUTE(LEFT(MAIN!C588, FIND(",",MAIN!C588) -1), "0", ""), "1", ""), "2", ""), "3", ""), "4", ""), "5", ""), "6", ""), "7", ""), "8", ""), "9", "")), PROPER(SUBSTITUTE(SUBSTITUTE(SUBSTITUTE(SUBSTITUTE(SUBSTITUTE(SUBSTITUTE(SUBSTITUTE(SUBSTITUTE(SUBSTITUTE(SUBSTITUTE(MAIN!C588, "0", ""), "1", ""), "2", ""), "3", ""), "4", ""), "5", ""), "6", ""), "7", ""), "8", ""), "9", ""))))</f>
        <v>--</v>
      </c>
      <c r="D588" t="str">
        <f>IF(ISBLANK(MAIN!D588), "--", IF(ISNUMBER(MATCH(SUBSTITUTE(LEFT(MAIN!D588, IFERROR(FIND(",", MAIN!D588)-1, LEN(MAIN!D588))), " ", ""), lookup_values!$B$2:$B$51, 0)), UPPER(SUBSTITUTE(LEFT(MAIN!D588, IFERROR(FIND(",", MAIN!D588)-1, LEN(MAIN!D588))), " ", "")), IF(ISNA(VLOOKUP(SUBSTITUTE(LEFT(MAIN!D588, IFERROR(FIND(",", MAIN!D588)-1, LEN(MAIN!D588))), " ", ""), lookup_values!$A$2:$B$51, 2, FALSE)), "--", VLOOKUP(SUBSTITUTE(LEFT(MAIN!D588, IFERROR(FIND(",", MAIN!D588)-1, LEN(MAIN!D588))), " ", ""), lookup_values!$A$2:$B$51, 2, FALSE))))</f>
        <v>--</v>
      </c>
      <c r="E588" t="str">
        <f>IF(CLEAN_DATA!D588&lt;&gt;"--","US",IF(ISBLANK(MAIN!E588), "--", IF(ISNUMBER(MATCH(SUBSTITUTE(LEFT(MAIN!E588, IFERROR(FIND(",", MAIN!E588)-1, LEN(MAIN!E588))), " ", ""), lookup_values!$E$2:$E$197, 0)), UPPER(SUBSTITUTE(LEFT(MAIN!E588, IFERROR(FIND(",", MAIN!E588)-1, LEN(MAIN!E588))), " ", "")), IF(ISNA(VLOOKUP(SUBSTITUTE(LEFT(MAIN!E588, IFERROR(FIND(",", MAIN!E588)-1, LEN(MAIN!E588))), " ", ""), lookup_values!$D$2:$E$197, 2, FALSE)), "--", VLOOKUP(SUBSTITUTE(LEFT(MAIN!E588, IFERROR(FIND(",", MAIN!E588)-1, LEN(MAIN!E588))), " ", ""), lookup_values!$D$2:$E$197, 2, FALSE)))))</f>
        <v>--</v>
      </c>
      <c r="F588" t="str">
        <f>IF(ISBLANK(MAIN!F588), "", IF(AND(ISNUMBER(VALUE(TRIM(MAIN!F588))), LEN(TRIM(MAIN!F588))=4), VALUE(TRIM(MAIN!F588)), ""))</f>
        <v/>
      </c>
      <c r="G588">
        <f>IF(ISBLANK(MAIN!G588), 0, IF(ISNUMBER(VALUE(TRIM(MAIN!G588))), VALUE(TRIM(MAIN!G588)), 0))</f>
        <v>0</v>
      </c>
      <c r="H588">
        <f>IF(ISBLANK(MAIN!H588), 0, IF(ISNUMBER(VALUE(TRIM(MAIN!H588))), VALUE(TRIM(MAIN!H588)), 0))</f>
        <v>0</v>
      </c>
      <c r="I588">
        <f>IF(ISBLANK(MAIN!I588), 0, IF(ISNUMBER(VALUE(TRIM(MAIN!I588))), VALUE(TRIM(MAIN!I588)), 0))</f>
        <v>0</v>
      </c>
      <c r="J588">
        <f>IF(ISBLANK(MAIN!J588), 0, IF(ISNUMBER(VALUE(TRIM(MAIN!J588))), VALUE(TRIM(MAIN!J588)), 0))</f>
        <v>0</v>
      </c>
      <c r="K588" cm="1">
        <f t="array" ref="K588">IFERROR(
    VALUE(
        IFERROR(
            UPPER(
                IF(MAX(IFERROR(SEARCH("WD",MAIN!G588:J588), 0))&gt;0, "WD",
                IF(MAX(IFERROR(SEARCH("NS",MAIN!G588:J588), 0))&gt;0, "NS",
                IF(MAX(IFERROR(SEARCH("NC",MAIN!G588:J588), 0))&gt;0, "NC",
                IF(MAX(IFERROR(SEARCH("DQ",MAIN!G588:J588), 0))&gt;0, "DQ",
                IF(ISNUMBER(SEARCH("WD",MAIN!K588)), "WD",
                IF(ISNUMBER(SEARCH("NS",MAIN!K588)), "NS",
                IF(ISNUMBER(SEARCH("NC",MAIN!K588)), "NC",
                IF(ISNUMBER(SEARCH("DQ",MAIN!K588)), "DQ",
                IF(ISNUMBER(SEARCH("A",MAIN!K588)), 0,
                IF(OR(MAIN!K588=0,MAIN!K588=""), 0, --TRIM(MAIN!K588)))))))))))),
            0
        )
    ),
    IFERROR(
        UPPER(
            IF(MAX(IFERROR(SEARCH("WD",MAIN!G588:J588), 0))&gt;0, "WD",
            IF(MAX(IFERROR(SEARCH("NS",MAIN!G588:J588), 0))&gt;0, "NS",
            IF(MAX(IFERROR(SEARCH("NC",MAIN!G588:J588), 0))&gt;0, "NC",
            IF(MAX(IFERROR(SEARCH("DQ",MAIN!G588:J588), 0))&gt;0, "DQ",
            IF(ISNUMBER(SEARCH("WD",MAIN!K588)), "WD",
            IF(ISNUMBER(SEARCH("NS",MAIN!K588)), "NS",
            IF(ISNUMBER(SEARCH("NC",MAIN!K588)), "NC",
            IF(ISNUMBER(SEARCH("DQ",MAIN!K588)), "DQ",
            IF(ISNUMBER(SEARCH("A",MAIN!K588)), 0,
            IF(OR(MAIN!K588=0,MAIN!K588=""), 0, --TRIM(MAIN!K588)))))))))))),
        0
    )
)</f>
        <v>0</v>
      </c>
    </row>
    <row r="589" spans="1:11" x14ac:dyDescent="0.25">
      <c r="A589" t="str">
        <f>IF(ISBLANK(MAIN!A589), "--", IFERROR(PROPER(SUBSTITUTE(SUBSTITUTE(SUBSTITUTE(SUBSTITUTE(SUBSTITUTE(SUBSTITUTE(SUBSTITUTE(SUBSTITUTE(SUBSTITUTE(SUBSTITUTE(LEFT(MAIN!A589, FIND(",",MAIN!A589) -1), "0", ""), "1", ""), "2", ""), "3", ""), "4", ""), "5", ""), "6", ""), "7", ""), "8", ""), "9", "")), PROPER(SUBSTITUTE(SUBSTITUTE(SUBSTITUTE(SUBSTITUTE(SUBSTITUTE(SUBSTITUTE(SUBSTITUTE(SUBSTITUTE(SUBSTITUTE(SUBSTITUTE(MAIN!A589, "0", ""), "1", ""), "2", ""), "3", ""), "4", ""), "5", ""), "6", ""), "7", ""), "8", ""), "9", ""))))</f>
        <v>--</v>
      </c>
      <c r="B589" t="str">
        <f>IF(ISBLANK(MAIN!B589), "--", IFERROR(PROPER(SUBSTITUTE(SUBSTITUTE(SUBSTITUTE(SUBSTITUTE(SUBSTITUTE(SUBSTITUTE(SUBSTITUTE(SUBSTITUTE(SUBSTITUTE(SUBSTITUTE(LEFT(MAIN!B589, FIND(",",MAIN!B589) -1), "0", ""), "1", ""), "2", ""), "3", ""), "4", ""), "5", ""), "6", ""), "7", ""), "8", ""), "9", "")), PROPER(SUBSTITUTE(SUBSTITUTE(SUBSTITUTE(SUBSTITUTE(SUBSTITUTE(SUBSTITUTE(SUBSTITUTE(SUBSTITUTE(SUBSTITUTE(SUBSTITUTE(MAIN!B589, "0", ""), "1", ""), "2", ""), "3", ""), "4", ""), "5", ""), "6", ""), "7", ""), "8", ""), "9", ""))))</f>
        <v>--</v>
      </c>
      <c r="C589" t="str">
        <f>IF(ISBLANK(MAIN!C589), "--", IFERROR(PROPER(SUBSTITUTE(SUBSTITUTE(SUBSTITUTE(SUBSTITUTE(SUBSTITUTE(SUBSTITUTE(SUBSTITUTE(SUBSTITUTE(SUBSTITUTE(SUBSTITUTE(LEFT(MAIN!C589, FIND(",",MAIN!C589) -1), "0", ""), "1", ""), "2", ""), "3", ""), "4", ""), "5", ""), "6", ""), "7", ""), "8", ""), "9", "")), PROPER(SUBSTITUTE(SUBSTITUTE(SUBSTITUTE(SUBSTITUTE(SUBSTITUTE(SUBSTITUTE(SUBSTITUTE(SUBSTITUTE(SUBSTITUTE(SUBSTITUTE(MAIN!C589, "0", ""), "1", ""), "2", ""), "3", ""), "4", ""), "5", ""), "6", ""), "7", ""), "8", ""), "9", ""))))</f>
        <v>--</v>
      </c>
      <c r="D589" t="str">
        <f>IF(ISBLANK(MAIN!D589), "--", IF(ISNUMBER(MATCH(SUBSTITUTE(LEFT(MAIN!D589, IFERROR(FIND(",", MAIN!D589)-1, LEN(MAIN!D589))), " ", ""), lookup_values!$B$2:$B$51, 0)), UPPER(SUBSTITUTE(LEFT(MAIN!D589, IFERROR(FIND(",", MAIN!D589)-1, LEN(MAIN!D589))), " ", "")), IF(ISNA(VLOOKUP(SUBSTITUTE(LEFT(MAIN!D589, IFERROR(FIND(",", MAIN!D589)-1, LEN(MAIN!D589))), " ", ""), lookup_values!$A$2:$B$51, 2, FALSE)), "--", VLOOKUP(SUBSTITUTE(LEFT(MAIN!D589, IFERROR(FIND(",", MAIN!D589)-1, LEN(MAIN!D589))), " ", ""), lookup_values!$A$2:$B$51, 2, FALSE))))</f>
        <v>--</v>
      </c>
      <c r="E589" t="str">
        <f>IF(CLEAN_DATA!D589&lt;&gt;"--","US",IF(ISBLANK(MAIN!E589), "--", IF(ISNUMBER(MATCH(SUBSTITUTE(LEFT(MAIN!E589, IFERROR(FIND(",", MAIN!E589)-1, LEN(MAIN!E589))), " ", ""), lookup_values!$E$2:$E$197, 0)), UPPER(SUBSTITUTE(LEFT(MAIN!E589, IFERROR(FIND(",", MAIN!E589)-1, LEN(MAIN!E589))), " ", "")), IF(ISNA(VLOOKUP(SUBSTITUTE(LEFT(MAIN!E589, IFERROR(FIND(",", MAIN!E589)-1, LEN(MAIN!E589))), " ", ""), lookup_values!$D$2:$E$197, 2, FALSE)), "--", VLOOKUP(SUBSTITUTE(LEFT(MAIN!E589, IFERROR(FIND(",", MAIN!E589)-1, LEN(MAIN!E589))), " ", ""), lookup_values!$D$2:$E$197, 2, FALSE)))))</f>
        <v>--</v>
      </c>
      <c r="F589" t="str">
        <f>IF(ISBLANK(MAIN!F589), "", IF(AND(ISNUMBER(VALUE(TRIM(MAIN!F589))), LEN(TRIM(MAIN!F589))=4), VALUE(TRIM(MAIN!F589)), ""))</f>
        <v/>
      </c>
      <c r="G589">
        <f>IF(ISBLANK(MAIN!G589), 0, IF(ISNUMBER(VALUE(TRIM(MAIN!G589))), VALUE(TRIM(MAIN!G589)), 0))</f>
        <v>0</v>
      </c>
      <c r="H589">
        <f>IF(ISBLANK(MAIN!H589), 0, IF(ISNUMBER(VALUE(TRIM(MAIN!H589))), VALUE(TRIM(MAIN!H589)), 0))</f>
        <v>0</v>
      </c>
      <c r="I589">
        <f>IF(ISBLANK(MAIN!I589), 0, IF(ISNUMBER(VALUE(TRIM(MAIN!I589))), VALUE(TRIM(MAIN!I589)), 0))</f>
        <v>0</v>
      </c>
      <c r="J589">
        <f>IF(ISBLANK(MAIN!J589), 0, IF(ISNUMBER(VALUE(TRIM(MAIN!J589))), VALUE(TRIM(MAIN!J589)), 0))</f>
        <v>0</v>
      </c>
      <c r="K589" cm="1">
        <f t="array" ref="K589">IFERROR(
    VALUE(
        IFERROR(
            UPPER(
                IF(MAX(IFERROR(SEARCH("WD",MAIN!G589:J589), 0))&gt;0, "WD",
                IF(MAX(IFERROR(SEARCH("NS",MAIN!G589:J589), 0))&gt;0, "NS",
                IF(MAX(IFERROR(SEARCH("NC",MAIN!G589:J589), 0))&gt;0, "NC",
                IF(MAX(IFERROR(SEARCH("DQ",MAIN!G589:J589), 0))&gt;0, "DQ",
                IF(ISNUMBER(SEARCH("WD",MAIN!K589)), "WD",
                IF(ISNUMBER(SEARCH("NS",MAIN!K589)), "NS",
                IF(ISNUMBER(SEARCH("NC",MAIN!K589)), "NC",
                IF(ISNUMBER(SEARCH("DQ",MAIN!K589)), "DQ",
                IF(ISNUMBER(SEARCH("A",MAIN!K589)), 0,
                IF(OR(MAIN!K589=0,MAIN!K589=""), 0, --TRIM(MAIN!K589)))))))))))),
            0
        )
    ),
    IFERROR(
        UPPER(
            IF(MAX(IFERROR(SEARCH("WD",MAIN!G589:J589), 0))&gt;0, "WD",
            IF(MAX(IFERROR(SEARCH("NS",MAIN!G589:J589), 0))&gt;0, "NS",
            IF(MAX(IFERROR(SEARCH("NC",MAIN!G589:J589), 0))&gt;0, "NC",
            IF(MAX(IFERROR(SEARCH("DQ",MAIN!G589:J589), 0))&gt;0, "DQ",
            IF(ISNUMBER(SEARCH("WD",MAIN!K589)), "WD",
            IF(ISNUMBER(SEARCH("NS",MAIN!K589)), "NS",
            IF(ISNUMBER(SEARCH("NC",MAIN!K589)), "NC",
            IF(ISNUMBER(SEARCH("DQ",MAIN!K589)), "DQ",
            IF(ISNUMBER(SEARCH("A",MAIN!K589)), 0,
            IF(OR(MAIN!K589=0,MAIN!K589=""), 0, --TRIM(MAIN!K589)))))))))))),
        0
    )
)</f>
        <v>0</v>
      </c>
    </row>
    <row r="590" spans="1:11" x14ac:dyDescent="0.25">
      <c r="A590" t="str">
        <f>IF(ISBLANK(MAIN!A590), "--", IFERROR(PROPER(SUBSTITUTE(SUBSTITUTE(SUBSTITUTE(SUBSTITUTE(SUBSTITUTE(SUBSTITUTE(SUBSTITUTE(SUBSTITUTE(SUBSTITUTE(SUBSTITUTE(LEFT(MAIN!A590, FIND(",",MAIN!A590) -1), "0", ""), "1", ""), "2", ""), "3", ""), "4", ""), "5", ""), "6", ""), "7", ""), "8", ""), "9", "")), PROPER(SUBSTITUTE(SUBSTITUTE(SUBSTITUTE(SUBSTITUTE(SUBSTITUTE(SUBSTITUTE(SUBSTITUTE(SUBSTITUTE(SUBSTITUTE(SUBSTITUTE(MAIN!A590, "0", ""), "1", ""), "2", ""), "3", ""), "4", ""), "5", ""), "6", ""), "7", ""), "8", ""), "9", ""))))</f>
        <v>--</v>
      </c>
      <c r="B590" t="str">
        <f>IF(ISBLANK(MAIN!B590), "--", IFERROR(PROPER(SUBSTITUTE(SUBSTITUTE(SUBSTITUTE(SUBSTITUTE(SUBSTITUTE(SUBSTITUTE(SUBSTITUTE(SUBSTITUTE(SUBSTITUTE(SUBSTITUTE(LEFT(MAIN!B590, FIND(",",MAIN!B590) -1), "0", ""), "1", ""), "2", ""), "3", ""), "4", ""), "5", ""), "6", ""), "7", ""), "8", ""), "9", "")), PROPER(SUBSTITUTE(SUBSTITUTE(SUBSTITUTE(SUBSTITUTE(SUBSTITUTE(SUBSTITUTE(SUBSTITUTE(SUBSTITUTE(SUBSTITUTE(SUBSTITUTE(MAIN!B590, "0", ""), "1", ""), "2", ""), "3", ""), "4", ""), "5", ""), "6", ""), "7", ""), "8", ""), "9", ""))))</f>
        <v>--</v>
      </c>
      <c r="C590" t="str">
        <f>IF(ISBLANK(MAIN!C590), "--", IFERROR(PROPER(SUBSTITUTE(SUBSTITUTE(SUBSTITUTE(SUBSTITUTE(SUBSTITUTE(SUBSTITUTE(SUBSTITUTE(SUBSTITUTE(SUBSTITUTE(SUBSTITUTE(LEFT(MAIN!C590, FIND(",",MAIN!C590) -1), "0", ""), "1", ""), "2", ""), "3", ""), "4", ""), "5", ""), "6", ""), "7", ""), "8", ""), "9", "")), PROPER(SUBSTITUTE(SUBSTITUTE(SUBSTITUTE(SUBSTITUTE(SUBSTITUTE(SUBSTITUTE(SUBSTITUTE(SUBSTITUTE(SUBSTITUTE(SUBSTITUTE(MAIN!C590, "0", ""), "1", ""), "2", ""), "3", ""), "4", ""), "5", ""), "6", ""), "7", ""), "8", ""), "9", ""))))</f>
        <v>--</v>
      </c>
      <c r="D590" t="str">
        <f>IF(ISBLANK(MAIN!D590), "--", IF(ISNUMBER(MATCH(SUBSTITUTE(LEFT(MAIN!D590, IFERROR(FIND(",", MAIN!D590)-1, LEN(MAIN!D590))), " ", ""), lookup_values!$B$2:$B$51, 0)), UPPER(SUBSTITUTE(LEFT(MAIN!D590, IFERROR(FIND(",", MAIN!D590)-1, LEN(MAIN!D590))), " ", "")), IF(ISNA(VLOOKUP(SUBSTITUTE(LEFT(MAIN!D590, IFERROR(FIND(",", MAIN!D590)-1, LEN(MAIN!D590))), " ", ""), lookup_values!$A$2:$B$51, 2, FALSE)), "--", VLOOKUP(SUBSTITUTE(LEFT(MAIN!D590, IFERROR(FIND(",", MAIN!D590)-1, LEN(MAIN!D590))), " ", ""), lookup_values!$A$2:$B$51, 2, FALSE))))</f>
        <v>--</v>
      </c>
      <c r="E590" t="str">
        <f>IF(CLEAN_DATA!D590&lt;&gt;"--","US",IF(ISBLANK(MAIN!E590), "--", IF(ISNUMBER(MATCH(SUBSTITUTE(LEFT(MAIN!E590, IFERROR(FIND(",", MAIN!E590)-1, LEN(MAIN!E590))), " ", ""), lookup_values!$E$2:$E$197, 0)), UPPER(SUBSTITUTE(LEFT(MAIN!E590, IFERROR(FIND(",", MAIN!E590)-1, LEN(MAIN!E590))), " ", "")), IF(ISNA(VLOOKUP(SUBSTITUTE(LEFT(MAIN!E590, IFERROR(FIND(",", MAIN!E590)-1, LEN(MAIN!E590))), " ", ""), lookup_values!$D$2:$E$197, 2, FALSE)), "--", VLOOKUP(SUBSTITUTE(LEFT(MAIN!E590, IFERROR(FIND(",", MAIN!E590)-1, LEN(MAIN!E590))), " ", ""), lookup_values!$D$2:$E$197, 2, FALSE)))))</f>
        <v>--</v>
      </c>
      <c r="F590" t="str">
        <f>IF(ISBLANK(MAIN!F590), "", IF(AND(ISNUMBER(VALUE(TRIM(MAIN!F590))), LEN(TRIM(MAIN!F590))=4), VALUE(TRIM(MAIN!F590)), ""))</f>
        <v/>
      </c>
      <c r="G590">
        <f>IF(ISBLANK(MAIN!G590), 0, IF(ISNUMBER(VALUE(TRIM(MAIN!G590))), VALUE(TRIM(MAIN!G590)), 0))</f>
        <v>0</v>
      </c>
      <c r="H590">
        <f>IF(ISBLANK(MAIN!H590), 0, IF(ISNUMBER(VALUE(TRIM(MAIN!H590))), VALUE(TRIM(MAIN!H590)), 0))</f>
        <v>0</v>
      </c>
      <c r="I590">
        <f>IF(ISBLANK(MAIN!I590), 0, IF(ISNUMBER(VALUE(TRIM(MAIN!I590))), VALUE(TRIM(MAIN!I590)), 0))</f>
        <v>0</v>
      </c>
      <c r="J590">
        <f>IF(ISBLANK(MAIN!J590), 0, IF(ISNUMBER(VALUE(TRIM(MAIN!J590))), VALUE(TRIM(MAIN!J590)), 0))</f>
        <v>0</v>
      </c>
      <c r="K590" cm="1">
        <f t="array" ref="K590">IFERROR(
    VALUE(
        IFERROR(
            UPPER(
                IF(MAX(IFERROR(SEARCH("WD",MAIN!G590:J590), 0))&gt;0, "WD",
                IF(MAX(IFERROR(SEARCH("NS",MAIN!G590:J590), 0))&gt;0, "NS",
                IF(MAX(IFERROR(SEARCH("NC",MAIN!G590:J590), 0))&gt;0, "NC",
                IF(MAX(IFERROR(SEARCH("DQ",MAIN!G590:J590), 0))&gt;0, "DQ",
                IF(ISNUMBER(SEARCH("WD",MAIN!K590)), "WD",
                IF(ISNUMBER(SEARCH("NS",MAIN!K590)), "NS",
                IF(ISNUMBER(SEARCH("NC",MAIN!K590)), "NC",
                IF(ISNUMBER(SEARCH("DQ",MAIN!K590)), "DQ",
                IF(ISNUMBER(SEARCH("A",MAIN!K590)), 0,
                IF(OR(MAIN!K590=0,MAIN!K590=""), 0, --TRIM(MAIN!K590)))))))))))),
            0
        )
    ),
    IFERROR(
        UPPER(
            IF(MAX(IFERROR(SEARCH("WD",MAIN!G590:J590), 0))&gt;0, "WD",
            IF(MAX(IFERROR(SEARCH("NS",MAIN!G590:J590), 0))&gt;0, "NS",
            IF(MAX(IFERROR(SEARCH("NC",MAIN!G590:J590), 0))&gt;0, "NC",
            IF(MAX(IFERROR(SEARCH("DQ",MAIN!G590:J590), 0))&gt;0, "DQ",
            IF(ISNUMBER(SEARCH("WD",MAIN!K590)), "WD",
            IF(ISNUMBER(SEARCH("NS",MAIN!K590)), "NS",
            IF(ISNUMBER(SEARCH("NC",MAIN!K590)), "NC",
            IF(ISNUMBER(SEARCH("DQ",MAIN!K590)), "DQ",
            IF(ISNUMBER(SEARCH("A",MAIN!K590)), 0,
            IF(OR(MAIN!K590=0,MAIN!K590=""), 0, --TRIM(MAIN!K590)))))))))))),
        0
    )
)</f>
        <v>0</v>
      </c>
    </row>
    <row r="591" spans="1:11" x14ac:dyDescent="0.25">
      <c r="A591" t="str">
        <f>IF(ISBLANK(MAIN!A591), "--", IFERROR(PROPER(SUBSTITUTE(SUBSTITUTE(SUBSTITUTE(SUBSTITUTE(SUBSTITUTE(SUBSTITUTE(SUBSTITUTE(SUBSTITUTE(SUBSTITUTE(SUBSTITUTE(LEFT(MAIN!A591, FIND(",",MAIN!A591) -1), "0", ""), "1", ""), "2", ""), "3", ""), "4", ""), "5", ""), "6", ""), "7", ""), "8", ""), "9", "")), PROPER(SUBSTITUTE(SUBSTITUTE(SUBSTITUTE(SUBSTITUTE(SUBSTITUTE(SUBSTITUTE(SUBSTITUTE(SUBSTITUTE(SUBSTITUTE(SUBSTITUTE(MAIN!A591, "0", ""), "1", ""), "2", ""), "3", ""), "4", ""), "5", ""), "6", ""), "7", ""), "8", ""), "9", ""))))</f>
        <v>--</v>
      </c>
      <c r="B591" t="str">
        <f>IF(ISBLANK(MAIN!B591), "--", IFERROR(PROPER(SUBSTITUTE(SUBSTITUTE(SUBSTITUTE(SUBSTITUTE(SUBSTITUTE(SUBSTITUTE(SUBSTITUTE(SUBSTITUTE(SUBSTITUTE(SUBSTITUTE(LEFT(MAIN!B591, FIND(",",MAIN!B591) -1), "0", ""), "1", ""), "2", ""), "3", ""), "4", ""), "5", ""), "6", ""), "7", ""), "8", ""), "9", "")), PROPER(SUBSTITUTE(SUBSTITUTE(SUBSTITUTE(SUBSTITUTE(SUBSTITUTE(SUBSTITUTE(SUBSTITUTE(SUBSTITUTE(SUBSTITUTE(SUBSTITUTE(MAIN!B591, "0", ""), "1", ""), "2", ""), "3", ""), "4", ""), "5", ""), "6", ""), "7", ""), "8", ""), "9", ""))))</f>
        <v>--</v>
      </c>
      <c r="C591" t="str">
        <f>IF(ISBLANK(MAIN!C591), "--", IFERROR(PROPER(SUBSTITUTE(SUBSTITUTE(SUBSTITUTE(SUBSTITUTE(SUBSTITUTE(SUBSTITUTE(SUBSTITUTE(SUBSTITUTE(SUBSTITUTE(SUBSTITUTE(LEFT(MAIN!C591, FIND(",",MAIN!C591) -1), "0", ""), "1", ""), "2", ""), "3", ""), "4", ""), "5", ""), "6", ""), "7", ""), "8", ""), "9", "")), PROPER(SUBSTITUTE(SUBSTITUTE(SUBSTITUTE(SUBSTITUTE(SUBSTITUTE(SUBSTITUTE(SUBSTITUTE(SUBSTITUTE(SUBSTITUTE(SUBSTITUTE(MAIN!C591, "0", ""), "1", ""), "2", ""), "3", ""), "4", ""), "5", ""), "6", ""), "7", ""), "8", ""), "9", ""))))</f>
        <v>--</v>
      </c>
      <c r="D591" t="str">
        <f>IF(ISBLANK(MAIN!D591), "--", IF(ISNUMBER(MATCH(SUBSTITUTE(LEFT(MAIN!D591, IFERROR(FIND(",", MAIN!D591)-1, LEN(MAIN!D591))), " ", ""), lookup_values!$B$2:$B$51, 0)), UPPER(SUBSTITUTE(LEFT(MAIN!D591, IFERROR(FIND(",", MAIN!D591)-1, LEN(MAIN!D591))), " ", "")), IF(ISNA(VLOOKUP(SUBSTITUTE(LEFT(MAIN!D591, IFERROR(FIND(",", MAIN!D591)-1, LEN(MAIN!D591))), " ", ""), lookup_values!$A$2:$B$51, 2, FALSE)), "--", VLOOKUP(SUBSTITUTE(LEFT(MAIN!D591, IFERROR(FIND(",", MAIN!D591)-1, LEN(MAIN!D591))), " ", ""), lookup_values!$A$2:$B$51, 2, FALSE))))</f>
        <v>--</v>
      </c>
      <c r="E591" t="str">
        <f>IF(CLEAN_DATA!D591&lt;&gt;"--","US",IF(ISBLANK(MAIN!E591), "--", IF(ISNUMBER(MATCH(SUBSTITUTE(LEFT(MAIN!E591, IFERROR(FIND(",", MAIN!E591)-1, LEN(MAIN!E591))), " ", ""), lookup_values!$E$2:$E$197, 0)), UPPER(SUBSTITUTE(LEFT(MAIN!E591, IFERROR(FIND(",", MAIN!E591)-1, LEN(MAIN!E591))), " ", "")), IF(ISNA(VLOOKUP(SUBSTITUTE(LEFT(MAIN!E591, IFERROR(FIND(",", MAIN!E591)-1, LEN(MAIN!E591))), " ", ""), lookup_values!$D$2:$E$197, 2, FALSE)), "--", VLOOKUP(SUBSTITUTE(LEFT(MAIN!E591, IFERROR(FIND(",", MAIN!E591)-1, LEN(MAIN!E591))), " ", ""), lookup_values!$D$2:$E$197, 2, FALSE)))))</f>
        <v>--</v>
      </c>
      <c r="F591" t="str">
        <f>IF(ISBLANK(MAIN!F591), "", IF(AND(ISNUMBER(VALUE(TRIM(MAIN!F591))), LEN(TRIM(MAIN!F591))=4), VALUE(TRIM(MAIN!F591)), ""))</f>
        <v/>
      </c>
      <c r="G591">
        <f>IF(ISBLANK(MAIN!G591), 0, IF(ISNUMBER(VALUE(TRIM(MAIN!G591))), VALUE(TRIM(MAIN!G591)), 0))</f>
        <v>0</v>
      </c>
      <c r="H591">
        <f>IF(ISBLANK(MAIN!H591), 0, IF(ISNUMBER(VALUE(TRIM(MAIN!H591))), VALUE(TRIM(MAIN!H591)), 0))</f>
        <v>0</v>
      </c>
      <c r="I591">
        <f>IF(ISBLANK(MAIN!I591), 0, IF(ISNUMBER(VALUE(TRIM(MAIN!I591))), VALUE(TRIM(MAIN!I591)), 0))</f>
        <v>0</v>
      </c>
      <c r="J591">
        <f>IF(ISBLANK(MAIN!J591), 0, IF(ISNUMBER(VALUE(TRIM(MAIN!J591))), VALUE(TRIM(MAIN!J591)), 0))</f>
        <v>0</v>
      </c>
      <c r="K591" cm="1">
        <f t="array" ref="K591">IFERROR(
    VALUE(
        IFERROR(
            UPPER(
                IF(MAX(IFERROR(SEARCH("WD",MAIN!G591:J591), 0))&gt;0, "WD",
                IF(MAX(IFERROR(SEARCH("NS",MAIN!G591:J591), 0))&gt;0, "NS",
                IF(MAX(IFERROR(SEARCH("NC",MAIN!G591:J591), 0))&gt;0, "NC",
                IF(MAX(IFERROR(SEARCH("DQ",MAIN!G591:J591), 0))&gt;0, "DQ",
                IF(ISNUMBER(SEARCH("WD",MAIN!K591)), "WD",
                IF(ISNUMBER(SEARCH("NS",MAIN!K591)), "NS",
                IF(ISNUMBER(SEARCH("NC",MAIN!K591)), "NC",
                IF(ISNUMBER(SEARCH("DQ",MAIN!K591)), "DQ",
                IF(ISNUMBER(SEARCH("A",MAIN!K591)), 0,
                IF(OR(MAIN!K591=0,MAIN!K591=""), 0, --TRIM(MAIN!K591)))))))))))),
            0
        )
    ),
    IFERROR(
        UPPER(
            IF(MAX(IFERROR(SEARCH("WD",MAIN!G591:J591), 0))&gt;0, "WD",
            IF(MAX(IFERROR(SEARCH("NS",MAIN!G591:J591), 0))&gt;0, "NS",
            IF(MAX(IFERROR(SEARCH("NC",MAIN!G591:J591), 0))&gt;0, "NC",
            IF(MAX(IFERROR(SEARCH("DQ",MAIN!G591:J591), 0))&gt;0, "DQ",
            IF(ISNUMBER(SEARCH("WD",MAIN!K591)), "WD",
            IF(ISNUMBER(SEARCH("NS",MAIN!K591)), "NS",
            IF(ISNUMBER(SEARCH("NC",MAIN!K591)), "NC",
            IF(ISNUMBER(SEARCH("DQ",MAIN!K591)), "DQ",
            IF(ISNUMBER(SEARCH("A",MAIN!K591)), 0,
            IF(OR(MAIN!K591=0,MAIN!K591=""), 0, --TRIM(MAIN!K591)))))))))))),
        0
    )
)</f>
        <v>0</v>
      </c>
    </row>
    <row r="592" spans="1:11" x14ac:dyDescent="0.25">
      <c r="A592" t="str">
        <f>IF(ISBLANK(MAIN!A592), "--", IFERROR(PROPER(SUBSTITUTE(SUBSTITUTE(SUBSTITUTE(SUBSTITUTE(SUBSTITUTE(SUBSTITUTE(SUBSTITUTE(SUBSTITUTE(SUBSTITUTE(SUBSTITUTE(LEFT(MAIN!A592, FIND(",",MAIN!A592) -1), "0", ""), "1", ""), "2", ""), "3", ""), "4", ""), "5", ""), "6", ""), "7", ""), "8", ""), "9", "")), PROPER(SUBSTITUTE(SUBSTITUTE(SUBSTITUTE(SUBSTITUTE(SUBSTITUTE(SUBSTITUTE(SUBSTITUTE(SUBSTITUTE(SUBSTITUTE(SUBSTITUTE(MAIN!A592, "0", ""), "1", ""), "2", ""), "3", ""), "4", ""), "5", ""), "6", ""), "7", ""), "8", ""), "9", ""))))</f>
        <v>--</v>
      </c>
      <c r="B592" t="str">
        <f>IF(ISBLANK(MAIN!B592), "--", IFERROR(PROPER(SUBSTITUTE(SUBSTITUTE(SUBSTITUTE(SUBSTITUTE(SUBSTITUTE(SUBSTITUTE(SUBSTITUTE(SUBSTITUTE(SUBSTITUTE(SUBSTITUTE(LEFT(MAIN!B592, FIND(",",MAIN!B592) -1), "0", ""), "1", ""), "2", ""), "3", ""), "4", ""), "5", ""), "6", ""), "7", ""), "8", ""), "9", "")), PROPER(SUBSTITUTE(SUBSTITUTE(SUBSTITUTE(SUBSTITUTE(SUBSTITUTE(SUBSTITUTE(SUBSTITUTE(SUBSTITUTE(SUBSTITUTE(SUBSTITUTE(MAIN!B592, "0", ""), "1", ""), "2", ""), "3", ""), "4", ""), "5", ""), "6", ""), "7", ""), "8", ""), "9", ""))))</f>
        <v>--</v>
      </c>
      <c r="C592" t="str">
        <f>IF(ISBLANK(MAIN!C592), "--", IFERROR(PROPER(SUBSTITUTE(SUBSTITUTE(SUBSTITUTE(SUBSTITUTE(SUBSTITUTE(SUBSTITUTE(SUBSTITUTE(SUBSTITUTE(SUBSTITUTE(SUBSTITUTE(LEFT(MAIN!C592, FIND(",",MAIN!C592) -1), "0", ""), "1", ""), "2", ""), "3", ""), "4", ""), "5", ""), "6", ""), "7", ""), "8", ""), "9", "")), PROPER(SUBSTITUTE(SUBSTITUTE(SUBSTITUTE(SUBSTITUTE(SUBSTITUTE(SUBSTITUTE(SUBSTITUTE(SUBSTITUTE(SUBSTITUTE(SUBSTITUTE(MAIN!C592, "0", ""), "1", ""), "2", ""), "3", ""), "4", ""), "5", ""), "6", ""), "7", ""), "8", ""), "9", ""))))</f>
        <v>--</v>
      </c>
      <c r="D592" t="str">
        <f>IF(ISBLANK(MAIN!D592), "--", IF(ISNUMBER(MATCH(SUBSTITUTE(LEFT(MAIN!D592, IFERROR(FIND(",", MAIN!D592)-1, LEN(MAIN!D592))), " ", ""), lookup_values!$B$2:$B$51, 0)), UPPER(SUBSTITUTE(LEFT(MAIN!D592, IFERROR(FIND(",", MAIN!D592)-1, LEN(MAIN!D592))), " ", "")), IF(ISNA(VLOOKUP(SUBSTITUTE(LEFT(MAIN!D592, IFERROR(FIND(",", MAIN!D592)-1, LEN(MAIN!D592))), " ", ""), lookup_values!$A$2:$B$51, 2, FALSE)), "--", VLOOKUP(SUBSTITUTE(LEFT(MAIN!D592, IFERROR(FIND(",", MAIN!D592)-1, LEN(MAIN!D592))), " ", ""), lookup_values!$A$2:$B$51, 2, FALSE))))</f>
        <v>--</v>
      </c>
      <c r="E592" t="str">
        <f>IF(CLEAN_DATA!D592&lt;&gt;"--","US",IF(ISBLANK(MAIN!E592), "--", IF(ISNUMBER(MATCH(SUBSTITUTE(LEFT(MAIN!E592, IFERROR(FIND(",", MAIN!E592)-1, LEN(MAIN!E592))), " ", ""), lookup_values!$E$2:$E$197, 0)), UPPER(SUBSTITUTE(LEFT(MAIN!E592, IFERROR(FIND(",", MAIN!E592)-1, LEN(MAIN!E592))), " ", "")), IF(ISNA(VLOOKUP(SUBSTITUTE(LEFT(MAIN!E592, IFERROR(FIND(",", MAIN!E592)-1, LEN(MAIN!E592))), " ", ""), lookup_values!$D$2:$E$197, 2, FALSE)), "--", VLOOKUP(SUBSTITUTE(LEFT(MAIN!E592, IFERROR(FIND(",", MAIN!E592)-1, LEN(MAIN!E592))), " ", ""), lookup_values!$D$2:$E$197, 2, FALSE)))))</f>
        <v>--</v>
      </c>
      <c r="F592" t="str">
        <f>IF(ISBLANK(MAIN!F592), "", IF(AND(ISNUMBER(VALUE(TRIM(MAIN!F592))), LEN(TRIM(MAIN!F592))=4), VALUE(TRIM(MAIN!F592)), ""))</f>
        <v/>
      </c>
      <c r="G592">
        <f>IF(ISBLANK(MAIN!G592), 0, IF(ISNUMBER(VALUE(TRIM(MAIN!G592))), VALUE(TRIM(MAIN!G592)), 0))</f>
        <v>0</v>
      </c>
      <c r="H592">
        <f>IF(ISBLANK(MAIN!H592), 0, IF(ISNUMBER(VALUE(TRIM(MAIN!H592))), VALUE(TRIM(MAIN!H592)), 0))</f>
        <v>0</v>
      </c>
      <c r="I592">
        <f>IF(ISBLANK(MAIN!I592), 0, IF(ISNUMBER(VALUE(TRIM(MAIN!I592))), VALUE(TRIM(MAIN!I592)), 0))</f>
        <v>0</v>
      </c>
      <c r="J592">
        <f>IF(ISBLANK(MAIN!J592), 0, IF(ISNUMBER(VALUE(TRIM(MAIN!J592))), VALUE(TRIM(MAIN!J592)), 0))</f>
        <v>0</v>
      </c>
      <c r="K592" cm="1">
        <f t="array" ref="K592">IFERROR(
    VALUE(
        IFERROR(
            UPPER(
                IF(MAX(IFERROR(SEARCH("WD",MAIN!G592:J592), 0))&gt;0, "WD",
                IF(MAX(IFERROR(SEARCH("NS",MAIN!G592:J592), 0))&gt;0, "NS",
                IF(MAX(IFERROR(SEARCH("NC",MAIN!G592:J592), 0))&gt;0, "NC",
                IF(MAX(IFERROR(SEARCH("DQ",MAIN!G592:J592), 0))&gt;0, "DQ",
                IF(ISNUMBER(SEARCH("WD",MAIN!K592)), "WD",
                IF(ISNUMBER(SEARCH("NS",MAIN!K592)), "NS",
                IF(ISNUMBER(SEARCH("NC",MAIN!K592)), "NC",
                IF(ISNUMBER(SEARCH("DQ",MAIN!K592)), "DQ",
                IF(ISNUMBER(SEARCH("A",MAIN!K592)), 0,
                IF(OR(MAIN!K592=0,MAIN!K592=""), 0, --TRIM(MAIN!K592)))))))))))),
            0
        )
    ),
    IFERROR(
        UPPER(
            IF(MAX(IFERROR(SEARCH("WD",MAIN!G592:J592), 0))&gt;0, "WD",
            IF(MAX(IFERROR(SEARCH("NS",MAIN!G592:J592), 0))&gt;0, "NS",
            IF(MAX(IFERROR(SEARCH("NC",MAIN!G592:J592), 0))&gt;0, "NC",
            IF(MAX(IFERROR(SEARCH("DQ",MAIN!G592:J592), 0))&gt;0, "DQ",
            IF(ISNUMBER(SEARCH("WD",MAIN!K592)), "WD",
            IF(ISNUMBER(SEARCH("NS",MAIN!K592)), "NS",
            IF(ISNUMBER(SEARCH("NC",MAIN!K592)), "NC",
            IF(ISNUMBER(SEARCH("DQ",MAIN!K592)), "DQ",
            IF(ISNUMBER(SEARCH("A",MAIN!K592)), 0,
            IF(OR(MAIN!K592=0,MAIN!K592=""), 0, --TRIM(MAIN!K592)))))))))))),
        0
    )
)</f>
        <v>0</v>
      </c>
    </row>
    <row r="593" spans="1:11" x14ac:dyDescent="0.25">
      <c r="A593" t="str">
        <f>IF(ISBLANK(MAIN!A593), "--", IFERROR(PROPER(SUBSTITUTE(SUBSTITUTE(SUBSTITUTE(SUBSTITUTE(SUBSTITUTE(SUBSTITUTE(SUBSTITUTE(SUBSTITUTE(SUBSTITUTE(SUBSTITUTE(LEFT(MAIN!A593, FIND(",",MAIN!A593) -1), "0", ""), "1", ""), "2", ""), "3", ""), "4", ""), "5", ""), "6", ""), "7", ""), "8", ""), "9", "")), PROPER(SUBSTITUTE(SUBSTITUTE(SUBSTITUTE(SUBSTITUTE(SUBSTITUTE(SUBSTITUTE(SUBSTITUTE(SUBSTITUTE(SUBSTITUTE(SUBSTITUTE(MAIN!A593, "0", ""), "1", ""), "2", ""), "3", ""), "4", ""), "5", ""), "6", ""), "7", ""), "8", ""), "9", ""))))</f>
        <v>--</v>
      </c>
      <c r="B593" t="str">
        <f>IF(ISBLANK(MAIN!B593), "--", IFERROR(PROPER(SUBSTITUTE(SUBSTITUTE(SUBSTITUTE(SUBSTITUTE(SUBSTITUTE(SUBSTITUTE(SUBSTITUTE(SUBSTITUTE(SUBSTITUTE(SUBSTITUTE(LEFT(MAIN!B593, FIND(",",MAIN!B593) -1), "0", ""), "1", ""), "2", ""), "3", ""), "4", ""), "5", ""), "6", ""), "7", ""), "8", ""), "9", "")), PROPER(SUBSTITUTE(SUBSTITUTE(SUBSTITUTE(SUBSTITUTE(SUBSTITUTE(SUBSTITUTE(SUBSTITUTE(SUBSTITUTE(SUBSTITUTE(SUBSTITUTE(MAIN!B593, "0", ""), "1", ""), "2", ""), "3", ""), "4", ""), "5", ""), "6", ""), "7", ""), "8", ""), "9", ""))))</f>
        <v>--</v>
      </c>
      <c r="C593" t="str">
        <f>IF(ISBLANK(MAIN!C593), "--", IFERROR(PROPER(SUBSTITUTE(SUBSTITUTE(SUBSTITUTE(SUBSTITUTE(SUBSTITUTE(SUBSTITUTE(SUBSTITUTE(SUBSTITUTE(SUBSTITUTE(SUBSTITUTE(LEFT(MAIN!C593, FIND(",",MAIN!C593) -1), "0", ""), "1", ""), "2", ""), "3", ""), "4", ""), "5", ""), "6", ""), "7", ""), "8", ""), "9", "")), PROPER(SUBSTITUTE(SUBSTITUTE(SUBSTITUTE(SUBSTITUTE(SUBSTITUTE(SUBSTITUTE(SUBSTITUTE(SUBSTITUTE(SUBSTITUTE(SUBSTITUTE(MAIN!C593, "0", ""), "1", ""), "2", ""), "3", ""), "4", ""), "5", ""), "6", ""), "7", ""), "8", ""), "9", ""))))</f>
        <v>--</v>
      </c>
      <c r="D593" t="str">
        <f>IF(ISBLANK(MAIN!D593), "--", IF(ISNUMBER(MATCH(SUBSTITUTE(LEFT(MAIN!D593, IFERROR(FIND(",", MAIN!D593)-1, LEN(MAIN!D593))), " ", ""), lookup_values!$B$2:$B$51, 0)), UPPER(SUBSTITUTE(LEFT(MAIN!D593, IFERROR(FIND(",", MAIN!D593)-1, LEN(MAIN!D593))), " ", "")), IF(ISNA(VLOOKUP(SUBSTITUTE(LEFT(MAIN!D593, IFERROR(FIND(",", MAIN!D593)-1, LEN(MAIN!D593))), " ", ""), lookup_values!$A$2:$B$51, 2, FALSE)), "--", VLOOKUP(SUBSTITUTE(LEFT(MAIN!D593, IFERROR(FIND(",", MAIN!D593)-1, LEN(MAIN!D593))), " ", ""), lookup_values!$A$2:$B$51, 2, FALSE))))</f>
        <v>--</v>
      </c>
      <c r="E593" t="str">
        <f>IF(CLEAN_DATA!D593&lt;&gt;"--","US",IF(ISBLANK(MAIN!E593), "--", IF(ISNUMBER(MATCH(SUBSTITUTE(LEFT(MAIN!E593, IFERROR(FIND(",", MAIN!E593)-1, LEN(MAIN!E593))), " ", ""), lookup_values!$E$2:$E$197, 0)), UPPER(SUBSTITUTE(LEFT(MAIN!E593, IFERROR(FIND(",", MAIN!E593)-1, LEN(MAIN!E593))), " ", "")), IF(ISNA(VLOOKUP(SUBSTITUTE(LEFT(MAIN!E593, IFERROR(FIND(",", MAIN!E593)-1, LEN(MAIN!E593))), " ", ""), lookup_values!$D$2:$E$197, 2, FALSE)), "--", VLOOKUP(SUBSTITUTE(LEFT(MAIN!E593, IFERROR(FIND(",", MAIN!E593)-1, LEN(MAIN!E593))), " ", ""), lookup_values!$D$2:$E$197, 2, FALSE)))))</f>
        <v>--</v>
      </c>
      <c r="F593" t="str">
        <f>IF(ISBLANK(MAIN!F593), "", IF(AND(ISNUMBER(VALUE(TRIM(MAIN!F593))), LEN(TRIM(MAIN!F593))=4), VALUE(TRIM(MAIN!F593)), ""))</f>
        <v/>
      </c>
      <c r="G593">
        <f>IF(ISBLANK(MAIN!G593), 0, IF(ISNUMBER(VALUE(TRIM(MAIN!G593))), VALUE(TRIM(MAIN!G593)), 0))</f>
        <v>0</v>
      </c>
      <c r="H593">
        <f>IF(ISBLANK(MAIN!H593), 0, IF(ISNUMBER(VALUE(TRIM(MAIN!H593))), VALUE(TRIM(MAIN!H593)), 0))</f>
        <v>0</v>
      </c>
      <c r="I593">
        <f>IF(ISBLANK(MAIN!I593), 0, IF(ISNUMBER(VALUE(TRIM(MAIN!I593))), VALUE(TRIM(MAIN!I593)), 0))</f>
        <v>0</v>
      </c>
      <c r="J593">
        <f>IF(ISBLANK(MAIN!J593), 0, IF(ISNUMBER(VALUE(TRIM(MAIN!J593))), VALUE(TRIM(MAIN!J593)), 0))</f>
        <v>0</v>
      </c>
      <c r="K593" cm="1">
        <f t="array" ref="K593">IFERROR(
    VALUE(
        IFERROR(
            UPPER(
                IF(MAX(IFERROR(SEARCH("WD",MAIN!G593:J593), 0))&gt;0, "WD",
                IF(MAX(IFERROR(SEARCH("NS",MAIN!G593:J593), 0))&gt;0, "NS",
                IF(MAX(IFERROR(SEARCH("NC",MAIN!G593:J593), 0))&gt;0, "NC",
                IF(MAX(IFERROR(SEARCH("DQ",MAIN!G593:J593), 0))&gt;0, "DQ",
                IF(ISNUMBER(SEARCH("WD",MAIN!K593)), "WD",
                IF(ISNUMBER(SEARCH("NS",MAIN!K593)), "NS",
                IF(ISNUMBER(SEARCH("NC",MAIN!K593)), "NC",
                IF(ISNUMBER(SEARCH("DQ",MAIN!K593)), "DQ",
                IF(ISNUMBER(SEARCH("A",MAIN!K593)), 0,
                IF(OR(MAIN!K593=0,MAIN!K593=""), 0, --TRIM(MAIN!K593)))))))))))),
            0
        )
    ),
    IFERROR(
        UPPER(
            IF(MAX(IFERROR(SEARCH("WD",MAIN!G593:J593), 0))&gt;0, "WD",
            IF(MAX(IFERROR(SEARCH("NS",MAIN!G593:J593), 0))&gt;0, "NS",
            IF(MAX(IFERROR(SEARCH("NC",MAIN!G593:J593), 0))&gt;0, "NC",
            IF(MAX(IFERROR(SEARCH("DQ",MAIN!G593:J593), 0))&gt;0, "DQ",
            IF(ISNUMBER(SEARCH("WD",MAIN!K593)), "WD",
            IF(ISNUMBER(SEARCH("NS",MAIN!K593)), "NS",
            IF(ISNUMBER(SEARCH("NC",MAIN!K593)), "NC",
            IF(ISNUMBER(SEARCH("DQ",MAIN!K593)), "DQ",
            IF(ISNUMBER(SEARCH("A",MAIN!K593)), 0,
            IF(OR(MAIN!K593=0,MAIN!K593=""), 0, --TRIM(MAIN!K593)))))))))))),
        0
    )
)</f>
        <v>0</v>
      </c>
    </row>
    <row r="594" spans="1:11" x14ac:dyDescent="0.25">
      <c r="A594" t="str">
        <f>IF(ISBLANK(MAIN!A594), "--", IFERROR(PROPER(SUBSTITUTE(SUBSTITUTE(SUBSTITUTE(SUBSTITUTE(SUBSTITUTE(SUBSTITUTE(SUBSTITUTE(SUBSTITUTE(SUBSTITUTE(SUBSTITUTE(LEFT(MAIN!A594, FIND(",",MAIN!A594) -1), "0", ""), "1", ""), "2", ""), "3", ""), "4", ""), "5", ""), "6", ""), "7", ""), "8", ""), "9", "")), PROPER(SUBSTITUTE(SUBSTITUTE(SUBSTITUTE(SUBSTITUTE(SUBSTITUTE(SUBSTITUTE(SUBSTITUTE(SUBSTITUTE(SUBSTITUTE(SUBSTITUTE(MAIN!A594, "0", ""), "1", ""), "2", ""), "3", ""), "4", ""), "5", ""), "6", ""), "7", ""), "8", ""), "9", ""))))</f>
        <v>--</v>
      </c>
      <c r="B594" t="str">
        <f>IF(ISBLANK(MAIN!B594), "--", IFERROR(PROPER(SUBSTITUTE(SUBSTITUTE(SUBSTITUTE(SUBSTITUTE(SUBSTITUTE(SUBSTITUTE(SUBSTITUTE(SUBSTITUTE(SUBSTITUTE(SUBSTITUTE(LEFT(MAIN!B594, FIND(",",MAIN!B594) -1), "0", ""), "1", ""), "2", ""), "3", ""), "4", ""), "5", ""), "6", ""), "7", ""), "8", ""), "9", "")), PROPER(SUBSTITUTE(SUBSTITUTE(SUBSTITUTE(SUBSTITUTE(SUBSTITUTE(SUBSTITUTE(SUBSTITUTE(SUBSTITUTE(SUBSTITUTE(SUBSTITUTE(MAIN!B594, "0", ""), "1", ""), "2", ""), "3", ""), "4", ""), "5", ""), "6", ""), "7", ""), "8", ""), "9", ""))))</f>
        <v>--</v>
      </c>
      <c r="C594" t="str">
        <f>IF(ISBLANK(MAIN!C594), "--", IFERROR(PROPER(SUBSTITUTE(SUBSTITUTE(SUBSTITUTE(SUBSTITUTE(SUBSTITUTE(SUBSTITUTE(SUBSTITUTE(SUBSTITUTE(SUBSTITUTE(SUBSTITUTE(LEFT(MAIN!C594, FIND(",",MAIN!C594) -1), "0", ""), "1", ""), "2", ""), "3", ""), "4", ""), "5", ""), "6", ""), "7", ""), "8", ""), "9", "")), PROPER(SUBSTITUTE(SUBSTITUTE(SUBSTITUTE(SUBSTITUTE(SUBSTITUTE(SUBSTITUTE(SUBSTITUTE(SUBSTITUTE(SUBSTITUTE(SUBSTITUTE(MAIN!C594, "0", ""), "1", ""), "2", ""), "3", ""), "4", ""), "5", ""), "6", ""), "7", ""), "8", ""), "9", ""))))</f>
        <v>--</v>
      </c>
      <c r="D594" t="str">
        <f>IF(ISBLANK(MAIN!D594), "--", IF(ISNUMBER(MATCH(SUBSTITUTE(LEFT(MAIN!D594, IFERROR(FIND(",", MAIN!D594)-1, LEN(MAIN!D594))), " ", ""), lookup_values!$B$2:$B$51, 0)), UPPER(SUBSTITUTE(LEFT(MAIN!D594, IFERROR(FIND(",", MAIN!D594)-1, LEN(MAIN!D594))), " ", "")), IF(ISNA(VLOOKUP(SUBSTITUTE(LEFT(MAIN!D594, IFERROR(FIND(",", MAIN!D594)-1, LEN(MAIN!D594))), " ", ""), lookup_values!$A$2:$B$51, 2, FALSE)), "--", VLOOKUP(SUBSTITUTE(LEFT(MAIN!D594, IFERROR(FIND(",", MAIN!D594)-1, LEN(MAIN!D594))), " ", ""), lookup_values!$A$2:$B$51, 2, FALSE))))</f>
        <v>--</v>
      </c>
      <c r="E594" t="str">
        <f>IF(CLEAN_DATA!D594&lt;&gt;"--","US",IF(ISBLANK(MAIN!E594), "--", IF(ISNUMBER(MATCH(SUBSTITUTE(LEFT(MAIN!E594, IFERROR(FIND(",", MAIN!E594)-1, LEN(MAIN!E594))), " ", ""), lookup_values!$E$2:$E$197, 0)), UPPER(SUBSTITUTE(LEFT(MAIN!E594, IFERROR(FIND(",", MAIN!E594)-1, LEN(MAIN!E594))), " ", "")), IF(ISNA(VLOOKUP(SUBSTITUTE(LEFT(MAIN!E594, IFERROR(FIND(",", MAIN!E594)-1, LEN(MAIN!E594))), " ", ""), lookup_values!$D$2:$E$197, 2, FALSE)), "--", VLOOKUP(SUBSTITUTE(LEFT(MAIN!E594, IFERROR(FIND(",", MAIN!E594)-1, LEN(MAIN!E594))), " ", ""), lookup_values!$D$2:$E$197, 2, FALSE)))))</f>
        <v>--</v>
      </c>
      <c r="F594" t="str">
        <f>IF(ISBLANK(MAIN!F594), "", IF(AND(ISNUMBER(VALUE(TRIM(MAIN!F594))), LEN(TRIM(MAIN!F594))=4), VALUE(TRIM(MAIN!F594)), ""))</f>
        <v/>
      </c>
      <c r="G594">
        <f>IF(ISBLANK(MAIN!G594), 0, IF(ISNUMBER(VALUE(TRIM(MAIN!G594))), VALUE(TRIM(MAIN!G594)), 0))</f>
        <v>0</v>
      </c>
      <c r="H594">
        <f>IF(ISBLANK(MAIN!H594), 0, IF(ISNUMBER(VALUE(TRIM(MAIN!H594))), VALUE(TRIM(MAIN!H594)), 0))</f>
        <v>0</v>
      </c>
      <c r="I594">
        <f>IF(ISBLANK(MAIN!I594), 0, IF(ISNUMBER(VALUE(TRIM(MAIN!I594))), VALUE(TRIM(MAIN!I594)), 0))</f>
        <v>0</v>
      </c>
      <c r="J594">
        <f>IF(ISBLANK(MAIN!J594), 0, IF(ISNUMBER(VALUE(TRIM(MAIN!J594))), VALUE(TRIM(MAIN!J594)), 0))</f>
        <v>0</v>
      </c>
      <c r="K594" cm="1">
        <f t="array" ref="K594">IFERROR(
    VALUE(
        IFERROR(
            UPPER(
                IF(MAX(IFERROR(SEARCH("WD",MAIN!G594:J594), 0))&gt;0, "WD",
                IF(MAX(IFERROR(SEARCH("NS",MAIN!G594:J594), 0))&gt;0, "NS",
                IF(MAX(IFERROR(SEARCH("NC",MAIN!G594:J594), 0))&gt;0, "NC",
                IF(MAX(IFERROR(SEARCH("DQ",MAIN!G594:J594), 0))&gt;0, "DQ",
                IF(ISNUMBER(SEARCH("WD",MAIN!K594)), "WD",
                IF(ISNUMBER(SEARCH("NS",MAIN!K594)), "NS",
                IF(ISNUMBER(SEARCH("NC",MAIN!K594)), "NC",
                IF(ISNUMBER(SEARCH("DQ",MAIN!K594)), "DQ",
                IF(ISNUMBER(SEARCH("A",MAIN!K594)), 0,
                IF(OR(MAIN!K594=0,MAIN!K594=""), 0, --TRIM(MAIN!K594)))))))))))),
            0
        )
    ),
    IFERROR(
        UPPER(
            IF(MAX(IFERROR(SEARCH("WD",MAIN!G594:J594), 0))&gt;0, "WD",
            IF(MAX(IFERROR(SEARCH("NS",MAIN!G594:J594), 0))&gt;0, "NS",
            IF(MAX(IFERROR(SEARCH("NC",MAIN!G594:J594), 0))&gt;0, "NC",
            IF(MAX(IFERROR(SEARCH("DQ",MAIN!G594:J594), 0))&gt;0, "DQ",
            IF(ISNUMBER(SEARCH("WD",MAIN!K594)), "WD",
            IF(ISNUMBER(SEARCH("NS",MAIN!K594)), "NS",
            IF(ISNUMBER(SEARCH("NC",MAIN!K594)), "NC",
            IF(ISNUMBER(SEARCH("DQ",MAIN!K594)), "DQ",
            IF(ISNUMBER(SEARCH("A",MAIN!K594)), 0,
            IF(OR(MAIN!K594=0,MAIN!K594=""), 0, --TRIM(MAIN!K594)))))))))))),
        0
    )
)</f>
        <v>0</v>
      </c>
    </row>
    <row r="595" spans="1:11" x14ac:dyDescent="0.25">
      <c r="A595" t="str">
        <f>IF(ISBLANK(MAIN!A595), "--", IFERROR(PROPER(SUBSTITUTE(SUBSTITUTE(SUBSTITUTE(SUBSTITUTE(SUBSTITUTE(SUBSTITUTE(SUBSTITUTE(SUBSTITUTE(SUBSTITUTE(SUBSTITUTE(LEFT(MAIN!A595, FIND(",",MAIN!A595) -1), "0", ""), "1", ""), "2", ""), "3", ""), "4", ""), "5", ""), "6", ""), "7", ""), "8", ""), "9", "")), PROPER(SUBSTITUTE(SUBSTITUTE(SUBSTITUTE(SUBSTITUTE(SUBSTITUTE(SUBSTITUTE(SUBSTITUTE(SUBSTITUTE(SUBSTITUTE(SUBSTITUTE(MAIN!A595, "0", ""), "1", ""), "2", ""), "3", ""), "4", ""), "5", ""), "6", ""), "7", ""), "8", ""), "9", ""))))</f>
        <v>--</v>
      </c>
      <c r="B595" t="str">
        <f>IF(ISBLANK(MAIN!B595), "--", IFERROR(PROPER(SUBSTITUTE(SUBSTITUTE(SUBSTITUTE(SUBSTITUTE(SUBSTITUTE(SUBSTITUTE(SUBSTITUTE(SUBSTITUTE(SUBSTITUTE(SUBSTITUTE(LEFT(MAIN!B595, FIND(",",MAIN!B595) -1), "0", ""), "1", ""), "2", ""), "3", ""), "4", ""), "5", ""), "6", ""), "7", ""), "8", ""), "9", "")), PROPER(SUBSTITUTE(SUBSTITUTE(SUBSTITUTE(SUBSTITUTE(SUBSTITUTE(SUBSTITUTE(SUBSTITUTE(SUBSTITUTE(SUBSTITUTE(SUBSTITUTE(MAIN!B595, "0", ""), "1", ""), "2", ""), "3", ""), "4", ""), "5", ""), "6", ""), "7", ""), "8", ""), "9", ""))))</f>
        <v>--</v>
      </c>
      <c r="C595" t="str">
        <f>IF(ISBLANK(MAIN!C595), "--", IFERROR(PROPER(SUBSTITUTE(SUBSTITUTE(SUBSTITUTE(SUBSTITUTE(SUBSTITUTE(SUBSTITUTE(SUBSTITUTE(SUBSTITUTE(SUBSTITUTE(SUBSTITUTE(LEFT(MAIN!C595, FIND(",",MAIN!C595) -1), "0", ""), "1", ""), "2", ""), "3", ""), "4", ""), "5", ""), "6", ""), "7", ""), "8", ""), "9", "")), PROPER(SUBSTITUTE(SUBSTITUTE(SUBSTITUTE(SUBSTITUTE(SUBSTITUTE(SUBSTITUTE(SUBSTITUTE(SUBSTITUTE(SUBSTITUTE(SUBSTITUTE(MAIN!C595, "0", ""), "1", ""), "2", ""), "3", ""), "4", ""), "5", ""), "6", ""), "7", ""), "8", ""), "9", ""))))</f>
        <v>--</v>
      </c>
      <c r="D595" t="str">
        <f>IF(ISBLANK(MAIN!D595), "--", IF(ISNUMBER(MATCH(SUBSTITUTE(LEFT(MAIN!D595, IFERROR(FIND(",", MAIN!D595)-1, LEN(MAIN!D595))), " ", ""), lookup_values!$B$2:$B$51, 0)), UPPER(SUBSTITUTE(LEFT(MAIN!D595, IFERROR(FIND(",", MAIN!D595)-1, LEN(MAIN!D595))), " ", "")), IF(ISNA(VLOOKUP(SUBSTITUTE(LEFT(MAIN!D595, IFERROR(FIND(",", MAIN!D595)-1, LEN(MAIN!D595))), " ", ""), lookup_values!$A$2:$B$51, 2, FALSE)), "--", VLOOKUP(SUBSTITUTE(LEFT(MAIN!D595, IFERROR(FIND(",", MAIN!D595)-1, LEN(MAIN!D595))), " ", ""), lookup_values!$A$2:$B$51, 2, FALSE))))</f>
        <v>--</v>
      </c>
      <c r="E595" t="str">
        <f>IF(CLEAN_DATA!D595&lt;&gt;"--","US",IF(ISBLANK(MAIN!E595), "--", IF(ISNUMBER(MATCH(SUBSTITUTE(LEFT(MAIN!E595, IFERROR(FIND(",", MAIN!E595)-1, LEN(MAIN!E595))), " ", ""), lookup_values!$E$2:$E$197, 0)), UPPER(SUBSTITUTE(LEFT(MAIN!E595, IFERROR(FIND(",", MAIN!E595)-1, LEN(MAIN!E595))), " ", "")), IF(ISNA(VLOOKUP(SUBSTITUTE(LEFT(MAIN!E595, IFERROR(FIND(",", MAIN!E595)-1, LEN(MAIN!E595))), " ", ""), lookup_values!$D$2:$E$197, 2, FALSE)), "--", VLOOKUP(SUBSTITUTE(LEFT(MAIN!E595, IFERROR(FIND(",", MAIN!E595)-1, LEN(MAIN!E595))), " ", ""), lookup_values!$D$2:$E$197, 2, FALSE)))))</f>
        <v>--</v>
      </c>
      <c r="F595" t="str">
        <f>IF(ISBLANK(MAIN!F595), "", IF(AND(ISNUMBER(VALUE(TRIM(MAIN!F595))), LEN(TRIM(MAIN!F595))=4), VALUE(TRIM(MAIN!F595)), ""))</f>
        <v/>
      </c>
      <c r="G595">
        <f>IF(ISBLANK(MAIN!G595), 0, IF(ISNUMBER(VALUE(TRIM(MAIN!G595))), VALUE(TRIM(MAIN!G595)), 0))</f>
        <v>0</v>
      </c>
      <c r="H595">
        <f>IF(ISBLANK(MAIN!H595), 0, IF(ISNUMBER(VALUE(TRIM(MAIN!H595))), VALUE(TRIM(MAIN!H595)), 0))</f>
        <v>0</v>
      </c>
      <c r="I595">
        <f>IF(ISBLANK(MAIN!I595), 0, IF(ISNUMBER(VALUE(TRIM(MAIN!I595))), VALUE(TRIM(MAIN!I595)), 0))</f>
        <v>0</v>
      </c>
      <c r="J595">
        <f>IF(ISBLANK(MAIN!J595), 0, IF(ISNUMBER(VALUE(TRIM(MAIN!J595))), VALUE(TRIM(MAIN!J595)), 0))</f>
        <v>0</v>
      </c>
      <c r="K595" cm="1">
        <f t="array" ref="K595">IFERROR(
    VALUE(
        IFERROR(
            UPPER(
                IF(MAX(IFERROR(SEARCH("WD",MAIN!G595:J595), 0))&gt;0, "WD",
                IF(MAX(IFERROR(SEARCH("NS",MAIN!G595:J595), 0))&gt;0, "NS",
                IF(MAX(IFERROR(SEARCH("NC",MAIN!G595:J595), 0))&gt;0, "NC",
                IF(MAX(IFERROR(SEARCH("DQ",MAIN!G595:J595), 0))&gt;0, "DQ",
                IF(ISNUMBER(SEARCH("WD",MAIN!K595)), "WD",
                IF(ISNUMBER(SEARCH("NS",MAIN!K595)), "NS",
                IF(ISNUMBER(SEARCH("NC",MAIN!K595)), "NC",
                IF(ISNUMBER(SEARCH("DQ",MAIN!K595)), "DQ",
                IF(ISNUMBER(SEARCH("A",MAIN!K595)), 0,
                IF(OR(MAIN!K595=0,MAIN!K595=""), 0, --TRIM(MAIN!K595)))))))))))),
            0
        )
    ),
    IFERROR(
        UPPER(
            IF(MAX(IFERROR(SEARCH("WD",MAIN!G595:J595), 0))&gt;0, "WD",
            IF(MAX(IFERROR(SEARCH("NS",MAIN!G595:J595), 0))&gt;0, "NS",
            IF(MAX(IFERROR(SEARCH("NC",MAIN!G595:J595), 0))&gt;0, "NC",
            IF(MAX(IFERROR(SEARCH("DQ",MAIN!G595:J595), 0))&gt;0, "DQ",
            IF(ISNUMBER(SEARCH("WD",MAIN!K595)), "WD",
            IF(ISNUMBER(SEARCH("NS",MAIN!K595)), "NS",
            IF(ISNUMBER(SEARCH("NC",MAIN!K595)), "NC",
            IF(ISNUMBER(SEARCH("DQ",MAIN!K595)), "DQ",
            IF(ISNUMBER(SEARCH("A",MAIN!K595)), 0,
            IF(OR(MAIN!K595=0,MAIN!K595=""), 0, --TRIM(MAIN!K595)))))))))))),
        0
    )
)</f>
        <v>0</v>
      </c>
    </row>
    <row r="596" spans="1:11" x14ac:dyDescent="0.25">
      <c r="A596" t="str">
        <f>IF(ISBLANK(MAIN!A596), "--", IFERROR(PROPER(SUBSTITUTE(SUBSTITUTE(SUBSTITUTE(SUBSTITUTE(SUBSTITUTE(SUBSTITUTE(SUBSTITUTE(SUBSTITUTE(SUBSTITUTE(SUBSTITUTE(LEFT(MAIN!A596, FIND(",",MAIN!A596) -1), "0", ""), "1", ""), "2", ""), "3", ""), "4", ""), "5", ""), "6", ""), "7", ""), "8", ""), "9", "")), PROPER(SUBSTITUTE(SUBSTITUTE(SUBSTITUTE(SUBSTITUTE(SUBSTITUTE(SUBSTITUTE(SUBSTITUTE(SUBSTITUTE(SUBSTITUTE(SUBSTITUTE(MAIN!A596, "0", ""), "1", ""), "2", ""), "3", ""), "4", ""), "5", ""), "6", ""), "7", ""), "8", ""), "9", ""))))</f>
        <v>--</v>
      </c>
      <c r="B596" t="str">
        <f>IF(ISBLANK(MAIN!B596), "--", IFERROR(PROPER(SUBSTITUTE(SUBSTITUTE(SUBSTITUTE(SUBSTITUTE(SUBSTITUTE(SUBSTITUTE(SUBSTITUTE(SUBSTITUTE(SUBSTITUTE(SUBSTITUTE(LEFT(MAIN!B596, FIND(",",MAIN!B596) -1), "0", ""), "1", ""), "2", ""), "3", ""), "4", ""), "5", ""), "6", ""), "7", ""), "8", ""), "9", "")), PROPER(SUBSTITUTE(SUBSTITUTE(SUBSTITUTE(SUBSTITUTE(SUBSTITUTE(SUBSTITUTE(SUBSTITUTE(SUBSTITUTE(SUBSTITUTE(SUBSTITUTE(MAIN!B596, "0", ""), "1", ""), "2", ""), "3", ""), "4", ""), "5", ""), "6", ""), "7", ""), "8", ""), "9", ""))))</f>
        <v>--</v>
      </c>
      <c r="C596" t="str">
        <f>IF(ISBLANK(MAIN!C596), "--", IFERROR(PROPER(SUBSTITUTE(SUBSTITUTE(SUBSTITUTE(SUBSTITUTE(SUBSTITUTE(SUBSTITUTE(SUBSTITUTE(SUBSTITUTE(SUBSTITUTE(SUBSTITUTE(LEFT(MAIN!C596, FIND(",",MAIN!C596) -1), "0", ""), "1", ""), "2", ""), "3", ""), "4", ""), "5", ""), "6", ""), "7", ""), "8", ""), "9", "")), PROPER(SUBSTITUTE(SUBSTITUTE(SUBSTITUTE(SUBSTITUTE(SUBSTITUTE(SUBSTITUTE(SUBSTITUTE(SUBSTITUTE(SUBSTITUTE(SUBSTITUTE(MAIN!C596, "0", ""), "1", ""), "2", ""), "3", ""), "4", ""), "5", ""), "6", ""), "7", ""), "8", ""), "9", ""))))</f>
        <v>--</v>
      </c>
      <c r="D596" t="str">
        <f>IF(ISBLANK(MAIN!D596), "--", IF(ISNUMBER(MATCH(SUBSTITUTE(LEFT(MAIN!D596, IFERROR(FIND(",", MAIN!D596)-1, LEN(MAIN!D596))), " ", ""), lookup_values!$B$2:$B$51, 0)), UPPER(SUBSTITUTE(LEFT(MAIN!D596, IFERROR(FIND(",", MAIN!D596)-1, LEN(MAIN!D596))), " ", "")), IF(ISNA(VLOOKUP(SUBSTITUTE(LEFT(MAIN!D596, IFERROR(FIND(",", MAIN!D596)-1, LEN(MAIN!D596))), " ", ""), lookup_values!$A$2:$B$51, 2, FALSE)), "--", VLOOKUP(SUBSTITUTE(LEFT(MAIN!D596, IFERROR(FIND(",", MAIN!D596)-1, LEN(MAIN!D596))), " ", ""), lookup_values!$A$2:$B$51, 2, FALSE))))</f>
        <v>--</v>
      </c>
      <c r="E596" t="str">
        <f>IF(CLEAN_DATA!D596&lt;&gt;"--","US",IF(ISBLANK(MAIN!E596), "--", IF(ISNUMBER(MATCH(SUBSTITUTE(LEFT(MAIN!E596, IFERROR(FIND(",", MAIN!E596)-1, LEN(MAIN!E596))), " ", ""), lookup_values!$E$2:$E$197, 0)), UPPER(SUBSTITUTE(LEFT(MAIN!E596, IFERROR(FIND(",", MAIN!E596)-1, LEN(MAIN!E596))), " ", "")), IF(ISNA(VLOOKUP(SUBSTITUTE(LEFT(MAIN!E596, IFERROR(FIND(",", MAIN!E596)-1, LEN(MAIN!E596))), " ", ""), lookup_values!$D$2:$E$197, 2, FALSE)), "--", VLOOKUP(SUBSTITUTE(LEFT(MAIN!E596, IFERROR(FIND(",", MAIN!E596)-1, LEN(MAIN!E596))), " ", ""), lookup_values!$D$2:$E$197, 2, FALSE)))))</f>
        <v>--</v>
      </c>
      <c r="F596" t="str">
        <f>IF(ISBLANK(MAIN!F596), "", IF(AND(ISNUMBER(VALUE(TRIM(MAIN!F596))), LEN(TRIM(MAIN!F596))=4), VALUE(TRIM(MAIN!F596)), ""))</f>
        <v/>
      </c>
      <c r="G596">
        <f>IF(ISBLANK(MAIN!G596), 0, IF(ISNUMBER(VALUE(TRIM(MAIN!G596))), VALUE(TRIM(MAIN!G596)), 0))</f>
        <v>0</v>
      </c>
      <c r="H596">
        <f>IF(ISBLANK(MAIN!H596), 0, IF(ISNUMBER(VALUE(TRIM(MAIN!H596))), VALUE(TRIM(MAIN!H596)), 0))</f>
        <v>0</v>
      </c>
      <c r="I596">
        <f>IF(ISBLANK(MAIN!I596), 0, IF(ISNUMBER(VALUE(TRIM(MAIN!I596))), VALUE(TRIM(MAIN!I596)), 0))</f>
        <v>0</v>
      </c>
      <c r="J596">
        <f>IF(ISBLANK(MAIN!J596), 0, IF(ISNUMBER(VALUE(TRIM(MAIN!J596))), VALUE(TRIM(MAIN!J596)), 0))</f>
        <v>0</v>
      </c>
      <c r="K596" cm="1">
        <f t="array" ref="K596">IFERROR(
    VALUE(
        IFERROR(
            UPPER(
                IF(MAX(IFERROR(SEARCH("WD",MAIN!G596:J596), 0))&gt;0, "WD",
                IF(MAX(IFERROR(SEARCH("NS",MAIN!G596:J596), 0))&gt;0, "NS",
                IF(MAX(IFERROR(SEARCH("NC",MAIN!G596:J596), 0))&gt;0, "NC",
                IF(MAX(IFERROR(SEARCH("DQ",MAIN!G596:J596), 0))&gt;0, "DQ",
                IF(ISNUMBER(SEARCH("WD",MAIN!K596)), "WD",
                IF(ISNUMBER(SEARCH("NS",MAIN!K596)), "NS",
                IF(ISNUMBER(SEARCH("NC",MAIN!K596)), "NC",
                IF(ISNUMBER(SEARCH("DQ",MAIN!K596)), "DQ",
                IF(ISNUMBER(SEARCH("A",MAIN!K596)), 0,
                IF(OR(MAIN!K596=0,MAIN!K596=""), 0, --TRIM(MAIN!K596)))))))))))),
            0
        )
    ),
    IFERROR(
        UPPER(
            IF(MAX(IFERROR(SEARCH("WD",MAIN!G596:J596), 0))&gt;0, "WD",
            IF(MAX(IFERROR(SEARCH("NS",MAIN!G596:J596), 0))&gt;0, "NS",
            IF(MAX(IFERROR(SEARCH("NC",MAIN!G596:J596), 0))&gt;0, "NC",
            IF(MAX(IFERROR(SEARCH("DQ",MAIN!G596:J596), 0))&gt;0, "DQ",
            IF(ISNUMBER(SEARCH("WD",MAIN!K596)), "WD",
            IF(ISNUMBER(SEARCH("NS",MAIN!K596)), "NS",
            IF(ISNUMBER(SEARCH("NC",MAIN!K596)), "NC",
            IF(ISNUMBER(SEARCH("DQ",MAIN!K596)), "DQ",
            IF(ISNUMBER(SEARCH("A",MAIN!K596)), 0,
            IF(OR(MAIN!K596=0,MAIN!K596=""), 0, --TRIM(MAIN!K596)))))))))))),
        0
    )
)</f>
        <v>0</v>
      </c>
    </row>
    <row r="597" spans="1:11" x14ac:dyDescent="0.25">
      <c r="A597" t="str">
        <f>IF(ISBLANK(MAIN!A597), "--", IFERROR(PROPER(SUBSTITUTE(SUBSTITUTE(SUBSTITUTE(SUBSTITUTE(SUBSTITUTE(SUBSTITUTE(SUBSTITUTE(SUBSTITUTE(SUBSTITUTE(SUBSTITUTE(LEFT(MAIN!A597, FIND(",",MAIN!A597) -1), "0", ""), "1", ""), "2", ""), "3", ""), "4", ""), "5", ""), "6", ""), "7", ""), "8", ""), "9", "")), PROPER(SUBSTITUTE(SUBSTITUTE(SUBSTITUTE(SUBSTITUTE(SUBSTITUTE(SUBSTITUTE(SUBSTITUTE(SUBSTITUTE(SUBSTITUTE(SUBSTITUTE(MAIN!A597, "0", ""), "1", ""), "2", ""), "3", ""), "4", ""), "5", ""), "6", ""), "7", ""), "8", ""), "9", ""))))</f>
        <v>--</v>
      </c>
      <c r="B597" t="str">
        <f>IF(ISBLANK(MAIN!B597), "--", IFERROR(PROPER(SUBSTITUTE(SUBSTITUTE(SUBSTITUTE(SUBSTITUTE(SUBSTITUTE(SUBSTITUTE(SUBSTITUTE(SUBSTITUTE(SUBSTITUTE(SUBSTITUTE(LEFT(MAIN!B597, FIND(",",MAIN!B597) -1), "0", ""), "1", ""), "2", ""), "3", ""), "4", ""), "5", ""), "6", ""), "7", ""), "8", ""), "9", "")), PROPER(SUBSTITUTE(SUBSTITUTE(SUBSTITUTE(SUBSTITUTE(SUBSTITUTE(SUBSTITUTE(SUBSTITUTE(SUBSTITUTE(SUBSTITUTE(SUBSTITUTE(MAIN!B597, "0", ""), "1", ""), "2", ""), "3", ""), "4", ""), "5", ""), "6", ""), "7", ""), "8", ""), "9", ""))))</f>
        <v>--</v>
      </c>
      <c r="C597" t="str">
        <f>IF(ISBLANK(MAIN!C597), "--", IFERROR(PROPER(SUBSTITUTE(SUBSTITUTE(SUBSTITUTE(SUBSTITUTE(SUBSTITUTE(SUBSTITUTE(SUBSTITUTE(SUBSTITUTE(SUBSTITUTE(SUBSTITUTE(LEFT(MAIN!C597, FIND(",",MAIN!C597) -1), "0", ""), "1", ""), "2", ""), "3", ""), "4", ""), "5", ""), "6", ""), "7", ""), "8", ""), "9", "")), PROPER(SUBSTITUTE(SUBSTITUTE(SUBSTITUTE(SUBSTITUTE(SUBSTITUTE(SUBSTITUTE(SUBSTITUTE(SUBSTITUTE(SUBSTITUTE(SUBSTITUTE(MAIN!C597, "0", ""), "1", ""), "2", ""), "3", ""), "4", ""), "5", ""), "6", ""), "7", ""), "8", ""), "9", ""))))</f>
        <v>--</v>
      </c>
      <c r="D597" t="str">
        <f>IF(ISBLANK(MAIN!D597), "--", IF(ISNUMBER(MATCH(SUBSTITUTE(LEFT(MAIN!D597, IFERROR(FIND(",", MAIN!D597)-1, LEN(MAIN!D597))), " ", ""), lookup_values!$B$2:$B$51, 0)), UPPER(SUBSTITUTE(LEFT(MAIN!D597, IFERROR(FIND(",", MAIN!D597)-1, LEN(MAIN!D597))), " ", "")), IF(ISNA(VLOOKUP(SUBSTITUTE(LEFT(MAIN!D597, IFERROR(FIND(",", MAIN!D597)-1, LEN(MAIN!D597))), " ", ""), lookup_values!$A$2:$B$51, 2, FALSE)), "--", VLOOKUP(SUBSTITUTE(LEFT(MAIN!D597, IFERROR(FIND(",", MAIN!D597)-1, LEN(MAIN!D597))), " ", ""), lookup_values!$A$2:$B$51, 2, FALSE))))</f>
        <v>--</v>
      </c>
      <c r="E597" t="str">
        <f>IF(CLEAN_DATA!D597&lt;&gt;"--","US",IF(ISBLANK(MAIN!E597), "--", IF(ISNUMBER(MATCH(SUBSTITUTE(LEFT(MAIN!E597, IFERROR(FIND(",", MAIN!E597)-1, LEN(MAIN!E597))), " ", ""), lookup_values!$E$2:$E$197, 0)), UPPER(SUBSTITUTE(LEFT(MAIN!E597, IFERROR(FIND(",", MAIN!E597)-1, LEN(MAIN!E597))), " ", "")), IF(ISNA(VLOOKUP(SUBSTITUTE(LEFT(MAIN!E597, IFERROR(FIND(",", MAIN!E597)-1, LEN(MAIN!E597))), " ", ""), lookup_values!$D$2:$E$197, 2, FALSE)), "--", VLOOKUP(SUBSTITUTE(LEFT(MAIN!E597, IFERROR(FIND(",", MAIN!E597)-1, LEN(MAIN!E597))), " ", ""), lookup_values!$D$2:$E$197, 2, FALSE)))))</f>
        <v>--</v>
      </c>
      <c r="F597" t="str">
        <f>IF(ISBLANK(MAIN!F597), "", IF(AND(ISNUMBER(VALUE(TRIM(MAIN!F597))), LEN(TRIM(MAIN!F597))=4), VALUE(TRIM(MAIN!F597)), ""))</f>
        <v/>
      </c>
      <c r="G597">
        <f>IF(ISBLANK(MAIN!G597), 0, IF(ISNUMBER(VALUE(TRIM(MAIN!G597))), VALUE(TRIM(MAIN!G597)), 0))</f>
        <v>0</v>
      </c>
      <c r="H597">
        <f>IF(ISBLANK(MAIN!H597), 0, IF(ISNUMBER(VALUE(TRIM(MAIN!H597))), VALUE(TRIM(MAIN!H597)), 0))</f>
        <v>0</v>
      </c>
      <c r="I597">
        <f>IF(ISBLANK(MAIN!I597), 0, IF(ISNUMBER(VALUE(TRIM(MAIN!I597))), VALUE(TRIM(MAIN!I597)), 0))</f>
        <v>0</v>
      </c>
      <c r="J597">
        <f>IF(ISBLANK(MAIN!J597), 0, IF(ISNUMBER(VALUE(TRIM(MAIN!J597))), VALUE(TRIM(MAIN!J597)), 0))</f>
        <v>0</v>
      </c>
      <c r="K597" cm="1">
        <f t="array" ref="K597">IFERROR(
    VALUE(
        IFERROR(
            UPPER(
                IF(MAX(IFERROR(SEARCH("WD",MAIN!G597:J597), 0))&gt;0, "WD",
                IF(MAX(IFERROR(SEARCH("NS",MAIN!G597:J597), 0))&gt;0, "NS",
                IF(MAX(IFERROR(SEARCH("NC",MAIN!G597:J597), 0))&gt;0, "NC",
                IF(MAX(IFERROR(SEARCH("DQ",MAIN!G597:J597), 0))&gt;0, "DQ",
                IF(ISNUMBER(SEARCH("WD",MAIN!K597)), "WD",
                IF(ISNUMBER(SEARCH("NS",MAIN!K597)), "NS",
                IF(ISNUMBER(SEARCH("NC",MAIN!K597)), "NC",
                IF(ISNUMBER(SEARCH("DQ",MAIN!K597)), "DQ",
                IF(ISNUMBER(SEARCH("A",MAIN!K597)), 0,
                IF(OR(MAIN!K597=0,MAIN!K597=""), 0, --TRIM(MAIN!K597)))))))))))),
            0
        )
    ),
    IFERROR(
        UPPER(
            IF(MAX(IFERROR(SEARCH("WD",MAIN!G597:J597), 0))&gt;0, "WD",
            IF(MAX(IFERROR(SEARCH("NS",MAIN!G597:J597), 0))&gt;0, "NS",
            IF(MAX(IFERROR(SEARCH("NC",MAIN!G597:J597), 0))&gt;0, "NC",
            IF(MAX(IFERROR(SEARCH("DQ",MAIN!G597:J597), 0))&gt;0, "DQ",
            IF(ISNUMBER(SEARCH("WD",MAIN!K597)), "WD",
            IF(ISNUMBER(SEARCH("NS",MAIN!K597)), "NS",
            IF(ISNUMBER(SEARCH("NC",MAIN!K597)), "NC",
            IF(ISNUMBER(SEARCH("DQ",MAIN!K597)), "DQ",
            IF(ISNUMBER(SEARCH("A",MAIN!K597)), 0,
            IF(OR(MAIN!K597=0,MAIN!K597=""), 0, --TRIM(MAIN!K597)))))))))))),
        0
    )
)</f>
        <v>0</v>
      </c>
    </row>
    <row r="598" spans="1:11" x14ac:dyDescent="0.25">
      <c r="A598" t="str">
        <f>IF(ISBLANK(MAIN!A598), "--", IFERROR(PROPER(SUBSTITUTE(SUBSTITUTE(SUBSTITUTE(SUBSTITUTE(SUBSTITUTE(SUBSTITUTE(SUBSTITUTE(SUBSTITUTE(SUBSTITUTE(SUBSTITUTE(LEFT(MAIN!A598, FIND(",",MAIN!A598) -1), "0", ""), "1", ""), "2", ""), "3", ""), "4", ""), "5", ""), "6", ""), "7", ""), "8", ""), "9", "")), PROPER(SUBSTITUTE(SUBSTITUTE(SUBSTITUTE(SUBSTITUTE(SUBSTITUTE(SUBSTITUTE(SUBSTITUTE(SUBSTITUTE(SUBSTITUTE(SUBSTITUTE(MAIN!A598, "0", ""), "1", ""), "2", ""), "3", ""), "4", ""), "5", ""), "6", ""), "7", ""), "8", ""), "9", ""))))</f>
        <v>--</v>
      </c>
      <c r="B598" t="str">
        <f>IF(ISBLANK(MAIN!B598), "--", IFERROR(PROPER(SUBSTITUTE(SUBSTITUTE(SUBSTITUTE(SUBSTITUTE(SUBSTITUTE(SUBSTITUTE(SUBSTITUTE(SUBSTITUTE(SUBSTITUTE(SUBSTITUTE(LEFT(MAIN!B598, FIND(",",MAIN!B598) -1), "0", ""), "1", ""), "2", ""), "3", ""), "4", ""), "5", ""), "6", ""), "7", ""), "8", ""), "9", "")), PROPER(SUBSTITUTE(SUBSTITUTE(SUBSTITUTE(SUBSTITUTE(SUBSTITUTE(SUBSTITUTE(SUBSTITUTE(SUBSTITUTE(SUBSTITUTE(SUBSTITUTE(MAIN!B598, "0", ""), "1", ""), "2", ""), "3", ""), "4", ""), "5", ""), "6", ""), "7", ""), "8", ""), "9", ""))))</f>
        <v>--</v>
      </c>
      <c r="C598" t="str">
        <f>IF(ISBLANK(MAIN!C598), "--", IFERROR(PROPER(SUBSTITUTE(SUBSTITUTE(SUBSTITUTE(SUBSTITUTE(SUBSTITUTE(SUBSTITUTE(SUBSTITUTE(SUBSTITUTE(SUBSTITUTE(SUBSTITUTE(LEFT(MAIN!C598, FIND(",",MAIN!C598) -1), "0", ""), "1", ""), "2", ""), "3", ""), "4", ""), "5", ""), "6", ""), "7", ""), "8", ""), "9", "")), PROPER(SUBSTITUTE(SUBSTITUTE(SUBSTITUTE(SUBSTITUTE(SUBSTITUTE(SUBSTITUTE(SUBSTITUTE(SUBSTITUTE(SUBSTITUTE(SUBSTITUTE(MAIN!C598, "0", ""), "1", ""), "2", ""), "3", ""), "4", ""), "5", ""), "6", ""), "7", ""), "8", ""), "9", ""))))</f>
        <v>--</v>
      </c>
      <c r="D598" t="str">
        <f>IF(ISBLANK(MAIN!D598), "--", IF(ISNUMBER(MATCH(SUBSTITUTE(LEFT(MAIN!D598, IFERROR(FIND(",", MAIN!D598)-1, LEN(MAIN!D598))), " ", ""), lookup_values!$B$2:$B$51, 0)), UPPER(SUBSTITUTE(LEFT(MAIN!D598, IFERROR(FIND(",", MAIN!D598)-1, LEN(MAIN!D598))), " ", "")), IF(ISNA(VLOOKUP(SUBSTITUTE(LEFT(MAIN!D598, IFERROR(FIND(",", MAIN!D598)-1, LEN(MAIN!D598))), " ", ""), lookup_values!$A$2:$B$51, 2, FALSE)), "--", VLOOKUP(SUBSTITUTE(LEFT(MAIN!D598, IFERROR(FIND(",", MAIN!D598)-1, LEN(MAIN!D598))), " ", ""), lookup_values!$A$2:$B$51, 2, FALSE))))</f>
        <v>--</v>
      </c>
      <c r="E598" t="str">
        <f>IF(CLEAN_DATA!D598&lt;&gt;"--","US",IF(ISBLANK(MAIN!E598), "--", IF(ISNUMBER(MATCH(SUBSTITUTE(LEFT(MAIN!E598, IFERROR(FIND(",", MAIN!E598)-1, LEN(MAIN!E598))), " ", ""), lookup_values!$E$2:$E$197, 0)), UPPER(SUBSTITUTE(LEFT(MAIN!E598, IFERROR(FIND(",", MAIN!E598)-1, LEN(MAIN!E598))), " ", "")), IF(ISNA(VLOOKUP(SUBSTITUTE(LEFT(MAIN!E598, IFERROR(FIND(",", MAIN!E598)-1, LEN(MAIN!E598))), " ", ""), lookup_values!$D$2:$E$197, 2, FALSE)), "--", VLOOKUP(SUBSTITUTE(LEFT(MAIN!E598, IFERROR(FIND(",", MAIN!E598)-1, LEN(MAIN!E598))), " ", ""), lookup_values!$D$2:$E$197, 2, FALSE)))))</f>
        <v>--</v>
      </c>
      <c r="F598" t="str">
        <f>IF(ISBLANK(MAIN!F598), "", IF(AND(ISNUMBER(VALUE(TRIM(MAIN!F598))), LEN(TRIM(MAIN!F598))=4), VALUE(TRIM(MAIN!F598)), ""))</f>
        <v/>
      </c>
      <c r="G598">
        <f>IF(ISBLANK(MAIN!G598), 0, IF(ISNUMBER(VALUE(TRIM(MAIN!G598))), VALUE(TRIM(MAIN!G598)), 0))</f>
        <v>0</v>
      </c>
      <c r="H598">
        <f>IF(ISBLANK(MAIN!H598), 0, IF(ISNUMBER(VALUE(TRIM(MAIN!H598))), VALUE(TRIM(MAIN!H598)), 0))</f>
        <v>0</v>
      </c>
      <c r="I598">
        <f>IF(ISBLANK(MAIN!I598), 0, IF(ISNUMBER(VALUE(TRIM(MAIN!I598))), VALUE(TRIM(MAIN!I598)), 0))</f>
        <v>0</v>
      </c>
      <c r="J598">
        <f>IF(ISBLANK(MAIN!J598), 0, IF(ISNUMBER(VALUE(TRIM(MAIN!J598))), VALUE(TRIM(MAIN!J598)), 0))</f>
        <v>0</v>
      </c>
      <c r="K598" cm="1">
        <f t="array" ref="K598">IFERROR(
    VALUE(
        IFERROR(
            UPPER(
                IF(MAX(IFERROR(SEARCH("WD",MAIN!G598:J598), 0))&gt;0, "WD",
                IF(MAX(IFERROR(SEARCH("NS",MAIN!G598:J598), 0))&gt;0, "NS",
                IF(MAX(IFERROR(SEARCH("NC",MAIN!G598:J598), 0))&gt;0, "NC",
                IF(MAX(IFERROR(SEARCH("DQ",MAIN!G598:J598), 0))&gt;0, "DQ",
                IF(ISNUMBER(SEARCH("WD",MAIN!K598)), "WD",
                IF(ISNUMBER(SEARCH("NS",MAIN!K598)), "NS",
                IF(ISNUMBER(SEARCH("NC",MAIN!K598)), "NC",
                IF(ISNUMBER(SEARCH("DQ",MAIN!K598)), "DQ",
                IF(ISNUMBER(SEARCH("A",MAIN!K598)), 0,
                IF(OR(MAIN!K598=0,MAIN!K598=""), 0, --TRIM(MAIN!K598)))))))))))),
            0
        )
    ),
    IFERROR(
        UPPER(
            IF(MAX(IFERROR(SEARCH("WD",MAIN!G598:J598), 0))&gt;0, "WD",
            IF(MAX(IFERROR(SEARCH("NS",MAIN!G598:J598), 0))&gt;0, "NS",
            IF(MAX(IFERROR(SEARCH("NC",MAIN!G598:J598), 0))&gt;0, "NC",
            IF(MAX(IFERROR(SEARCH("DQ",MAIN!G598:J598), 0))&gt;0, "DQ",
            IF(ISNUMBER(SEARCH("WD",MAIN!K598)), "WD",
            IF(ISNUMBER(SEARCH("NS",MAIN!K598)), "NS",
            IF(ISNUMBER(SEARCH("NC",MAIN!K598)), "NC",
            IF(ISNUMBER(SEARCH("DQ",MAIN!K598)), "DQ",
            IF(ISNUMBER(SEARCH("A",MAIN!K598)), 0,
            IF(OR(MAIN!K598=0,MAIN!K598=""), 0, --TRIM(MAIN!K598)))))))))))),
        0
    )
)</f>
        <v>0</v>
      </c>
    </row>
    <row r="599" spans="1:11" x14ac:dyDescent="0.25">
      <c r="A599" t="str">
        <f>IF(ISBLANK(MAIN!A599), "--", IFERROR(PROPER(SUBSTITUTE(SUBSTITUTE(SUBSTITUTE(SUBSTITUTE(SUBSTITUTE(SUBSTITUTE(SUBSTITUTE(SUBSTITUTE(SUBSTITUTE(SUBSTITUTE(LEFT(MAIN!A599, FIND(",",MAIN!A599) -1), "0", ""), "1", ""), "2", ""), "3", ""), "4", ""), "5", ""), "6", ""), "7", ""), "8", ""), "9", "")), PROPER(SUBSTITUTE(SUBSTITUTE(SUBSTITUTE(SUBSTITUTE(SUBSTITUTE(SUBSTITUTE(SUBSTITUTE(SUBSTITUTE(SUBSTITUTE(SUBSTITUTE(MAIN!A599, "0", ""), "1", ""), "2", ""), "3", ""), "4", ""), "5", ""), "6", ""), "7", ""), "8", ""), "9", ""))))</f>
        <v>--</v>
      </c>
      <c r="B599" t="str">
        <f>IF(ISBLANK(MAIN!B599), "--", IFERROR(PROPER(SUBSTITUTE(SUBSTITUTE(SUBSTITUTE(SUBSTITUTE(SUBSTITUTE(SUBSTITUTE(SUBSTITUTE(SUBSTITUTE(SUBSTITUTE(SUBSTITUTE(LEFT(MAIN!B599, FIND(",",MAIN!B599) -1), "0", ""), "1", ""), "2", ""), "3", ""), "4", ""), "5", ""), "6", ""), "7", ""), "8", ""), "9", "")), PROPER(SUBSTITUTE(SUBSTITUTE(SUBSTITUTE(SUBSTITUTE(SUBSTITUTE(SUBSTITUTE(SUBSTITUTE(SUBSTITUTE(SUBSTITUTE(SUBSTITUTE(MAIN!B599, "0", ""), "1", ""), "2", ""), "3", ""), "4", ""), "5", ""), "6", ""), "7", ""), "8", ""), "9", ""))))</f>
        <v>--</v>
      </c>
      <c r="C599" t="str">
        <f>IF(ISBLANK(MAIN!C599), "--", IFERROR(PROPER(SUBSTITUTE(SUBSTITUTE(SUBSTITUTE(SUBSTITUTE(SUBSTITUTE(SUBSTITUTE(SUBSTITUTE(SUBSTITUTE(SUBSTITUTE(SUBSTITUTE(LEFT(MAIN!C599, FIND(",",MAIN!C599) -1), "0", ""), "1", ""), "2", ""), "3", ""), "4", ""), "5", ""), "6", ""), "7", ""), "8", ""), "9", "")), PROPER(SUBSTITUTE(SUBSTITUTE(SUBSTITUTE(SUBSTITUTE(SUBSTITUTE(SUBSTITUTE(SUBSTITUTE(SUBSTITUTE(SUBSTITUTE(SUBSTITUTE(MAIN!C599, "0", ""), "1", ""), "2", ""), "3", ""), "4", ""), "5", ""), "6", ""), "7", ""), "8", ""), "9", ""))))</f>
        <v>--</v>
      </c>
      <c r="D599" t="str">
        <f>IF(ISBLANK(MAIN!D599), "--", IF(ISNUMBER(MATCH(SUBSTITUTE(LEFT(MAIN!D599, IFERROR(FIND(",", MAIN!D599)-1, LEN(MAIN!D599))), " ", ""), lookup_values!$B$2:$B$51, 0)), UPPER(SUBSTITUTE(LEFT(MAIN!D599, IFERROR(FIND(",", MAIN!D599)-1, LEN(MAIN!D599))), " ", "")), IF(ISNA(VLOOKUP(SUBSTITUTE(LEFT(MAIN!D599, IFERROR(FIND(",", MAIN!D599)-1, LEN(MAIN!D599))), " ", ""), lookup_values!$A$2:$B$51, 2, FALSE)), "--", VLOOKUP(SUBSTITUTE(LEFT(MAIN!D599, IFERROR(FIND(",", MAIN!D599)-1, LEN(MAIN!D599))), " ", ""), lookup_values!$A$2:$B$51, 2, FALSE))))</f>
        <v>--</v>
      </c>
      <c r="E599" t="str">
        <f>IF(CLEAN_DATA!D599&lt;&gt;"--","US",IF(ISBLANK(MAIN!E599), "--", IF(ISNUMBER(MATCH(SUBSTITUTE(LEFT(MAIN!E599, IFERROR(FIND(",", MAIN!E599)-1, LEN(MAIN!E599))), " ", ""), lookup_values!$E$2:$E$197, 0)), UPPER(SUBSTITUTE(LEFT(MAIN!E599, IFERROR(FIND(",", MAIN!E599)-1, LEN(MAIN!E599))), " ", "")), IF(ISNA(VLOOKUP(SUBSTITUTE(LEFT(MAIN!E599, IFERROR(FIND(",", MAIN!E599)-1, LEN(MAIN!E599))), " ", ""), lookup_values!$D$2:$E$197, 2, FALSE)), "--", VLOOKUP(SUBSTITUTE(LEFT(MAIN!E599, IFERROR(FIND(",", MAIN!E599)-1, LEN(MAIN!E599))), " ", ""), lookup_values!$D$2:$E$197, 2, FALSE)))))</f>
        <v>--</v>
      </c>
      <c r="F599" t="str">
        <f>IF(ISBLANK(MAIN!F599), "", IF(AND(ISNUMBER(VALUE(TRIM(MAIN!F599))), LEN(TRIM(MAIN!F599))=4), VALUE(TRIM(MAIN!F599)), ""))</f>
        <v/>
      </c>
      <c r="G599">
        <f>IF(ISBLANK(MAIN!G599), 0, IF(ISNUMBER(VALUE(TRIM(MAIN!G599))), VALUE(TRIM(MAIN!G599)), 0))</f>
        <v>0</v>
      </c>
      <c r="H599">
        <f>IF(ISBLANK(MAIN!H599), 0, IF(ISNUMBER(VALUE(TRIM(MAIN!H599))), VALUE(TRIM(MAIN!H599)), 0))</f>
        <v>0</v>
      </c>
      <c r="I599">
        <f>IF(ISBLANK(MAIN!I599), 0, IF(ISNUMBER(VALUE(TRIM(MAIN!I599))), VALUE(TRIM(MAIN!I599)), 0))</f>
        <v>0</v>
      </c>
      <c r="J599">
        <f>IF(ISBLANK(MAIN!J599), 0, IF(ISNUMBER(VALUE(TRIM(MAIN!J599))), VALUE(TRIM(MAIN!J599)), 0))</f>
        <v>0</v>
      </c>
      <c r="K599" cm="1">
        <f t="array" ref="K599">IFERROR(
    VALUE(
        IFERROR(
            UPPER(
                IF(MAX(IFERROR(SEARCH("WD",MAIN!G599:J599), 0))&gt;0, "WD",
                IF(MAX(IFERROR(SEARCH("NS",MAIN!G599:J599), 0))&gt;0, "NS",
                IF(MAX(IFERROR(SEARCH("NC",MAIN!G599:J599), 0))&gt;0, "NC",
                IF(MAX(IFERROR(SEARCH("DQ",MAIN!G599:J599), 0))&gt;0, "DQ",
                IF(ISNUMBER(SEARCH("WD",MAIN!K599)), "WD",
                IF(ISNUMBER(SEARCH("NS",MAIN!K599)), "NS",
                IF(ISNUMBER(SEARCH("NC",MAIN!K599)), "NC",
                IF(ISNUMBER(SEARCH("DQ",MAIN!K599)), "DQ",
                IF(ISNUMBER(SEARCH("A",MAIN!K599)), 0,
                IF(OR(MAIN!K599=0,MAIN!K599=""), 0, --TRIM(MAIN!K599)))))))))))),
            0
        )
    ),
    IFERROR(
        UPPER(
            IF(MAX(IFERROR(SEARCH("WD",MAIN!G599:J599), 0))&gt;0, "WD",
            IF(MAX(IFERROR(SEARCH("NS",MAIN!G599:J599), 0))&gt;0, "NS",
            IF(MAX(IFERROR(SEARCH("NC",MAIN!G599:J599), 0))&gt;0, "NC",
            IF(MAX(IFERROR(SEARCH("DQ",MAIN!G599:J599), 0))&gt;0, "DQ",
            IF(ISNUMBER(SEARCH("WD",MAIN!K599)), "WD",
            IF(ISNUMBER(SEARCH("NS",MAIN!K599)), "NS",
            IF(ISNUMBER(SEARCH("NC",MAIN!K599)), "NC",
            IF(ISNUMBER(SEARCH("DQ",MAIN!K599)), "DQ",
            IF(ISNUMBER(SEARCH("A",MAIN!K599)), 0,
            IF(OR(MAIN!K599=0,MAIN!K599=""), 0, --TRIM(MAIN!K599)))))))))))),
        0
    )
)</f>
        <v>0</v>
      </c>
    </row>
    <row r="600" spans="1:11" x14ac:dyDescent="0.25">
      <c r="A600" t="str">
        <f>IF(ISBLANK(MAIN!A600), "--", IFERROR(PROPER(SUBSTITUTE(SUBSTITUTE(SUBSTITUTE(SUBSTITUTE(SUBSTITUTE(SUBSTITUTE(SUBSTITUTE(SUBSTITUTE(SUBSTITUTE(SUBSTITUTE(LEFT(MAIN!A600, FIND(",",MAIN!A600) -1), "0", ""), "1", ""), "2", ""), "3", ""), "4", ""), "5", ""), "6", ""), "7", ""), "8", ""), "9", "")), PROPER(SUBSTITUTE(SUBSTITUTE(SUBSTITUTE(SUBSTITUTE(SUBSTITUTE(SUBSTITUTE(SUBSTITUTE(SUBSTITUTE(SUBSTITUTE(SUBSTITUTE(MAIN!A600, "0", ""), "1", ""), "2", ""), "3", ""), "4", ""), "5", ""), "6", ""), "7", ""), "8", ""), "9", ""))))</f>
        <v>--</v>
      </c>
      <c r="B600" t="str">
        <f>IF(ISBLANK(MAIN!B600), "--", IFERROR(PROPER(SUBSTITUTE(SUBSTITUTE(SUBSTITUTE(SUBSTITUTE(SUBSTITUTE(SUBSTITUTE(SUBSTITUTE(SUBSTITUTE(SUBSTITUTE(SUBSTITUTE(LEFT(MAIN!B600, FIND(",",MAIN!B600) -1), "0", ""), "1", ""), "2", ""), "3", ""), "4", ""), "5", ""), "6", ""), "7", ""), "8", ""), "9", "")), PROPER(SUBSTITUTE(SUBSTITUTE(SUBSTITUTE(SUBSTITUTE(SUBSTITUTE(SUBSTITUTE(SUBSTITUTE(SUBSTITUTE(SUBSTITUTE(SUBSTITUTE(MAIN!B600, "0", ""), "1", ""), "2", ""), "3", ""), "4", ""), "5", ""), "6", ""), "7", ""), "8", ""), "9", ""))))</f>
        <v>--</v>
      </c>
      <c r="C600" t="str">
        <f>IF(ISBLANK(MAIN!C600), "--", IFERROR(PROPER(SUBSTITUTE(SUBSTITUTE(SUBSTITUTE(SUBSTITUTE(SUBSTITUTE(SUBSTITUTE(SUBSTITUTE(SUBSTITUTE(SUBSTITUTE(SUBSTITUTE(LEFT(MAIN!C600, FIND(",",MAIN!C600) -1), "0", ""), "1", ""), "2", ""), "3", ""), "4", ""), "5", ""), "6", ""), "7", ""), "8", ""), "9", "")), PROPER(SUBSTITUTE(SUBSTITUTE(SUBSTITUTE(SUBSTITUTE(SUBSTITUTE(SUBSTITUTE(SUBSTITUTE(SUBSTITUTE(SUBSTITUTE(SUBSTITUTE(MAIN!C600, "0", ""), "1", ""), "2", ""), "3", ""), "4", ""), "5", ""), "6", ""), "7", ""), "8", ""), "9", ""))))</f>
        <v>--</v>
      </c>
      <c r="D600" t="str">
        <f>IF(ISBLANK(MAIN!D600), "--", IF(ISNUMBER(MATCH(SUBSTITUTE(LEFT(MAIN!D600, IFERROR(FIND(",", MAIN!D600)-1, LEN(MAIN!D600))), " ", ""), lookup_values!$B$2:$B$51, 0)), UPPER(SUBSTITUTE(LEFT(MAIN!D600, IFERROR(FIND(",", MAIN!D600)-1, LEN(MAIN!D600))), " ", "")), IF(ISNA(VLOOKUP(SUBSTITUTE(LEFT(MAIN!D600, IFERROR(FIND(",", MAIN!D600)-1, LEN(MAIN!D600))), " ", ""), lookup_values!$A$2:$B$51, 2, FALSE)), "--", VLOOKUP(SUBSTITUTE(LEFT(MAIN!D600, IFERROR(FIND(",", MAIN!D600)-1, LEN(MAIN!D600))), " ", ""), lookup_values!$A$2:$B$51, 2, FALSE))))</f>
        <v>--</v>
      </c>
      <c r="E600" t="str">
        <f>IF(CLEAN_DATA!D600&lt;&gt;"--","US",IF(ISBLANK(MAIN!E600), "--", IF(ISNUMBER(MATCH(SUBSTITUTE(LEFT(MAIN!E600, IFERROR(FIND(",", MAIN!E600)-1, LEN(MAIN!E600))), " ", ""), lookup_values!$E$2:$E$197, 0)), UPPER(SUBSTITUTE(LEFT(MAIN!E600, IFERROR(FIND(",", MAIN!E600)-1, LEN(MAIN!E600))), " ", "")), IF(ISNA(VLOOKUP(SUBSTITUTE(LEFT(MAIN!E600, IFERROR(FIND(",", MAIN!E600)-1, LEN(MAIN!E600))), " ", ""), lookup_values!$D$2:$E$197, 2, FALSE)), "--", VLOOKUP(SUBSTITUTE(LEFT(MAIN!E600, IFERROR(FIND(",", MAIN!E600)-1, LEN(MAIN!E600))), " ", ""), lookup_values!$D$2:$E$197, 2, FALSE)))))</f>
        <v>--</v>
      </c>
      <c r="F600" t="str">
        <f>IF(ISBLANK(MAIN!F600), "", IF(AND(ISNUMBER(VALUE(TRIM(MAIN!F600))), LEN(TRIM(MAIN!F600))=4), VALUE(TRIM(MAIN!F600)), ""))</f>
        <v/>
      </c>
      <c r="G600">
        <f>IF(ISBLANK(MAIN!G600), 0, IF(ISNUMBER(VALUE(TRIM(MAIN!G600))), VALUE(TRIM(MAIN!G600)), 0))</f>
        <v>0</v>
      </c>
      <c r="H600">
        <f>IF(ISBLANK(MAIN!H600), 0, IF(ISNUMBER(VALUE(TRIM(MAIN!H600))), VALUE(TRIM(MAIN!H600)), 0))</f>
        <v>0</v>
      </c>
      <c r="I600">
        <f>IF(ISBLANK(MAIN!I600), 0, IF(ISNUMBER(VALUE(TRIM(MAIN!I600))), VALUE(TRIM(MAIN!I600)), 0))</f>
        <v>0</v>
      </c>
      <c r="J600">
        <f>IF(ISBLANK(MAIN!J600), 0, IF(ISNUMBER(VALUE(TRIM(MAIN!J600))), VALUE(TRIM(MAIN!J600)), 0))</f>
        <v>0</v>
      </c>
      <c r="K600" cm="1">
        <f t="array" ref="K600">IFERROR(
    VALUE(
        IFERROR(
            UPPER(
                IF(MAX(IFERROR(SEARCH("WD",MAIN!G600:J600), 0))&gt;0, "WD",
                IF(MAX(IFERROR(SEARCH("NS",MAIN!G600:J600), 0))&gt;0, "NS",
                IF(MAX(IFERROR(SEARCH("NC",MAIN!G600:J600), 0))&gt;0, "NC",
                IF(MAX(IFERROR(SEARCH("DQ",MAIN!G600:J600), 0))&gt;0, "DQ",
                IF(ISNUMBER(SEARCH("WD",MAIN!K600)), "WD",
                IF(ISNUMBER(SEARCH("NS",MAIN!K600)), "NS",
                IF(ISNUMBER(SEARCH("NC",MAIN!K600)), "NC",
                IF(ISNUMBER(SEARCH("DQ",MAIN!K600)), "DQ",
                IF(ISNUMBER(SEARCH("A",MAIN!K600)), 0,
                IF(OR(MAIN!K600=0,MAIN!K600=""), 0, --TRIM(MAIN!K600)))))))))))),
            0
        )
    ),
    IFERROR(
        UPPER(
            IF(MAX(IFERROR(SEARCH("WD",MAIN!G600:J600), 0))&gt;0, "WD",
            IF(MAX(IFERROR(SEARCH("NS",MAIN!G600:J600), 0))&gt;0, "NS",
            IF(MAX(IFERROR(SEARCH("NC",MAIN!G600:J600), 0))&gt;0, "NC",
            IF(MAX(IFERROR(SEARCH("DQ",MAIN!G600:J600), 0))&gt;0, "DQ",
            IF(ISNUMBER(SEARCH("WD",MAIN!K600)), "WD",
            IF(ISNUMBER(SEARCH("NS",MAIN!K600)), "NS",
            IF(ISNUMBER(SEARCH("NC",MAIN!K600)), "NC",
            IF(ISNUMBER(SEARCH("DQ",MAIN!K600)), "DQ",
            IF(ISNUMBER(SEARCH("A",MAIN!K600)), 0,
            IF(OR(MAIN!K600=0,MAIN!K600=""), 0, --TRIM(MAIN!K600)))))))))))),
        0
    )
)</f>
        <v>0</v>
      </c>
    </row>
    <row r="601" spans="1:11" x14ac:dyDescent="0.25">
      <c r="A601" t="str">
        <f>IF(ISBLANK(MAIN!A601), "--", IFERROR(PROPER(SUBSTITUTE(SUBSTITUTE(SUBSTITUTE(SUBSTITUTE(SUBSTITUTE(SUBSTITUTE(SUBSTITUTE(SUBSTITUTE(SUBSTITUTE(SUBSTITUTE(LEFT(MAIN!A601, FIND(",",MAIN!A601) -1), "0", ""), "1", ""), "2", ""), "3", ""), "4", ""), "5", ""), "6", ""), "7", ""), "8", ""), "9", "")), PROPER(SUBSTITUTE(SUBSTITUTE(SUBSTITUTE(SUBSTITUTE(SUBSTITUTE(SUBSTITUTE(SUBSTITUTE(SUBSTITUTE(SUBSTITUTE(SUBSTITUTE(MAIN!A601, "0", ""), "1", ""), "2", ""), "3", ""), "4", ""), "5", ""), "6", ""), "7", ""), "8", ""), "9", ""))))</f>
        <v>--</v>
      </c>
      <c r="B601" t="str">
        <f>IF(ISBLANK(MAIN!B601), "--", IFERROR(PROPER(SUBSTITUTE(SUBSTITUTE(SUBSTITUTE(SUBSTITUTE(SUBSTITUTE(SUBSTITUTE(SUBSTITUTE(SUBSTITUTE(SUBSTITUTE(SUBSTITUTE(LEFT(MAIN!B601, FIND(",",MAIN!B601) -1), "0", ""), "1", ""), "2", ""), "3", ""), "4", ""), "5", ""), "6", ""), "7", ""), "8", ""), "9", "")), PROPER(SUBSTITUTE(SUBSTITUTE(SUBSTITUTE(SUBSTITUTE(SUBSTITUTE(SUBSTITUTE(SUBSTITUTE(SUBSTITUTE(SUBSTITUTE(SUBSTITUTE(MAIN!B601, "0", ""), "1", ""), "2", ""), "3", ""), "4", ""), "5", ""), "6", ""), "7", ""), "8", ""), "9", ""))))</f>
        <v>--</v>
      </c>
      <c r="C601" t="str">
        <f>IF(ISBLANK(MAIN!C601), "--", IFERROR(PROPER(SUBSTITUTE(SUBSTITUTE(SUBSTITUTE(SUBSTITUTE(SUBSTITUTE(SUBSTITUTE(SUBSTITUTE(SUBSTITUTE(SUBSTITUTE(SUBSTITUTE(LEFT(MAIN!C601, FIND(",",MAIN!C601) -1), "0", ""), "1", ""), "2", ""), "3", ""), "4", ""), "5", ""), "6", ""), "7", ""), "8", ""), "9", "")), PROPER(SUBSTITUTE(SUBSTITUTE(SUBSTITUTE(SUBSTITUTE(SUBSTITUTE(SUBSTITUTE(SUBSTITUTE(SUBSTITUTE(SUBSTITUTE(SUBSTITUTE(MAIN!C601, "0", ""), "1", ""), "2", ""), "3", ""), "4", ""), "5", ""), "6", ""), "7", ""), "8", ""), "9", ""))))</f>
        <v>--</v>
      </c>
      <c r="D601" t="str">
        <f>IF(ISBLANK(MAIN!D601), "--", IF(ISNUMBER(MATCH(SUBSTITUTE(LEFT(MAIN!D601, IFERROR(FIND(",", MAIN!D601)-1, LEN(MAIN!D601))), " ", ""), lookup_values!$B$2:$B$51, 0)), UPPER(SUBSTITUTE(LEFT(MAIN!D601, IFERROR(FIND(",", MAIN!D601)-1, LEN(MAIN!D601))), " ", "")), IF(ISNA(VLOOKUP(SUBSTITUTE(LEFT(MAIN!D601, IFERROR(FIND(",", MAIN!D601)-1, LEN(MAIN!D601))), " ", ""), lookup_values!$A$2:$B$51, 2, FALSE)), "--", VLOOKUP(SUBSTITUTE(LEFT(MAIN!D601, IFERROR(FIND(",", MAIN!D601)-1, LEN(MAIN!D601))), " ", ""), lookup_values!$A$2:$B$51, 2, FALSE))))</f>
        <v>--</v>
      </c>
      <c r="E601" t="str">
        <f>IF(CLEAN_DATA!D601&lt;&gt;"--","US",IF(ISBLANK(MAIN!E601), "--", IF(ISNUMBER(MATCH(SUBSTITUTE(LEFT(MAIN!E601, IFERROR(FIND(",", MAIN!E601)-1, LEN(MAIN!E601))), " ", ""), lookup_values!$E$2:$E$197, 0)), UPPER(SUBSTITUTE(LEFT(MAIN!E601, IFERROR(FIND(",", MAIN!E601)-1, LEN(MAIN!E601))), " ", "")), IF(ISNA(VLOOKUP(SUBSTITUTE(LEFT(MAIN!E601, IFERROR(FIND(",", MAIN!E601)-1, LEN(MAIN!E601))), " ", ""), lookup_values!$D$2:$E$197, 2, FALSE)), "--", VLOOKUP(SUBSTITUTE(LEFT(MAIN!E601, IFERROR(FIND(",", MAIN!E601)-1, LEN(MAIN!E601))), " ", ""), lookup_values!$D$2:$E$197, 2, FALSE)))))</f>
        <v>--</v>
      </c>
      <c r="F601" t="str">
        <f>IF(ISBLANK(MAIN!F601), "", IF(AND(ISNUMBER(VALUE(TRIM(MAIN!F601))), LEN(TRIM(MAIN!F601))=4), VALUE(TRIM(MAIN!F601)), ""))</f>
        <v/>
      </c>
      <c r="G601">
        <f>IF(ISBLANK(MAIN!G601), 0, IF(ISNUMBER(VALUE(TRIM(MAIN!G601))), VALUE(TRIM(MAIN!G601)), 0))</f>
        <v>0</v>
      </c>
      <c r="H601">
        <f>IF(ISBLANK(MAIN!H601), 0, IF(ISNUMBER(VALUE(TRIM(MAIN!H601))), VALUE(TRIM(MAIN!H601)), 0))</f>
        <v>0</v>
      </c>
      <c r="I601">
        <f>IF(ISBLANK(MAIN!I601), 0, IF(ISNUMBER(VALUE(TRIM(MAIN!I601))), VALUE(TRIM(MAIN!I601)), 0))</f>
        <v>0</v>
      </c>
      <c r="J601">
        <f>IF(ISBLANK(MAIN!J601), 0, IF(ISNUMBER(VALUE(TRIM(MAIN!J601))), VALUE(TRIM(MAIN!J601)), 0))</f>
        <v>0</v>
      </c>
      <c r="K601" cm="1">
        <f t="array" ref="K601">IFERROR(
    VALUE(
        IFERROR(
            UPPER(
                IF(MAX(IFERROR(SEARCH("WD",MAIN!G601:J601), 0))&gt;0, "WD",
                IF(MAX(IFERROR(SEARCH("NS",MAIN!G601:J601), 0))&gt;0, "NS",
                IF(MAX(IFERROR(SEARCH("NC",MAIN!G601:J601), 0))&gt;0, "NC",
                IF(MAX(IFERROR(SEARCH("DQ",MAIN!G601:J601), 0))&gt;0, "DQ",
                IF(ISNUMBER(SEARCH("WD",MAIN!K601)), "WD",
                IF(ISNUMBER(SEARCH("NS",MAIN!K601)), "NS",
                IF(ISNUMBER(SEARCH("NC",MAIN!K601)), "NC",
                IF(ISNUMBER(SEARCH("DQ",MAIN!K601)), "DQ",
                IF(ISNUMBER(SEARCH("A",MAIN!K601)), 0,
                IF(OR(MAIN!K601=0,MAIN!K601=""), 0, --TRIM(MAIN!K601)))))))))))),
            0
        )
    ),
    IFERROR(
        UPPER(
            IF(MAX(IFERROR(SEARCH("WD",MAIN!G601:J601), 0))&gt;0, "WD",
            IF(MAX(IFERROR(SEARCH("NS",MAIN!G601:J601), 0))&gt;0, "NS",
            IF(MAX(IFERROR(SEARCH("NC",MAIN!G601:J601), 0))&gt;0, "NC",
            IF(MAX(IFERROR(SEARCH("DQ",MAIN!G601:J601), 0))&gt;0, "DQ",
            IF(ISNUMBER(SEARCH("WD",MAIN!K601)), "WD",
            IF(ISNUMBER(SEARCH("NS",MAIN!K601)), "NS",
            IF(ISNUMBER(SEARCH("NC",MAIN!K601)), "NC",
            IF(ISNUMBER(SEARCH("DQ",MAIN!K601)), "DQ",
            IF(ISNUMBER(SEARCH("A",MAIN!K601)), 0,
            IF(OR(MAIN!K601=0,MAIN!K601=""), 0, --TRIM(MAIN!K601)))))))))))),
        0
    )
)</f>
        <v>0</v>
      </c>
    </row>
    <row r="602" spans="1:11" x14ac:dyDescent="0.25">
      <c r="A602" t="str">
        <f>IF(ISBLANK(MAIN!A602), "--", IFERROR(PROPER(SUBSTITUTE(SUBSTITUTE(SUBSTITUTE(SUBSTITUTE(SUBSTITUTE(SUBSTITUTE(SUBSTITUTE(SUBSTITUTE(SUBSTITUTE(SUBSTITUTE(LEFT(MAIN!A602, FIND(",",MAIN!A602) -1), "0", ""), "1", ""), "2", ""), "3", ""), "4", ""), "5", ""), "6", ""), "7", ""), "8", ""), "9", "")), PROPER(SUBSTITUTE(SUBSTITUTE(SUBSTITUTE(SUBSTITUTE(SUBSTITUTE(SUBSTITUTE(SUBSTITUTE(SUBSTITUTE(SUBSTITUTE(SUBSTITUTE(MAIN!A602, "0", ""), "1", ""), "2", ""), "3", ""), "4", ""), "5", ""), "6", ""), "7", ""), "8", ""), "9", ""))))</f>
        <v>--</v>
      </c>
      <c r="B602" t="str">
        <f>IF(ISBLANK(MAIN!B602), "--", IFERROR(PROPER(SUBSTITUTE(SUBSTITUTE(SUBSTITUTE(SUBSTITUTE(SUBSTITUTE(SUBSTITUTE(SUBSTITUTE(SUBSTITUTE(SUBSTITUTE(SUBSTITUTE(LEFT(MAIN!B602, FIND(",",MAIN!B602) -1), "0", ""), "1", ""), "2", ""), "3", ""), "4", ""), "5", ""), "6", ""), "7", ""), "8", ""), "9", "")), PROPER(SUBSTITUTE(SUBSTITUTE(SUBSTITUTE(SUBSTITUTE(SUBSTITUTE(SUBSTITUTE(SUBSTITUTE(SUBSTITUTE(SUBSTITUTE(SUBSTITUTE(MAIN!B602, "0", ""), "1", ""), "2", ""), "3", ""), "4", ""), "5", ""), "6", ""), "7", ""), "8", ""), "9", ""))))</f>
        <v>--</v>
      </c>
      <c r="C602" t="str">
        <f>IF(ISBLANK(MAIN!C602), "--", IFERROR(PROPER(SUBSTITUTE(SUBSTITUTE(SUBSTITUTE(SUBSTITUTE(SUBSTITUTE(SUBSTITUTE(SUBSTITUTE(SUBSTITUTE(SUBSTITUTE(SUBSTITUTE(LEFT(MAIN!C602, FIND(",",MAIN!C602) -1), "0", ""), "1", ""), "2", ""), "3", ""), "4", ""), "5", ""), "6", ""), "7", ""), "8", ""), "9", "")), PROPER(SUBSTITUTE(SUBSTITUTE(SUBSTITUTE(SUBSTITUTE(SUBSTITUTE(SUBSTITUTE(SUBSTITUTE(SUBSTITUTE(SUBSTITUTE(SUBSTITUTE(MAIN!C602, "0", ""), "1", ""), "2", ""), "3", ""), "4", ""), "5", ""), "6", ""), "7", ""), "8", ""), "9", ""))))</f>
        <v>--</v>
      </c>
      <c r="D602" t="str">
        <f>IF(ISBLANK(MAIN!D602), "--", IF(ISNUMBER(MATCH(SUBSTITUTE(LEFT(MAIN!D602, IFERROR(FIND(",", MAIN!D602)-1, LEN(MAIN!D602))), " ", ""), lookup_values!$B$2:$B$51, 0)), UPPER(SUBSTITUTE(LEFT(MAIN!D602, IFERROR(FIND(",", MAIN!D602)-1, LEN(MAIN!D602))), " ", "")), IF(ISNA(VLOOKUP(SUBSTITUTE(LEFT(MAIN!D602, IFERROR(FIND(",", MAIN!D602)-1, LEN(MAIN!D602))), " ", ""), lookup_values!$A$2:$B$51, 2, FALSE)), "--", VLOOKUP(SUBSTITUTE(LEFT(MAIN!D602, IFERROR(FIND(",", MAIN!D602)-1, LEN(MAIN!D602))), " ", ""), lookup_values!$A$2:$B$51, 2, FALSE))))</f>
        <v>--</v>
      </c>
      <c r="E602" t="str">
        <f>IF(CLEAN_DATA!D602&lt;&gt;"--","US",IF(ISBLANK(MAIN!E602), "--", IF(ISNUMBER(MATCH(SUBSTITUTE(LEFT(MAIN!E602, IFERROR(FIND(",", MAIN!E602)-1, LEN(MAIN!E602))), " ", ""), lookup_values!$E$2:$E$197, 0)), UPPER(SUBSTITUTE(LEFT(MAIN!E602, IFERROR(FIND(",", MAIN!E602)-1, LEN(MAIN!E602))), " ", "")), IF(ISNA(VLOOKUP(SUBSTITUTE(LEFT(MAIN!E602, IFERROR(FIND(",", MAIN!E602)-1, LEN(MAIN!E602))), " ", ""), lookup_values!$D$2:$E$197, 2, FALSE)), "--", VLOOKUP(SUBSTITUTE(LEFT(MAIN!E602, IFERROR(FIND(",", MAIN!E602)-1, LEN(MAIN!E602))), " ", ""), lookup_values!$D$2:$E$197, 2, FALSE)))))</f>
        <v>--</v>
      </c>
      <c r="F602" t="str">
        <f>IF(ISBLANK(MAIN!F602), "", IF(AND(ISNUMBER(VALUE(TRIM(MAIN!F602))), LEN(TRIM(MAIN!F602))=4), VALUE(TRIM(MAIN!F602)), ""))</f>
        <v/>
      </c>
      <c r="G602">
        <f>IF(ISBLANK(MAIN!G602), 0, IF(ISNUMBER(VALUE(TRIM(MAIN!G602))), VALUE(TRIM(MAIN!G602)), 0))</f>
        <v>0</v>
      </c>
      <c r="H602">
        <f>IF(ISBLANK(MAIN!H602), 0, IF(ISNUMBER(VALUE(TRIM(MAIN!H602))), VALUE(TRIM(MAIN!H602)), 0))</f>
        <v>0</v>
      </c>
      <c r="I602">
        <f>IF(ISBLANK(MAIN!I602), 0, IF(ISNUMBER(VALUE(TRIM(MAIN!I602))), VALUE(TRIM(MAIN!I602)), 0))</f>
        <v>0</v>
      </c>
      <c r="J602">
        <f>IF(ISBLANK(MAIN!J602), 0, IF(ISNUMBER(VALUE(TRIM(MAIN!J602))), VALUE(TRIM(MAIN!J602)), 0))</f>
        <v>0</v>
      </c>
      <c r="K602" cm="1">
        <f t="array" ref="K602">IFERROR(
    VALUE(
        IFERROR(
            UPPER(
                IF(MAX(IFERROR(SEARCH("WD",MAIN!G602:J602), 0))&gt;0, "WD",
                IF(MAX(IFERROR(SEARCH("NS",MAIN!G602:J602), 0))&gt;0, "NS",
                IF(MAX(IFERROR(SEARCH("NC",MAIN!G602:J602), 0))&gt;0, "NC",
                IF(MAX(IFERROR(SEARCH("DQ",MAIN!G602:J602), 0))&gt;0, "DQ",
                IF(ISNUMBER(SEARCH("WD",MAIN!K602)), "WD",
                IF(ISNUMBER(SEARCH("NS",MAIN!K602)), "NS",
                IF(ISNUMBER(SEARCH("NC",MAIN!K602)), "NC",
                IF(ISNUMBER(SEARCH("DQ",MAIN!K602)), "DQ",
                IF(ISNUMBER(SEARCH("A",MAIN!K602)), 0,
                IF(OR(MAIN!K602=0,MAIN!K602=""), 0, --TRIM(MAIN!K602)))))))))))),
            0
        )
    ),
    IFERROR(
        UPPER(
            IF(MAX(IFERROR(SEARCH("WD",MAIN!G602:J602), 0))&gt;0, "WD",
            IF(MAX(IFERROR(SEARCH("NS",MAIN!G602:J602), 0))&gt;0, "NS",
            IF(MAX(IFERROR(SEARCH("NC",MAIN!G602:J602), 0))&gt;0, "NC",
            IF(MAX(IFERROR(SEARCH("DQ",MAIN!G602:J602), 0))&gt;0, "DQ",
            IF(ISNUMBER(SEARCH("WD",MAIN!K602)), "WD",
            IF(ISNUMBER(SEARCH("NS",MAIN!K602)), "NS",
            IF(ISNUMBER(SEARCH("NC",MAIN!K602)), "NC",
            IF(ISNUMBER(SEARCH("DQ",MAIN!K602)), "DQ",
            IF(ISNUMBER(SEARCH("A",MAIN!K602)), 0,
            IF(OR(MAIN!K602=0,MAIN!K602=""), 0, --TRIM(MAIN!K602)))))))))))),
        0
    )
)</f>
        <v>0</v>
      </c>
    </row>
    <row r="603" spans="1:11" x14ac:dyDescent="0.25">
      <c r="A603" t="str">
        <f>IF(ISBLANK(MAIN!A603), "--", IFERROR(PROPER(SUBSTITUTE(SUBSTITUTE(SUBSTITUTE(SUBSTITUTE(SUBSTITUTE(SUBSTITUTE(SUBSTITUTE(SUBSTITUTE(SUBSTITUTE(SUBSTITUTE(LEFT(MAIN!A603, FIND(",",MAIN!A603) -1), "0", ""), "1", ""), "2", ""), "3", ""), "4", ""), "5", ""), "6", ""), "7", ""), "8", ""), "9", "")), PROPER(SUBSTITUTE(SUBSTITUTE(SUBSTITUTE(SUBSTITUTE(SUBSTITUTE(SUBSTITUTE(SUBSTITUTE(SUBSTITUTE(SUBSTITUTE(SUBSTITUTE(MAIN!A603, "0", ""), "1", ""), "2", ""), "3", ""), "4", ""), "5", ""), "6", ""), "7", ""), "8", ""), "9", ""))))</f>
        <v>--</v>
      </c>
      <c r="B603" t="str">
        <f>IF(ISBLANK(MAIN!B603), "--", IFERROR(PROPER(SUBSTITUTE(SUBSTITUTE(SUBSTITUTE(SUBSTITUTE(SUBSTITUTE(SUBSTITUTE(SUBSTITUTE(SUBSTITUTE(SUBSTITUTE(SUBSTITUTE(LEFT(MAIN!B603, FIND(",",MAIN!B603) -1), "0", ""), "1", ""), "2", ""), "3", ""), "4", ""), "5", ""), "6", ""), "7", ""), "8", ""), "9", "")), PROPER(SUBSTITUTE(SUBSTITUTE(SUBSTITUTE(SUBSTITUTE(SUBSTITUTE(SUBSTITUTE(SUBSTITUTE(SUBSTITUTE(SUBSTITUTE(SUBSTITUTE(MAIN!B603, "0", ""), "1", ""), "2", ""), "3", ""), "4", ""), "5", ""), "6", ""), "7", ""), "8", ""), "9", ""))))</f>
        <v>--</v>
      </c>
      <c r="C603" t="str">
        <f>IF(ISBLANK(MAIN!C603), "--", IFERROR(PROPER(SUBSTITUTE(SUBSTITUTE(SUBSTITUTE(SUBSTITUTE(SUBSTITUTE(SUBSTITUTE(SUBSTITUTE(SUBSTITUTE(SUBSTITUTE(SUBSTITUTE(LEFT(MAIN!C603, FIND(",",MAIN!C603) -1), "0", ""), "1", ""), "2", ""), "3", ""), "4", ""), "5", ""), "6", ""), "7", ""), "8", ""), "9", "")), PROPER(SUBSTITUTE(SUBSTITUTE(SUBSTITUTE(SUBSTITUTE(SUBSTITUTE(SUBSTITUTE(SUBSTITUTE(SUBSTITUTE(SUBSTITUTE(SUBSTITUTE(MAIN!C603, "0", ""), "1", ""), "2", ""), "3", ""), "4", ""), "5", ""), "6", ""), "7", ""), "8", ""), "9", ""))))</f>
        <v>--</v>
      </c>
      <c r="D603" t="str">
        <f>IF(ISBLANK(MAIN!D603), "--", IF(ISNUMBER(MATCH(SUBSTITUTE(LEFT(MAIN!D603, IFERROR(FIND(",", MAIN!D603)-1, LEN(MAIN!D603))), " ", ""), lookup_values!$B$2:$B$51, 0)), UPPER(SUBSTITUTE(LEFT(MAIN!D603, IFERROR(FIND(",", MAIN!D603)-1, LEN(MAIN!D603))), " ", "")), IF(ISNA(VLOOKUP(SUBSTITUTE(LEFT(MAIN!D603, IFERROR(FIND(",", MAIN!D603)-1, LEN(MAIN!D603))), " ", ""), lookup_values!$A$2:$B$51, 2, FALSE)), "--", VLOOKUP(SUBSTITUTE(LEFT(MAIN!D603, IFERROR(FIND(",", MAIN!D603)-1, LEN(MAIN!D603))), " ", ""), lookup_values!$A$2:$B$51, 2, FALSE))))</f>
        <v>--</v>
      </c>
      <c r="E603" t="str">
        <f>IF(CLEAN_DATA!D603&lt;&gt;"--","US",IF(ISBLANK(MAIN!E603), "--", IF(ISNUMBER(MATCH(SUBSTITUTE(LEFT(MAIN!E603, IFERROR(FIND(",", MAIN!E603)-1, LEN(MAIN!E603))), " ", ""), lookup_values!$E$2:$E$197, 0)), UPPER(SUBSTITUTE(LEFT(MAIN!E603, IFERROR(FIND(",", MAIN!E603)-1, LEN(MAIN!E603))), " ", "")), IF(ISNA(VLOOKUP(SUBSTITUTE(LEFT(MAIN!E603, IFERROR(FIND(",", MAIN!E603)-1, LEN(MAIN!E603))), " ", ""), lookup_values!$D$2:$E$197, 2, FALSE)), "--", VLOOKUP(SUBSTITUTE(LEFT(MAIN!E603, IFERROR(FIND(",", MAIN!E603)-1, LEN(MAIN!E603))), " ", ""), lookup_values!$D$2:$E$197, 2, FALSE)))))</f>
        <v>--</v>
      </c>
      <c r="F603" t="str">
        <f>IF(ISBLANK(MAIN!F603), "", IF(AND(ISNUMBER(VALUE(TRIM(MAIN!F603))), LEN(TRIM(MAIN!F603))=4), VALUE(TRIM(MAIN!F603)), ""))</f>
        <v/>
      </c>
      <c r="G603">
        <f>IF(ISBLANK(MAIN!G603), 0, IF(ISNUMBER(VALUE(TRIM(MAIN!G603))), VALUE(TRIM(MAIN!G603)), 0))</f>
        <v>0</v>
      </c>
      <c r="H603">
        <f>IF(ISBLANK(MAIN!H603), 0, IF(ISNUMBER(VALUE(TRIM(MAIN!H603))), VALUE(TRIM(MAIN!H603)), 0))</f>
        <v>0</v>
      </c>
      <c r="I603">
        <f>IF(ISBLANK(MAIN!I603), 0, IF(ISNUMBER(VALUE(TRIM(MAIN!I603))), VALUE(TRIM(MAIN!I603)), 0))</f>
        <v>0</v>
      </c>
      <c r="J603">
        <f>IF(ISBLANK(MAIN!J603), 0, IF(ISNUMBER(VALUE(TRIM(MAIN!J603))), VALUE(TRIM(MAIN!J603)), 0))</f>
        <v>0</v>
      </c>
      <c r="K603" cm="1">
        <f t="array" ref="K603">IFERROR(
    VALUE(
        IFERROR(
            UPPER(
                IF(MAX(IFERROR(SEARCH("WD",MAIN!G603:J603), 0))&gt;0, "WD",
                IF(MAX(IFERROR(SEARCH("NS",MAIN!G603:J603), 0))&gt;0, "NS",
                IF(MAX(IFERROR(SEARCH("NC",MAIN!G603:J603), 0))&gt;0, "NC",
                IF(MAX(IFERROR(SEARCH("DQ",MAIN!G603:J603), 0))&gt;0, "DQ",
                IF(ISNUMBER(SEARCH("WD",MAIN!K603)), "WD",
                IF(ISNUMBER(SEARCH("NS",MAIN!K603)), "NS",
                IF(ISNUMBER(SEARCH("NC",MAIN!K603)), "NC",
                IF(ISNUMBER(SEARCH("DQ",MAIN!K603)), "DQ",
                IF(ISNUMBER(SEARCH("A",MAIN!K603)), 0,
                IF(OR(MAIN!K603=0,MAIN!K603=""), 0, --TRIM(MAIN!K603)))))))))))),
            0
        )
    ),
    IFERROR(
        UPPER(
            IF(MAX(IFERROR(SEARCH("WD",MAIN!G603:J603), 0))&gt;0, "WD",
            IF(MAX(IFERROR(SEARCH("NS",MAIN!G603:J603), 0))&gt;0, "NS",
            IF(MAX(IFERROR(SEARCH("NC",MAIN!G603:J603), 0))&gt;0, "NC",
            IF(MAX(IFERROR(SEARCH("DQ",MAIN!G603:J603), 0))&gt;0, "DQ",
            IF(ISNUMBER(SEARCH("WD",MAIN!K603)), "WD",
            IF(ISNUMBER(SEARCH("NS",MAIN!K603)), "NS",
            IF(ISNUMBER(SEARCH("NC",MAIN!K603)), "NC",
            IF(ISNUMBER(SEARCH("DQ",MAIN!K603)), "DQ",
            IF(ISNUMBER(SEARCH("A",MAIN!K603)), 0,
            IF(OR(MAIN!K603=0,MAIN!K603=""), 0, --TRIM(MAIN!K603)))))))))))),
        0
    )
)</f>
        <v>0</v>
      </c>
    </row>
    <row r="604" spans="1:11" x14ac:dyDescent="0.25">
      <c r="A604" t="str">
        <f>IF(ISBLANK(MAIN!A604), "--", IFERROR(PROPER(SUBSTITUTE(SUBSTITUTE(SUBSTITUTE(SUBSTITUTE(SUBSTITUTE(SUBSTITUTE(SUBSTITUTE(SUBSTITUTE(SUBSTITUTE(SUBSTITUTE(LEFT(MAIN!A604, FIND(",",MAIN!A604) -1), "0", ""), "1", ""), "2", ""), "3", ""), "4", ""), "5", ""), "6", ""), "7", ""), "8", ""), "9", "")), PROPER(SUBSTITUTE(SUBSTITUTE(SUBSTITUTE(SUBSTITUTE(SUBSTITUTE(SUBSTITUTE(SUBSTITUTE(SUBSTITUTE(SUBSTITUTE(SUBSTITUTE(MAIN!A604, "0", ""), "1", ""), "2", ""), "3", ""), "4", ""), "5", ""), "6", ""), "7", ""), "8", ""), "9", ""))))</f>
        <v>--</v>
      </c>
      <c r="B604" t="str">
        <f>IF(ISBLANK(MAIN!B604), "--", IFERROR(PROPER(SUBSTITUTE(SUBSTITUTE(SUBSTITUTE(SUBSTITUTE(SUBSTITUTE(SUBSTITUTE(SUBSTITUTE(SUBSTITUTE(SUBSTITUTE(SUBSTITUTE(LEFT(MAIN!B604, FIND(",",MAIN!B604) -1), "0", ""), "1", ""), "2", ""), "3", ""), "4", ""), "5", ""), "6", ""), "7", ""), "8", ""), "9", "")), PROPER(SUBSTITUTE(SUBSTITUTE(SUBSTITUTE(SUBSTITUTE(SUBSTITUTE(SUBSTITUTE(SUBSTITUTE(SUBSTITUTE(SUBSTITUTE(SUBSTITUTE(MAIN!B604, "0", ""), "1", ""), "2", ""), "3", ""), "4", ""), "5", ""), "6", ""), "7", ""), "8", ""), "9", ""))))</f>
        <v>--</v>
      </c>
      <c r="C604" t="str">
        <f>IF(ISBLANK(MAIN!C604), "--", IFERROR(PROPER(SUBSTITUTE(SUBSTITUTE(SUBSTITUTE(SUBSTITUTE(SUBSTITUTE(SUBSTITUTE(SUBSTITUTE(SUBSTITUTE(SUBSTITUTE(SUBSTITUTE(LEFT(MAIN!C604, FIND(",",MAIN!C604) -1), "0", ""), "1", ""), "2", ""), "3", ""), "4", ""), "5", ""), "6", ""), "7", ""), "8", ""), "9", "")), PROPER(SUBSTITUTE(SUBSTITUTE(SUBSTITUTE(SUBSTITUTE(SUBSTITUTE(SUBSTITUTE(SUBSTITUTE(SUBSTITUTE(SUBSTITUTE(SUBSTITUTE(MAIN!C604, "0", ""), "1", ""), "2", ""), "3", ""), "4", ""), "5", ""), "6", ""), "7", ""), "8", ""), "9", ""))))</f>
        <v>--</v>
      </c>
      <c r="D604" t="str">
        <f>IF(ISBLANK(MAIN!D604), "--", IF(ISNUMBER(MATCH(SUBSTITUTE(LEFT(MAIN!D604, IFERROR(FIND(",", MAIN!D604)-1, LEN(MAIN!D604))), " ", ""), lookup_values!$B$2:$B$51, 0)), UPPER(SUBSTITUTE(LEFT(MAIN!D604, IFERROR(FIND(",", MAIN!D604)-1, LEN(MAIN!D604))), " ", "")), IF(ISNA(VLOOKUP(SUBSTITUTE(LEFT(MAIN!D604, IFERROR(FIND(",", MAIN!D604)-1, LEN(MAIN!D604))), " ", ""), lookup_values!$A$2:$B$51, 2, FALSE)), "--", VLOOKUP(SUBSTITUTE(LEFT(MAIN!D604, IFERROR(FIND(",", MAIN!D604)-1, LEN(MAIN!D604))), " ", ""), lookup_values!$A$2:$B$51, 2, FALSE))))</f>
        <v>--</v>
      </c>
      <c r="E604" t="str">
        <f>IF(CLEAN_DATA!D604&lt;&gt;"--","US",IF(ISBLANK(MAIN!E604), "--", IF(ISNUMBER(MATCH(SUBSTITUTE(LEFT(MAIN!E604, IFERROR(FIND(",", MAIN!E604)-1, LEN(MAIN!E604))), " ", ""), lookup_values!$E$2:$E$197, 0)), UPPER(SUBSTITUTE(LEFT(MAIN!E604, IFERROR(FIND(",", MAIN!E604)-1, LEN(MAIN!E604))), " ", "")), IF(ISNA(VLOOKUP(SUBSTITUTE(LEFT(MAIN!E604, IFERROR(FIND(",", MAIN!E604)-1, LEN(MAIN!E604))), " ", ""), lookup_values!$D$2:$E$197, 2, FALSE)), "--", VLOOKUP(SUBSTITUTE(LEFT(MAIN!E604, IFERROR(FIND(",", MAIN!E604)-1, LEN(MAIN!E604))), " ", ""), lookup_values!$D$2:$E$197, 2, FALSE)))))</f>
        <v>--</v>
      </c>
      <c r="F604" t="str">
        <f>IF(ISBLANK(MAIN!F604), "", IF(AND(ISNUMBER(VALUE(TRIM(MAIN!F604))), LEN(TRIM(MAIN!F604))=4), VALUE(TRIM(MAIN!F604)), ""))</f>
        <v/>
      </c>
      <c r="G604">
        <f>IF(ISBLANK(MAIN!G604), 0, IF(ISNUMBER(VALUE(TRIM(MAIN!G604))), VALUE(TRIM(MAIN!G604)), 0))</f>
        <v>0</v>
      </c>
      <c r="H604">
        <f>IF(ISBLANK(MAIN!H604), 0, IF(ISNUMBER(VALUE(TRIM(MAIN!H604))), VALUE(TRIM(MAIN!H604)), 0))</f>
        <v>0</v>
      </c>
      <c r="I604">
        <f>IF(ISBLANK(MAIN!I604), 0, IF(ISNUMBER(VALUE(TRIM(MAIN!I604))), VALUE(TRIM(MAIN!I604)), 0))</f>
        <v>0</v>
      </c>
      <c r="J604">
        <f>IF(ISBLANK(MAIN!J604), 0, IF(ISNUMBER(VALUE(TRIM(MAIN!J604))), VALUE(TRIM(MAIN!J604)), 0))</f>
        <v>0</v>
      </c>
      <c r="K604" cm="1">
        <f t="array" ref="K604">IFERROR(
    VALUE(
        IFERROR(
            UPPER(
                IF(MAX(IFERROR(SEARCH("WD",MAIN!G604:J604), 0))&gt;0, "WD",
                IF(MAX(IFERROR(SEARCH("NS",MAIN!G604:J604), 0))&gt;0, "NS",
                IF(MAX(IFERROR(SEARCH("NC",MAIN!G604:J604), 0))&gt;0, "NC",
                IF(MAX(IFERROR(SEARCH("DQ",MAIN!G604:J604), 0))&gt;0, "DQ",
                IF(ISNUMBER(SEARCH("WD",MAIN!K604)), "WD",
                IF(ISNUMBER(SEARCH("NS",MAIN!K604)), "NS",
                IF(ISNUMBER(SEARCH("NC",MAIN!K604)), "NC",
                IF(ISNUMBER(SEARCH("DQ",MAIN!K604)), "DQ",
                IF(ISNUMBER(SEARCH("A",MAIN!K604)), 0,
                IF(OR(MAIN!K604=0,MAIN!K604=""), 0, --TRIM(MAIN!K604)))))))))))),
            0
        )
    ),
    IFERROR(
        UPPER(
            IF(MAX(IFERROR(SEARCH("WD",MAIN!G604:J604), 0))&gt;0, "WD",
            IF(MAX(IFERROR(SEARCH("NS",MAIN!G604:J604), 0))&gt;0, "NS",
            IF(MAX(IFERROR(SEARCH("NC",MAIN!G604:J604), 0))&gt;0, "NC",
            IF(MAX(IFERROR(SEARCH("DQ",MAIN!G604:J604), 0))&gt;0, "DQ",
            IF(ISNUMBER(SEARCH("WD",MAIN!K604)), "WD",
            IF(ISNUMBER(SEARCH("NS",MAIN!K604)), "NS",
            IF(ISNUMBER(SEARCH("NC",MAIN!K604)), "NC",
            IF(ISNUMBER(SEARCH("DQ",MAIN!K604)), "DQ",
            IF(ISNUMBER(SEARCH("A",MAIN!K604)), 0,
            IF(OR(MAIN!K604=0,MAIN!K604=""), 0, --TRIM(MAIN!K604)))))))))))),
        0
    )
)</f>
        <v>0</v>
      </c>
    </row>
    <row r="605" spans="1:11" x14ac:dyDescent="0.25">
      <c r="A605" t="str">
        <f>IF(ISBLANK(MAIN!A605), "--", IFERROR(PROPER(SUBSTITUTE(SUBSTITUTE(SUBSTITUTE(SUBSTITUTE(SUBSTITUTE(SUBSTITUTE(SUBSTITUTE(SUBSTITUTE(SUBSTITUTE(SUBSTITUTE(LEFT(MAIN!A605, FIND(",",MAIN!A605) -1), "0", ""), "1", ""), "2", ""), "3", ""), "4", ""), "5", ""), "6", ""), "7", ""), "8", ""), "9", "")), PROPER(SUBSTITUTE(SUBSTITUTE(SUBSTITUTE(SUBSTITUTE(SUBSTITUTE(SUBSTITUTE(SUBSTITUTE(SUBSTITUTE(SUBSTITUTE(SUBSTITUTE(MAIN!A605, "0", ""), "1", ""), "2", ""), "3", ""), "4", ""), "5", ""), "6", ""), "7", ""), "8", ""), "9", ""))))</f>
        <v>--</v>
      </c>
      <c r="B605" t="str">
        <f>IF(ISBLANK(MAIN!B605), "--", IFERROR(PROPER(SUBSTITUTE(SUBSTITUTE(SUBSTITUTE(SUBSTITUTE(SUBSTITUTE(SUBSTITUTE(SUBSTITUTE(SUBSTITUTE(SUBSTITUTE(SUBSTITUTE(LEFT(MAIN!B605, FIND(",",MAIN!B605) -1), "0", ""), "1", ""), "2", ""), "3", ""), "4", ""), "5", ""), "6", ""), "7", ""), "8", ""), "9", "")), PROPER(SUBSTITUTE(SUBSTITUTE(SUBSTITUTE(SUBSTITUTE(SUBSTITUTE(SUBSTITUTE(SUBSTITUTE(SUBSTITUTE(SUBSTITUTE(SUBSTITUTE(MAIN!B605, "0", ""), "1", ""), "2", ""), "3", ""), "4", ""), "5", ""), "6", ""), "7", ""), "8", ""), "9", ""))))</f>
        <v>--</v>
      </c>
      <c r="C605" t="str">
        <f>IF(ISBLANK(MAIN!C605), "--", IFERROR(PROPER(SUBSTITUTE(SUBSTITUTE(SUBSTITUTE(SUBSTITUTE(SUBSTITUTE(SUBSTITUTE(SUBSTITUTE(SUBSTITUTE(SUBSTITUTE(SUBSTITUTE(LEFT(MAIN!C605, FIND(",",MAIN!C605) -1), "0", ""), "1", ""), "2", ""), "3", ""), "4", ""), "5", ""), "6", ""), "7", ""), "8", ""), "9", "")), PROPER(SUBSTITUTE(SUBSTITUTE(SUBSTITUTE(SUBSTITUTE(SUBSTITUTE(SUBSTITUTE(SUBSTITUTE(SUBSTITUTE(SUBSTITUTE(SUBSTITUTE(MAIN!C605, "0", ""), "1", ""), "2", ""), "3", ""), "4", ""), "5", ""), "6", ""), "7", ""), "8", ""), "9", ""))))</f>
        <v>--</v>
      </c>
      <c r="D605" t="str">
        <f>IF(ISBLANK(MAIN!D605), "--", IF(ISNUMBER(MATCH(SUBSTITUTE(LEFT(MAIN!D605, IFERROR(FIND(",", MAIN!D605)-1, LEN(MAIN!D605))), " ", ""), lookup_values!$B$2:$B$51, 0)), UPPER(SUBSTITUTE(LEFT(MAIN!D605, IFERROR(FIND(",", MAIN!D605)-1, LEN(MAIN!D605))), " ", "")), IF(ISNA(VLOOKUP(SUBSTITUTE(LEFT(MAIN!D605, IFERROR(FIND(",", MAIN!D605)-1, LEN(MAIN!D605))), " ", ""), lookup_values!$A$2:$B$51, 2, FALSE)), "--", VLOOKUP(SUBSTITUTE(LEFT(MAIN!D605, IFERROR(FIND(",", MAIN!D605)-1, LEN(MAIN!D605))), " ", ""), lookup_values!$A$2:$B$51, 2, FALSE))))</f>
        <v>--</v>
      </c>
      <c r="E605" t="str">
        <f>IF(CLEAN_DATA!D605&lt;&gt;"--","US",IF(ISBLANK(MAIN!E605), "--", IF(ISNUMBER(MATCH(SUBSTITUTE(LEFT(MAIN!E605, IFERROR(FIND(",", MAIN!E605)-1, LEN(MAIN!E605))), " ", ""), lookup_values!$E$2:$E$197, 0)), UPPER(SUBSTITUTE(LEFT(MAIN!E605, IFERROR(FIND(",", MAIN!E605)-1, LEN(MAIN!E605))), " ", "")), IF(ISNA(VLOOKUP(SUBSTITUTE(LEFT(MAIN!E605, IFERROR(FIND(",", MAIN!E605)-1, LEN(MAIN!E605))), " ", ""), lookup_values!$D$2:$E$197, 2, FALSE)), "--", VLOOKUP(SUBSTITUTE(LEFT(MAIN!E605, IFERROR(FIND(",", MAIN!E605)-1, LEN(MAIN!E605))), " ", ""), lookup_values!$D$2:$E$197, 2, FALSE)))))</f>
        <v>--</v>
      </c>
      <c r="F605" t="str">
        <f>IF(ISBLANK(MAIN!F605), "", IF(AND(ISNUMBER(VALUE(TRIM(MAIN!F605))), LEN(TRIM(MAIN!F605))=4), VALUE(TRIM(MAIN!F605)), ""))</f>
        <v/>
      </c>
      <c r="G605">
        <f>IF(ISBLANK(MAIN!G605), 0, IF(ISNUMBER(VALUE(TRIM(MAIN!G605))), VALUE(TRIM(MAIN!G605)), 0))</f>
        <v>0</v>
      </c>
      <c r="H605">
        <f>IF(ISBLANK(MAIN!H605), 0, IF(ISNUMBER(VALUE(TRIM(MAIN!H605))), VALUE(TRIM(MAIN!H605)), 0))</f>
        <v>0</v>
      </c>
      <c r="I605">
        <f>IF(ISBLANK(MAIN!I605), 0, IF(ISNUMBER(VALUE(TRIM(MAIN!I605))), VALUE(TRIM(MAIN!I605)), 0))</f>
        <v>0</v>
      </c>
      <c r="J605">
        <f>IF(ISBLANK(MAIN!J605), 0, IF(ISNUMBER(VALUE(TRIM(MAIN!J605))), VALUE(TRIM(MAIN!J605)), 0))</f>
        <v>0</v>
      </c>
      <c r="K605" cm="1">
        <f t="array" ref="K605">IFERROR(
    VALUE(
        IFERROR(
            UPPER(
                IF(MAX(IFERROR(SEARCH("WD",MAIN!G605:J605), 0))&gt;0, "WD",
                IF(MAX(IFERROR(SEARCH("NS",MAIN!G605:J605), 0))&gt;0, "NS",
                IF(MAX(IFERROR(SEARCH("NC",MAIN!G605:J605), 0))&gt;0, "NC",
                IF(MAX(IFERROR(SEARCH("DQ",MAIN!G605:J605), 0))&gt;0, "DQ",
                IF(ISNUMBER(SEARCH("WD",MAIN!K605)), "WD",
                IF(ISNUMBER(SEARCH("NS",MAIN!K605)), "NS",
                IF(ISNUMBER(SEARCH("NC",MAIN!K605)), "NC",
                IF(ISNUMBER(SEARCH("DQ",MAIN!K605)), "DQ",
                IF(ISNUMBER(SEARCH("A",MAIN!K605)), 0,
                IF(OR(MAIN!K605=0,MAIN!K605=""), 0, --TRIM(MAIN!K605)))))))))))),
            0
        )
    ),
    IFERROR(
        UPPER(
            IF(MAX(IFERROR(SEARCH("WD",MAIN!G605:J605), 0))&gt;0, "WD",
            IF(MAX(IFERROR(SEARCH("NS",MAIN!G605:J605), 0))&gt;0, "NS",
            IF(MAX(IFERROR(SEARCH("NC",MAIN!G605:J605), 0))&gt;0, "NC",
            IF(MAX(IFERROR(SEARCH("DQ",MAIN!G605:J605), 0))&gt;0, "DQ",
            IF(ISNUMBER(SEARCH("WD",MAIN!K605)), "WD",
            IF(ISNUMBER(SEARCH("NS",MAIN!K605)), "NS",
            IF(ISNUMBER(SEARCH("NC",MAIN!K605)), "NC",
            IF(ISNUMBER(SEARCH("DQ",MAIN!K605)), "DQ",
            IF(ISNUMBER(SEARCH("A",MAIN!K605)), 0,
            IF(OR(MAIN!K605=0,MAIN!K605=""), 0, --TRIM(MAIN!K605)))))))))))),
        0
    )
)</f>
        <v>0</v>
      </c>
    </row>
    <row r="606" spans="1:11" x14ac:dyDescent="0.25">
      <c r="A606" t="str">
        <f>IF(ISBLANK(MAIN!A606), "--", IFERROR(PROPER(SUBSTITUTE(SUBSTITUTE(SUBSTITUTE(SUBSTITUTE(SUBSTITUTE(SUBSTITUTE(SUBSTITUTE(SUBSTITUTE(SUBSTITUTE(SUBSTITUTE(LEFT(MAIN!A606, FIND(",",MAIN!A606) -1), "0", ""), "1", ""), "2", ""), "3", ""), "4", ""), "5", ""), "6", ""), "7", ""), "8", ""), "9", "")), PROPER(SUBSTITUTE(SUBSTITUTE(SUBSTITUTE(SUBSTITUTE(SUBSTITUTE(SUBSTITUTE(SUBSTITUTE(SUBSTITUTE(SUBSTITUTE(SUBSTITUTE(MAIN!A606, "0", ""), "1", ""), "2", ""), "3", ""), "4", ""), "5", ""), "6", ""), "7", ""), "8", ""), "9", ""))))</f>
        <v>--</v>
      </c>
      <c r="B606" t="str">
        <f>IF(ISBLANK(MAIN!B606), "--", IFERROR(PROPER(SUBSTITUTE(SUBSTITUTE(SUBSTITUTE(SUBSTITUTE(SUBSTITUTE(SUBSTITUTE(SUBSTITUTE(SUBSTITUTE(SUBSTITUTE(SUBSTITUTE(LEFT(MAIN!B606, FIND(",",MAIN!B606) -1), "0", ""), "1", ""), "2", ""), "3", ""), "4", ""), "5", ""), "6", ""), "7", ""), "8", ""), "9", "")), PROPER(SUBSTITUTE(SUBSTITUTE(SUBSTITUTE(SUBSTITUTE(SUBSTITUTE(SUBSTITUTE(SUBSTITUTE(SUBSTITUTE(SUBSTITUTE(SUBSTITUTE(MAIN!B606, "0", ""), "1", ""), "2", ""), "3", ""), "4", ""), "5", ""), "6", ""), "7", ""), "8", ""), "9", ""))))</f>
        <v>--</v>
      </c>
      <c r="C606" t="str">
        <f>IF(ISBLANK(MAIN!C606), "--", IFERROR(PROPER(SUBSTITUTE(SUBSTITUTE(SUBSTITUTE(SUBSTITUTE(SUBSTITUTE(SUBSTITUTE(SUBSTITUTE(SUBSTITUTE(SUBSTITUTE(SUBSTITUTE(LEFT(MAIN!C606, FIND(",",MAIN!C606) -1), "0", ""), "1", ""), "2", ""), "3", ""), "4", ""), "5", ""), "6", ""), "7", ""), "8", ""), "9", "")), PROPER(SUBSTITUTE(SUBSTITUTE(SUBSTITUTE(SUBSTITUTE(SUBSTITUTE(SUBSTITUTE(SUBSTITUTE(SUBSTITUTE(SUBSTITUTE(SUBSTITUTE(MAIN!C606, "0", ""), "1", ""), "2", ""), "3", ""), "4", ""), "5", ""), "6", ""), "7", ""), "8", ""), "9", ""))))</f>
        <v>--</v>
      </c>
      <c r="D606" t="str">
        <f>IF(ISBLANK(MAIN!D606), "--", IF(ISNUMBER(MATCH(SUBSTITUTE(LEFT(MAIN!D606, IFERROR(FIND(",", MAIN!D606)-1, LEN(MAIN!D606))), " ", ""), lookup_values!$B$2:$B$51, 0)), UPPER(SUBSTITUTE(LEFT(MAIN!D606, IFERROR(FIND(",", MAIN!D606)-1, LEN(MAIN!D606))), " ", "")), IF(ISNA(VLOOKUP(SUBSTITUTE(LEFT(MAIN!D606, IFERROR(FIND(",", MAIN!D606)-1, LEN(MAIN!D606))), " ", ""), lookup_values!$A$2:$B$51, 2, FALSE)), "--", VLOOKUP(SUBSTITUTE(LEFT(MAIN!D606, IFERROR(FIND(",", MAIN!D606)-1, LEN(MAIN!D606))), " ", ""), lookup_values!$A$2:$B$51, 2, FALSE))))</f>
        <v>--</v>
      </c>
      <c r="E606" t="str">
        <f>IF(CLEAN_DATA!D606&lt;&gt;"--","US",IF(ISBLANK(MAIN!E606), "--", IF(ISNUMBER(MATCH(SUBSTITUTE(LEFT(MAIN!E606, IFERROR(FIND(",", MAIN!E606)-1, LEN(MAIN!E606))), " ", ""), lookup_values!$E$2:$E$197, 0)), UPPER(SUBSTITUTE(LEFT(MAIN!E606, IFERROR(FIND(",", MAIN!E606)-1, LEN(MAIN!E606))), " ", "")), IF(ISNA(VLOOKUP(SUBSTITUTE(LEFT(MAIN!E606, IFERROR(FIND(",", MAIN!E606)-1, LEN(MAIN!E606))), " ", ""), lookup_values!$D$2:$E$197, 2, FALSE)), "--", VLOOKUP(SUBSTITUTE(LEFT(MAIN!E606, IFERROR(FIND(",", MAIN!E606)-1, LEN(MAIN!E606))), " ", ""), lookup_values!$D$2:$E$197, 2, FALSE)))))</f>
        <v>--</v>
      </c>
      <c r="F606" t="str">
        <f>IF(ISBLANK(MAIN!F606), "", IF(AND(ISNUMBER(VALUE(TRIM(MAIN!F606))), LEN(TRIM(MAIN!F606))=4), VALUE(TRIM(MAIN!F606)), ""))</f>
        <v/>
      </c>
      <c r="G606">
        <f>IF(ISBLANK(MAIN!G606), 0, IF(ISNUMBER(VALUE(TRIM(MAIN!G606))), VALUE(TRIM(MAIN!G606)), 0))</f>
        <v>0</v>
      </c>
      <c r="H606">
        <f>IF(ISBLANK(MAIN!H606), 0, IF(ISNUMBER(VALUE(TRIM(MAIN!H606))), VALUE(TRIM(MAIN!H606)), 0))</f>
        <v>0</v>
      </c>
      <c r="I606">
        <f>IF(ISBLANK(MAIN!I606), 0, IF(ISNUMBER(VALUE(TRIM(MAIN!I606))), VALUE(TRIM(MAIN!I606)), 0))</f>
        <v>0</v>
      </c>
      <c r="J606">
        <f>IF(ISBLANK(MAIN!J606), 0, IF(ISNUMBER(VALUE(TRIM(MAIN!J606))), VALUE(TRIM(MAIN!J606)), 0))</f>
        <v>0</v>
      </c>
      <c r="K606" cm="1">
        <f t="array" ref="K606">IFERROR(
    VALUE(
        IFERROR(
            UPPER(
                IF(MAX(IFERROR(SEARCH("WD",MAIN!G606:J606), 0))&gt;0, "WD",
                IF(MAX(IFERROR(SEARCH("NS",MAIN!G606:J606), 0))&gt;0, "NS",
                IF(MAX(IFERROR(SEARCH("NC",MAIN!G606:J606), 0))&gt;0, "NC",
                IF(MAX(IFERROR(SEARCH("DQ",MAIN!G606:J606), 0))&gt;0, "DQ",
                IF(ISNUMBER(SEARCH("WD",MAIN!K606)), "WD",
                IF(ISNUMBER(SEARCH("NS",MAIN!K606)), "NS",
                IF(ISNUMBER(SEARCH("NC",MAIN!K606)), "NC",
                IF(ISNUMBER(SEARCH("DQ",MAIN!K606)), "DQ",
                IF(ISNUMBER(SEARCH("A",MAIN!K606)), 0,
                IF(OR(MAIN!K606=0,MAIN!K606=""), 0, --TRIM(MAIN!K606)))))))))))),
            0
        )
    ),
    IFERROR(
        UPPER(
            IF(MAX(IFERROR(SEARCH("WD",MAIN!G606:J606), 0))&gt;0, "WD",
            IF(MAX(IFERROR(SEARCH("NS",MAIN!G606:J606), 0))&gt;0, "NS",
            IF(MAX(IFERROR(SEARCH("NC",MAIN!G606:J606), 0))&gt;0, "NC",
            IF(MAX(IFERROR(SEARCH("DQ",MAIN!G606:J606), 0))&gt;0, "DQ",
            IF(ISNUMBER(SEARCH("WD",MAIN!K606)), "WD",
            IF(ISNUMBER(SEARCH("NS",MAIN!K606)), "NS",
            IF(ISNUMBER(SEARCH("NC",MAIN!K606)), "NC",
            IF(ISNUMBER(SEARCH("DQ",MAIN!K606)), "DQ",
            IF(ISNUMBER(SEARCH("A",MAIN!K606)), 0,
            IF(OR(MAIN!K606=0,MAIN!K606=""), 0, --TRIM(MAIN!K606)))))))))))),
        0
    )
)</f>
        <v>0</v>
      </c>
    </row>
    <row r="607" spans="1:11" x14ac:dyDescent="0.25">
      <c r="A607" t="str">
        <f>IF(ISBLANK(MAIN!A607), "--", IFERROR(PROPER(SUBSTITUTE(SUBSTITUTE(SUBSTITUTE(SUBSTITUTE(SUBSTITUTE(SUBSTITUTE(SUBSTITUTE(SUBSTITUTE(SUBSTITUTE(SUBSTITUTE(LEFT(MAIN!A607, FIND(",",MAIN!A607) -1), "0", ""), "1", ""), "2", ""), "3", ""), "4", ""), "5", ""), "6", ""), "7", ""), "8", ""), "9", "")), PROPER(SUBSTITUTE(SUBSTITUTE(SUBSTITUTE(SUBSTITUTE(SUBSTITUTE(SUBSTITUTE(SUBSTITUTE(SUBSTITUTE(SUBSTITUTE(SUBSTITUTE(MAIN!A607, "0", ""), "1", ""), "2", ""), "3", ""), "4", ""), "5", ""), "6", ""), "7", ""), "8", ""), "9", ""))))</f>
        <v>--</v>
      </c>
      <c r="B607" t="str">
        <f>IF(ISBLANK(MAIN!B607), "--", IFERROR(PROPER(SUBSTITUTE(SUBSTITUTE(SUBSTITUTE(SUBSTITUTE(SUBSTITUTE(SUBSTITUTE(SUBSTITUTE(SUBSTITUTE(SUBSTITUTE(SUBSTITUTE(LEFT(MAIN!B607, FIND(",",MAIN!B607) -1), "0", ""), "1", ""), "2", ""), "3", ""), "4", ""), "5", ""), "6", ""), "7", ""), "8", ""), "9", "")), PROPER(SUBSTITUTE(SUBSTITUTE(SUBSTITUTE(SUBSTITUTE(SUBSTITUTE(SUBSTITUTE(SUBSTITUTE(SUBSTITUTE(SUBSTITUTE(SUBSTITUTE(MAIN!B607, "0", ""), "1", ""), "2", ""), "3", ""), "4", ""), "5", ""), "6", ""), "7", ""), "8", ""), "9", ""))))</f>
        <v>--</v>
      </c>
      <c r="C607" t="str">
        <f>IF(ISBLANK(MAIN!C607), "--", IFERROR(PROPER(SUBSTITUTE(SUBSTITUTE(SUBSTITUTE(SUBSTITUTE(SUBSTITUTE(SUBSTITUTE(SUBSTITUTE(SUBSTITUTE(SUBSTITUTE(SUBSTITUTE(LEFT(MAIN!C607, FIND(",",MAIN!C607) -1), "0", ""), "1", ""), "2", ""), "3", ""), "4", ""), "5", ""), "6", ""), "7", ""), "8", ""), "9", "")), PROPER(SUBSTITUTE(SUBSTITUTE(SUBSTITUTE(SUBSTITUTE(SUBSTITUTE(SUBSTITUTE(SUBSTITUTE(SUBSTITUTE(SUBSTITUTE(SUBSTITUTE(MAIN!C607, "0", ""), "1", ""), "2", ""), "3", ""), "4", ""), "5", ""), "6", ""), "7", ""), "8", ""), "9", ""))))</f>
        <v>--</v>
      </c>
      <c r="D607" t="str">
        <f>IF(ISBLANK(MAIN!D607), "--", IF(ISNUMBER(MATCH(SUBSTITUTE(LEFT(MAIN!D607, IFERROR(FIND(",", MAIN!D607)-1, LEN(MAIN!D607))), " ", ""), lookup_values!$B$2:$B$51, 0)), UPPER(SUBSTITUTE(LEFT(MAIN!D607, IFERROR(FIND(",", MAIN!D607)-1, LEN(MAIN!D607))), " ", "")), IF(ISNA(VLOOKUP(SUBSTITUTE(LEFT(MAIN!D607, IFERROR(FIND(",", MAIN!D607)-1, LEN(MAIN!D607))), " ", ""), lookup_values!$A$2:$B$51, 2, FALSE)), "--", VLOOKUP(SUBSTITUTE(LEFT(MAIN!D607, IFERROR(FIND(",", MAIN!D607)-1, LEN(MAIN!D607))), " ", ""), lookup_values!$A$2:$B$51, 2, FALSE))))</f>
        <v>--</v>
      </c>
      <c r="E607" t="str">
        <f>IF(CLEAN_DATA!D607&lt;&gt;"--","US",IF(ISBLANK(MAIN!E607), "--", IF(ISNUMBER(MATCH(SUBSTITUTE(LEFT(MAIN!E607, IFERROR(FIND(",", MAIN!E607)-1, LEN(MAIN!E607))), " ", ""), lookup_values!$E$2:$E$197, 0)), UPPER(SUBSTITUTE(LEFT(MAIN!E607, IFERROR(FIND(",", MAIN!E607)-1, LEN(MAIN!E607))), " ", "")), IF(ISNA(VLOOKUP(SUBSTITUTE(LEFT(MAIN!E607, IFERROR(FIND(",", MAIN!E607)-1, LEN(MAIN!E607))), " ", ""), lookup_values!$D$2:$E$197, 2, FALSE)), "--", VLOOKUP(SUBSTITUTE(LEFT(MAIN!E607, IFERROR(FIND(",", MAIN!E607)-1, LEN(MAIN!E607))), " ", ""), lookup_values!$D$2:$E$197, 2, FALSE)))))</f>
        <v>--</v>
      </c>
      <c r="F607" t="str">
        <f>IF(ISBLANK(MAIN!F607), "", IF(AND(ISNUMBER(VALUE(TRIM(MAIN!F607))), LEN(TRIM(MAIN!F607))=4), VALUE(TRIM(MAIN!F607)), ""))</f>
        <v/>
      </c>
      <c r="G607">
        <f>IF(ISBLANK(MAIN!G607), 0, IF(ISNUMBER(VALUE(TRIM(MAIN!G607))), VALUE(TRIM(MAIN!G607)), 0))</f>
        <v>0</v>
      </c>
      <c r="H607">
        <f>IF(ISBLANK(MAIN!H607), 0, IF(ISNUMBER(VALUE(TRIM(MAIN!H607))), VALUE(TRIM(MAIN!H607)), 0))</f>
        <v>0</v>
      </c>
      <c r="I607">
        <f>IF(ISBLANK(MAIN!I607), 0, IF(ISNUMBER(VALUE(TRIM(MAIN!I607))), VALUE(TRIM(MAIN!I607)), 0))</f>
        <v>0</v>
      </c>
      <c r="J607">
        <f>IF(ISBLANK(MAIN!J607), 0, IF(ISNUMBER(VALUE(TRIM(MAIN!J607))), VALUE(TRIM(MAIN!J607)), 0))</f>
        <v>0</v>
      </c>
      <c r="K607" cm="1">
        <f t="array" ref="K607">IFERROR(
    VALUE(
        IFERROR(
            UPPER(
                IF(MAX(IFERROR(SEARCH("WD",MAIN!G607:J607), 0))&gt;0, "WD",
                IF(MAX(IFERROR(SEARCH("NS",MAIN!G607:J607), 0))&gt;0, "NS",
                IF(MAX(IFERROR(SEARCH("NC",MAIN!G607:J607), 0))&gt;0, "NC",
                IF(MAX(IFERROR(SEARCH("DQ",MAIN!G607:J607), 0))&gt;0, "DQ",
                IF(ISNUMBER(SEARCH("WD",MAIN!K607)), "WD",
                IF(ISNUMBER(SEARCH("NS",MAIN!K607)), "NS",
                IF(ISNUMBER(SEARCH("NC",MAIN!K607)), "NC",
                IF(ISNUMBER(SEARCH("DQ",MAIN!K607)), "DQ",
                IF(ISNUMBER(SEARCH("A",MAIN!K607)), 0,
                IF(OR(MAIN!K607=0,MAIN!K607=""), 0, --TRIM(MAIN!K607)))))))))))),
            0
        )
    ),
    IFERROR(
        UPPER(
            IF(MAX(IFERROR(SEARCH("WD",MAIN!G607:J607), 0))&gt;0, "WD",
            IF(MAX(IFERROR(SEARCH("NS",MAIN!G607:J607), 0))&gt;0, "NS",
            IF(MAX(IFERROR(SEARCH("NC",MAIN!G607:J607), 0))&gt;0, "NC",
            IF(MAX(IFERROR(SEARCH("DQ",MAIN!G607:J607), 0))&gt;0, "DQ",
            IF(ISNUMBER(SEARCH("WD",MAIN!K607)), "WD",
            IF(ISNUMBER(SEARCH("NS",MAIN!K607)), "NS",
            IF(ISNUMBER(SEARCH("NC",MAIN!K607)), "NC",
            IF(ISNUMBER(SEARCH("DQ",MAIN!K607)), "DQ",
            IF(ISNUMBER(SEARCH("A",MAIN!K607)), 0,
            IF(OR(MAIN!K607=0,MAIN!K607=""), 0, --TRIM(MAIN!K607)))))))))))),
        0
    )
)</f>
        <v>0</v>
      </c>
    </row>
    <row r="608" spans="1:11" x14ac:dyDescent="0.25">
      <c r="A608" t="str">
        <f>IF(ISBLANK(MAIN!A608), "--", IFERROR(PROPER(SUBSTITUTE(SUBSTITUTE(SUBSTITUTE(SUBSTITUTE(SUBSTITUTE(SUBSTITUTE(SUBSTITUTE(SUBSTITUTE(SUBSTITUTE(SUBSTITUTE(LEFT(MAIN!A608, FIND(",",MAIN!A608) -1), "0", ""), "1", ""), "2", ""), "3", ""), "4", ""), "5", ""), "6", ""), "7", ""), "8", ""), "9", "")), PROPER(SUBSTITUTE(SUBSTITUTE(SUBSTITUTE(SUBSTITUTE(SUBSTITUTE(SUBSTITUTE(SUBSTITUTE(SUBSTITUTE(SUBSTITUTE(SUBSTITUTE(MAIN!A608, "0", ""), "1", ""), "2", ""), "3", ""), "4", ""), "5", ""), "6", ""), "7", ""), "8", ""), "9", ""))))</f>
        <v>--</v>
      </c>
      <c r="B608" t="str">
        <f>IF(ISBLANK(MAIN!B608), "--", IFERROR(PROPER(SUBSTITUTE(SUBSTITUTE(SUBSTITUTE(SUBSTITUTE(SUBSTITUTE(SUBSTITUTE(SUBSTITUTE(SUBSTITUTE(SUBSTITUTE(SUBSTITUTE(LEFT(MAIN!B608, FIND(",",MAIN!B608) -1), "0", ""), "1", ""), "2", ""), "3", ""), "4", ""), "5", ""), "6", ""), "7", ""), "8", ""), "9", "")), PROPER(SUBSTITUTE(SUBSTITUTE(SUBSTITUTE(SUBSTITUTE(SUBSTITUTE(SUBSTITUTE(SUBSTITUTE(SUBSTITUTE(SUBSTITUTE(SUBSTITUTE(MAIN!B608, "0", ""), "1", ""), "2", ""), "3", ""), "4", ""), "5", ""), "6", ""), "7", ""), "8", ""), "9", ""))))</f>
        <v>--</v>
      </c>
      <c r="C608" t="str">
        <f>IF(ISBLANK(MAIN!C608), "--", IFERROR(PROPER(SUBSTITUTE(SUBSTITUTE(SUBSTITUTE(SUBSTITUTE(SUBSTITUTE(SUBSTITUTE(SUBSTITUTE(SUBSTITUTE(SUBSTITUTE(SUBSTITUTE(LEFT(MAIN!C608, FIND(",",MAIN!C608) -1), "0", ""), "1", ""), "2", ""), "3", ""), "4", ""), "5", ""), "6", ""), "7", ""), "8", ""), "9", "")), PROPER(SUBSTITUTE(SUBSTITUTE(SUBSTITUTE(SUBSTITUTE(SUBSTITUTE(SUBSTITUTE(SUBSTITUTE(SUBSTITUTE(SUBSTITUTE(SUBSTITUTE(MAIN!C608, "0", ""), "1", ""), "2", ""), "3", ""), "4", ""), "5", ""), "6", ""), "7", ""), "8", ""), "9", ""))))</f>
        <v>--</v>
      </c>
      <c r="D608" t="str">
        <f>IF(ISBLANK(MAIN!D608), "--", IF(ISNUMBER(MATCH(SUBSTITUTE(LEFT(MAIN!D608, IFERROR(FIND(",", MAIN!D608)-1, LEN(MAIN!D608))), " ", ""), lookup_values!$B$2:$B$51, 0)), UPPER(SUBSTITUTE(LEFT(MAIN!D608, IFERROR(FIND(",", MAIN!D608)-1, LEN(MAIN!D608))), " ", "")), IF(ISNA(VLOOKUP(SUBSTITUTE(LEFT(MAIN!D608, IFERROR(FIND(",", MAIN!D608)-1, LEN(MAIN!D608))), " ", ""), lookup_values!$A$2:$B$51, 2, FALSE)), "--", VLOOKUP(SUBSTITUTE(LEFT(MAIN!D608, IFERROR(FIND(",", MAIN!D608)-1, LEN(MAIN!D608))), " ", ""), lookup_values!$A$2:$B$51, 2, FALSE))))</f>
        <v>--</v>
      </c>
      <c r="E608" t="str">
        <f>IF(CLEAN_DATA!D608&lt;&gt;"--","US",IF(ISBLANK(MAIN!E608), "--", IF(ISNUMBER(MATCH(SUBSTITUTE(LEFT(MAIN!E608, IFERROR(FIND(",", MAIN!E608)-1, LEN(MAIN!E608))), " ", ""), lookup_values!$E$2:$E$197, 0)), UPPER(SUBSTITUTE(LEFT(MAIN!E608, IFERROR(FIND(",", MAIN!E608)-1, LEN(MAIN!E608))), " ", "")), IF(ISNA(VLOOKUP(SUBSTITUTE(LEFT(MAIN!E608, IFERROR(FIND(",", MAIN!E608)-1, LEN(MAIN!E608))), " ", ""), lookup_values!$D$2:$E$197, 2, FALSE)), "--", VLOOKUP(SUBSTITUTE(LEFT(MAIN!E608, IFERROR(FIND(",", MAIN!E608)-1, LEN(MAIN!E608))), " ", ""), lookup_values!$D$2:$E$197, 2, FALSE)))))</f>
        <v>--</v>
      </c>
      <c r="F608" t="str">
        <f>IF(ISBLANK(MAIN!F608), "", IF(AND(ISNUMBER(VALUE(TRIM(MAIN!F608))), LEN(TRIM(MAIN!F608))=4), VALUE(TRIM(MAIN!F608)), ""))</f>
        <v/>
      </c>
      <c r="G608">
        <f>IF(ISBLANK(MAIN!G608), 0, IF(ISNUMBER(VALUE(TRIM(MAIN!G608))), VALUE(TRIM(MAIN!G608)), 0))</f>
        <v>0</v>
      </c>
      <c r="H608">
        <f>IF(ISBLANK(MAIN!H608), 0, IF(ISNUMBER(VALUE(TRIM(MAIN!H608))), VALUE(TRIM(MAIN!H608)), 0))</f>
        <v>0</v>
      </c>
      <c r="I608">
        <f>IF(ISBLANK(MAIN!I608), 0, IF(ISNUMBER(VALUE(TRIM(MAIN!I608))), VALUE(TRIM(MAIN!I608)), 0))</f>
        <v>0</v>
      </c>
      <c r="J608">
        <f>IF(ISBLANK(MAIN!J608), 0, IF(ISNUMBER(VALUE(TRIM(MAIN!J608))), VALUE(TRIM(MAIN!J608)), 0))</f>
        <v>0</v>
      </c>
      <c r="K608" cm="1">
        <f t="array" ref="K608">IFERROR(
    VALUE(
        IFERROR(
            UPPER(
                IF(MAX(IFERROR(SEARCH("WD",MAIN!G608:J608), 0))&gt;0, "WD",
                IF(MAX(IFERROR(SEARCH("NS",MAIN!G608:J608), 0))&gt;0, "NS",
                IF(MAX(IFERROR(SEARCH("NC",MAIN!G608:J608), 0))&gt;0, "NC",
                IF(MAX(IFERROR(SEARCH("DQ",MAIN!G608:J608), 0))&gt;0, "DQ",
                IF(ISNUMBER(SEARCH("WD",MAIN!K608)), "WD",
                IF(ISNUMBER(SEARCH("NS",MAIN!K608)), "NS",
                IF(ISNUMBER(SEARCH("NC",MAIN!K608)), "NC",
                IF(ISNUMBER(SEARCH("DQ",MAIN!K608)), "DQ",
                IF(ISNUMBER(SEARCH("A",MAIN!K608)), 0,
                IF(OR(MAIN!K608=0,MAIN!K608=""), 0, --TRIM(MAIN!K608)))))))))))),
            0
        )
    ),
    IFERROR(
        UPPER(
            IF(MAX(IFERROR(SEARCH("WD",MAIN!G608:J608), 0))&gt;0, "WD",
            IF(MAX(IFERROR(SEARCH("NS",MAIN!G608:J608), 0))&gt;0, "NS",
            IF(MAX(IFERROR(SEARCH("NC",MAIN!G608:J608), 0))&gt;0, "NC",
            IF(MAX(IFERROR(SEARCH("DQ",MAIN!G608:J608), 0))&gt;0, "DQ",
            IF(ISNUMBER(SEARCH("WD",MAIN!K608)), "WD",
            IF(ISNUMBER(SEARCH("NS",MAIN!K608)), "NS",
            IF(ISNUMBER(SEARCH("NC",MAIN!K608)), "NC",
            IF(ISNUMBER(SEARCH("DQ",MAIN!K608)), "DQ",
            IF(ISNUMBER(SEARCH("A",MAIN!K608)), 0,
            IF(OR(MAIN!K608=0,MAIN!K608=""), 0, --TRIM(MAIN!K608)))))))))))),
        0
    )
)</f>
        <v>0</v>
      </c>
    </row>
    <row r="609" spans="1:11" x14ac:dyDescent="0.25">
      <c r="A609" t="str">
        <f>IF(ISBLANK(MAIN!A609), "--", IFERROR(PROPER(SUBSTITUTE(SUBSTITUTE(SUBSTITUTE(SUBSTITUTE(SUBSTITUTE(SUBSTITUTE(SUBSTITUTE(SUBSTITUTE(SUBSTITUTE(SUBSTITUTE(LEFT(MAIN!A609, FIND(",",MAIN!A609) -1), "0", ""), "1", ""), "2", ""), "3", ""), "4", ""), "5", ""), "6", ""), "7", ""), "8", ""), "9", "")), PROPER(SUBSTITUTE(SUBSTITUTE(SUBSTITUTE(SUBSTITUTE(SUBSTITUTE(SUBSTITUTE(SUBSTITUTE(SUBSTITUTE(SUBSTITUTE(SUBSTITUTE(MAIN!A609, "0", ""), "1", ""), "2", ""), "3", ""), "4", ""), "5", ""), "6", ""), "7", ""), "8", ""), "9", ""))))</f>
        <v>--</v>
      </c>
      <c r="B609" t="str">
        <f>IF(ISBLANK(MAIN!B609), "--", IFERROR(PROPER(SUBSTITUTE(SUBSTITUTE(SUBSTITUTE(SUBSTITUTE(SUBSTITUTE(SUBSTITUTE(SUBSTITUTE(SUBSTITUTE(SUBSTITUTE(SUBSTITUTE(LEFT(MAIN!B609, FIND(",",MAIN!B609) -1), "0", ""), "1", ""), "2", ""), "3", ""), "4", ""), "5", ""), "6", ""), "7", ""), "8", ""), "9", "")), PROPER(SUBSTITUTE(SUBSTITUTE(SUBSTITUTE(SUBSTITUTE(SUBSTITUTE(SUBSTITUTE(SUBSTITUTE(SUBSTITUTE(SUBSTITUTE(SUBSTITUTE(MAIN!B609, "0", ""), "1", ""), "2", ""), "3", ""), "4", ""), "5", ""), "6", ""), "7", ""), "8", ""), "9", ""))))</f>
        <v>--</v>
      </c>
      <c r="C609" t="str">
        <f>IF(ISBLANK(MAIN!C609), "--", IFERROR(PROPER(SUBSTITUTE(SUBSTITUTE(SUBSTITUTE(SUBSTITUTE(SUBSTITUTE(SUBSTITUTE(SUBSTITUTE(SUBSTITUTE(SUBSTITUTE(SUBSTITUTE(LEFT(MAIN!C609, FIND(",",MAIN!C609) -1), "0", ""), "1", ""), "2", ""), "3", ""), "4", ""), "5", ""), "6", ""), "7", ""), "8", ""), "9", "")), PROPER(SUBSTITUTE(SUBSTITUTE(SUBSTITUTE(SUBSTITUTE(SUBSTITUTE(SUBSTITUTE(SUBSTITUTE(SUBSTITUTE(SUBSTITUTE(SUBSTITUTE(MAIN!C609, "0", ""), "1", ""), "2", ""), "3", ""), "4", ""), "5", ""), "6", ""), "7", ""), "8", ""), "9", ""))))</f>
        <v>--</v>
      </c>
      <c r="D609" t="str">
        <f>IF(ISBLANK(MAIN!D609), "--", IF(ISNUMBER(MATCH(SUBSTITUTE(LEFT(MAIN!D609, IFERROR(FIND(",", MAIN!D609)-1, LEN(MAIN!D609))), " ", ""), lookup_values!$B$2:$B$51, 0)), UPPER(SUBSTITUTE(LEFT(MAIN!D609, IFERROR(FIND(",", MAIN!D609)-1, LEN(MAIN!D609))), " ", "")), IF(ISNA(VLOOKUP(SUBSTITUTE(LEFT(MAIN!D609, IFERROR(FIND(",", MAIN!D609)-1, LEN(MAIN!D609))), " ", ""), lookup_values!$A$2:$B$51, 2, FALSE)), "--", VLOOKUP(SUBSTITUTE(LEFT(MAIN!D609, IFERROR(FIND(",", MAIN!D609)-1, LEN(MAIN!D609))), " ", ""), lookup_values!$A$2:$B$51, 2, FALSE))))</f>
        <v>--</v>
      </c>
      <c r="E609" t="str">
        <f>IF(CLEAN_DATA!D609&lt;&gt;"--","US",IF(ISBLANK(MAIN!E609), "--", IF(ISNUMBER(MATCH(SUBSTITUTE(LEFT(MAIN!E609, IFERROR(FIND(",", MAIN!E609)-1, LEN(MAIN!E609))), " ", ""), lookup_values!$E$2:$E$197, 0)), UPPER(SUBSTITUTE(LEFT(MAIN!E609, IFERROR(FIND(",", MAIN!E609)-1, LEN(MAIN!E609))), " ", "")), IF(ISNA(VLOOKUP(SUBSTITUTE(LEFT(MAIN!E609, IFERROR(FIND(",", MAIN!E609)-1, LEN(MAIN!E609))), " ", ""), lookup_values!$D$2:$E$197, 2, FALSE)), "--", VLOOKUP(SUBSTITUTE(LEFT(MAIN!E609, IFERROR(FIND(",", MAIN!E609)-1, LEN(MAIN!E609))), " ", ""), lookup_values!$D$2:$E$197, 2, FALSE)))))</f>
        <v>--</v>
      </c>
      <c r="F609" t="str">
        <f>IF(ISBLANK(MAIN!F609), "", IF(AND(ISNUMBER(VALUE(TRIM(MAIN!F609))), LEN(TRIM(MAIN!F609))=4), VALUE(TRIM(MAIN!F609)), ""))</f>
        <v/>
      </c>
      <c r="G609">
        <f>IF(ISBLANK(MAIN!G609), 0, IF(ISNUMBER(VALUE(TRIM(MAIN!G609))), VALUE(TRIM(MAIN!G609)), 0))</f>
        <v>0</v>
      </c>
      <c r="H609">
        <f>IF(ISBLANK(MAIN!H609), 0, IF(ISNUMBER(VALUE(TRIM(MAIN!H609))), VALUE(TRIM(MAIN!H609)), 0))</f>
        <v>0</v>
      </c>
      <c r="I609">
        <f>IF(ISBLANK(MAIN!I609), 0, IF(ISNUMBER(VALUE(TRIM(MAIN!I609))), VALUE(TRIM(MAIN!I609)), 0))</f>
        <v>0</v>
      </c>
      <c r="J609">
        <f>IF(ISBLANK(MAIN!J609), 0, IF(ISNUMBER(VALUE(TRIM(MAIN!J609))), VALUE(TRIM(MAIN!J609)), 0))</f>
        <v>0</v>
      </c>
      <c r="K609" cm="1">
        <f t="array" ref="K609">IFERROR(
    VALUE(
        IFERROR(
            UPPER(
                IF(MAX(IFERROR(SEARCH("WD",MAIN!G609:J609), 0))&gt;0, "WD",
                IF(MAX(IFERROR(SEARCH("NS",MAIN!G609:J609), 0))&gt;0, "NS",
                IF(MAX(IFERROR(SEARCH("NC",MAIN!G609:J609), 0))&gt;0, "NC",
                IF(MAX(IFERROR(SEARCH("DQ",MAIN!G609:J609), 0))&gt;0, "DQ",
                IF(ISNUMBER(SEARCH("WD",MAIN!K609)), "WD",
                IF(ISNUMBER(SEARCH("NS",MAIN!K609)), "NS",
                IF(ISNUMBER(SEARCH("NC",MAIN!K609)), "NC",
                IF(ISNUMBER(SEARCH("DQ",MAIN!K609)), "DQ",
                IF(ISNUMBER(SEARCH("A",MAIN!K609)), 0,
                IF(OR(MAIN!K609=0,MAIN!K609=""), 0, --TRIM(MAIN!K609)))))))))))),
            0
        )
    ),
    IFERROR(
        UPPER(
            IF(MAX(IFERROR(SEARCH("WD",MAIN!G609:J609), 0))&gt;0, "WD",
            IF(MAX(IFERROR(SEARCH("NS",MAIN!G609:J609), 0))&gt;0, "NS",
            IF(MAX(IFERROR(SEARCH("NC",MAIN!G609:J609), 0))&gt;0, "NC",
            IF(MAX(IFERROR(SEARCH("DQ",MAIN!G609:J609), 0))&gt;0, "DQ",
            IF(ISNUMBER(SEARCH("WD",MAIN!K609)), "WD",
            IF(ISNUMBER(SEARCH("NS",MAIN!K609)), "NS",
            IF(ISNUMBER(SEARCH("NC",MAIN!K609)), "NC",
            IF(ISNUMBER(SEARCH("DQ",MAIN!K609)), "DQ",
            IF(ISNUMBER(SEARCH("A",MAIN!K609)), 0,
            IF(OR(MAIN!K609=0,MAIN!K609=""), 0, --TRIM(MAIN!K609)))))))))))),
        0
    )
)</f>
        <v>0</v>
      </c>
    </row>
    <row r="610" spans="1:11" x14ac:dyDescent="0.25">
      <c r="A610" t="str">
        <f>IF(ISBLANK(MAIN!A610), "--", IFERROR(PROPER(SUBSTITUTE(SUBSTITUTE(SUBSTITUTE(SUBSTITUTE(SUBSTITUTE(SUBSTITUTE(SUBSTITUTE(SUBSTITUTE(SUBSTITUTE(SUBSTITUTE(LEFT(MAIN!A610, FIND(",",MAIN!A610) -1), "0", ""), "1", ""), "2", ""), "3", ""), "4", ""), "5", ""), "6", ""), "7", ""), "8", ""), "9", "")), PROPER(SUBSTITUTE(SUBSTITUTE(SUBSTITUTE(SUBSTITUTE(SUBSTITUTE(SUBSTITUTE(SUBSTITUTE(SUBSTITUTE(SUBSTITUTE(SUBSTITUTE(MAIN!A610, "0", ""), "1", ""), "2", ""), "3", ""), "4", ""), "5", ""), "6", ""), "7", ""), "8", ""), "9", ""))))</f>
        <v>--</v>
      </c>
      <c r="B610" t="str">
        <f>IF(ISBLANK(MAIN!B610), "--", IFERROR(PROPER(SUBSTITUTE(SUBSTITUTE(SUBSTITUTE(SUBSTITUTE(SUBSTITUTE(SUBSTITUTE(SUBSTITUTE(SUBSTITUTE(SUBSTITUTE(SUBSTITUTE(LEFT(MAIN!B610, FIND(",",MAIN!B610) -1), "0", ""), "1", ""), "2", ""), "3", ""), "4", ""), "5", ""), "6", ""), "7", ""), "8", ""), "9", "")), PROPER(SUBSTITUTE(SUBSTITUTE(SUBSTITUTE(SUBSTITUTE(SUBSTITUTE(SUBSTITUTE(SUBSTITUTE(SUBSTITUTE(SUBSTITUTE(SUBSTITUTE(MAIN!B610, "0", ""), "1", ""), "2", ""), "3", ""), "4", ""), "5", ""), "6", ""), "7", ""), "8", ""), "9", ""))))</f>
        <v>--</v>
      </c>
      <c r="C610" t="str">
        <f>IF(ISBLANK(MAIN!C610), "--", IFERROR(PROPER(SUBSTITUTE(SUBSTITUTE(SUBSTITUTE(SUBSTITUTE(SUBSTITUTE(SUBSTITUTE(SUBSTITUTE(SUBSTITUTE(SUBSTITUTE(SUBSTITUTE(LEFT(MAIN!C610, FIND(",",MAIN!C610) -1), "0", ""), "1", ""), "2", ""), "3", ""), "4", ""), "5", ""), "6", ""), "7", ""), "8", ""), "9", "")), PROPER(SUBSTITUTE(SUBSTITUTE(SUBSTITUTE(SUBSTITUTE(SUBSTITUTE(SUBSTITUTE(SUBSTITUTE(SUBSTITUTE(SUBSTITUTE(SUBSTITUTE(MAIN!C610, "0", ""), "1", ""), "2", ""), "3", ""), "4", ""), "5", ""), "6", ""), "7", ""), "8", ""), "9", ""))))</f>
        <v>--</v>
      </c>
      <c r="D610" t="str">
        <f>IF(ISBLANK(MAIN!D610), "--", IF(ISNUMBER(MATCH(SUBSTITUTE(LEFT(MAIN!D610, IFERROR(FIND(",", MAIN!D610)-1, LEN(MAIN!D610))), " ", ""), lookup_values!$B$2:$B$51, 0)), UPPER(SUBSTITUTE(LEFT(MAIN!D610, IFERROR(FIND(",", MAIN!D610)-1, LEN(MAIN!D610))), " ", "")), IF(ISNA(VLOOKUP(SUBSTITUTE(LEFT(MAIN!D610, IFERROR(FIND(",", MAIN!D610)-1, LEN(MAIN!D610))), " ", ""), lookup_values!$A$2:$B$51, 2, FALSE)), "--", VLOOKUP(SUBSTITUTE(LEFT(MAIN!D610, IFERROR(FIND(",", MAIN!D610)-1, LEN(MAIN!D610))), " ", ""), lookup_values!$A$2:$B$51, 2, FALSE))))</f>
        <v>--</v>
      </c>
      <c r="E610" t="str">
        <f>IF(CLEAN_DATA!D610&lt;&gt;"--","US",IF(ISBLANK(MAIN!E610), "--", IF(ISNUMBER(MATCH(SUBSTITUTE(LEFT(MAIN!E610, IFERROR(FIND(",", MAIN!E610)-1, LEN(MAIN!E610))), " ", ""), lookup_values!$E$2:$E$197, 0)), UPPER(SUBSTITUTE(LEFT(MAIN!E610, IFERROR(FIND(",", MAIN!E610)-1, LEN(MAIN!E610))), " ", "")), IF(ISNA(VLOOKUP(SUBSTITUTE(LEFT(MAIN!E610, IFERROR(FIND(",", MAIN!E610)-1, LEN(MAIN!E610))), " ", ""), lookup_values!$D$2:$E$197, 2, FALSE)), "--", VLOOKUP(SUBSTITUTE(LEFT(MAIN!E610, IFERROR(FIND(",", MAIN!E610)-1, LEN(MAIN!E610))), " ", ""), lookup_values!$D$2:$E$197, 2, FALSE)))))</f>
        <v>--</v>
      </c>
      <c r="F610" t="str">
        <f>IF(ISBLANK(MAIN!F610), "", IF(AND(ISNUMBER(VALUE(TRIM(MAIN!F610))), LEN(TRIM(MAIN!F610))=4), VALUE(TRIM(MAIN!F610)), ""))</f>
        <v/>
      </c>
      <c r="G610">
        <f>IF(ISBLANK(MAIN!G610), 0, IF(ISNUMBER(VALUE(TRIM(MAIN!G610))), VALUE(TRIM(MAIN!G610)), 0))</f>
        <v>0</v>
      </c>
      <c r="H610">
        <f>IF(ISBLANK(MAIN!H610), 0, IF(ISNUMBER(VALUE(TRIM(MAIN!H610))), VALUE(TRIM(MAIN!H610)), 0))</f>
        <v>0</v>
      </c>
      <c r="I610">
        <f>IF(ISBLANK(MAIN!I610), 0, IF(ISNUMBER(VALUE(TRIM(MAIN!I610))), VALUE(TRIM(MAIN!I610)), 0))</f>
        <v>0</v>
      </c>
      <c r="J610">
        <f>IF(ISBLANK(MAIN!J610), 0, IF(ISNUMBER(VALUE(TRIM(MAIN!J610))), VALUE(TRIM(MAIN!J610)), 0))</f>
        <v>0</v>
      </c>
      <c r="K610" cm="1">
        <f t="array" ref="K610">IFERROR(
    VALUE(
        IFERROR(
            UPPER(
                IF(MAX(IFERROR(SEARCH("WD",MAIN!G610:J610), 0))&gt;0, "WD",
                IF(MAX(IFERROR(SEARCH("NS",MAIN!G610:J610), 0))&gt;0, "NS",
                IF(MAX(IFERROR(SEARCH("NC",MAIN!G610:J610), 0))&gt;0, "NC",
                IF(MAX(IFERROR(SEARCH("DQ",MAIN!G610:J610), 0))&gt;0, "DQ",
                IF(ISNUMBER(SEARCH("WD",MAIN!K610)), "WD",
                IF(ISNUMBER(SEARCH("NS",MAIN!K610)), "NS",
                IF(ISNUMBER(SEARCH("NC",MAIN!K610)), "NC",
                IF(ISNUMBER(SEARCH("DQ",MAIN!K610)), "DQ",
                IF(ISNUMBER(SEARCH("A",MAIN!K610)), 0,
                IF(OR(MAIN!K610=0,MAIN!K610=""), 0, --TRIM(MAIN!K610)))))))))))),
            0
        )
    ),
    IFERROR(
        UPPER(
            IF(MAX(IFERROR(SEARCH("WD",MAIN!G610:J610), 0))&gt;0, "WD",
            IF(MAX(IFERROR(SEARCH("NS",MAIN!G610:J610), 0))&gt;0, "NS",
            IF(MAX(IFERROR(SEARCH("NC",MAIN!G610:J610), 0))&gt;0, "NC",
            IF(MAX(IFERROR(SEARCH("DQ",MAIN!G610:J610), 0))&gt;0, "DQ",
            IF(ISNUMBER(SEARCH("WD",MAIN!K610)), "WD",
            IF(ISNUMBER(SEARCH("NS",MAIN!K610)), "NS",
            IF(ISNUMBER(SEARCH("NC",MAIN!K610)), "NC",
            IF(ISNUMBER(SEARCH("DQ",MAIN!K610)), "DQ",
            IF(ISNUMBER(SEARCH("A",MAIN!K610)), 0,
            IF(OR(MAIN!K610=0,MAIN!K610=""), 0, --TRIM(MAIN!K610)))))))))))),
        0
    )
)</f>
        <v>0</v>
      </c>
    </row>
    <row r="611" spans="1:11" x14ac:dyDescent="0.25">
      <c r="A611" t="str">
        <f>IF(ISBLANK(MAIN!A611), "--", IFERROR(PROPER(SUBSTITUTE(SUBSTITUTE(SUBSTITUTE(SUBSTITUTE(SUBSTITUTE(SUBSTITUTE(SUBSTITUTE(SUBSTITUTE(SUBSTITUTE(SUBSTITUTE(LEFT(MAIN!A611, FIND(",",MAIN!A611) -1), "0", ""), "1", ""), "2", ""), "3", ""), "4", ""), "5", ""), "6", ""), "7", ""), "8", ""), "9", "")), PROPER(SUBSTITUTE(SUBSTITUTE(SUBSTITUTE(SUBSTITUTE(SUBSTITUTE(SUBSTITUTE(SUBSTITUTE(SUBSTITUTE(SUBSTITUTE(SUBSTITUTE(MAIN!A611, "0", ""), "1", ""), "2", ""), "3", ""), "4", ""), "5", ""), "6", ""), "7", ""), "8", ""), "9", ""))))</f>
        <v>--</v>
      </c>
      <c r="B611" t="str">
        <f>IF(ISBLANK(MAIN!B611), "--", IFERROR(PROPER(SUBSTITUTE(SUBSTITUTE(SUBSTITUTE(SUBSTITUTE(SUBSTITUTE(SUBSTITUTE(SUBSTITUTE(SUBSTITUTE(SUBSTITUTE(SUBSTITUTE(LEFT(MAIN!B611, FIND(",",MAIN!B611) -1), "0", ""), "1", ""), "2", ""), "3", ""), "4", ""), "5", ""), "6", ""), "7", ""), "8", ""), "9", "")), PROPER(SUBSTITUTE(SUBSTITUTE(SUBSTITUTE(SUBSTITUTE(SUBSTITUTE(SUBSTITUTE(SUBSTITUTE(SUBSTITUTE(SUBSTITUTE(SUBSTITUTE(MAIN!B611, "0", ""), "1", ""), "2", ""), "3", ""), "4", ""), "5", ""), "6", ""), "7", ""), "8", ""), "9", ""))))</f>
        <v>--</v>
      </c>
      <c r="C611" t="str">
        <f>IF(ISBLANK(MAIN!C611), "--", IFERROR(PROPER(SUBSTITUTE(SUBSTITUTE(SUBSTITUTE(SUBSTITUTE(SUBSTITUTE(SUBSTITUTE(SUBSTITUTE(SUBSTITUTE(SUBSTITUTE(SUBSTITUTE(LEFT(MAIN!C611, FIND(",",MAIN!C611) -1), "0", ""), "1", ""), "2", ""), "3", ""), "4", ""), "5", ""), "6", ""), "7", ""), "8", ""), "9", "")), PROPER(SUBSTITUTE(SUBSTITUTE(SUBSTITUTE(SUBSTITUTE(SUBSTITUTE(SUBSTITUTE(SUBSTITUTE(SUBSTITUTE(SUBSTITUTE(SUBSTITUTE(MAIN!C611, "0", ""), "1", ""), "2", ""), "3", ""), "4", ""), "5", ""), "6", ""), "7", ""), "8", ""), "9", ""))))</f>
        <v>--</v>
      </c>
      <c r="D611" t="str">
        <f>IF(ISBLANK(MAIN!D611), "--", IF(ISNUMBER(MATCH(SUBSTITUTE(LEFT(MAIN!D611, IFERROR(FIND(",", MAIN!D611)-1, LEN(MAIN!D611))), " ", ""), lookup_values!$B$2:$B$51, 0)), UPPER(SUBSTITUTE(LEFT(MAIN!D611, IFERROR(FIND(",", MAIN!D611)-1, LEN(MAIN!D611))), " ", "")), IF(ISNA(VLOOKUP(SUBSTITUTE(LEFT(MAIN!D611, IFERROR(FIND(",", MAIN!D611)-1, LEN(MAIN!D611))), " ", ""), lookup_values!$A$2:$B$51, 2, FALSE)), "--", VLOOKUP(SUBSTITUTE(LEFT(MAIN!D611, IFERROR(FIND(",", MAIN!D611)-1, LEN(MAIN!D611))), " ", ""), lookup_values!$A$2:$B$51, 2, FALSE))))</f>
        <v>--</v>
      </c>
      <c r="E611" t="str">
        <f>IF(CLEAN_DATA!D611&lt;&gt;"--","US",IF(ISBLANK(MAIN!E611), "--", IF(ISNUMBER(MATCH(SUBSTITUTE(LEFT(MAIN!E611, IFERROR(FIND(",", MAIN!E611)-1, LEN(MAIN!E611))), " ", ""), lookup_values!$E$2:$E$197, 0)), UPPER(SUBSTITUTE(LEFT(MAIN!E611, IFERROR(FIND(",", MAIN!E611)-1, LEN(MAIN!E611))), " ", "")), IF(ISNA(VLOOKUP(SUBSTITUTE(LEFT(MAIN!E611, IFERROR(FIND(",", MAIN!E611)-1, LEN(MAIN!E611))), " ", ""), lookup_values!$D$2:$E$197, 2, FALSE)), "--", VLOOKUP(SUBSTITUTE(LEFT(MAIN!E611, IFERROR(FIND(",", MAIN!E611)-1, LEN(MAIN!E611))), " ", ""), lookup_values!$D$2:$E$197, 2, FALSE)))))</f>
        <v>--</v>
      </c>
      <c r="F611" t="str">
        <f>IF(ISBLANK(MAIN!F611), "", IF(AND(ISNUMBER(VALUE(TRIM(MAIN!F611))), LEN(TRIM(MAIN!F611))=4), VALUE(TRIM(MAIN!F611)), ""))</f>
        <v/>
      </c>
      <c r="G611">
        <f>IF(ISBLANK(MAIN!G611), 0, IF(ISNUMBER(VALUE(TRIM(MAIN!G611))), VALUE(TRIM(MAIN!G611)), 0))</f>
        <v>0</v>
      </c>
      <c r="H611">
        <f>IF(ISBLANK(MAIN!H611), 0, IF(ISNUMBER(VALUE(TRIM(MAIN!H611))), VALUE(TRIM(MAIN!H611)), 0))</f>
        <v>0</v>
      </c>
      <c r="I611">
        <f>IF(ISBLANK(MAIN!I611), 0, IF(ISNUMBER(VALUE(TRIM(MAIN!I611))), VALUE(TRIM(MAIN!I611)), 0))</f>
        <v>0</v>
      </c>
      <c r="J611">
        <f>IF(ISBLANK(MAIN!J611), 0, IF(ISNUMBER(VALUE(TRIM(MAIN!J611))), VALUE(TRIM(MAIN!J611)), 0))</f>
        <v>0</v>
      </c>
      <c r="K611" cm="1">
        <f t="array" ref="K611">IFERROR(
    VALUE(
        IFERROR(
            UPPER(
                IF(MAX(IFERROR(SEARCH("WD",MAIN!G611:J611), 0))&gt;0, "WD",
                IF(MAX(IFERROR(SEARCH("NS",MAIN!G611:J611), 0))&gt;0, "NS",
                IF(MAX(IFERROR(SEARCH("NC",MAIN!G611:J611), 0))&gt;0, "NC",
                IF(MAX(IFERROR(SEARCH("DQ",MAIN!G611:J611), 0))&gt;0, "DQ",
                IF(ISNUMBER(SEARCH("WD",MAIN!K611)), "WD",
                IF(ISNUMBER(SEARCH("NS",MAIN!K611)), "NS",
                IF(ISNUMBER(SEARCH("NC",MAIN!K611)), "NC",
                IF(ISNUMBER(SEARCH("DQ",MAIN!K611)), "DQ",
                IF(ISNUMBER(SEARCH("A",MAIN!K611)), 0,
                IF(OR(MAIN!K611=0,MAIN!K611=""), 0, --TRIM(MAIN!K611)))))))))))),
            0
        )
    ),
    IFERROR(
        UPPER(
            IF(MAX(IFERROR(SEARCH("WD",MAIN!G611:J611), 0))&gt;0, "WD",
            IF(MAX(IFERROR(SEARCH("NS",MAIN!G611:J611), 0))&gt;0, "NS",
            IF(MAX(IFERROR(SEARCH("NC",MAIN!G611:J611), 0))&gt;0, "NC",
            IF(MAX(IFERROR(SEARCH("DQ",MAIN!G611:J611), 0))&gt;0, "DQ",
            IF(ISNUMBER(SEARCH("WD",MAIN!K611)), "WD",
            IF(ISNUMBER(SEARCH("NS",MAIN!K611)), "NS",
            IF(ISNUMBER(SEARCH("NC",MAIN!K611)), "NC",
            IF(ISNUMBER(SEARCH("DQ",MAIN!K611)), "DQ",
            IF(ISNUMBER(SEARCH("A",MAIN!K611)), 0,
            IF(OR(MAIN!K611=0,MAIN!K611=""), 0, --TRIM(MAIN!K611)))))))))))),
        0
    )
)</f>
        <v>0</v>
      </c>
    </row>
    <row r="612" spans="1:11" x14ac:dyDescent="0.25">
      <c r="A612" t="str">
        <f>IF(ISBLANK(MAIN!A612), "--", IFERROR(PROPER(SUBSTITUTE(SUBSTITUTE(SUBSTITUTE(SUBSTITUTE(SUBSTITUTE(SUBSTITUTE(SUBSTITUTE(SUBSTITUTE(SUBSTITUTE(SUBSTITUTE(LEFT(MAIN!A612, FIND(",",MAIN!A612) -1), "0", ""), "1", ""), "2", ""), "3", ""), "4", ""), "5", ""), "6", ""), "7", ""), "8", ""), "9", "")), PROPER(SUBSTITUTE(SUBSTITUTE(SUBSTITUTE(SUBSTITUTE(SUBSTITUTE(SUBSTITUTE(SUBSTITUTE(SUBSTITUTE(SUBSTITUTE(SUBSTITUTE(MAIN!A612, "0", ""), "1", ""), "2", ""), "3", ""), "4", ""), "5", ""), "6", ""), "7", ""), "8", ""), "9", ""))))</f>
        <v>--</v>
      </c>
      <c r="B612" t="str">
        <f>IF(ISBLANK(MAIN!B612), "--", IFERROR(PROPER(SUBSTITUTE(SUBSTITUTE(SUBSTITUTE(SUBSTITUTE(SUBSTITUTE(SUBSTITUTE(SUBSTITUTE(SUBSTITUTE(SUBSTITUTE(SUBSTITUTE(LEFT(MAIN!B612, FIND(",",MAIN!B612) -1), "0", ""), "1", ""), "2", ""), "3", ""), "4", ""), "5", ""), "6", ""), "7", ""), "8", ""), "9", "")), PROPER(SUBSTITUTE(SUBSTITUTE(SUBSTITUTE(SUBSTITUTE(SUBSTITUTE(SUBSTITUTE(SUBSTITUTE(SUBSTITUTE(SUBSTITUTE(SUBSTITUTE(MAIN!B612, "0", ""), "1", ""), "2", ""), "3", ""), "4", ""), "5", ""), "6", ""), "7", ""), "8", ""), "9", ""))))</f>
        <v>--</v>
      </c>
      <c r="C612" t="str">
        <f>IF(ISBLANK(MAIN!C612), "--", IFERROR(PROPER(SUBSTITUTE(SUBSTITUTE(SUBSTITUTE(SUBSTITUTE(SUBSTITUTE(SUBSTITUTE(SUBSTITUTE(SUBSTITUTE(SUBSTITUTE(SUBSTITUTE(LEFT(MAIN!C612, FIND(",",MAIN!C612) -1), "0", ""), "1", ""), "2", ""), "3", ""), "4", ""), "5", ""), "6", ""), "7", ""), "8", ""), "9", "")), PROPER(SUBSTITUTE(SUBSTITUTE(SUBSTITUTE(SUBSTITUTE(SUBSTITUTE(SUBSTITUTE(SUBSTITUTE(SUBSTITUTE(SUBSTITUTE(SUBSTITUTE(MAIN!C612, "0", ""), "1", ""), "2", ""), "3", ""), "4", ""), "5", ""), "6", ""), "7", ""), "8", ""), "9", ""))))</f>
        <v>--</v>
      </c>
      <c r="D612" t="str">
        <f>IF(ISBLANK(MAIN!D612), "--", IF(ISNUMBER(MATCH(SUBSTITUTE(LEFT(MAIN!D612, IFERROR(FIND(",", MAIN!D612)-1, LEN(MAIN!D612))), " ", ""), lookup_values!$B$2:$B$51, 0)), UPPER(SUBSTITUTE(LEFT(MAIN!D612, IFERROR(FIND(",", MAIN!D612)-1, LEN(MAIN!D612))), " ", "")), IF(ISNA(VLOOKUP(SUBSTITUTE(LEFT(MAIN!D612, IFERROR(FIND(",", MAIN!D612)-1, LEN(MAIN!D612))), " ", ""), lookup_values!$A$2:$B$51, 2, FALSE)), "--", VLOOKUP(SUBSTITUTE(LEFT(MAIN!D612, IFERROR(FIND(",", MAIN!D612)-1, LEN(MAIN!D612))), " ", ""), lookup_values!$A$2:$B$51, 2, FALSE))))</f>
        <v>--</v>
      </c>
      <c r="E612" t="str">
        <f>IF(CLEAN_DATA!D612&lt;&gt;"--","US",IF(ISBLANK(MAIN!E612), "--", IF(ISNUMBER(MATCH(SUBSTITUTE(LEFT(MAIN!E612, IFERROR(FIND(",", MAIN!E612)-1, LEN(MAIN!E612))), " ", ""), lookup_values!$E$2:$E$197, 0)), UPPER(SUBSTITUTE(LEFT(MAIN!E612, IFERROR(FIND(",", MAIN!E612)-1, LEN(MAIN!E612))), " ", "")), IF(ISNA(VLOOKUP(SUBSTITUTE(LEFT(MAIN!E612, IFERROR(FIND(",", MAIN!E612)-1, LEN(MAIN!E612))), " ", ""), lookup_values!$D$2:$E$197, 2, FALSE)), "--", VLOOKUP(SUBSTITUTE(LEFT(MAIN!E612, IFERROR(FIND(",", MAIN!E612)-1, LEN(MAIN!E612))), " ", ""), lookup_values!$D$2:$E$197, 2, FALSE)))))</f>
        <v>--</v>
      </c>
      <c r="F612" t="str">
        <f>IF(ISBLANK(MAIN!F612), "", IF(AND(ISNUMBER(VALUE(TRIM(MAIN!F612))), LEN(TRIM(MAIN!F612))=4), VALUE(TRIM(MAIN!F612)), ""))</f>
        <v/>
      </c>
      <c r="G612">
        <f>IF(ISBLANK(MAIN!G612), 0, IF(ISNUMBER(VALUE(TRIM(MAIN!G612))), VALUE(TRIM(MAIN!G612)), 0))</f>
        <v>0</v>
      </c>
      <c r="H612">
        <f>IF(ISBLANK(MAIN!H612), 0, IF(ISNUMBER(VALUE(TRIM(MAIN!H612))), VALUE(TRIM(MAIN!H612)), 0))</f>
        <v>0</v>
      </c>
      <c r="I612">
        <f>IF(ISBLANK(MAIN!I612), 0, IF(ISNUMBER(VALUE(TRIM(MAIN!I612))), VALUE(TRIM(MAIN!I612)), 0))</f>
        <v>0</v>
      </c>
      <c r="J612">
        <f>IF(ISBLANK(MAIN!J612), 0, IF(ISNUMBER(VALUE(TRIM(MAIN!J612))), VALUE(TRIM(MAIN!J612)), 0))</f>
        <v>0</v>
      </c>
      <c r="K612" cm="1">
        <f t="array" ref="K612">IFERROR(
    VALUE(
        IFERROR(
            UPPER(
                IF(MAX(IFERROR(SEARCH("WD",MAIN!G612:J612), 0))&gt;0, "WD",
                IF(MAX(IFERROR(SEARCH("NS",MAIN!G612:J612), 0))&gt;0, "NS",
                IF(MAX(IFERROR(SEARCH("NC",MAIN!G612:J612), 0))&gt;0, "NC",
                IF(MAX(IFERROR(SEARCH("DQ",MAIN!G612:J612), 0))&gt;0, "DQ",
                IF(ISNUMBER(SEARCH("WD",MAIN!K612)), "WD",
                IF(ISNUMBER(SEARCH("NS",MAIN!K612)), "NS",
                IF(ISNUMBER(SEARCH("NC",MAIN!K612)), "NC",
                IF(ISNUMBER(SEARCH("DQ",MAIN!K612)), "DQ",
                IF(ISNUMBER(SEARCH("A",MAIN!K612)), 0,
                IF(OR(MAIN!K612=0,MAIN!K612=""), 0, --TRIM(MAIN!K612)))))))))))),
            0
        )
    ),
    IFERROR(
        UPPER(
            IF(MAX(IFERROR(SEARCH("WD",MAIN!G612:J612), 0))&gt;0, "WD",
            IF(MAX(IFERROR(SEARCH("NS",MAIN!G612:J612), 0))&gt;0, "NS",
            IF(MAX(IFERROR(SEARCH("NC",MAIN!G612:J612), 0))&gt;0, "NC",
            IF(MAX(IFERROR(SEARCH("DQ",MAIN!G612:J612), 0))&gt;0, "DQ",
            IF(ISNUMBER(SEARCH("WD",MAIN!K612)), "WD",
            IF(ISNUMBER(SEARCH("NS",MAIN!K612)), "NS",
            IF(ISNUMBER(SEARCH("NC",MAIN!K612)), "NC",
            IF(ISNUMBER(SEARCH("DQ",MAIN!K612)), "DQ",
            IF(ISNUMBER(SEARCH("A",MAIN!K612)), 0,
            IF(OR(MAIN!K612=0,MAIN!K612=""), 0, --TRIM(MAIN!K612)))))))))))),
        0
    )
)</f>
        <v>0</v>
      </c>
    </row>
    <row r="613" spans="1:11" x14ac:dyDescent="0.25">
      <c r="A613" t="str">
        <f>IF(ISBLANK(MAIN!A613), "--", IFERROR(PROPER(SUBSTITUTE(SUBSTITUTE(SUBSTITUTE(SUBSTITUTE(SUBSTITUTE(SUBSTITUTE(SUBSTITUTE(SUBSTITUTE(SUBSTITUTE(SUBSTITUTE(LEFT(MAIN!A613, FIND(",",MAIN!A613) -1), "0", ""), "1", ""), "2", ""), "3", ""), "4", ""), "5", ""), "6", ""), "7", ""), "8", ""), "9", "")), PROPER(SUBSTITUTE(SUBSTITUTE(SUBSTITUTE(SUBSTITUTE(SUBSTITUTE(SUBSTITUTE(SUBSTITUTE(SUBSTITUTE(SUBSTITUTE(SUBSTITUTE(MAIN!A613, "0", ""), "1", ""), "2", ""), "3", ""), "4", ""), "5", ""), "6", ""), "7", ""), "8", ""), "9", ""))))</f>
        <v>--</v>
      </c>
      <c r="B613" t="str">
        <f>IF(ISBLANK(MAIN!B613), "--", IFERROR(PROPER(SUBSTITUTE(SUBSTITUTE(SUBSTITUTE(SUBSTITUTE(SUBSTITUTE(SUBSTITUTE(SUBSTITUTE(SUBSTITUTE(SUBSTITUTE(SUBSTITUTE(LEFT(MAIN!B613, FIND(",",MAIN!B613) -1), "0", ""), "1", ""), "2", ""), "3", ""), "4", ""), "5", ""), "6", ""), "7", ""), "8", ""), "9", "")), PROPER(SUBSTITUTE(SUBSTITUTE(SUBSTITUTE(SUBSTITUTE(SUBSTITUTE(SUBSTITUTE(SUBSTITUTE(SUBSTITUTE(SUBSTITUTE(SUBSTITUTE(MAIN!B613, "0", ""), "1", ""), "2", ""), "3", ""), "4", ""), "5", ""), "6", ""), "7", ""), "8", ""), "9", ""))))</f>
        <v>--</v>
      </c>
      <c r="C613" t="str">
        <f>IF(ISBLANK(MAIN!C613), "--", IFERROR(PROPER(SUBSTITUTE(SUBSTITUTE(SUBSTITUTE(SUBSTITUTE(SUBSTITUTE(SUBSTITUTE(SUBSTITUTE(SUBSTITUTE(SUBSTITUTE(SUBSTITUTE(LEFT(MAIN!C613, FIND(",",MAIN!C613) -1), "0", ""), "1", ""), "2", ""), "3", ""), "4", ""), "5", ""), "6", ""), "7", ""), "8", ""), "9", "")), PROPER(SUBSTITUTE(SUBSTITUTE(SUBSTITUTE(SUBSTITUTE(SUBSTITUTE(SUBSTITUTE(SUBSTITUTE(SUBSTITUTE(SUBSTITUTE(SUBSTITUTE(MAIN!C613, "0", ""), "1", ""), "2", ""), "3", ""), "4", ""), "5", ""), "6", ""), "7", ""), "8", ""), "9", ""))))</f>
        <v>--</v>
      </c>
      <c r="D613" t="str">
        <f>IF(ISBLANK(MAIN!D613), "--", IF(ISNUMBER(MATCH(SUBSTITUTE(LEFT(MAIN!D613, IFERROR(FIND(",", MAIN!D613)-1, LEN(MAIN!D613))), " ", ""), lookup_values!$B$2:$B$51, 0)), UPPER(SUBSTITUTE(LEFT(MAIN!D613, IFERROR(FIND(",", MAIN!D613)-1, LEN(MAIN!D613))), " ", "")), IF(ISNA(VLOOKUP(SUBSTITUTE(LEFT(MAIN!D613, IFERROR(FIND(",", MAIN!D613)-1, LEN(MAIN!D613))), " ", ""), lookup_values!$A$2:$B$51, 2, FALSE)), "--", VLOOKUP(SUBSTITUTE(LEFT(MAIN!D613, IFERROR(FIND(",", MAIN!D613)-1, LEN(MAIN!D613))), " ", ""), lookup_values!$A$2:$B$51, 2, FALSE))))</f>
        <v>--</v>
      </c>
      <c r="E613" t="str">
        <f>IF(CLEAN_DATA!D613&lt;&gt;"--","US",IF(ISBLANK(MAIN!E613), "--", IF(ISNUMBER(MATCH(SUBSTITUTE(LEFT(MAIN!E613, IFERROR(FIND(",", MAIN!E613)-1, LEN(MAIN!E613))), " ", ""), lookup_values!$E$2:$E$197, 0)), UPPER(SUBSTITUTE(LEFT(MAIN!E613, IFERROR(FIND(",", MAIN!E613)-1, LEN(MAIN!E613))), " ", "")), IF(ISNA(VLOOKUP(SUBSTITUTE(LEFT(MAIN!E613, IFERROR(FIND(",", MAIN!E613)-1, LEN(MAIN!E613))), " ", ""), lookup_values!$D$2:$E$197, 2, FALSE)), "--", VLOOKUP(SUBSTITUTE(LEFT(MAIN!E613, IFERROR(FIND(",", MAIN!E613)-1, LEN(MAIN!E613))), " ", ""), lookup_values!$D$2:$E$197, 2, FALSE)))))</f>
        <v>--</v>
      </c>
      <c r="F613" t="str">
        <f>IF(ISBLANK(MAIN!F613), "", IF(AND(ISNUMBER(VALUE(TRIM(MAIN!F613))), LEN(TRIM(MAIN!F613))=4), VALUE(TRIM(MAIN!F613)), ""))</f>
        <v/>
      </c>
      <c r="G613">
        <f>IF(ISBLANK(MAIN!G613), 0, IF(ISNUMBER(VALUE(TRIM(MAIN!G613))), VALUE(TRIM(MAIN!G613)), 0))</f>
        <v>0</v>
      </c>
      <c r="H613">
        <f>IF(ISBLANK(MAIN!H613), 0, IF(ISNUMBER(VALUE(TRIM(MAIN!H613))), VALUE(TRIM(MAIN!H613)), 0))</f>
        <v>0</v>
      </c>
      <c r="I613">
        <f>IF(ISBLANK(MAIN!I613), 0, IF(ISNUMBER(VALUE(TRIM(MAIN!I613))), VALUE(TRIM(MAIN!I613)), 0))</f>
        <v>0</v>
      </c>
      <c r="J613">
        <f>IF(ISBLANK(MAIN!J613), 0, IF(ISNUMBER(VALUE(TRIM(MAIN!J613))), VALUE(TRIM(MAIN!J613)), 0))</f>
        <v>0</v>
      </c>
      <c r="K613" cm="1">
        <f t="array" ref="K613">IFERROR(
    VALUE(
        IFERROR(
            UPPER(
                IF(MAX(IFERROR(SEARCH("WD",MAIN!G613:J613), 0))&gt;0, "WD",
                IF(MAX(IFERROR(SEARCH("NS",MAIN!G613:J613), 0))&gt;0, "NS",
                IF(MAX(IFERROR(SEARCH("NC",MAIN!G613:J613), 0))&gt;0, "NC",
                IF(MAX(IFERROR(SEARCH("DQ",MAIN!G613:J613), 0))&gt;0, "DQ",
                IF(ISNUMBER(SEARCH("WD",MAIN!K613)), "WD",
                IF(ISNUMBER(SEARCH("NS",MAIN!K613)), "NS",
                IF(ISNUMBER(SEARCH("NC",MAIN!K613)), "NC",
                IF(ISNUMBER(SEARCH("DQ",MAIN!K613)), "DQ",
                IF(ISNUMBER(SEARCH("A",MAIN!K613)), 0,
                IF(OR(MAIN!K613=0,MAIN!K613=""), 0, --TRIM(MAIN!K613)))))))))))),
            0
        )
    ),
    IFERROR(
        UPPER(
            IF(MAX(IFERROR(SEARCH("WD",MAIN!G613:J613), 0))&gt;0, "WD",
            IF(MAX(IFERROR(SEARCH("NS",MAIN!G613:J613), 0))&gt;0, "NS",
            IF(MAX(IFERROR(SEARCH("NC",MAIN!G613:J613), 0))&gt;0, "NC",
            IF(MAX(IFERROR(SEARCH("DQ",MAIN!G613:J613), 0))&gt;0, "DQ",
            IF(ISNUMBER(SEARCH("WD",MAIN!K613)), "WD",
            IF(ISNUMBER(SEARCH("NS",MAIN!K613)), "NS",
            IF(ISNUMBER(SEARCH("NC",MAIN!K613)), "NC",
            IF(ISNUMBER(SEARCH("DQ",MAIN!K613)), "DQ",
            IF(ISNUMBER(SEARCH("A",MAIN!K613)), 0,
            IF(OR(MAIN!K613=0,MAIN!K613=""), 0, --TRIM(MAIN!K613)))))))))))),
        0
    )
)</f>
        <v>0</v>
      </c>
    </row>
    <row r="614" spans="1:11" x14ac:dyDescent="0.25">
      <c r="A614" t="str">
        <f>IF(ISBLANK(MAIN!A614), "--", IFERROR(PROPER(SUBSTITUTE(SUBSTITUTE(SUBSTITUTE(SUBSTITUTE(SUBSTITUTE(SUBSTITUTE(SUBSTITUTE(SUBSTITUTE(SUBSTITUTE(SUBSTITUTE(LEFT(MAIN!A614, FIND(",",MAIN!A614) -1), "0", ""), "1", ""), "2", ""), "3", ""), "4", ""), "5", ""), "6", ""), "7", ""), "8", ""), "9", "")), PROPER(SUBSTITUTE(SUBSTITUTE(SUBSTITUTE(SUBSTITUTE(SUBSTITUTE(SUBSTITUTE(SUBSTITUTE(SUBSTITUTE(SUBSTITUTE(SUBSTITUTE(MAIN!A614, "0", ""), "1", ""), "2", ""), "3", ""), "4", ""), "5", ""), "6", ""), "7", ""), "8", ""), "9", ""))))</f>
        <v>--</v>
      </c>
      <c r="B614" t="str">
        <f>IF(ISBLANK(MAIN!B614), "--", IFERROR(PROPER(SUBSTITUTE(SUBSTITUTE(SUBSTITUTE(SUBSTITUTE(SUBSTITUTE(SUBSTITUTE(SUBSTITUTE(SUBSTITUTE(SUBSTITUTE(SUBSTITUTE(LEFT(MAIN!B614, FIND(",",MAIN!B614) -1), "0", ""), "1", ""), "2", ""), "3", ""), "4", ""), "5", ""), "6", ""), "7", ""), "8", ""), "9", "")), PROPER(SUBSTITUTE(SUBSTITUTE(SUBSTITUTE(SUBSTITUTE(SUBSTITUTE(SUBSTITUTE(SUBSTITUTE(SUBSTITUTE(SUBSTITUTE(SUBSTITUTE(MAIN!B614, "0", ""), "1", ""), "2", ""), "3", ""), "4", ""), "5", ""), "6", ""), "7", ""), "8", ""), "9", ""))))</f>
        <v>--</v>
      </c>
      <c r="C614" t="str">
        <f>IF(ISBLANK(MAIN!C614), "--", IFERROR(PROPER(SUBSTITUTE(SUBSTITUTE(SUBSTITUTE(SUBSTITUTE(SUBSTITUTE(SUBSTITUTE(SUBSTITUTE(SUBSTITUTE(SUBSTITUTE(SUBSTITUTE(LEFT(MAIN!C614, FIND(",",MAIN!C614) -1), "0", ""), "1", ""), "2", ""), "3", ""), "4", ""), "5", ""), "6", ""), "7", ""), "8", ""), "9", "")), PROPER(SUBSTITUTE(SUBSTITUTE(SUBSTITUTE(SUBSTITUTE(SUBSTITUTE(SUBSTITUTE(SUBSTITUTE(SUBSTITUTE(SUBSTITUTE(SUBSTITUTE(MAIN!C614, "0", ""), "1", ""), "2", ""), "3", ""), "4", ""), "5", ""), "6", ""), "7", ""), "8", ""), "9", ""))))</f>
        <v>--</v>
      </c>
      <c r="D614" t="str">
        <f>IF(ISBLANK(MAIN!D614), "--", IF(ISNUMBER(MATCH(SUBSTITUTE(LEFT(MAIN!D614, IFERROR(FIND(",", MAIN!D614)-1, LEN(MAIN!D614))), " ", ""), lookup_values!$B$2:$B$51, 0)), UPPER(SUBSTITUTE(LEFT(MAIN!D614, IFERROR(FIND(",", MAIN!D614)-1, LEN(MAIN!D614))), " ", "")), IF(ISNA(VLOOKUP(SUBSTITUTE(LEFT(MAIN!D614, IFERROR(FIND(",", MAIN!D614)-1, LEN(MAIN!D614))), " ", ""), lookup_values!$A$2:$B$51, 2, FALSE)), "--", VLOOKUP(SUBSTITUTE(LEFT(MAIN!D614, IFERROR(FIND(",", MAIN!D614)-1, LEN(MAIN!D614))), " ", ""), lookup_values!$A$2:$B$51, 2, FALSE))))</f>
        <v>--</v>
      </c>
      <c r="E614" t="str">
        <f>IF(CLEAN_DATA!D614&lt;&gt;"--","US",IF(ISBLANK(MAIN!E614), "--", IF(ISNUMBER(MATCH(SUBSTITUTE(LEFT(MAIN!E614, IFERROR(FIND(",", MAIN!E614)-1, LEN(MAIN!E614))), " ", ""), lookup_values!$E$2:$E$197, 0)), UPPER(SUBSTITUTE(LEFT(MAIN!E614, IFERROR(FIND(",", MAIN!E614)-1, LEN(MAIN!E614))), " ", "")), IF(ISNA(VLOOKUP(SUBSTITUTE(LEFT(MAIN!E614, IFERROR(FIND(",", MAIN!E614)-1, LEN(MAIN!E614))), " ", ""), lookup_values!$D$2:$E$197, 2, FALSE)), "--", VLOOKUP(SUBSTITUTE(LEFT(MAIN!E614, IFERROR(FIND(",", MAIN!E614)-1, LEN(MAIN!E614))), " ", ""), lookup_values!$D$2:$E$197, 2, FALSE)))))</f>
        <v>--</v>
      </c>
      <c r="F614" t="str">
        <f>IF(ISBLANK(MAIN!F614), "", IF(AND(ISNUMBER(VALUE(TRIM(MAIN!F614))), LEN(TRIM(MAIN!F614))=4), VALUE(TRIM(MAIN!F614)), ""))</f>
        <v/>
      </c>
      <c r="G614">
        <f>IF(ISBLANK(MAIN!G614), 0, IF(ISNUMBER(VALUE(TRIM(MAIN!G614))), VALUE(TRIM(MAIN!G614)), 0))</f>
        <v>0</v>
      </c>
      <c r="H614">
        <f>IF(ISBLANK(MAIN!H614), 0, IF(ISNUMBER(VALUE(TRIM(MAIN!H614))), VALUE(TRIM(MAIN!H614)), 0))</f>
        <v>0</v>
      </c>
      <c r="I614">
        <f>IF(ISBLANK(MAIN!I614), 0, IF(ISNUMBER(VALUE(TRIM(MAIN!I614))), VALUE(TRIM(MAIN!I614)), 0))</f>
        <v>0</v>
      </c>
      <c r="J614">
        <f>IF(ISBLANK(MAIN!J614), 0, IF(ISNUMBER(VALUE(TRIM(MAIN!J614))), VALUE(TRIM(MAIN!J614)), 0))</f>
        <v>0</v>
      </c>
      <c r="K614" cm="1">
        <f t="array" ref="K614">IFERROR(
    VALUE(
        IFERROR(
            UPPER(
                IF(MAX(IFERROR(SEARCH("WD",MAIN!G614:J614), 0))&gt;0, "WD",
                IF(MAX(IFERROR(SEARCH("NS",MAIN!G614:J614), 0))&gt;0, "NS",
                IF(MAX(IFERROR(SEARCH("NC",MAIN!G614:J614), 0))&gt;0, "NC",
                IF(MAX(IFERROR(SEARCH("DQ",MAIN!G614:J614), 0))&gt;0, "DQ",
                IF(ISNUMBER(SEARCH("WD",MAIN!K614)), "WD",
                IF(ISNUMBER(SEARCH("NS",MAIN!K614)), "NS",
                IF(ISNUMBER(SEARCH("NC",MAIN!K614)), "NC",
                IF(ISNUMBER(SEARCH("DQ",MAIN!K614)), "DQ",
                IF(ISNUMBER(SEARCH("A",MAIN!K614)), 0,
                IF(OR(MAIN!K614=0,MAIN!K614=""), 0, --TRIM(MAIN!K614)))))))))))),
            0
        )
    ),
    IFERROR(
        UPPER(
            IF(MAX(IFERROR(SEARCH("WD",MAIN!G614:J614), 0))&gt;0, "WD",
            IF(MAX(IFERROR(SEARCH("NS",MAIN!G614:J614), 0))&gt;0, "NS",
            IF(MAX(IFERROR(SEARCH("NC",MAIN!G614:J614), 0))&gt;0, "NC",
            IF(MAX(IFERROR(SEARCH("DQ",MAIN!G614:J614), 0))&gt;0, "DQ",
            IF(ISNUMBER(SEARCH("WD",MAIN!K614)), "WD",
            IF(ISNUMBER(SEARCH("NS",MAIN!K614)), "NS",
            IF(ISNUMBER(SEARCH("NC",MAIN!K614)), "NC",
            IF(ISNUMBER(SEARCH("DQ",MAIN!K614)), "DQ",
            IF(ISNUMBER(SEARCH("A",MAIN!K614)), 0,
            IF(OR(MAIN!K614=0,MAIN!K614=""), 0, --TRIM(MAIN!K614)))))))))))),
        0
    )
)</f>
        <v>0</v>
      </c>
    </row>
    <row r="615" spans="1:11" x14ac:dyDescent="0.25">
      <c r="A615" t="str">
        <f>IF(ISBLANK(MAIN!A615), "--", IFERROR(PROPER(SUBSTITUTE(SUBSTITUTE(SUBSTITUTE(SUBSTITUTE(SUBSTITUTE(SUBSTITUTE(SUBSTITUTE(SUBSTITUTE(SUBSTITUTE(SUBSTITUTE(LEFT(MAIN!A615, FIND(",",MAIN!A615) -1), "0", ""), "1", ""), "2", ""), "3", ""), "4", ""), "5", ""), "6", ""), "7", ""), "8", ""), "9", "")), PROPER(SUBSTITUTE(SUBSTITUTE(SUBSTITUTE(SUBSTITUTE(SUBSTITUTE(SUBSTITUTE(SUBSTITUTE(SUBSTITUTE(SUBSTITUTE(SUBSTITUTE(MAIN!A615, "0", ""), "1", ""), "2", ""), "3", ""), "4", ""), "5", ""), "6", ""), "7", ""), "8", ""), "9", ""))))</f>
        <v>--</v>
      </c>
      <c r="B615" t="str">
        <f>IF(ISBLANK(MAIN!B615), "--", IFERROR(PROPER(SUBSTITUTE(SUBSTITUTE(SUBSTITUTE(SUBSTITUTE(SUBSTITUTE(SUBSTITUTE(SUBSTITUTE(SUBSTITUTE(SUBSTITUTE(SUBSTITUTE(LEFT(MAIN!B615, FIND(",",MAIN!B615) -1), "0", ""), "1", ""), "2", ""), "3", ""), "4", ""), "5", ""), "6", ""), "7", ""), "8", ""), "9", "")), PROPER(SUBSTITUTE(SUBSTITUTE(SUBSTITUTE(SUBSTITUTE(SUBSTITUTE(SUBSTITUTE(SUBSTITUTE(SUBSTITUTE(SUBSTITUTE(SUBSTITUTE(MAIN!B615, "0", ""), "1", ""), "2", ""), "3", ""), "4", ""), "5", ""), "6", ""), "7", ""), "8", ""), "9", ""))))</f>
        <v>--</v>
      </c>
      <c r="C615" t="str">
        <f>IF(ISBLANK(MAIN!C615), "--", IFERROR(PROPER(SUBSTITUTE(SUBSTITUTE(SUBSTITUTE(SUBSTITUTE(SUBSTITUTE(SUBSTITUTE(SUBSTITUTE(SUBSTITUTE(SUBSTITUTE(SUBSTITUTE(LEFT(MAIN!C615, FIND(",",MAIN!C615) -1), "0", ""), "1", ""), "2", ""), "3", ""), "4", ""), "5", ""), "6", ""), "7", ""), "8", ""), "9", "")), PROPER(SUBSTITUTE(SUBSTITUTE(SUBSTITUTE(SUBSTITUTE(SUBSTITUTE(SUBSTITUTE(SUBSTITUTE(SUBSTITUTE(SUBSTITUTE(SUBSTITUTE(MAIN!C615, "0", ""), "1", ""), "2", ""), "3", ""), "4", ""), "5", ""), "6", ""), "7", ""), "8", ""), "9", ""))))</f>
        <v>--</v>
      </c>
      <c r="D615" t="str">
        <f>IF(ISBLANK(MAIN!D615), "--", IF(ISNUMBER(MATCH(SUBSTITUTE(LEFT(MAIN!D615, IFERROR(FIND(",", MAIN!D615)-1, LEN(MAIN!D615))), " ", ""), lookup_values!$B$2:$B$51, 0)), UPPER(SUBSTITUTE(LEFT(MAIN!D615, IFERROR(FIND(",", MAIN!D615)-1, LEN(MAIN!D615))), " ", "")), IF(ISNA(VLOOKUP(SUBSTITUTE(LEFT(MAIN!D615, IFERROR(FIND(",", MAIN!D615)-1, LEN(MAIN!D615))), " ", ""), lookup_values!$A$2:$B$51, 2, FALSE)), "--", VLOOKUP(SUBSTITUTE(LEFT(MAIN!D615, IFERROR(FIND(",", MAIN!D615)-1, LEN(MAIN!D615))), " ", ""), lookup_values!$A$2:$B$51, 2, FALSE))))</f>
        <v>--</v>
      </c>
      <c r="E615" t="str">
        <f>IF(CLEAN_DATA!D615&lt;&gt;"--","US",IF(ISBLANK(MAIN!E615), "--", IF(ISNUMBER(MATCH(SUBSTITUTE(LEFT(MAIN!E615, IFERROR(FIND(",", MAIN!E615)-1, LEN(MAIN!E615))), " ", ""), lookup_values!$E$2:$E$197, 0)), UPPER(SUBSTITUTE(LEFT(MAIN!E615, IFERROR(FIND(",", MAIN!E615)-1, LEN(MAIN!E615))), " ", "")), IF(ISNA(VLOOKUP(SUBSTITUTE(LEFT(MAIN!E615, IFERROR(FIND(",", MAIN!E615)-1, LEN(MAIN!E615))), " ", ""), lookup_values!$D$2:$E$197, 2, FALSE)), "--", VLOOKUP(SUBSTITUTE(LEFT(MAIN!E615, IFERROR(FIND(",", MAIN!E615)-1, LEN(MAIN!E615))), " ", ""), lookup_values!$D$2:$E$197, 2, FALSE)))))</f>
        <v>--</v>
      </c>
      <c r="F615" t="str">
        <f>IF(ISBLANK(MAIN!F615), "", IF(AND(ISNUMBER(VALUE(TRIM(MAIN!F615))), LEN(TRIM(MAIN!F615))=4), VALUE(TRIM(MAIN!F615)), ""))</f>
        <v/>
      </c>
      <c r="G615">
        <f>IF(ISBLANK(MAIN!G615), 0, IF(ISNUMBER(VALUE(TRIM(MAIN!G615))), VALUE(TRIM(MAIN!G615)), 0))</f>
        <v>0</v>
      </c>
      <c r="H615">
        <f>IF(ISBLANK(MAIN!H615), 0, IF(ISNUMBER(VALUE(TRIM(MAIN!H615))), VALUE(TRIM(MAIN!H615)), 0))</f>
        <v>0</v>
      </c>
      <c r="I615">
        <f>IF(ISBLANK(MAIN!I615), 0, IF(ISNUMBER(VALUE(TRIM(MAIN!I615))), VALUE(TRIM(MAIN!I615)), 0))</f>
        <v>0</v>
      </c>
      <c r="J615">
        <f>IF(ISBLANK(MAIN!J615), 0, IF(ISNUMBER(VALUE(TRIM(MAIN!J615))), VALUE(TRIM(MAIN!J615)), 0))</f>
        <v>0</v>
      </c>
      <c r="K615" cm="1">
        <f t="array" ref="K615">IFERROR(
    VALUE(
        IFERROR(
            UPPER(
                IF(MAX(IFERROR(SEARCH("WD",MAIN!G615:J615), 0))&gt;0, "WD",
                IF(MAX(IFERROR(SEARCH("NS",MAIN!G615:J615), 0))&gt;0, "NS",
                IF(MAX(IFERROR(SEARCH("NC",MAIN!G615:J615), 0))&gt;0, "NC",
                IF(MAX(IFERROR(SEARCH("DQ",MAIN!G615:J615), 0))&gt;0, "DQ",
                IF(ISNUMBER(SEARCH("WD",MAIN!K615)), "WD",
                IF(ISNUMBER(SEARCH("NS",MAIN!K615)), "NS",
                IF(ISNUMBER(SEARCH("NC",MAIN!K615)), "NC",
                IF(ISNUMBER(SEARCH("DQ",MAIN!K615)), "DQ",
                IF(ISNUMBER(SEARCH("A",MAIN!K615)), 0,
                IF(OR(MAIN!K615=0,MAIN!K615=""), 0, --TRIM(MAIN!K615)))))))))))),
            0
        )
    ),
    IFERROR(
        UPPER(
            IF(MAX(IFERROR(SEARCH("WD",MAIN!G615:J615), 0))&gt;0, "WD",
            IF(MAX(IFERROR(SEARCH("NS",MAIN!G615:J615), 0))&gt;0, "NS",
            IF(MAX(IFERROR(SEARCH("NC",MAIN!G615:J615), 0))&gt;0, "NC",
            IF(MAX(IFERROR(SEARCH("DQ",MAIN!G615:J615), 0))&gt;0, "DQ",
            IF(ISNUMBER(SEARCH("WD",MAIN!K615)), "WD",
            IF(ISNUMBER(SEARCH("NS",MAIN!K615)), "NS",
            IF(ISNUMBER(SEARCH("NC",MAIN!K615)), "NC",
            IF(ISNUMBER(SEARCH("DQ",MAIN!K615)), "DQ",
            IF(ISNUMBER(SEARCH("A",MAIN!K615)), 0,
            IF(OR(MAIN!K615=0,MAIN!K615=""), 0, --TRIM(MAIN!K615)))))))))))),
        0
    )
)</f>
        <v>0</v>
      </c>
    </row>
    <row r="616" spans="1:11" x14ac:dyDescent="0.25">
      <c r="A616" t="str">
        <f>IF(ISBLANK(MAIN!A616), "--", IFERROR(PROPER(SUBSTITUTE(SUBSTITUTE(SUBSTITUTE(SUBSTITUTE(SUBSTITUTE(SUBSTITUTE(SUBSTITUTE(SUBSTITUTE(SUBSTITUTE(SUBSTITUTE(LEFT(MAIN!A616, FIND(",",MAIN!A616) -1), "0", ""), "1", ""), "2", ""), "3", ""), "4", ""), "5", ""), "6", ""), "7", ""), "8", ""), "9", "")), PROPER(SUBSTITUTE(SUBSTITUTE(SUBSTITUTE(SUBSTITUTE(SUBSTITUTE(SUBSTITUTE(SUBSTITUTE(SUBSTITUTE(SUBSTITUTE(SUBSTITUTE(MAIN!A616, "0", ""), "1", ""), "2", ""), "3", ""), "4", ""), "5", ""), "6", ""), "7", ""), "8", ""), "9", ""))))</f>
        <v>--</v>
      </c>
      <c r="B616" t="str">
        <f>IF(ISBLANK(MAIN!B616), "--", IFERROR(PROPER(SUBSTITUTE(SUBSTITUTE(SUBSTITUTE(SUBSTITUTE(SUBSTITUTE(SUBSTITUTE(SUBSTITUTE(SUBSTITUTE(SUBSTITUTE(SUBSTITUTE(LEFT(MAIN!B616, FIND(",",MAIN!B616) -1), "0", ""), "1", ""), "2", ""), "3", ""), "4", ""), "5", ""), "6", ""), "7", ""), "8", ""), "9", "")), PROPER(SUBSTITUTE(SUBSTITUTE(SUBSTITUTE(SUBSTITUTE(SUBSTITUTE(SUBSTITUTE(SUBSTITUTE(SUBSTITUTE(SUBSTITUTE(SUBSTITUTE(MAIN!B616, "0", ""), "1", ""), "2", ""), "3", ""), "4", ""), "5", ""), "6", ""), "7", ""), "8", ""), "9", ""))))</f>
        <v>--</v>
      </c>
      <c r="C616" t="str">
        <f>IF(ISBLANK(MAIN!C616), "--", IFERROR(PROPER(SUBSTITUTE(SUBSTITUTE(SUBSTITUTE(SUBSTITUTE(SUBSTITUTE(SUBSTITUTE(SUBSTITUTE(SUBSTITUTE(SUBSTITUTE(SUBSTITUTE(LEFT(MAIN!C616, FIND(",",MAIN!C616) -1), "0", ""), "1", ""), "2", ""), "3", ""), "4", ""), "5", ""), "6", ""), "7", ""), "8", ""), "9", "")), PROPER(SUBSTITUTE(SUBSTITUTE(SUBSTITUTE(SUBSTITUTE(SUBSTITUTE(SUBSTITUTE(SUBSTITUTE(SUBSTITUTE(SUBSTITUTE(SUBSTITUTE(MAIN!C616, "0", ""), "1", ""), "2", ""), "3", ""), "4", ""), "5", ""), "6", ""), "7", ""), "8", ""), "9", ""))))</f>
        <v>--</v>
      </c>
      <c r="D616" t="str">
        <f>IF(ISBLANK(MAIN!D616), "--", IF(ISNUMBER(MATCH(SUBSTITUTE(LEFT(MAIN!D616, IFERROR(FIND(",", MAIN!D616)-1, LEN(MAIN!D616))), " ", ""), lookup_values!$B$2:$B$51, 0)), UPPER(SUBSTITUTE(LEFT(MAIN!D616, IFERROR(FIND(",", MAIN!D616)-1, LEN(MAIN!D616))), " ", "")), IF(ISNA(VLOOKUP(SUBSTITUTE(LEFT(MAIN!D616, IFERROR(FIND(",", MAIN!D616)-1, LEN(MAIN!D616))), " ", ""), lookup_values!$A$2:$B$51, 2, FALSE)), "--", VLOOKUP(SUBSTITUTE(LEFT(MAIN!D616, IFERROR(FIND(",", MAIN!D616)-1, LEN(MAIN!D616))), " ", ""), lookup_values!$A$2:$B$51, 2, FALSE))))</f>
        <v>--</v>
      </c>
      <c r="E616" t="str">
        <f>IF(CLEAN_DATA!D616&lt;&gt;"--","US",IF(ISBLANK(MAIN!E616), "--", IF(ISNUMBER(MATCH(SUBSTITUTE(LEFT(MAIN!E616, IFERROR(FIND(",", MAIN!E616)-1, LEN(MAIN!E616))), " ", ""), lookup_values!$E$2:$E$197, 0)), UPPER(SUBSTITUTE(LEFT(MAIN!E616, IFERROR(FIND(",", MAIN!E616)-1, LEN(MAIN!E616))), " ", "")), IF(ISNA(VLOOKUP(SUBSTITUTE(LEFT(MAIN!E616, IFERROR(FIND(",", MAIN!E616)-1, LEN(MAIN!E616))), " ", ""), lookup_values!$D$2:$E$197, 2, FALSE)), "--", VLOOKUP(SUBSTITUTE(LEFT(MAIN!E616, IFERROR(FIND(",", MAIN!E616)-1, LEN(MAIN!E616))), " ", ""), lookup_values!$D$2:$E$197, 2, FALSE)))))</f>
        <v>--</v>
      </c>
      <c r="F616" t="str">
        <f>IF(ISBLANK(MAIN!F616), "", IF(AND(ISNUMBER(VALUE(TRIM(MAIN!F616))), LEN(TRIM(MAIN!F616))=4), VALUE(TRIM(MAIN!F616)), ""))</f>
        <v/>
      </c>
      <c r="G616">
        <f>IF(ISBLANK(MAIN!G616), 0, IF(ISNUMBER(VALUE(TRIM(MAIN!G616))), VALUE(TRIM(MAIN!G616)), 0))</f>
        <v>0</v>
      </c>
      <c r="H616">
        <f>IF(ISBLANK(MAIN!H616), 0, IF(ISNUMBER(VALUE(TRIM(MAIN!H616))), VALUE(TRIM(MAIN!H616)), 0))</f>
        <v>0</v>
      </c>
      <c r="I616">
        <f>IF(ISBLANK(MAIN!I616), 0, IF(ISNUMBER(VALUE(TRIM(MAIN!I616))), VALUE(TRIM(MAIN!I616)), 0))</f>
        <v>0</v>
      </c>
      <c r="J616">
        <f>IF(ISBLANK(MAIN!J616), 0, IF(ISNUMBER(VALUE(TRIM(MAIN!J616))), VALUE(TRIM(MAIN!J616)), 0))</f>
        <v>0</v>
      </c>
      <c r="K616" cm="1">
        <f t="array" ref="K616">IFERROR(
    VALUE(
        IFERROR(
            UPPER(
                IF(MAX(IFERROR(SEARCH("WD",MAIN!G616:J616), 0))&gt;0, "WD",
                IF(MAX(IFERROR(SEARCH("NS",MAIN!G616:J616), 0))&gt;0, "NS",
                IF(MAX(IFERROR(SEARCH("NC",MAIN!G616:J616), 0))&gt;0, "NC",
                IF(MAX(IFERROR(SEARCH("DQ",MAIN!G616:J616), 0))&gt;0, "DQ",
                IF(ISNUMBER(SEARCH("WD",MAIN!K616)), "WD",
                IF(ISNUMBER(SEARCH("NS",MAIN!K616)), "NS",
                IF(ISNUMBER(SEARCH("NC",MAIN!K616)), "NC",
                IF(ISNUMBER(SEARCH("DQ",MAIN!K616)), "DQ",
                IF(ISNUMBER(SEARCH("A",MAIN!K616)), 0,
                IF(OR(MAIN!K616=0,MAIN!K616=""), 0, --TRIM(MAIN!K616)))))))))))),
            0
        )
    ),
    IFERROR(
        UPPER(
            IF(MAX(IFERROR(SEARCH("WD",MAIN!G616:J616), 0))&gt;0, "WD",
            IF(MAX(IFERROR(SEARCH("NS",MAIN!G616:J616), 0))&gt;0, "NS",
            IF(MAX(IFERROR(SEARCH("NC",MAIN!G616:J616), 0))&gt;0, "NC",
            IF(MAX(IFERROR(SEARCH("DQ",MAIN!G616:J616), 0))&gt;0, "DQ",
            IF(ISNUMBER(SEARCH("WD",MAIN!K616)), "WD",
            IF(ISNUMBER(SEARCH("NS",MAIN!K616)), "NS",
            IF(ISNUMBER(SEARCH("NC",MAIN!K616)), "NC",
            IF(ISNUMBER(SEARCH("DQ",MAIN!K616)), "DQ",
            IF(ISNUMBER(SEARCH("A",MAIN!K616)), 0,
            IF(OR(MAIN!K616=0,MAIN!K616=""), 0, --TRIM(MAIN!K616)))))))))))),
        0
    )
)</f>
        <v>0</v>
      </c>
    </row>
    <row r="617" spans="1:11" x14ac:dyDescent="0.25">
      <c r="A617" t="str">
        <f>IF(ISBLANK(MAIN!A617), "--", IFERROR(PROPER(SUBSTITUTE(SUBSTITUTE(SUBSTITUTE(SUBSTITUTE(SUBSTITUTE(SUBSTITUTE(SUBSTITUTE(SUBSTITUTE(SUBSTITUTE(SUBSTITUTE(LEFT(MAIN!A617, FIND(",",MAIN!A617) -1), "0", ""), "1", ""), "2", ""), "3", ""), "4", ""), "5", ""), "6", ""), "7", ""), "8", ""), "9", "")), PROPER(SUBSTITUTE(SUBSTITUTE(SUBSTITUTE(SUBSTITUTE(SUBSTITUTE(SUBSTITUTE(SUBSTITUTE(SUBSTITUTE(SUBSTITUTE(SUBSTITUTE(MAIN!A617, "0", ""), "1", ""), "2", ""), "3", ""), "4", ""), "5", ""), "6", ""), "7", ""), "8", ""), "9", ""))))</f>
        <v>--</v>
      </c>
      <c r="B617" t="str">
        <f>IF(ISBLANK(MAIN!B617), "--", IFERROR(PROPER(SUBSTITUTE(SUBSTITUTE(SUBSTITUTE(SUBSTITUTE(SUBSTITUTE(SUBSTITUTE(SUBSTITUTE(SUBSTITUTE(SUBSTITUTE(SUBSTITUTE(LEFT(MAIN!B617, FIND(",",MAIN!B617) -1), "0", ""), "1", ""), "2", ""), "3", ""), "4", ""), "5", ""), "6", ""), "7", ""), "8", ""), "9", "")), PROPER(SUBSTITUTE(SUBSTITUTE(SUBSTITUTE(SUBSTITUTE(SUBSTITUTE(SUBSTITUTE(SUBSTITUTE(SUBSTITUTE(SUBSTITUTE(SUBSTITUTE(MAIN!B617, "0", ""), "1", ""), "2", ""), "3", ""), "4", ""), "5", ""), "6", ""), "7", ""), "8", ""), "9", ""))))</f>
        <v>--</v>
      </c>
      <c r="C617" t="str">
        <f>IF(ISBLANK(MAIN!C617), "--", IFERROR(PROPER(SUBSTITUTE(SUBSTITUTE(SUBSTITUTE(SUBSTITUTE(SUBSTITUTE(SUBSTITUTE(SUBSTITUTE(SUBSTITUTE(SUBSTITUTE(SUBSTITUTE(LEFT(MAIN!C617, FIND(",",MAIN!C617) -1), "0", ""), "1", ""), "2", ""), "3", ""), "4", ""), "5", ""), "6", ""), "7", ""), "8", ""), "9", "")), PROPER(SUBSTITUTE(SUBSTITUTE(SUBSTITUTE(SUBSTITUTE(SUBSTITUTE(SUBSTITUTE(SUBSTITUTE(SUBSTITUTE(SUBSTITUTE(SUBSTITUTE(MAIN!C617, "0", ""), "1", ""), "2", ""), "3", ""), "4", ""), "5", ""), "6", ""), "7", ""), "8", ""), "9", ""))))</f>
        <v>--</v>
      </c>
      <c r="D617" t="str">
        <f>IF(ISBLANK(MAIN!D617), "--", IF(ISNUMBER(MATCH(SUBSTITUTE(LEFT(MAIN!D617, IFERROR(FIND(",", MAIN!D617)-1, LEN(MAIN!D617))), " ", ""), lookup_values!$B$2:$B$51, 0)), UPPER(SUBSTITUTE(LEFT(MAIN!D617, IFERROR(FIND(",", MAIN!D617)-1, LEN(MAIN!D617))), " ", "")), IF(ISNA(VLOOKUP(SUBSTITUTE(LEFT(MAIN!D617, IFERROR(FIND(",", MAIN!D617)-1, LEN(MAIN!D617))), " ", ""), lookup_values!$A$2:$B$51, 2, FALSE)), "--", VLOOKUP(SUBSTITUTE(LEFT(MAIN!D617, IFERROR(FIND(",", MAIN!D617)-1, LEN(MAIN!D617))), " ", ""), lookup_values!$A$2:$B$51, 2, FALSE))))</f>
        <v>--</v>
      </c>
      <c r="E617" t="str">
        <f>IF(CLEAN_DATA!D617&lt;&gt;"--","US",IF(ISBLANK(MAIN!E617), "--", IF(ISNUMBER(MATCH(SUBSTITUTE(LEFT(MAIN!E617, IFERROR(FIND(",", MAIN!E617)-1, LEN(MAIN!E617))), " ", ""), lookup_values!$E$2:$E$197, 0)), UPPER(SUBSTITUTE(LEFT(MAIN!E617, IFERROR(FIND(",", MAIN!E617)-1, LEN(MAIN!E617))), " ", "")), IF(ISNA(VLOOKUP(SUBSTITUTE(LEFT(MAIN!E617, IFERROR(FIND(",", MAIN!E617)-1, LEN(MAIN!E617))), " ", ""), lookup_values!$D$2:$E$197, 2, FALSE)), "--", VLOOKUP(SUBSTITUTE(LEFT(MAIN!E617, IFERROR(FIND(",", MAIN!E617)-1, LEN(MAIN!E617))), " ", ""), lookup_values!$D$2:$E$197, 2, FALSE)))))</f>
        <v>--</v>
      </c>
      <c r="F617" t="str">
        <f>IF(ISBLANK(MAIN!F617), "", IF(AND(ISNUMBER(VALUE(TRIM(MAIN!F617))), LEN(TRIM(MAIN!F617))=4), VALUE(TRIM(MAIN!F617)), ""))</f>
        <v/>
      </c>
      <c r="G617">
        <f>IF(ISBLANK(MAIN!G617), 0, IF(ISNUMBER(VALUE(TRIM(MAIN!G617))), VALUE(TRIM(MAIN!G617)), 0))</f>
        <v>0</v>
      </c>
      <c r="H617">
        <f>IF(ISBLANK(MAIN!H617), 0, IF(ISNUMBER(VALUE(TRIM(MAIN!H617))), VALUE(TRIM(MAIN!H617)), 0))</f>
        <v>0</v>
      </c>
      <c r="I617">
        <f>IF(ISBLANK(MAIN!I617), 0, IF(ISNUMBER(VALUE(TRIM(MAIN!I617))), VALUE(TRIM(MAIN!I617)), 0))</f>
        <v>0</v>
      </c>
      <c r="J617">
        <f>IF(ISBLANK(MAIN!J617), 0, IF(ISNUMBER(VALUE(TRIM(MAIN!J617))), VALUE(TRIM(MAIN!J617)), 0))</f>
        <v>0</v>
      </c>
      <c r="K617" cm="1">
        <f t="array" ref="K617">IFERROR(
    VALUE(
        IFERROR(
            UPPER(
                IF(MAX(IFERROR(SEARCH("WD",MAIN!G617:J617), 0))&gt;0, "WD",
                IF(MAX(IFERROR(SEARCH("NS",MAIN!G617:J617), 0))&gt;0, "NS",
                IF(MAX(IFERROR(SEARCH("NC",MAIN!G617:J617), 0))&gt;0, "NC",
                IF(MAX(IFERROR(SEARCH("DQ",MAIN!G617:J617), 0))&gt;0, "DQ",
                IF(ISNUMBER(SEARCH("WD",MAIN!K617)), "WD",
                IF(ISNUMBER(SEARCH("NS",MAIN!K617)), "NS",
                IF(ISNUMBER(SEARCH("NC",MAIN!K617)), "NC",
                IF(ISNUMBER(SEARCH("DQ",MAIN!K617)), "DQ",
                IF(ISNUMBER(SEARCH("A",MAIN!K617)), 0,
                IF(OR(MAIN!K617=0,MAIN!K617=""), 0, --TRIM(MAIN!K617)))))))))))),
            0
        )
    ),
    IFERROR(
        UPPER(
            IF(MAX(IFERROR(SEARCH("WD",MAIN!G617:J617), 0))&gt;0, "WD",
            IF(MAX(IFERROR(SEARCH("NS",MAIN!G617:J617), 0))&gt;0, "NS",
            IF(MAX(IFERROR(SEARCH("NC",MAIN!G617:J617), 0))&gt;0, "NC",
            IF(MAX(IFERROR(SEARCH("DQ",MAIN!G617:J617), 0))&gt;0, "DQ",
            IF(ISNUMBER(SEARCH("WD",MAIN!K617)), "WD",
            IF(ISNUMBER(SEARCH("NS",MAIN!K617)), "NS",
            IF(ISNUMBER(SEARCH("NC",MAIN!K617)), "NC",
            IF(ISNUMBER(SEARCH("DQ",MAIN!K617)), "DQ",
            IF(ISNUMBER(SEARCH("A",MAIN!K617)), 0,
            IF(OR(MAIN!K617=0,MAIN!K617=""), 0, --TRIM(MAIN!K617)))))))))))),
        0
    )
)</f>
        <v>0</v>
      </c>
    </row>
    <row r="618" spans="1:11" x14ac:dyDescent="0.25">
      <c r="A618" t="str">
        <f>IF(ISBLANK(MAIN!A618), "--", IFERROR(PROPER(SUBSTITUTE(SUBSTITUTE(SUBSTITUTE(SUBSTITUTE(SUBSTITUTE(SUBSTITUTE(SUBSTITUTE(SUBSTITUTE(SUBSTITUTE(SUBSTITUTE(LEFT(MAIN!A618, FIND(",",MAIN!A618) -1), "0", ""), "1", ""), "2", ""), "3", ""), "4", ""), "5", ""), "6", ""), "7", ""), "8", ""), "9", "")), PROPER(SUBSTITUTE(SUBSTITUTE(SUBSTITUTE(SUBSTITUTE(SUBSTITUTE(SUBSTITUTE(SUBSTITUTE(SUBSTITUTE(SUBSTITUTE(SUBSTITUTE(MAIN!A618, "0", ""), "1", ""), "2", ""), "3", ""), "4", ""), "5", ""), "6", ""), "7", ""), "8", ""), "9", ""))))</f>
        <v>--</v>
      </c>
      <c r="B618" t="str">
        <f>IF(ISBLANK(MAIN!B618), "--", IFERROR(PROPER(SUBSTITUTE(SUBSTITUTE(SUBSTITUTE(SUBSTITUTE(SUBSTITUTE(SUBSTITUTE(SUBSTITUTE(SUBSTITUTE(SUBSTITUTE(SUBSTITUTE(LEFT(MAIN!B618, FIND(",",MAIN!B618) -1), "0", ""), "1", ""), "2", ""), "3", ""), "4", ""), "5", ""), "6", ""), "7", ""), "8", ""), "9", "")), PROPER(SUBSTITUTE(SUBSTITUTE(SUBSTITUTE(SUBSTITUTE(SUBSTITUTE(SUBSTITUTE(SUBSTITUTE(SUBSTITUTE(SUBSTITUTE(SUBSTITUTE(MAIN!B618, "0", ""), "1", ""), "2", ""), "3", ""), "4", ""), "5", ""), "6", ""), "7", ""), "8", ""), "9", ""))))</f>
        <v>--</v>
      </c>
      <c r="C618" t="str">
        <f>IF(ISBLANK(MAIN!C618), "--", IFERROR(PROPER(SUBSTITUTE(SUBSTITUTE(SUBSTITUTE(SUBSTITUTE(SUBSTITUTE(SUBSTITUTE(SUBSTITUTE(SUBSTITUTE(SUBSTITUTE(SUBSTITUTE(LEFT(MAIN!C618, FIND(",",MAIN!C618) -1), "0", ""), "1", ""), "2", ""), "3", ""), "4", ""), "5", ""), "6", ""), "7", ""), "8", ""), "9", "")), PROPER(SUBSTITUTE(SUBSTITUTE(SUBSTITUTE(SUBSTITUTE(SUBSTITUTE(SUBSTITUTE(SUBSTITUTE(SUBSTITUTE(SUBSTITUTE(SUBSTITUTE(MAIN!C618, "0", ""), "1", ""), "2", ""), "3", ""), "4", ""), "5", ""), "6", ""), "7", ""), "8", ""), "9", ""))))</f>
        <v>--</v>
      </c>
      <c r="D618" t="str">
        <f>IF(ISBLANK(MAIN!D618), "--", IF(ISNUMBER(MATCH(SUBSTITUTE(LEFT(MAIN!D618, IFERROR(FIND(",", MAIN!D618)-1, LEN(MAIN!D618))), " ", ""), lookup_values!$B$2:$B$51, 0)), UPPER(SUBSTITUTE(LEFT(MAIN!D618, IFERROR(FIND(",", MAIN!D618)-1, LEN(MAIN!D618))), " ", "")), IF(ISNA(VLOOKUP(SUBSTITUTE(LEFT(MAIN!D618, IFERROR(FIND(",", MAIN!D618)-1, LEN(MAIN!D618))), " ", ""), lookup_values!$A$2:$B$51, 2, FALSE)), "--", VLOOKUP(SUBSTITUTE(LEFT(MAIN!D618, IFERROR(FIND(",", MAIN!D618)-1, LEN(MAIN!D618))), " ", ""), lookup_values!$A$2:$B$51, 2, FALSE))))</f>
        <v>--</v>
      </c>
      <c r="E618" t="str">
        <f>IF(CLEAN_DATA!D618&lt;&gt;"--","US",IF(ISBLANK(MAIN!E618), "--", IF(ISNUMBER(MATCH(SUBSTITUTE(LEFT(MAIN!E618, IFERROR(FIND(",", MAIN!E618)-1, LEN(MAIN!E618))), " ", ""), lookup_values!$E$2:$E$197, 0)), UPPER(SUBSTITUTE(LEFT(MAIN!E618, IFERROR(FIND(",", MAIN!E618)-1, LEN(MAIN!E618))), " ", "")), IF(ISNA(VLOOKUP(SUBSTITUTE(LEFT(MAIN!E618, IFERROR(FIND(",", MAIN!E618)-1, LEN(MAIN!E618))), " ", ""), lookup_values!$D$2:$E$197, 2, FALSE)), "--", VLOOKUP(SUBSTITUTE(LEFT(MAIN!E618, IFERROR(FIND(",", MAIN!E618)-1, LEN(MAIN!E618))), " ", ""), lookup_values!$D$2:$E$197, 2, FALSE)))))</f>
        <v>--</v>
      </c>
      <c r="F618" t="str">
        <f>IF(ISBLANK(MAIN!F618), "", IF(AND(ISNUMBER(VALUE(TRIM(MAIN!F618))), LEN(TRIM(MAIN!F618))=4), VALUE(TRIM(MAIN!F618)), ""))</f>
        <v/>
      </c>
      <c r="G618">
        <f>IF(ISBLANK(MAIN!G618), 0, IF(ISNUMBER(VALUE(TRIM(MAIN!G618))), VALUE(TRIM(MAIN!G618)), 0))</f>
        <v>0</v>
      </c>
      <c r="H618">
        <f>IF(ISBLANK(MAIN!H618), 0, IF(ISNUMBER(VALUE(TRIM(MAIN!H618))), VALUE(TRIM(MAIN!H618)), 0))</f>
        <v>0</v>
      </c>
      <c r="I618">
        <f>IF(ISBLANK(MAIN!I618), 0, IF(ISNUMBER(VALUE(TRIM(MAIN!I618))), VALUE(TRIM(MAIN!I618)), 0))</f>
        <v>0</v>
      </c>
      <c r="J618">
        <f>IF(ISBLANK(MAIN!J618), 0, IF(ISNUMBER(VALUE(TRIM(MAIN!J618))), VALUE(TRIM(MAIN!J618)), 0))</f>
        <v>0</v>
      </c>
      <c r="K618" cm="1">
        <f t="array" ref="K618">IFERROR(
    VALUE(
        IFERROR(
            UPPER(
                IF(MAX(IFERROR(SEARCH("WD",MAIN!G618:J618), 0))&gt;0, "WD",
                IF(MAX(IFERROR(SEARCH("NS",MAIN!G618:J618), 0))&gt;0, "NS",
                IF(MAX(IFERROR(SEARCH("NC",MAIN!G618:J618), 0))&gt;0, "NC",
                IF(MAX(IFERROR(SEARCH("DQ",MAIN!G618:J618), 0))&gt;0, "DQ",
                IF(ISNUMBER(SEARCH("WD",MAIN!K618)), "WD",
                IF(ISNUMBER(SEARCH("NS",MAIN!K618)), "NS",
                IF(ISNUMBER(SEARCH("NC",MAIN!K618)), "NC",
                IF(ISNUMBER(SEARCH("DQ",MAIN!K618)), "DQ",
                IF(ISNUMBER(SEARCH("A",MAIN!K618)), 0,
                IF(OR(MAIN!K618=0,MAIN!K618=""), 0, --TRIM(MAIN!K618)))))))))))),
            0
        )
    ),
    IFERROR(
        UPPER(
            IF(MAX(IFERROR(SEARCH("WD",MAIN!G618:J618), 0))&gt;0, "WD",
            IF(MAX(IFERROR(SEARCH("NS",MAIN!G618:J618), 0))&gt;0, "NS",
            IF(MAX(IFERROR(SEARCH("NC",MAIN!G618:J618), 0))&gt;0, "NC",
            IF(MAX(IFERROR(SEARCH("DQ",MAIN!G618:J618), 0))&gt;0, "DQ",
            IF(ISNUMBER(SEARCH("WD",MAIN!K618)), "WD",
            IF(ISNUMBER(SEARCH("NS",MAIN!K618)), "NS",
            IF(ISNUMBER(SEARCH("NC",MAIN!K618)), "NC",
            IF(ISNUMBER(SEARCH("DQ",MAIN!K618)), "DQ",
            IF(ISNUMBER(SEARCH("A",MAIN!K618)), 0,
            IF(OR(MAIN!K618=0,MAIN!K618=""), 0, --TRIM(MAIN!K618)))))))))))),
        0
    )
)</f>
        <v>0</v>
      </c>
    </row>
    <row r="619" spans="1:11" x14ac:dyDescent="0.25">
      <c r="A619" t="str">
        <f>IF(ISBLANK(MAIN!A619), "--", IFERROR(PROPER(SUBSTITUTE(SUBSTITUTE(SUBSTITUTE(SUBSTITUTE(SUBSTITUTE(SUBSTITUTE(SUBSTITUTE(SUBSTITUTE(SUBSTITUTE(SUBSTITUTE(LEFT(MAIN!A619, FIND(",",MAIN!A619) -1), "0", ""), "1", ""), "2", ""), "3", ""), "4", ""), "5", ""), "6", ""), "7", ""), "8", ""), "9", "")), PROPER(SUBSTITUTE(SUBSTITUTE(SUBSTITUTE(SUBSTITUTE(SUBSTITUTE(SUBSTITUTE(SUBSTITUTE(SUBSTITUTE(SUBSTITUTE(SUBSTITUTE(MAIN!A619, "0", ""), "1", ""), "2", ""), "3", ""), "4", ""), "5", ""), "6", ""), "7", ""), "8", ""), "9", ""))))</f>
        <v>--</v>
      </c>
      <c r="B619" t="str">
        <f>IF(ISBLANK(MAIN!B619), "--", IFERROR(PROPER(SUBSTITUTE(SUBSTITUTE(SUBSTITUTE(SUBSTITUTE(SUBSTITUTE(SUBSTITUTE(SUBSTITUTE(SUBSTITUTE(SUBSTITUTE(SUBSTITUTE(LEFT(MAIN!B619, FIND(",",MAIN!B619) -1), "0", ""), "1", ""), "2", ""), "3", ""), "4", ""), "5", ""), "6", ""), "7", ""), "8", ""), "9", "")), PROPER(SUBSTITUTE(SUBSTITUTE(SUBSTITUTE(SUBSTITUTE(SUBSTITUTE(SUBSTITUTE(SUBSTITUTE(SUBSTITUTE(SUBSTITUTE(SUBSTITUTE(MAIN!B619, "0", ""), "1", ""), "2", ""), "3", ""), "4", ""), "5", ""), "6", ""), "7", ""), "8", ""), "9", ""))))</f>
        <v>--</v>
      </c>
      <c r="C619" t="str">
        <f>IF(ISBLANK(MAIN!C619), "--", IFERROR(PROPER(SUBSTITUTE(SUBSTITUTE(SUBSTITUTE(SUBSTITUTE(SUBSTITUTE(SUBSTITUTE(SUBSTITUTE(SUBSTITUTE(SUBSTITUTE(SUBSTITUTE(LEFT(MAIN!C619, FIND(",",MAIN!C619) -1), "0", ""), "1", ""), "2", ""), "3", ""), "4", ""), "5", ""), "6", ""), "7", ""), "8", ""), "9", "")), PROPER(SUBSTITUTE(SUBSTITUTE(SUBSTITUTE(SUBSTITUTE(SUBSTITUTE(SUBSTITUTE(SUBSTITUTE(SUBSTITUTE(SUBSTITUTE(SUBSTITUTE(MAIN!C619, "0", ""), "1", ""), "2", ""), "3", ""), "4", ""), "5", ""), "6", ""), "7", ""), "8", ""), "9", ""))))</f>
        <v>--</v>
      </c>
      <c r="D619" t="str">
        <f>IF(ISBLANK(MAIN!D619), "--", IF(ISNUMBER(MATCH(SUBSTITUTE(LEFT(MAIN!D619, IFERROR(FIND(",", MAIN!D619)-1, LEN(MAIN!D619))), " ", ""), lookup_values!$B$2:$B$51, 0)), UPPER(SUBSTITUTE(LEFT(MAIN!D619, IFERROR(FIND(",", MAIN!D619)-1, LEN(MAIN!D619))), " ", "")), IF(ISNA(VLOOKUP(SUBSTITUTE(LEFT(MAIN!D619, IFERROR(FIND(",", MAIN!D619)-1, LEN(MAIN!D619))), " ", ""), lookup_values!$A$2:$B$51, 2, FALSE)), "--", VLOOKUP(SUBSTITUTE(LEFT(MAIN!D619, IFERROR(FIND(",", MAIN!D619)-1, LEN(MAIN!D619))), " ", ""), lookup_values!$A$2:$B$51, 2, FALSE))))</f>
        <v>--</v>
      </c>
      <c r="E619" t="str">
        <f>IF(CLEAN_DATA!D619&lt;&gt;"--","US",IF(ISBLANK(MAIN!E619), "--", IF(ISNUMBER(MATCH(SUBSTITUTE(LEFT(MAIN!E619, IFERROR(FIND(",", MAIN!E619)-1, LEN(MAIN!E619))), " ", ""), lookup_values!$E$2:$E$197, 0)), UPPER(SUBSTITUTE(LEFT(MAIN!E619, IFERROR(FIND(",", MAIN!E619)-1, LEN(MAIN!E619))), " ", "")), IF(ISNA(VLOOKUP(SUBSTITUTE(LEFT(MAIN!E619, IFERROR(FIND(",", MAIN!E619)-1, LEN(MAIN!E619))), " ", ""), lookup_values!$D$2:$E$197, 2, FALSE)), "--", VLOOKUP(SUBSTITUTE(LEFT(MAIN!E619, IFERROR(FIND(",", MAIN!E619)-1, LEN(MAIN!E619))), " ", ""), lookup_values!$D$2:$E$197, 2, FALSE)))))</f>
        <v>--</v>
      </c>
      <c r="F619" t="str">
        <f>IF(ISBLANK(MAIN!F619), "", IF(AND(ISNUMBER(VALUE(TRIM(MAIN!F619))), LEN(TRIM(MAIN!F619))=4), VALUE(TRIM(MAIN!F619)), ""))</f>
        <v/>
      </c>
      <c r="G619">
        <f>IF(ISBLANK(MAIN!G619), 0, IF(ISNUMBER(VALUE(TRIM(MAIN!G619))), VALUE(TRIM(MAIN!G619)), 0))</f>
        <v>0</v>
      </c>
      <c r="H619">
        <f>IF(ISBLANK(MAIN!H619), 0, IF(ISNUMBER(VALUE(TRIM(MAIN!H619))), VALUE(TRIM(MAIN!H619)), 0))</f>
        <v>0</v>
      </c>
      <c r="I619">
        <f>IF(ISBLANK(MAIN!I619), 0, IF(ISNUMBER(VALUE(TRIM(MAIN!I619))), VALUE(TRIM(MAIN!I619)), 0))</f>
        <v>0</v>
      </c>
      <c r="J619">
        <f>IF(ISBLANK(MAIN!J619), 0, IF(ISNUMBER(VALUE(TRIM(MAIN!J619))), VALUE(TRIM(MAIN!J619)), 0))</f>
        <v>0</v>
      </c>
      <c r="K619" cm="1">
        <f t="array" ref="K619">IFERROR(
    VALUE(
        IFERROR(
            UPPER(
                IF(MAX(IFERROR(SEARCH("WD",MAIN!G619:J619), 0))&gt;0, "WD",
                IF(MAX(IFERROR(SEARCH("NS",MAIN!G619:J619), 0))&gt;0, "NS",
                IF(MAX(IFERROR(SEARCH("NC",MAIN!G619:J619), 0))&gt;0, "NC",
                IF(MAX(IFERROR(SEARCH("DQ",MAIN!G619:J619), 0))&gt;0, "DQ",
                IF(ISNUMBER(SEARCH("WD",MAIN!K619)), "WD",
                IF(ISNUMBER(SEARCH("NS",MAIN!K619)), "NS",
                IF(ISNUMBER(SEARCH("NC",MAIN!K619)), "NC",
                IF(ISNUMBER(SEARCH("DQ",MAIN!K619)), "DQ",
                IF(ISNUMBER(SEARCH("A",MAIN!K619)), 0,
                IF(OR(MAIN!K619=0,MAIN!K619=""), 0, --TRIM(MAIN!K619)))))))))))),
            0
        )
    ),
    IFERROR(
        UPPER(
            IF(MAX(IFERROR(SEARCH("WD",MAIN!G619:J619), 0))&gt;0, "WD",
            IF(MAX(IFERROR(SEARCH("NS",MAIN!G619:J619), 0))&gt;0, "NS",
            IF(MAX(IFERROR(SEARCH("NC",MAIN!G619:J619), 0))&gt;0, "NC",
            IF(MAX(IFERROR(SEARCH("DQ",MAIN!G619:J619), 0))&gt;0, "DQ",
            IF(ISNUMBER(SEARCH("WD",MAIN!K619)), "WD",
            IF(ISNUMBER(SEARCH("NS",MAIN!K619)), "NS",
            IF(ISNUMBER(SEARCH("NC",MAIN!K619)), "NC",
            IF(ISNUMBER(SEARCH("DQ",MAIN!K619)), "DQ",
            IF(ISNUMBER(SEARCH("A",MAIN!K619)), 0,
            IF(OR(MAIN!K619=0,MAIN!K619=""), 0, --TRIM(MAIN!K619)))))))))))),
        0
    )
)</f>
        <v>0</v>
      </c>
    </row>
    <row r="620" spans="1:11" x14ac:dyDescent="0.25">
      <c r="A620" t="str">
        <f>IF(ISBLANK(MAIN!A620), "--", IFERROR(PROPER(SUBSTITUTE(SUBSTITUTE(SUBSTITUTE(SUBSTITUTE(SUBSTITUTE(SUBSTITUTE(SUBSTITUTE(SUBSTITUTE(SUBSTITUTE(SUBSTITUTE(LEFT(MAIN!A620, FIND(",",MAIN!A620) -1), "0", ""), "1", ""), "2", ""), "3", ""), "4", ""), "5", ""), "6", ""), "7", ""), "8", ""), "9", "")), PROPER(SUBSTITUTE(SUBSTITUTE(SUBSTITUTE(SUBSTITUTE(SUBSTITUTE(SUBSTITUTE(SUBSTITUTE(SUBSTITUTE(SUBSTITUTE(SUBSTITUTE(MAIN!A620, "0", ""), "1", ""), "2", ""), "3", ""), "4", ""), "5", ""), "6", ""), "7", ""), "8", ""), "9", ""))))</f>
        <v>--</v>
      </c>
      <c r="B620" t="str">
        <f>IF(ISBLANK(MAIN!B620), "--", IFERROR(PROPER(SUBSTITUTE(SUBSTITUTE(SUBSTITUTE(SUBSTITUTE(SUBSTITUTE(SUBSTITUTE(SUBSTITUTE(SUBSTITUTE(SUBSTITUTE(SUBSTITUTE(LEFT(MAIN!B620, FIND(",",MAIN!B620) -1), "0", ""), "1", ""), "2", ""), "3", ""), "4", ""), "5", ""), "6", ""), "7", ""), "8", ""), "9", "")), PROPER(SUBSTITUTE(SUBSTITUTE(SUBSTITUTE(SUBSTITUTE(SUBSTITUTE(SUBSTITUTE(SUBSTITUTE(SUBSTITUTE(SUBSTITUTE(SUBSTITUTE(MAIN!B620, "0", ""), "1", ""), "2", ""), "3", ""), "4", ""), "5", ""), "6", ""), "7", ""), "8", ""), "9", ""))))</f>
        <v>--</v>
      </c>
      <c r="C620" t="str">
        <f>IF(ISBLANK(MAIN!C620), "--", IFERROR(PROPER(SUBSTITUTE(SUBSTITUTE(SUBSTITUTE(SUBSTITUTE(SUBSTITUTE(SUBSTITUTE(SUBSTITUTE(SUBSTITUTE(SUBSTITUTE(SUBSTITUTE(LEFT(MAIN!C620, FIND(",",MAIN!C620) -1), "0", ""), "1", ""), "2", ""), "3", ""), "4", ""), "5", ""), "6", ""), "7", ""), "8", ""), "9", "")), PROPER(SUBSTITUTE(SUBSTITUTE(SUBSTITUTE(SUBSTITUTE(SUBSTITUTE(SUBSTITUTE(SUBSTITUTE(SUBSTITUTE(SUBSTITUTE(SUBSTITUTE(MAIN!C620, "0", ""), "1", ""), "2", ""), "3", ""), "4", ""), "5", ""), "6", ""), "7", ""), "8", ""), "9", ""))))</f>
        <v>--</v>
      </c>
      <c r="D620" t="str">
        <f>IF(ISBLANK(MAIN!D620), "--", IF(ISNUMBER(MATCH(SUBSTITUTE(LEFT(MAIN!D620, IFERROR(FIND(",", MAIN!D620)-1, LEN(MAIN!D620))), " ", ""), lookup_values!$B$2:$B$51, 0)), UPPER(SUBSTITUTE(LEFT(MAIN!D620, IFERROR(FIND(",", MAIN!D620)-1, LEN(MAIN!D620))), " ", "")), IF(ISNA(VLOOKUP(SUBSTITUTE(LEFT(MAIN!D620, IFERROR(FIND(",", MAIN!D620)-1, LEN(MAIN!D620))), " ", ""), lookup_values!$A$2:$B$51, 2, FALSE)), "--", VLOOKUP(SUBSTITUTE(LEFT(MAIN!D620, IFERROR(FIND(",", MAIN!D620)-1, LEN(MAIN!D620))), " ", ""), lookup_values!$A$2:$B$51, 2, FALSE))))</f>
        <v>--</v>
      </c>
      <c r="E620" t="str">
        <f>IF(CLEAN_DATA!D620&lt;&gt;"--","US",IF(ISBLANK(MAIN!E620), "--", IF(ISNUMBER(MATCH(SUBSTITUTE(LEFT(MAIN!E620, IFERROR(FIND(",", MAIN!E620)-1, LEN(MAIN!E620))), " ", ""), lookup_values!$E$2:$E$197, 0)), UPPER(SUBSTITUTE(LEFT(MAIN!E620, IFERROR(FIND(",", MAIN!E620)-1, LEN(MAIN!E620))), " ", "")), IF(ISNA(VLOOKUP(SUBSTITUTE(LEFT(MAIN!E620, IFERROR(FIND(",", MAIN!E620)-1, LEN(MAIN!E620))), " ", ""), lookup_values!$D$2:$E$197, 2, FALSE)), "--", VLOOKUP(SUBSTITUTE(LEFT(MAIN!E620, IFERROR(FIND(",", MAIN!E620)-1, LEN(MAIN!E620))), " ", ""), lookup_values!$D$2:$E$197, 2, FALSE)))))</f>
        <v>--</v>
      </c>
      <c r="F620" t="str">
        <f>IF(ISBLANK(MAIN!F620), "", IF(AND(ISNUMBER(VALUE(TRIM(MAIN!F620))), LEN(TRIM(MAIN!F620))=4), VALUE(TRIM(MAIN!F620)), ""))</f>
        <v/>
      </c>
      <c r="G620">
        <f>IF(ISBLANK(MAIN!G620), 0, IF(ISNUMBER(VALUE(TRIM(MAIN!G620))), VALUE(TRIM(MAIN!G620)), 0))</f>
        <v>0</v>
      </c>
      <c r="H620">
        <f>IF(ISBLANK(MAIN!H620), 0, IF(ISNUMBER(VALUE(TRIM(MAIN!H620))), VALUE(TRIM(MAIN!H620)), 0))</f>
        <v>0</v>
      </c>
      <c r="I620">
        <f>IF(ISBLANK(MAIN!I620), 0, IF(ISNUMBER(VALUE(TRIM(MAIN!I620))), VALUE(TRIM(MAIN!I620)), 0))</f>
        <v>0</v>
      </c>
      <c r="J620">
        <f>IF(ISBLANK(MAIN!J620), 0, IF(ISNUMBER(VALUE(TRIM(MAIN!J620))), VALUE(TRIM(MAIN!J620)), 0))</f>
        <v>0</v>
      </c>
      <c r="K620" cm="1">
        <f t="array" ref="K620">IFERROR(
    VALUE(
        IFERROR(
            UPPER(
                IF(MAX(IFERROR(SEARCH("WD",MAIN!G620:J620), 0))&gt;0, "WD",
                IF(MAX(IFERROR(SEARCH("NS",MAIN!G620:J620), 0))&gt;0, "NS",
                IF(MAX(IFERROR(SEARCH("NC",MAIN!G620:J620), 0))&gt;0, "NC",
                IF(MAX(IFERROR(SEARCH("DQ",MAIN!G620:J620), 0))&gt;0, "DQ",
                IF(ISNUMBER(SEARCH("WD",MAIN!K620)), "WD",
                IF(ISNUMBER(SEARCH("NS",MAIN!K620)), "NS",
                IF(ISNUMBER(SEARCH("NC",MAIN!K620)), "NC",
                IF(ISNUMBER(SEARCH("DQ",MAIN!K620)), "DQ",
                IF(ISNUMBER(SEARCH("A",MAIN!K620)), 0,
                IF(OR(MAIN!K620=0,MAIN!K620=""), 0, --TRIM(MAIN!K620)))))))))))),
            0
        )
    ),
    IFERROR(
        UPPER(
            IF(MAX(IFERROR(SEARCH("WD",MAIN!G620:J620), 0))&gt;0, "WD",
            IF(MAX(IFERROR(SEARCH("NS",MAIN!G620:J620), 0))&gt;0, "NS",
            IF(MAX(IFERROR(SEARCH("NC",MAIN!G620:J620), 0))&gt;0, "NC",
            IF(MAX(IFERROR(SEARCH("DQ",MAIN!G620:J620), 0))&gt;0, "DQ",
            IF(ISNUMBER(SEARCH("WD",MAIN!K620)), "WD",
            IF(ISNUMBER(SEARCH("NS",MAIN!K620)), "NS",
            IF(ISNUMBER(SEARCH("NC",MAIN!K620)), "NC",
            IF(ISNUMBER(SEARCH("DQ",MAIN!K620)), "DQ",
            IF(ISNUMBER(SEARCH("A",MAIN!K620)), 0,
            IF(OR(MAIN!K620=0,MAIN!K620=""), 0, --TRIM(MAIN!K620)))))))))))),
        0
    )
)</f>
        <v>0</v>
      </c>
    </row>
    <row r="621" spans="1:11" x14ac:dyDescent="0.25">
      <c r="A621" t="str">
        <f>IF(ISBLANK(MAIN!A621), "--", IFERROR(PROPER(SUBSTITUTE(SUBSTITUTE(SUBSTITUTE(SUBSTITUTE(SUBSTITUTE(SUBSTITUTE(SUBSTITUTE(SUBSTITUTE(SUBSTITUTE(SUBSTITUTE(LEFT(MAIN!A621, FIND(",",MAIN!A621) -1), "0", ""), "1", ""), "2", ""), "3", ""), "4", ""), "5", ""), "6", ""), "7", ""), "8", ""), "9", "")), PROPER(SUBSTITUTE(SUBSTITUTE(SUBSTITUTE(SUBSTITUTE(SUBSTITUTE(SUBSTITUTE(SUBSTITUTE(SUBSTITUTE(SUBSTITUTE(SUBSTITUTE(MAIN!A621, "0", ""), "1", ""), "2", ""), "3", ""), "4", ""), "5", ""), "6", ""), "7", ""), "8", ""), "9", ""))))</f>
        <v>--</v>
      </c>
      <c r="B621" t="str">
        <f>IF(ISBLANK(MAIN!B621), "--", IFERROR(PROPER(SUBSTITUTE(SUBSTITUTE(SUBSTITUTE(SUBSTITUTE(SUBSTITUTE(SUBSTITUTE(SUBSTITUTE(SUBSTITUTE(SUBSTITUTE(SUBSTITUTE(LEFT(MAIN!B621, FIND(",",MAIN!B621) -1), "0", ""), "1", ""), "2", ""), "3", ""), "4", ""), "5", ""), "6", ""), "7", ""), "8", ""), "9", "")), PROPER(SUBSTITUTE(SUBSTITUTE(SUBSTITUTE(SUBSTITUTE(SUBSTITUTE(SUBSTITUTE(SUBSTITUTE(SUBSTITUTE(SUBSTITUTE(SUBSTITUTE(MAIN!B621, "0", ""), "1", ""), "2", ""), "3", ""), "4", ""), "5", ""), "6", ""), "7", ""), "8", ""), "9", ""))))</f>
        <v>--</v>
      </c>
      <c r="C621" t="str">
        <f>IF(ISBLANK(MAIN!C621), "--", IFERROR(PROPER(SUBSTITUTE(SUBSTITUTE(SUBSTITUTE(SUBSTITUTE(SUBSTITUTE(SUBSTITUTE(SUBSTITUTE(SUBSTITUTE(SUBSTITUTE(SUBSTITUTE(LEFT(MAIN!C621, FIND(",",MAIN!C621) -1), "0", ""), "1", ""), "2", ""), "3", ""), "4", ""), "5", ""), "6", ""), "7", ""), "8", ""), "9", "")), PROPER(SUBSTITUTE(SUBSTITUTE(SUBSTITUTE(SUBSTITUTE(SUBSTITUTE(SUBSTITUTE(SUBSTITUTE(SUBSTITUTE(SUBSTITUTE(SUBSTITUTE(MAIN!C621, "0", ""), "1", ""), "2", ""), "3", ""), "4", ""), "5", ""), "6", ""), "7", ""), "8", ""), "9", ""))))</f>
        <v>--</v>
      </c>
      <c r="D621" t="str">
        <f>IF(ISBLANK(MAIN!D621), "--", IF(ISNUMBER(MATCH(SUBSTITUTE(LEFT(MAIN!D621, IFERROR(FIND(",", MAIN!D621)-1, LEN(MAIN!D621))), " ", ""), lookup_values!$B$2:$B$51, 0)), UPPER(SUBSTITUTE(LEFT(MAIN!D621, IFERROR(FIND(",", MAIN!D621)-1, LEN(MAIN!D621))), " ", "")), IF(ISNA(VLOOKUP(SUBSTITUTE(LEFT(MAIN!D621, IFERROR(FIND(",", MAIN!D621)-1, LEN(MAIN!D621))), " ", ""), lookup_values!$A$2:$B$51, 2, FALSE)), "--", VLOOKUP(SUBSTITUTE(LEFT(MAIN!D621, IFERROR(FIND(",", MAIN!D621)-1, LEN(MAIN!D621))), " ", ""), lookup_values!$A$2:$B$51, 2, FALSE))))</f>
        <v>--</v>
      </c>
      <c r="E621" t="str">
        <f>IF(CLEAN_DATA!D621&lt;&gt;"--","US",IF(ISBLANK(MAIN!E621), "--", IF(ISNUMBER(MATCH(SUBSTITUTE(LEFT(MAIN!E621, IFERROR(FIND(",", MAIN!E621)-1, LEN(MAIN!E621))), " ", ""), lookup_values!$E$2:$E$197, 0)), UPPER(SUBSTITUTE(LEFT(MAIN!E621, IFERROR(FIND(",", MAIN!E621)-1, LEN(MAIN!E621))), " ", "")), IF(ISNA(VLOOKUP(SUBSTITUTE(LEFT(MAIN!E621, IFERROR(FIND(",", MAIN!E621)-1, LEN(MAIN!E621))), " ", ""), lookup_values!$D$2:$E$197, 2, FALSE)), "--", VLOOKUP(SUBSTITUTE(LEFT(MAIN!E621, IFERROR(FIND(",", MAIN!E621)-1, LEN(MAIN!E621))), " ", ""), lookup_values!$D$2:$E$197, 2, FALSE)))))</f>
        <v>--</v>
      </c>
      <c r="F621" t="str">
        <f>IF(ISBLANK(MAIN!F621), "", IF(AND(ISNUMBER(VALUE(TRIM(MAIN!F621))), LEN(TRIM(MAIN!F621))=4), VALUE(TRIM(MAIN!F621)), ""))</f>
        <v/>
      </c>
      <c r="G621">
        <f>IF(ISBLANK(MAIN!G621), 0, IF(ISNUMBER(VALUE(TRIM(MAIN!G621))), VALUE(TRIM(MAIN!G621)), 0))</f>
        <v>0</v>
      </c>
      <c r="H621">
        <f>IF(ISBLANK(MAIN!H621), 0, IF(ISNUMBER(VALUE(TRIM(MAIN!H621))), VALUE(TRIM(MAIN!H621)), 0))</f>
        <v>0</v>
      </c>
      <c r="I621">
        <f>IF(ISBLANK(MAIN!I621), 0, IF(ISNUMBER(VALUE(TRIM(MAIN!I621))), VALUE(TRIM(MAIN!I621)), 0))</f>
        <v>0</v>
      </c>
      <c r="J621">
        <f>IF(ISBLANK(MAIN!J621), 0, IF(ISNUMBER(VALUE(TRIM(MAIN!J621))), VALUE(TRIM(MAIN!J621)), 0))</f>
        <v>0</v>
      </c>
      <c r="K621" cm="1">
        <f t="array" ref="K621">IFERROR(
    VALUE(
        IFERROR(
            UPPER(
                IF(MAX(IFERROR(SEARCH("WD",MAIN!G621:J621), 0))&gt;0, "WD",
                IF(MAX(IFERROR(SEARCH("NS",MAIN!G621:J621), 0))&gt;0, "NS",
                IF(MAX(IFERROR(SEARCH("NC",MAIN!G621:J621), 0))&gt;0, "NC",
                IF(MAX(IFERROR(SEARCH("DQ",MAIN!G621:J621), 0))&gt;0, "DQ",
                IF(ISNUMBER(SEARCH("WD",MAIN!K621)), "WD",
                IF(ISNUMBER(SEARCH("NS",MAIN!K621)), "NS",
                IF(ISNUMBER(SEARCH("NC",MAIN!K621)), "NC",
                IF(ISNUMBER(SEARCH("DQ",MAIN!K621)), "DQ",
                IF(ISNUMBER(SEARCH("A",MAIN!K621)), 0,
                IF(OR(MAIN!K621=0,MAIN!K621=""), 0, --TRIM(MAIN!K621)))))))))))),
            0
        )
    ),
    IFERROR(
        UPPER(
            IF(MAX(IFERROR(SEARCH("WD",MAIN!G621:J621), 0))&gt;0, "WD",
            IF(MAX(IFERROR(SEARCH("NS",MAIN!G621:J621), 0))&gt;0, "NS",
            IF(MAX(IFERROR(SEARCH("NC",MAIN!G621:J621), 0))&gt;0, "NC",
            IF(MAX(IFERROR(SEARCH("DQ",MAIN!G621:J621), 0))&gt;0, "DQ",
            IF(ISNUMBER(SEARCH("WD",MAIN!K621)), "WD",
            IF(ISNUMBER(SEARCH("NS",MAIN!K621)), "NS",
            IF(ISNUMBER(SEARCH("NC",MAIN!K621)), "NC",
            IF(ISNUMBER(SEARCH("DQ",MAIN!K621)), "DQ",
            IF(ISNUMBER(SEARCH("A",MAIN!K621)), 0,
            IF(OR(MAIN!K621=0,MAIN!K621=""), 0, --TRIM(MAIN!K621)))))))))))),
        0
    )
)</f>
        <v>0</v>
      </c>
    </row>
    <row r="622" spans="1:11" x14ac:dyDescent="0.25">
      <c r="A622" t="str">
        <f>IF(ISBLANK(MAIN!A622), "--", IFERROR(PROPER(SUBSTITUTE(SUBSTITUTE(SUBSTITUTE(SUBSTITUTE(SUBSTITUTE(SUBSTITUTE(SUBSTITUTE(SUBSTITUTE(SUBSTITUTE(SUBSTITUTE(LEFT(MAIN!A622, FIND(",",MAIN!A622) -1), "0", ""), "1", ""), "2", ""), "3", ""), "4", ""), "5", ""), "6", ""), "7", ""), "8", ""), "9", "")), PROPER(SUBSTITUTE(SUBSTITUTE(SUBSTITUTE(SUBSTITUTE(SUBSTITUTE(SUBSTITUTE(SUBSTITUTE(SUBSTITUTE(SUBSTITUTE(SUBSTITUTE(MAIN!A622, "0", ""), "1", ""), "2", ""), "3", ""), "4", ""), "5", ""), "6", ""), "7", ""), "8", ""), "9", ""))))</f>
        <v>--</v>
      </c>
      <c r="B622" t="str">
        <f>IF(ISBLANK(MAIN!B622), "--", IFERROR(PROPER(SUBSTITUTE(SUBSTITUTE(SUBSTITUTE(SUBSTITUTE(SUBSTITUTE(SUBSTITUTE(SUBSTITUTE(SUBSTITUTE(SUBSTITUTE(SUBSTITUTE(LEFT(MAIN!B622, FIND(",",MAIN!B622) -1), "0", ""), "1", ""), "2", ""), "3", ""), "4", ""), "5", ""), "6", ""), "7", ""), "8", ""), "9", "")), PROPER(SUBSTITUTE(SUBSTITUTE(SUBSTITUTE(SUBSTITUTE(SUBSTITUTE(SUBSTITUTE(SUBSTITUTE(SUBSTITUTE(SUBSTITUTE(SUBSTITUTE(MAIN!B622, "0", ""), "1", ""), "2", ""), "3", ""), "4", ""), "5", ""), "6", ""), "7", ""), "8", ""), "9", ""))))</f>
        <v>--</v>
      </c>
      <c r="C622" t="str">
        <f>IF(ISBLANK(MAIN!C622), "--", IFERROR(PROPER(SUBSTITUTE(SUBSTITUTE(SUBSTITUTE(SUBSTITUTE(SUBSTITUTE(SUBSTITUTE(SUBSTITUTE(SUBSTITUTE(SUBSTITUTE(SUBSTITUTE(LEFT(MAIN!C622, FIND(",",MAIN!C622) -1), "0", ""), "1", ""), "2", ""), "3", ""), "4", ""), "5", ""), "6", ""), "7", ""), "8", ""), "9", "")), PROPER(SUBSTITUTE(SUBSTITUTE(SUBSTITUTE(SUBSTITUTE(SUBSTITUTE(SUBSTITUTE(SUBSTITUTE(SUBSTITUTE(SUBSTITUTE(SUBSTITUTE(MAIN!C622, "0", ""), "1", ""), "2", ""), "3", ""), "4", ""), "5", ""), "6", ""), "7", ""), "8", ""), "9", ""))))</f>
        <v>--</v>
      </c>
      <c r="D622" t="str">
        <f>IF(ISBLANK(MAIN!D622), "--", IF(ISNUMBER(MATCH(SUBSTITUTE(LEFT(MAIN!D622, IFERROR(FIND(",", MAIN!D622)-1, LEN(MAIN!D622))), " ", ""), lookup_values!$B$2:$B$51, 0)), UPPER(SUBSTITUTE(LEFT(MAIN!D622, IFERROR(FIND(",", MAIN!D622)-1, LEN(MAIN!D622))), " ", "")), IF(ISNA(VLOOKUP(SUBSTITUTE(LEFT(MAIN!D622, IFERROR(FIND(",", MAIN!D622)-1, LEN(MAIN!D622))), " ", ""), lookup_values!$A$2:$B$51, 2, FALSE)), "--", VLOOKUP(SUBSTITUTE(LEFT(MAIN!D622, IFERROR(FIND(",", MAIN!D622)-1, LEN(MAIN!D622))), " ", ""), lookup_values!$A$2:$B$51, 2, FALSE))))</f>
        <v>--</v>
      </c>
      <c r="E622" t="str">
        <f>IF(CLEAN_DATA!D622&lt;&gt;"--","US",IF(ISBLANK(MAIN!E622), "--", IF(ISNUMBER(MATCH(SUBSTITUTE(LEFT(MAIN!E622, IFERROR(FIND(",", MAIN!E622)-1, LEN(MAIN!E622))), " ", ""), lookup_values!$E$2:$E$197, 0)), UPPER(SUBSTITUTE(LEFT(MAIN!E622, IFERROR(FIND(",", MAIN!E622)-1, LEN(MAIN!E622))), " ", "")), IF(ISNA(VLOOKUP(SUBSTITUTE(LEFT(MAIN!E622, IFERROR(FIND(",", MAIN!E622)-1, LEN(MAIN!E622))), " ", ""), lookup_values!$D$2:$E$197, 2, FALSE)), "--", VLOOKUP(SUBSTITUTE(LEFT(MAIN!E622, IFERROR(FIND(",", MAIN!E622)-1, LEN(MAIN!E622))), " ", ""), lookup_values!$D$2:$E$197, 2, FALSE)))))</f>
        <v>--</v>
      </c>
      <c r="F622" t="str">
        <f>IF(ISBLANK(MAIN!F622), "", IF(AND(ISNUMBER(VALUE(TRIM(MAIN!F622))), LEN(TRIM(MAIN!F622))=4), VALUE(TRIM(MAIN!F622)), ""))</f>
        <v/>
      </c>
      <c r="G622">
        <f>IF(ISBLANK(MAIN!G622), 0, IF(ISNUMBER(VALUE(TRIM(MAIN!G622))), VALUE(TRIM(MAIN!G622)), 0))</f>
        <v>0</v>
      </c>
      <c r="H622">
        <f>IF(ISBLANK(MAIN!H622), 0, IF(ISNUMBER(VALUE(TRIM(MAIN!H622))), VALUE(TRIM(MAIN!H622)), 0))</f>
        <v>0</v>
      </c>
      <c r="I622">
        <f>IF(ISBLANK(MAIN!I622), 0, IF(ISNUMBER(VALUE(TRIM(MAIN!I622))), VALUE(TRIM(MAIN!I622)), 0))</f>
        <v>0</v>
      </c>
      <c r="J622">
        <f>IF(ISBLANK(MAIN!J622), 0, IF(ISNUMBER(VALUE(TRIM(MAIN!J622))), VALUE(TRIM(MAIN!J622)), 0))</f>
        <v>0</v>
      </c>
      <c r="K622" cm="1">
        <f t="array" ref="K622">IFERROR(
    VALUE(
        IFERROR(
            UPPER(
                IF(MAX(IFERROR(SEARCH("WD",MAIN!G622:J622), 0))&gt;0, "WD",
                IF(MAX(IFERROR(SEARCH("NS",MAIN!G622:J622), 0))&gt;0, "NS",
                IF(MAX(IFERROR(SEARCH("NC",MAIN!G622:J622), 0))&gt;0, "NC",
                IF(MAX(IFERROR(SEARCH("DQ",MAIN!G622:J622), 0))&gt;0, "DQ",
                IF(ISNUMBER(SEARCH("WD",MAIN!K622)), "WD",
                IF(ISNUMBER(SEARCH("NS",MAIN!K622)), "NS",
                IF(ISNUMBER(SEARCH("NC",MAIN!K622)), "NC",
                IF(ISNUMBER(SEARCH("DQ",MAIN!K622)), "DQ",
                IF(ISNUMBER(SEARCH("A",MAIN!K622)), 0,
                IF(OR(MAIN!K622=0,MAIN!K622=""), 0, --TRIM(MAIN!K622)))))))))))),
            0
        )
    ),
    IFERROR(
        UPPER(
            IF(MAX(IFERROR(SEARCH("WD",MAIN!G622:J622), 0))&gt;0, "WD",
            IF(MAX(IFERROR(SEARCH("NS",MAIN!G622:J622), 0))&gt;0, "NS",
            IF(MAX(IFERROR(SEARCH("NC",MAIN!G622:J622), 0))&gt;0, "NC",
            IF(MAX(IFERROR(SEARCH("DQ",MAIN!G622:J622), 0))&gt;0, "DQ",
            IF(ISNUMBER(SEARCH("WD",MAIN!K622)), "WD",
            IF(ISNUMBER(SEARCH("NS",MAIN!K622)), "NS",
            IF(ISNUMBER(SEARCH("NC",MAIN!K622)), "NC",
            IF(ISNUMBER(SEARCH("DQ",MAIN!K622)), "DQ",
            IF(ISNUMBER(SEARCH("A",MAIN!K622)), 0,
            IF(OR(MAIN!K622=0,MAIN!K622=""), 0, --TRIM(MAIN!K622)))))))))))),
        0
    )
)</f>
        <v>0</v>
      </c>
    </row>
    <row r="623" spans="1:11" x14ac:dyDescent="0.25">
      <c r="A623" t="str">
        <f>IF(ISBLANK(MAIN!A623), "--", IFERROR(PROPER(SUBSTITUTE(SUBSTITUTE(SUBSTITUTE(SUBSTITUTE(SUBSTITUTE(SUBSTITUTE(SUBSTITUTE(SUBSTITUTE(SUBSTITUTE(SUBSTITUTE(LEFT(MAIN!A623, FIND(",",MAIN!A623) -1), "0", ""), "1", ""), "2", ""), "3", ""), "4", ""), "5", ""), "6", ""), "7", ""), "8", ""), "9", "")), PROPER(SUBSTITUTE(SUBSTITUTE(SUBSTITUTE(SUBSTITUTE(SUBSTITUTE(SUBSTITUTE(SUBSTITUTE(SUBSTITUTE(SUBSTITUTE(SUBSTITUTE(MAIN!A623, "0", ""), "1", ""), "2", ""), "3", ""), "4", ""), "5", ""), "6", ""), "7", ""), "8", ""), "9", ""))))</f>
        <v>--</v>
      </c>
      <c r="B623" t="str">
        <f>IF(ISBLANK(MAIN!B623), "--", IFERROR(PROPER(SUBSTITUTE(SUBSTITUTE(SUBSTITUTE(SUBSTITUTE(SUBSTITUTE(SUBSTITUTE(SUBSTITUTE(SUBSTITUTE(SUBSTITUTE(SUBSTITUTE(LEFT(MAIN!B623, FIND(",",MAIN!B623) -1), "0", ""), "1", ""), "2", ""), "3", ""), "4", ""), "5", ""), "6", ""), "7", ""), "8", ""), "9", "")), PROPER(SUBSTITUTE(SUBSTITUTE(SUBSTITUTE(SUBSTITUTE(SUBSTITUTE(SUBSTITUTE(SUBSTITUTE(SUBSTITUTE(SUBSTITUTE(SUBSTITUTE(MAIN!B623, "0", ""), "1", ""), "2", ""), "3", ""), "4", ""), "5", ""), "6", ""), "7", ""), "8", ""), "9", ""))))</f>
        <v>--</v>
      </c>
      <c r="C623" t="str">
        <f>IF(ISBLANK(MAIN!C623), "--", IFERROR(PROPER(SUBSTITUTE(SUBSTITUTE(SUBSTITUTE(SUBSTITUTE(SUBSTITUTE(SUBSTITUTE(SUBSTITUTE(SUBSTITUTE(SUBSTITUTE(SUBSTITUTE(LEFT(MAIN!C623, FIND(",",MAIN!C623) -1), "0", ""), "1", ""), "2", ""), "3", ""), "4", ""), "5", ""), "6", ""), "7", ""), "8", ""), "9", "")), PROPER(SUBSTITUTE(SUBSTITUTE(SUBSTITUTE(SUBSTITUTE(SUBSTITUTE(SUBSTITUTE(SUBSTITUTE(SUBSTITUTE(SUBSTITUTE(SUBSTITUTE(MAIN!C623, "0", ""), "1", ""), "2", ""), "3", ""), "4", ""), "5", ""), "6", ""), "7", ""), "8", ""), "9", ""))))</f>
        <v>--</v>
      </c>
      <c r="D623" t="str">
        <f>IF(ISBLANK(MAIN!D623), "--", IF(ISNUMBER(MATCH(SUBSTITUTE(LEFT(MAIN!D623, IFERROR(FIND(",", MAIN!D623)-1, LEN(MAIN!D623))), " ", ""), lookup_values!$B$2:$B$51, 0)), UPPER(SUBSTITUTE(LEFT(MAIN!D623, IFERROR(FIND(",", MAIN!D623)-1, LEN(MAIN!D623))), " ", "")), IF(ISNA(VLOOKUP(SUBSTITUTE(LEFT(MAIN!D623, IFERROR(FIND(",", MAIN!D623)-1, LEN(MAIN!D623))), " ", ""), lookup_values!$A$2:$B$51, 2, FALSE)), "--", VLOOKUP(SUBSTITUTE(LEFT(MAIN!D623, IFERROR(FIND(",", MAIN!D623)-1, LEN(MAIN!D623))), " ", ""), lookup_values!$A$2:$B$51, 2, FALSE))))</f>
        <v>--</v>
      </c>
      <c r="E623" t="str">
        <f>IF(CLEAN_DATA!D623&lt;&gt;"--","US",IF(ISBLANK(MAIN!E623), "--", IF(ISNUMBER(MATCH(SUBSTITUTE(LEFT(MAIN!E623, IFERROR(FIND(",", MAIN!E623)-1, LEN(MAIN!E623))), " ", ""), lookup_values!$E$2:$E$197, 0)), UPPER(SUBSTITUTE(LEFT(MAIN!E623, IFERROR(FIND(",", MAIN!E623)-1, LEN(MAIN!E623))), " ", "")), IF(ISNA(VLOOKUP(SUBSTITUTE(LEFT(MAIN!E623, IFERROR(FIND(",", MAIN!E623)-1, LEN(MAIN!E623))), " ", ""), lookup_values!$D$2:$E$197, 2, FALSE)), "--", VLOOKUP(SUBSTITUTE(LEFT(MAIN!E623, IFERROR(FIND(",", MAIN!E623)-1, LEN(MAIN!E623))), " ", ""), lookup_values!$D$2:$E$197, 2, FALSE)))))</f>
        <v>--</v>
      </c>
      <c r="F623" t="str">
        <f>IF(ISBLANK(MAIN!F623), "", IF(AND(ISNUMBER(VALUE(TRIM(MAIN!F623))), LEN(TRIM(MAIN!F623))=4), VALUE(TRIM(MAIN!F623)), ""))</f>
        <v/>
      </c>
      <c r="G623">
        <f>IF(ISBLANK(MAIN!G623), 0, IF(ISNUMBER(VALUE(TRIM(MAIN!G623))), VALUE(TRIM(MAIN!G623)), 0))</f>
        <v>0</v>
      </c>
      <c r="H623">
        <f>IF(ISBLANK(MAIN!H623), 0, IF(ISNUMBER(VALUE(TRIM(MAIN!H623))), VALUE(TRIM(MAIN!H623)), 0))</f>
        <v>0</v>
      </c>
      <c r="I623">
        <f>IF(ISBLANK(MAIN!I623), 0, IF(ISNUMBER(VALUE(TRIM(MAIN!I623))), VALUE(TRIM(MAIN!I623)), 0))</f>
        <v>0</v>
      </c>
      <c r="J623">
        <f>IF(ISBLANK(MAIN!J623), 0, IF(ISNUMBER(VALUE(TRIM(MAIN!J623))), VALUE(TRIM(MAIN!J623)), 0))</f>
        <v>0</v>
      </c>
      <c r="K623" cm="1">
        <f t="array" ref="K623">IFERROR(
    VALUE(
        IFERROR(
            UPPER(
                IF(MAX(IFERROR(SEARCH("WD",MAIN!G623:J623), 0))&gt;0, "WD",
                IF(MAX(IFERROR(SEARCH("NS",MAIN!G623:J623), 0))&gt;0, "NS",
                IF(MAX(IFERROR(SEARCH("NC",MAIN!G623:J623), 0))&gt;0, "NC",
                IF(MAX(IFERROR(SEARCH("DQ",MAIN!G623:J623), 0))&gt;0, "DQ",
                IF(ISNUMBER(SEARCH("WD",MAIN!K623)), "WD",
                IF(ISNUMBER(SEARCH("NS",MAIN!K623)), "NS",
                IF(ISNUMBER(SEARCH("NC",MAIN!K623)), "NC",
                IF(ISNUMBER(SEARCH("DQ",MAIN!K623)), "DQ",
                IF(ISNUMBER(SEARCH("A",MAIN!K623)), 0,
                IF(OR(MAIN!K623=0,MAIN!K623=""), 0, --TRIM(MAIN!K623)))))))))))),
            0
        )
    ),
    IFERROR(
        UPPER(
            IF(MAX(IFERROR(SEARCH("WD",MAIN!G623:J623), 0))&gt;0, "WD",
            IF(MAX(IFERROR(SEARCH("NS",MAIN!G623:J623), 0))&gt;0, "NS",
            IF(MAX(IFERROR(SEARCH("NC",MAIN!G623:J623), 0))&gt;0, "NC",
            IF(MAX(IFERROR(SEARCH("DQ",MAIN!G623:J623), 0))&gt;0, "DQ",
            IF(ISNUMBER(SEARCH("WD",MAIN!K623)), "WD",
            IF(ISNUMBER(SEARCH("NS",MAIN!K623)), "NS",
            IF(ISNUMBER(SEARCH("NC",MAIN!K623)), "NC",
            IF(ISNUMBER(SEARCH("DQ",MAIN!K623)), "DQ",
            IF(ISNUMBER(SEARCH("A",MAIN!K623)), 0,
            IF(OR(MAIN!K623=0,MAIN!K623=""), 0, --TRIM(MAIN!K623)))))))))))),
        0
    )
)</f>
        <v>0</v>
      </c>
    </row>
    <row r="624" spans="1:11" x14ac:dyDescent="0.25">
      <c r="A624" t="str">
        <f>IF(ISBLANK(MAIN!A624), "--", IFERROR(PROPER(SUBSTITUTE(SUBSTITUTE(SUBSTITUTE(SUBSTITUTE(SUBSTITUTE(SUBSTITUTE(SUBSTITUTE(SUBSTITUTE(SUBSTITUTE(SUBSTITUTE(LEFT(MAIN!A624, FIND(",",MAIN!A624) -1), "0", ""), "1", ""), "2", ""), "3", ""), "4", ""), "5", ""), "6", ""), "7", ""), "8", ""), "9", "")), PROPER(SUBSTITUTE(SUBSTITUTE(SUBSTITUTE(SUBSTITUTE(SUBSTITUTE(SUBSTITUTE(SUBSTITUTE(SUBSTITUTE(SUBSTITUTE(SUBSTITUTE(MAIN!A624, "0", ""), "1", ""), "2", ""), "3", ""), "4", ""), "5", ""), "6", ""), "7", ""), "8", ""), "9", ""))))</f>
        <v>--</v>
      </c>
      <c r="B624" t="str">
        <f>IF(ISBLANK(MAIN!B624), "--", IFERROR(PROPER(SUBSTITUTE(SUBSTITUTE(SUBSTITUTE(SUBSTITUTE(SUBSTITUTE(SUBSTITUTE(SUBSTITUTE(SUBSTITUTE(SUBSTITUTE(SUBSTITUTE(LEFT(MAIN!B624, FIND(",",MAIN!B624) -1), "0", ""), "1", ""), "2", ""), "3", ""), "4", ""), "5", ""), "6", ""), "7", ""), "8", ""), "9", "")), PROPER(SUBSTITUTE(SUBSTITUTE(SUBSTITUTE(SUBSTITUTE(SUBSTITUTE(SUBSTITUTE(SUBSTITUTE(SUBSTITUTE(SUBSTITUTE(SUBSTITUTE(MAIN!B624, "0", ""), "1", ""), "2", ""), "3", ""), "4", ""), "5", ""), "6", ""), "7", ""), "8", ""), "9", ""))))</f>
        <v>--</v>
      </c>
      <c r="C624" t="str">
        <f>IF(ISBLANK(MAIN!C624), "--", IFERROR(PROPER(SUBSTITUTE(SUBSTITUTE(SUBSTITUTE(SUBSTITUTE(SUBSTITUTE(SUBSTITUTE(SUBSTITUTE(SUBSTITUTE(SUBSTITUTE(SUBSTITUTE(LEFT(MAIN!C624, FIND(",",MAIN!C624) -1), "0", ""), "1", ""), "2", ""), "3", ""), "4", ""), "5", ""), "6", ""), "7", ""), "8", ""), "9", "")), PROPER(SUBSTITUTE(SUBSTITUTE(SUBSTITUTE(SUBSTITUTE(SUBSTITUTE(SUBSTITUTE(SUBSTITUTE(SUBSTITUTE(SUBSTITUTE(SUBSTITUTE(MAIN!C624, "0", ""), "1", ""), "2", ""), "3", ""), "4", ""), "5", ""), "6", ""), "7", ""), "8", ""), "9", ""))))</f>
        <v>--</v>
      </c>
      <c r="D624" t="str">
        <f>IF(ISBLANK(MAIN!D624), "--", IF(ISNUMBER(MATCH(SUBSTITUTE(LEFT(MAIN!D624, IFERROR(FIND(",", MAIN!D624)-1, LEN(MAIN!D624))), " ", ""), lookup_values!$B$2:$B$51, 0)), UPPER(SUBSTITUTE(LEFT(MAIN!D624, IFERROR(FIND(",", MAIN!D624)-1, LEN(MAIN!D624))), " ", "")), IF(ISNA(VLOOKUP(SUBSTITUTE(LEFT(MAIN!D624, IFERROR(FIND(",", MAIN!D624)-1, LEN(MAIN!D624))), " ", ""), lookup_values!$A$2:$B$51, 2, FALSE)), "--", VLOOKUP(SUBSTITUTE(LEFT(MAIN!D624, IFERROR(FIND(",", MAIN!D624)-1, LEN(MAIN!D624))), " ", ""), lookup_values!$A$2:$B$51, 2, FALSE))))</f>
        <v>--</v>
      </c>
      <c r="E624" t="str">
        <f>IF(CLEAN_DATA!D624&lt;&gt;"--","US",IF(ISBLANK(MAIN!E624), "--", IF(ISNUMBER(MATCH(SUBSTITUTE(LEFT(MAIN!E624, IFERROR(FIND(",", MAIN!E624)-1, LEN(MAIN!E624))), " ", ""), lookup_values!$E$2:$E$197, 0)), UPPER(SUBSTITUTE(LEFT(MAIN!E624, IFERROR(FIND(",", MAIN!E624)-1, LEN(MAIN!E624))), " ", "")), IF(ISNA(VLOOKUP(SUBSTITUTE(LEFT(MAIN!E624, IFERROR(FIND(",", MAIN!E624)-1, LEN(MAIN!E624))), " ", ""), lookup_values!$D$2:$E$197, 2, FALSE)), "--", VLOOKUP(SUBSTITUTE(LEFT(MAIN!E624, IFERROR(FIND(",", MAIN!E624)-1, LEN(MAIN!E624))), " ", ""), lookup_values!$D$2:$E$197, 2, FALSE)))))</f>
        <v>--</v>
      </c>
      <c r="F624" t="str">
        <f>IF(ISBLANK(MAIN!F624), "", IF(AND(ISNUMBER(VALUE(TRIM(MAIN!F624))), LEN(TRIM(MAIN!F624))=4), VALUE(TRIM(MAIN!F624)), ""))</f>
        <v/>
      </c>
      <c r="G624">
        <f>IF(ISBLANK(MAIN!G624), 0, IF(ISNUMBER(VALUE(TRIM(MAIN!G624))), VALUE(TRIM(MAIN!G624)), 0))</f>
        <v>0</v>
      </c>
      <c r="H624">
        <f>IF(ISBLANK(MAIN!H624), 0, IF(ISNUMBER(VALUE(TRIM(MAIN!H624))), VALUE(TRIM(MAIN!H624)), 0))</f>
        <v>0</v>
      </c>
      <c r="I624">
        <f>IF(ISBLANK(MAIN!I624), 0, IF(ISNUMBER(VALUE(TRIM(MAIN!I624))), VALUE(TRIM(MAIN!I624)), 0))</f>
        <v>0</v>
      </c>
      <c r="J624">
        <f>IF(ISBLANK(MAIN!J624), 0, IF(ISNUMBER(VALUE(TRIM(MAIN!J624))), VALUE(TRIM(MAIN!J624)), 0))</f>
        <v>0</v>
      </c>
      <c r="K624" cm="1">
        <f t="array" ref="K624">IFERROR(
    VALUE(
        IFERROR(
            UPPER(
                IF(MAX(IFERROR(SEARCH("WD",MAIN!G624:J624), 0))&gt;0, "WD",
                IF(MAX(IFERROR(SEARCH("NS",MAIN!G624:J624), 0))&gt;0, "NS",
                IF(MAX(IFERROR(SEARCH("NC",MAIN!G624:J624), 0))&gt;0, "NC",
                IF(MAX(IFERROR(SEARCH("DQ",MAIN!G624:J624), 0))&gt;0, "DQ",
                IF(ISNUMBER(SEARCH("WD",MAIN!K624)), "WD",
                IF(ISNUMBER(SEARCH("NS",MAIN!K624)), "NS",
                IF(ISNUMBER(SEARCH("NC",MAIN!K624)), "NC",
                IF(ISNUMBER(SEARCH("DQ",MAIN!K624)), "DQ",
                IF(ISNUMBER(SEARCH("A",MAIN!K624)), 0,
                IF(OR(MAIN!K624=0,MAIN!K624=""), 0, --TRIM(MAIN!K624)))))))))))),
            0
        )
    ),
    IFERROR(
        UPPER(
            IF(MAX(IFERROR(SEARCH("WD",MAIN!G624:J624), 0))&gt;0, "WD",
            IF(MAX(IFERROR(SEARCH("NS",MAIN!G624:J624), 0))&gt;0, "NS",
            IF(MAX(IFERROR(SEARCH("NC",MAIN!G624:J624), 0))&gt;0, "NC",
            IF(MAX(IFERROR(SEARCH("DQ",MAIN!G624:J624), 0))&gt;0, "DQ",
            IF(ISNUMBER(SEARCH("WD",MAIN!K624)), "WD",
            IF(ISNUMBER(SEARCH("NS",MAIN!K624)), "NS",
            IF(ISNUMBER(SEARCH("NC",MAIN!K624)), "NC",
            IF(ISNUMBER(SEARCH("DQ",MAIN!K624)), "DQ",
            IF(ISNUMBER(SEARCH("A",MAIN!K624)), 0,
            IF(OR(MAIN!K624=0,MAIN!K624=""), 0, --TRIM(MAIN!K624)))))))))))),
        0
    )
)</f>
        <v>0</v>
      </c>
    </row>
    <row r="625" spans="1:11" x14ac:dyDescent="0.25">
      <c r="A625" t="str">
        <f>IF(ISBLANK(MAIN!A625), "--", IFERROR(PROPER(SUBSTITUTE(SUBSTITUTE(SUBSTITUTE(SUBSTITUTE(SUBSTITUTE(SUBSTITUTE(SUBSTITUTE(SUBSTITUTE(SUBSTITUTE(SUBSTITUTE(LEFT(MAIN!A625, FIND(",",MAIN!A625) -1), "0", ""), "1", ""), "2", ""), "3", ""), "4", ""), "5", ""), "6", ""), "7", ""), "8", ""), "9", "")), PROPER(SUBSTITUTE(SUBSTITUTE(SUBSTITUTE(SUBSTITUTE(SUBSTITUTE(SUBSTITUTE(SUBSTITUTE(SUBSTITUTE(SUBSTITUTE(SUBSTITUTE(MAIN!A625, "0", ""), "1", ""), "2", ""), "3", ""), "4", ""), "5", ""), "6", ""), "7", ""), "8", ""), "9", ""))))</f>
        <v>--</v>
      </c>
      <c r="B625" t="str">
        <f>IF(ISBLANK(MAIN!B625), "--", IFERROR(PROPER(SUBSTITUTE(SUBSTITUTE(SUBSTITUTE(SUBSTITUTE(SUBSTITUTE(SUBSTITUTE(SUBSTITUTE(SUBSTITUTE(SUBSTITUTE(SUBSTITUTE(LEFT(MAIN!B625, FIND(",",MAIN!B625) -1), "0", ""), "1", ""), "2", ""), "3", ""), "4", ""), "5", ""), "6", ""), "7", ""), "8", ""), "9", "")), PROPER(SUBSTITUTE(SUBSTITUTE(SUBSTITUTE(SUBSTITUTE(SUBSTITUTE(SUBSTITUTE(SUBSTITUTE(SUBSTITUTE(SUBSTITUTE(SUBSTITUTE(MAIN!B625, "0", ""), "1", ""), "2", ""), "3", ""), "4", ""), "5", ""), "6", ""), "7", ""), "8", ""), "9", ""))))</f>
        <v>--</v>
      </c>
      <c r="C625" t="str">
        <f>IF(ISBLANK(MAIN!C625), "--", IFERROR(PROPER(SUBSTITUTE(SUBSTITUTE(SUBSTITUTE(SUBSTITUTE(SUBSTITUTE(SUBSTITUTE(SUBSTITUTE(SUBSTITUTE(SUBSTITUTE(SUBSTITUTE(LEFT(MAIN!C625, FIND(",",MAIN!C625) -1), "0", ""), "1", ""), "2", ""), "3", ""), "4", ""), "5", ""), "6", ""), "7", ""), "8", ""), "9", "")), PROPER(SUBSTITUTE(SUBSTITUTE(SUBSTITUTE(SUBSTITUTE(SUBSTITUTE(SUBSTITUTE(SUBSTITUTE(SUBSTITUTE(SUBSTITUTE(SUBSTITUTE(MAIN!C625, "0", ""), "1", ""), "2", ""), "3", ""), "4", ""), "5", ""), "6", ""), "7", ""), "8", ""), "9", ""))))</f>
        <v>--</v>
      </c>
      <c r="D625" t="str">
        <f>IF(ISBLANK(MAIN!D625), "--", IF(ISNUMBER(MATCH(SUBSTITUTE(LEFT(MAIN!D625, IFERROR(FIND(",", MAIN!D625)-1, LEN(MAIN!D625))), " ", ""), lookup_values!$B$2:$B$51, 0)), UPPER(SUBSTITUTE(LEFT(MAIN!D625, IFERROR(FIND(",", MAIN!D625)-1, LEN(MAIN!D625))), " ", "")), IF(ISNA(VLOOKUP(SUBSTITUTE(LEFT(MAIN!D625, IFERROR(FIND(",", MAIN!D625)-1, LEN(MAIN!D625))), " ", ""), lookup_values!$A$2:$B$51, 2, FALSE)), "--", VLOOKUP(SUBSTITUTE(LEFT(MAIN!D625, IFERROR(FIND(",", MAIN!D625)-1, LEN(MAIN!D625))), " ", ""), lookup_values!$A$2:$B$51, 2, FALSE))))</f>
        <v>--</v>
      </c>
      <c r="E625" t="str">
        <f>IF(CLEAN_DATA!D625&lt;&gt;"--","US",IF(ISBLANK(MAIN!E625), "--", IF(ISNUMBER(MATCH(SUBSTITUTE(LEFT(MAIN!E625, IFERROR(FIND(",", MAIN!E625)-1, LEN(MAIN!E625))), " ", ""), lookup_values!$E$2:$E$197, 0)), UPPER(SUBSTITUTE(LEFT(MAIN!E625, IFERROR(FIND(",", MAIN!E625)-1, LEN(MAIN!E625))), " ", "")), IF(ISNA(VLOOKUP(SUBSTITUTE(LEFT(MAIN!E625, IFERROR(FIND(",", MAIN!E625)-1, LEN(MAIN!E625))), " ", ""), lookup_values!$D$2:$E$197, 2, FALSE)), "--", VLOOKUP(SUBSTITUTE(LEFT(MAIN!E625, IFERROR(FIND(",", MAIN!E625)-1, LEN(MAIN!E625))), " ", ""), lookup_values!$D$2:$E$197, 2, FALSE)))))</f>
        <v>--</v>
      </c>
      <c r="F625" t="str">
        <f>IF(ISBLANK(MAIN!F625), "", IF(AND(ISNUMBER(VALUE(TRIM(MAIN!F625))), LEN(TRIM(MAIN!F625))=4), VALUE(TRIM(MAIN!F625)), ""))</f>
        <v/>
      </c>
      <c r="G625">
        <f>IF(ISBLANK(MAIN!G625), 0, IF(ISNUMBER(VALUE(TRIM(MAIN!G625))), VALUE(TRIM(MAIN!G625)), 0))</f>
        <v>0</v>
      </c>
      <c r="H625">
        <f>IF(ISBLANK(MAIN!H625), 0, IF(ISNUMBER(VALUE(TRIM(MAIN!H625))), VALUE(TRIM(MAIN!H625)), 0))</f>
        <v>0</v>
      </c>
      <c r="I625">
        <f>IF(ISBLANK(MAIN!I625), 0, IF(ISNUMBER(VALUE(TRIM(MAIN!I625))), VALUE(TRIM(MAIN!I625)), 0))</f>
        <v>0</v>
      </c>
      <c r="J625">
        <f>IF(ISBLANK(MAIN!J625), 0, IF(ISNUMBER(VALUE(TRIM(MAIN!J625))), VALUE(TRIM(MAIN!J625)), 0))</f>
        <v>0</v>
      </c>
      <c r="K625" cm="1">
        <f t="array" ref="K625">IFERROR(
    VALUE(
        IFERROR(
            UPPER(
                IF(MAX(IFERROR(SEARCH("WD",MAIN!G625:J625), 0))&gt;0, "WD",
                IF(MAX(IFERROR(SEARCH("NS",MAIN!G625:J625), 0))&gt;0, "NS",
                IF(MAX(IFERROR(SEARCH("NC",MAIN!G625:J625), 0))&gt;0, "NC",
                IF(MAX(IFERROR(SEARCH("DQ",MAIN!G625:J625), 0))&gt;0, "DQ",
                IF(ISNUMBER(SEARCH("WD",MAIN!K625)), "WD",
                IF(ISNUMBER(SEARCH("NS",MAIN!K625)), "NS",
                IF(ISNUMBER(SEARCH("NC",MAIN!K625)), "NC",
                IF(ISNUMBER(SEARCH("DQ",MAIN!K625)), "DQ",
                IF(ISNUMBER(SEARCH("A",MAIN!K625)), 0,
                IF(OR(MAIN!K625=0,MAIN!K625=""), 0, --TRIM(MAIN!K625)))))))))))),
            0
        )
    ),
    IFERROR(
        UPPER(
            IF(MAX(IFERROR(SEARCH("WD",MAIN!G625:J625), 0))&gt;0, "WD",
            IF(MAX(IFERROR(SEARCH("NS",MAIN!G625:J625), 0))&gt;0, "NS",
            IF(MAX(IFERROR(SEARCH("NC",MAIN!G625:J625), 0))&gt;0, "NC",
            IF(MAX(IFERROR(SEARCH("DQ",MAIN!G625:J625), 0))&gt;0, "DQ",
            IF(ISNUMBER(SEARCH("WD",MAIN!K625)), "WD",
            IF(ISNUMBER(SEARCH("NS",MAIN!K625)), "NS",
            IF(ISNUMBER(SEARCH("NC",MAIN!K625)), "NC",
            IF(ISNUMBER(SEARCH("DQ",MAIN!K625)), "DQ",
            IF(ISNUMBER(SEARCH("A",MAIN!K625)), 0,
            IF(OR(MAIN!K625=0,MAIN!K625=""), 0, --TRIM(MAIN!K625)))))))))))),
        0
    )
)</f>
        <v>0</v>
      </c>
    </row>
    <row r="626" spans="1:11" x14ac:dyDescent="0.25">
      <c r="A626" t="str">
        <f>IF(ISBLANK(MAIN!A626), "--", IFERROR(PROPER(SUBSTITUTE(SUBSTITUTE(SUBSTITUTE(SUBSTITUTE(SUBSTITUTE(SUBSTITUTE(SUBSTITUTE(SUBSTITUTE(SUBSTITUTE(SUBSTITUTE(LEFT(MAIN!A626, FIND(",",MAIN!A626) -1), "0", ""), "1", ""), "2", ""), "3", ""), "4", ""), "5", ""), "6", ""), "7", ""), "8", ""), "9", "")), PROPER(SUBSTITUTE(SUBSTITUTE(SUBSTITUTE(SUBSTITUTE(SUBSTITUTE(SUBSTITUTE(SUBSTITUTE(SUBSTITUTE(SUBSTITUTE(SUBSTITUTE(MAIN!A626, "0", ""), "1", ""), "2", ""), "3", ""), "4", ""), "5", ""), "6", ""), "7", ""), "8", ""), "9", ""))))</f>
        <v>--</v>
      </c>
      <c r="B626" t="str">
        <f>IF(ISBLANK(MAIN!B626), "--", IFERROR(PROPER(SUBSTITUTE(SUBSTITUTE(SUBSTITUTE(SUBSTITUTE(SUBSTITUTE(SUBSTITUTE(SUBSTITUTE(SUBSTITUTE(SUBSTITUTE(SUBSTITUTE(LEFT(MAIN!B626, FIND(",",MAIN!B626) -1), "0", ""), "1", ""), "2", ""), "3", ""), "4", ""), "5", ""), "6", ""), "7", ""), "8", ""), "9", "")), PROPER(SUBSTITUTE(SUBSTITUTE(SUBSTITUTE(SUBSTITUTE(SUBSTITUTE(SUBSTITUTE(SUBSTITUTE(SUBSTITUTE(SUBSTITUTE(SUBSTITUTE(MAIN!B626, "0", ""), "1", ""), "2", ""), "3", ""), "4", ""), "5", ""), "6", ""), "7", ""), "8", ""), "9", ""))))</f>
        <v>--</v>
      </c>
      <c r="C626" t="str">
        <f>IF(ISBLANK(MAIN!C626), "--", IFERROR(PROPER(SUBSTITUTE(SUBSTITUTE(SUBSTITUTE(SUBSTITUTE(SUBSTITUTE(SUBSTITUTE(SUBSTITUTE(SUBSTITUTE(SUBSTITUTE(SUBSTITUTE(LEFT(MAIN!C626, FIND(",",MAIN!C626) -1), "0", ""), "1", ""), "2", ""), "3", ""), "4", ""), "5", ""), "6", ""), "7", ""), "8", ""), "9", "")), PROPER(SUBSTITUTE(SUBSTITUTE(SUBSTITUTE(SUBSTITUTE(SUBSTITUTE(SUBSTITUTE(SUBSTITUTE(SUBSTITUTE(SUBSTITUTE(SUBSTITUTE(MAIN!C626, "0", ""), "1", ""), "2", ""), "3", ""), "4", ""), "5", ""), "6", ""), "7", ""), "8", ""), "9", ""))))</f>
        <v>--</v>
      </c>
      <c r="D626" t="str">
        <f>IF(ISBLANK(MAIN!D626), "--", IF(ISNUMBER(MATCH(SUBSTITUTE(LEFT(MAIN!D626, IFERROR(FIND(",", MAIN!D626)-1, LEN(MAIN!D626))), " ", ""), lookup_values!$B$2:$B$51, 0)), UPPER(SUBSTITUTE(LEFT(MAIN!D626, IFERROR(FIND(",", MAIN!D626)-1, LEN(MAIN!D626))), " ", "")), IF(ISNA(VLOOKUP(SUBSTITUTE(LEFT(MAIN!D626, IFERROR(FIND(",", MAIN!D626)-1, LEN(MAIN!D626))), " ", ""), lookup_values!$A$2:$B$51, 2, FALSE)), "--", VLOOKUP(SUBSTITUTE(LEFT(MAIN!D626, IFERROR(FIND(",", MAIN!D626)-1, LEN(MAIN!D626))), " ", ""), lookup_values!$A$2:$B$51, 2, FALSE))))</f>
        <v>--</v>
      </c>
      <c r="E626" t="str">
        <f>IF(CLEAN_DATA!D626&lt;&gt;"--","US",IF(ISBLANK(MAIN!E626), "--", IF(ISNUMBER(MATCH(SUBSTITUTE(LEFT(MAIN!E626, IFERROR(FIND(",", MAIN!E626)-1, LEN(MAIN!E626))), " ", ""), lookup_values!$E$2:$E$197, 0)), UPPER(SUBSTITUTE(LEFT(MAIN!E626, IFERROR(FIND(",", MAIN!E626)-1, LEN(MAIN!E626))), " ", "")), IF(ISNA(VLOOKUP(SUBSTITUTE(LEFT(MAIN!E626, IFERROR(FIND(",", MAIN!E626)-1, LEN(MAIN!E626))), " ", ""), lookup_values!$D$2:$E$197, 2, FALSE)), "--", VLOOKUP(SUBSTITUTE(LEFT(MAIN!E626, IFERROR(FIND(",", MAIN!E626)-1, LEN(MAIN!E626))), " ", ""), lookup_values!$D$2:$E$197, 2, FALSE)))))</f>
        <v>--</v>
      </c>
      <c r="F626" t="str">
        <f>IF(ISBLANK(MAIN!F626), "", IF(AND(ISNUMBER(VALUE(TRIM(MAIN!F626))), LEN(TRIM(MAIN!F626))=4), VALUE(TRIM(MAIN!F626)), ""))</f>
        <v/>
      </c>
      <c r="G626">
        <f>IF(ISBLANK(MAIN!G626), 0, IF(ISNUMBER(VALUE(TRIM(MAIN!G626))), VALUE(TRIM(MAIN!G626)), 0))</f>
        <v>0</v>
      </c>
      <c r="H626">
        <f>IF(ISBLANK(MAIN!H626), 0, IF(ISNUMBER(VALUE(TRIM(MAIN!H626))), VALUE(TRIM(MAIN!H626)), 0))</f>
        <v>0</v>
      </c>
      <c r="I626">
        <f>IF(ISBLANK(MAIN!I626), 0, IF(ISNUMBER(VALUE(TRIM(MAIN!I626))), VALUE(TRIM(MAIN!I626)), 0))</f>
        <v>0</v>
      </c>
      <c r="J626">
        <f>IF(ISBLANK(MAIN!J626), 0, IF(ISNUMBER(VALUE(TRIM(MAIN!J626))), VALUE(TRIM(MAIN!J626)), 0))</f>
        <v>0</v>
      </c>
      <c r="K626" cm="1">
        <f t="array" ref="K626">IFERROR(
    VALUE(
        IFERROR(
            UPPER(
                IF(MAX(IFERROR(SEARCH("WD",MAIN!G626:J626), 0))&gt;0, "WD",
                IF(MAX(IFERROR(SEARCH("NS",MAIN!G626:J626), 0))&gt;0, "NS",
                IF(MAX(IFERROR(SEARCH("NC",MAIN!G626:J626), 0))&gt;0, "NC",
                IF(MAX(IFERROR(SEARCH("DQ",MAIN!G626:J626), 0))&gt;0, "DQ",
                IF(ISNUMBER(SEARCH("WD",MAIN!K626)), "WD",
                IF(ISNUMBER(SEARCH("NS",MAIN!K626)), "NS",
                IF(ISNUMBER(SEARCH("NC",MAIN!K626)), "NC",
                IF(ISNUMBER(SEARCH("DQ",MAIN!K626)), "DQ",
                IF(ISNUMBER(SEARCH("A",MAIN!K626)), 0,
                IF(OR(MAIN!K626=0,MAIN!K626=""), 0, --TRIM(MAIN!K626)))))))))))),
            0
        )
    ),
    IFERROR(
        UPPER(
            IF(MAX(IFERROR(SEARCH("WD",MAIN!G626:J626), 0))&gt;0, "WD",
            IF(MAX(IFERROR(SEARCH("NS",MAIN!G626:J626), 0))&gt;0, "NS",
            IF(MAX(IFERROR(SEARCH("NC",MAIN!G626:J626), 0))&gt;0, "NC",
            IF(MAX(IFERROR(SEARCH("DQ",MAIN!G626:J626), 0))&gt;0, "DQ",
            IF(ISNUMBER(SEARCH("WD",MAIN!K626)), "WD",
            IF(ISNUMBER(SEARCH("NS",MAIN!K626)), "NS",
            IF(ISNUMBER(SEARCH("NC",MAIN!K626)), "NC",
            IF(ISNUMBER(SEARCH("DQ",MAIN!K626)), "DQ",
            IF(ISNUMBER(SEARCH("A",MAIN!K626)), 0,
            IF(OR(MAIN!K626=0,MAIN!K626=""), 0, --TRIM(MAIN!K626)))))))))))),
        0
    )
)</f>
        <v>0</v>
      </c>
    </row>
    <row r="627" spans="1:11" x14ac:dyDescent="0.25">
      <c r="A627" t="str">
        <f>IF(ISBLANK(MAIN!A627), "--", IFERROR(PROPER(SUBSTITUTE(SUBSTITUTE(SUBSTITUTE(SUBSTITUTE(SUBSTITUTE(SUBSTITUTE(SUBSTITUTE(SUBSTITUTE(SUBSTITUTE(SUBSTITUTE(LEFT(MAIN!A627, FIND(",",MAIN!A627) -1), "0", ""), "1", ""), "2", ""), "3", ""), "4", ""), "5", ""), "6", ""), "7", ""), "8", ""), "9", "")), PROPER(SUBSTITUTE(SUBSTITUTE(SUBSTITUTE(SUBSTITUTE(SUBSTITUTE(SUBSTITUTE(SUBSTITUTE(SUBSTITUTE(SUBSTITUTE(SUBSTITUTE(MAIN!A627, "0", ""), "1", ""), "2", ""), "3", ""), "4", ""), "5", ""), "6", ""), "7", ""), "8", ""), "9", ""))))</f>
        <v>--</v>
      </c>
      <c r="B627" t="str">
        <f>IF(ISBLANK(MAIN!B627), "--", IFERROR(PROPER(SUBSTITUTE(SUBSTITUTE(SUBSTITUTE(SUBSTITUTE(SUBSTITUTE(SUBSTITUTE(SUBSTITUTE(SUBSTITUTE(SUBSTITUTE(SUBSTITUTE(LEFT(MAIN!B627, FIND(",",MAIN!B627) -1), "0", ""), "1", ""), "2", ""), "3", ""), "4", ""), "5", ""), "6", ""), "7", ""), "8", ""), "9", "")), PROPER(SUBSTITUTE(SUBSTITUTE(SUBSTITUTE(SUBSTITUTE(SUBSTITUTE(SUBSTITUTE(SUBSTITUTE(SUBSTITUTE(SUBSTITUTE(SUBSTITUTE(MAIN!B627, "0", ""), "1", ""), "2", ""), "3", ""), "4", ""), "5", ""), "6", ""), "7", ""), "8", ""), "9", ""))))</f>
        <v>--</v>
      </c>
      <c r="C627" t="str">
        <f>IF(ISBLANK(MAIN!C627), "--", IFERROR(PROPER(SUBSTITUTE(SUBSTITUTE(SUBSTITUTE(SUBSTITUTE(SUBSTITUTE(SUBSTITUTE(SUBSTITUTE(SUBSTITUTE(SUBSTITUTE(SUBSTITUTE(LEFT(MAIN!C627, FIND(",",MAIN!C627) -1), "0", ""), "1", ""), "2", ""), "3", ""), "4", ""), "5", ""), "6", ""), "7", ""), "8", ""), "9", "")), PROPER(SUBSTITUTE(SUBSTITUTE(SUBSTITUTE(SUBSTITUTE(SUBSTITUTE(SUBSTITUTE(SUBSTITUTE(SUBSTITUTE(SUBSTITUTE(SUBSTITUTE(MAIN!C627, "0", ""), "1", ""), "2", ""), "3", ""), "4", ""), "5", ""), "6", ""), "7", ""), "8", ""), "9", ""))))</f>
        <v>--</v>
      </c>
      <c r="D627" t="str">
        <f>IF(ISBLANK(MAIN!D627), "--", IF(ISNUMBER(MATCH(SUBSTITUTE(LEFT(MAIN!D627, IFERROR(FIND(",", MAIN!D627)-1, LEN(MAIN!D627))), " ", ""), lookup_values!$B$2:$B$51, 0)), UPPER(SUBSTITUTE(LEFT(MAIN!D627, IFERROR(FIND(",", MAIN!D627)-1, LEN(MAIN!D627))), " ", "")), IF(ISNA(VLOOKUP(SUBSTITUTE(LEFT(MAIN!D627, IFERROR(FIND(",", MAIN!D627)-1, LEN(MAIN!D627))), " ", ""), lookup_values!$A$2:$B$51, 2, FALSE)), "--", VLOOKUP(SUBSTITUTE(LEFT(MAIN!D627, IFERROR(FIND(",", MAIN!D627)-1, LEN(MAIN!D627))), " ", ""), lookup_values!$A$2:$B$51, 2, FALSE))))</f>
        <v>--</v>
      </c>
      <c r="E627" t="str">
        <f>IF(CLEAN_DATA!D627&lt;&gt;"--","US",IF(ISBLANK(MAIN!E627), "--", IF(ISNUMBER(MATCH(SUBSTITUTE(LEFT(MAIN!E627, IFERROR(FIND(",", MAIN!E627)-1, LEN(MAIN!E627))), " ", ""), lookup_values!$E$2:$E$197, 0)), UPPER(SUBSTITUTE(LEFT(MAIN!E627, IFERROR(FIND(",", MAIN!E627)-1, LEN(MAIN!E627))), " ", "")), IF(ISNA(VLOOKUP(SUBSTITUTE(LEFT(MAIN!E627, IFERROR(FIND(",", MAIN!E627)-1, LEN(MAIN!E627))), " ", ""), lookup_values!$D$2:$E$197, 2, FALSE)), "--", VLOOKUP(SUBSTITUTE(LEFT(MAIN!E627, IFERROR(FIND(",", MAIN!E627)-1, LEN(MAIN!E627))), " ", ""), lookup_values!$D$2:$E$197, 2, FALSE)))))</f>
        <v>--</v>
      </c>
      <c r="F627" t="str">
        <f>IF(ISBLANK(MAIN!F627), "", IF(AND(ISNUMBER(VALUE(TRIM(MAIN!F627))), LEN(TRIM(MAIN!F627))=4), VALUE(TRIM(MAIN!F627)), ""))</f>
        <v/>
      </c>
      <c r="G627">
        <f>IF(ISBLANK(MAIN!G627), 0, IF(ISNUMBER(VALUE(TRIM(MAIN!G627))), VALUE(TRIM(MAIN!G627)), 0))</f>
        <v>0</v>
      </c>
      <c r="H627">
        <f>IF(ISBLANK(MAIN!H627), 0, IF(ISNUMBER(VALUE(TRIM(MAIN!H627))), VALUE(TRIM(MAIN!H627)), 0))</f>
        <v>0</v>
      </c>
      <c r="I627">
        <f>IF(ISBLANK(MAIN!I627), 0, IF(ISNUMBER(VALUE(TRIM(MAIN!I627))), VALUE(TRIM(MAIN!I627)), 0))</f>
        <v>0</v>
      </c>
      <c r="J627">
        <f>IF(ISBLANK(MAIN!J627), 0, IF(ISNUMBER(VALUE(TRIM(MAIN!J627))), VALUE(TRIM(MAIN!J627)), 0))</f>
        <v>0</v>
      </c>
      <c r="K627" cm="1">
        <f t="array" ref="K627">IFERROR(
    VALUE(
        IFERROR(
            UPPER(
                IF(MAX(IFERROR(SEARCH("WD",MAIN!G627:J627), 0))&gt;0, "WD",
                IF(MAX(IFERROR(SEARCH("NS",MAIN!G627:J627), 0))&gt;0, "NS",
                IF(MAX(IFERROR(SEARCH("NC",MAIN!G627:J627), 0))&gt;0, "NC",
                IF(MAX(IFERROR(SEARCH("DQ",MAIN!G627:J627), 0))&gt;0, "DQ",
                IF(ISNUMBER(SEARCH("WD",MAIN!K627)), "WD",
                IF(ISNUMBER(SEARCH("NS",MAIN!K627)), "NS",
                IF(ISNUMBER(SEARCH("NC",MAIN!K627)), "NC",
                IF(ISNUMBER(SEARCH("DQ",MAIN!K627)), "DQ",
                IF(ISNUMBER(SEARCH("A",MAIN!K627)), 0,
                IF(OR(MAIN!K627=0,MAIN!K627=""), 0, --TRIM(MAIN!K627)))))))))))),
            0
        )
    ),
    IFERROR(
        UPPER(
            IF(MAX(IFERROR(SEARCH("WD",MAIN!G627:J627), 0))&gt;0, "WD",
            IF(MAX(IFERROR(SEARCH("NS",MAIN!G627:J627), 0))&gt;0, "NS",
            IF(MAX(IFERROR(SEARCH("NC",MAIN!G627:J627), 0))&gt;0, "NC",
            IF(MAX(IFERROR(SEARCH("DQ",MAIN!G627:J627), 0))&gt;0, "DQ",
            IF(ISNUMBER(SEARCH("WD",MAIN!K627)), "WD",
            IF(ISNUMBER(SEARCH("NS",MAIN!K627)), "NS",
            IF(ISNUMBER(SEARCH("NC",MAIN!K627)), "NC",
            IF(ISNUMBER(SEARCH("DQ",MAIN!K627)), "DQ",
            IF(ISNUMBER(SEARCH("A",MAIN!K627)), 0,
            IF(OR(MAIN!K627=0,MAIN!K627=""), 0, --TRIM(MAIN!K627)))))))))))),
        0
    )
)</f>
        <v>0</v>
      </c>
    </row>
    <row r="628" spans="1:11" x14ac:dyDescent="0.25">
      <c r="A628" t="str">
        <f>IF(ISBLANK(MAIN!A628), "--", IFERROR(PROPER(SUBSTITUTE(SUBSTITUTE(SUBSTITUTE(SUBSTITUTE(SUBSTITUTE(SUBSTITUTE(SUBSTITUTE(SUBSTITUTE(SUBSTITUTE(SUBSTITUTE(LEFT(MAIN!A628, FIND(",",MAIN!A628) -1), "0", ""), "1", ""), "2", ""), "3", ""), "4", ""), "5", ""), "6", ""), "7", ""), "8", ""), "9", "")), PROPER(SUBSTITUTE(SUBSTITUTE(SUBSTITUTE(SUBSTITUTE(SUBSTITUTE(SUBSTITUTE(SUBSTITUTE(SUBSTITUTE(SUBSTITUTE(SUBSTITUTE(MAIN!A628, "0", ""), "1", ""), "2", ""), "3", ""), "4", ""), "5", ""), "6", ""), "7", ""), "8", ""), "9", ""))))</f>
        <v>--</v>
      </c>
      <c r="B628" t="str">
        <f>IF(ISBLANK(MAIN!B628), "--", IFERROR(PROPER(SUBSTITUTE(SUBSTITUTE(SUBSTITUTE(SUBSTITUTE(SUBSTITUTE(SUBSTITUTE(SUBSTITUTE(SUBSTITUTE(SUBSTITUTE(SUBSTITUTE(LEFT(MAIN!B628, FIND(",",MAIN!B628) -1), "0", ""), "1", ""), "2", ""), "3", ""), "4", ""), "5", ""), "6", ""), "7", ""), "8", ""), "9", "")), PROPER(SUBSTITUTE(SUBSTITUTE(SUBSTITUTE(SUBSTITUTE(SUBSTITUTE(SUBSTITUTE(SUBSTITUTE(SUBSTITUTE(SUBSTITUTE(SUBSTITUTE(MAIN!B628, "0", ""), "1", ""), "2", ""), "3", ""), "4", ""), "5", ""), "6", ""), "7", ""), "8", ""), "9", ""))))</f>
        <v>--</v>
      </c>
      <c r="C628" t="str">
        <f>IF(ISBLANK(MAIN!C628), "--", IFERROR(PROPER(SUBSTITUTE(SUBSTITUTE(SUBSTITUTE(SUBSTITUTE(SUBSTITUTE(SUBSTITUTE(SUBSTITUTE(SUBSTITUTE(SUBSTITUTE(SUBSTITUTE(LEFT(MAIN!C628, FIND(",",MAIN!C628) -1), "0", ""), "1", ""), "2", ""), "3", ""), "4", ""), "5", ""), "6", ""), "7", ""), "8", ""), "9", "")), PROPER(SUBSTITUTE(SUBSTITUTE(SUBSTITUTE(SUBSTITUTE(SUBSTITUTE(SUBSTITUTE(SUBSTITUTE(SUBSTITUTE(SUBSTITUTE(SUBSTITUTE(MAIN!C628, "0", ""), "1", ""), "2", ""), "3", ""), "4", ""), "5", ""), "6", ""), "7", ""), "8", ""), "9", ""))))</f>
        <v>--</v>
      </c>
      <c r="D628" t="str">
        <f>IF(ISBLANK(MAIN!D628), "--", IF(ISNUMBER(MATCH(SUBSTITUTE(LEFT(MAIN!D628, IFERROR(FIND(",", MAIN!D628)-1, LEN(MAIN!D628))), " ", ""), lookup_values!$B$2:$B$51, 0)), UPPER(SUBSTITUTE(LEFT(MAIN!D628, IFERROR(FIND(",", MAIN!D628)-1, LEN(MAIN!D628))), " ", "")), IF(ISNA(VLOOKUP(SUBSTITUTE(LEFT(MAIN!D628, IFERROR(FIND(",", MAIN!D628)-1, LEN(MAIN!D628))), " ", ""), lookup_values!$A$2:$B$51, 2, FALSE)), "--", VLOOKUP(SUBSTITUTE(LEFT(MAIN!D628, IFERROR(FIND(",", MAIN!D628)-1, LEN(MAIN!D628))), " ", ""), lookup_values!$A$2:$B$51, 2, FALSE))))</f>
        <v>--</v>
      </c>
      <c r="E628" t="str">
        <f>IF(CLEAN_DATA!D628&lt;&gt;"--","US",IF(ISBLANK(MAIN!E628), "--", IF(ISNUMBER(MATCH(SUBSTITUTE(LEFT(MAIN!E628, IFERROR(FIND(",", MAIN!E628)-1, LEN(MAIN!E628))), " ", ""), lookup_values!$E$2:$E$197, 0)), UPPER(SUBSTITUTE(LEFT(MAIN!E628, IFERROR(FIND(",", MAIN!E628)-1, LEN(MAIN!E628))), " ", "")), IF(ISNA(VLOOKUP(SUBSTITUTE(LEFT(MAIN!E628, IFERROR(FIND(",", MAIN!E628)-1, LEN(MAIN!E628))), " ", ""), lookup_values!$D$2:$E$197, 2, FALSE)), "--", VLOOKUP(SUBSTITUTE(LEFT(MAIN!E628, IFERROR(FIND(",", MAIN!E628)-1, LEN(MAIN!E628))), " ", ""), lookup_values!$D$2:$E$197, 2, FALSE)))))</f>
        <v>--</v>
      </c>
      <c r="F628" t="str">
        <f>IF(ISBLANK(MAIN!F628), "", IF(AND(ISNUMBER(VALUE(TRIM(MAIN!F628))), LEN(TRIM(MAIN!F628))=4), VALUE(TRIM(MAIN!F628)), ""))</f>
        <v/>
      </c>
      <c r="G628">
        <f>IF(ISBLANK(MAIN!G628), 0, IF(ISNUMBER(VALUE(TRIM(MAIN!G628))), VALUE(TRIM(MAIN!G628)), 0))</f>
        <v>0</v>
      </c>
      <c r="H628">
        <f>IF(ISBLANK(MAIN!H628), 0, IF(ISNUMBER(VALUE(TRIM(MAIN!H628))), VALUE(TRIM(MAIN!H628)), 0))</f>
        <v>0</v>
      </c>
      <c r="I628">
        <f>IF(ISBLANK(MAIN!I628), 0, IF(ISNUMBER(VALUE(TRIM(MAIN!I628))), VALUE(TRIM(MAIN!I628)), 0))</f>
        <v>0</v>
      </c>
      <c r="J628">
        <f>IF(ISBLANK(MAIN!J628), 0, IF(ISNUMBER(VALUE(TRIM(MAIN!J628))), VALUE(TRIM(MAIN!J628)), 0))</f>
        <v>0</v>
      </c>
      <c r="K628" cm="1">
        <f t="array" ref="K628">IFERROR(
    VALUE(
        IFERROR(
            UPPER(
                IF(MAX(IFERROR(SEARCH("WD",MAIN!G628:J628), 0))&gt;0, "WD",
                IF(MAX(IFERROR(SEARCH("NS",MAIN!G628:J628), 0))&gt;0, "NS",
                IF(MAX(IFERROR(SEARCH("NC",MAIN!G628:J628), 0))&gt;0, "NC",
                IF(MAX(IFERROR(SEARCH("DQ",MAIN!G628:J628), 0))&gt;0, "DQ",
                IF(ISNUMBER(SEARCH("WD",MAIN!K628)), "WD",
                IF(ISNUMBER(SEARCH("NS",MAIN!K628)), "NS",
                IF(ISNUMBER(SEARCH("NC",MAIN!K628)), "NC",
                IF(ISNUMBER(SEARCH("DQ",MAIN!K628)), "DQ",
                IF(ISNUMBER(SEARCH("A",MAIN!K628)), 0,
                IF(OR(MAIN!K628=0,MAIN!K628=""), 0, --TRIM(MAIN!K628)))))))))))),
            0
        )
    ),
    IFERROR(
        UPPER(
            IF(MAX(IFERROR(SEARCH("WD",MAIN!G628:J628), 0))&gt;0, "WD",
            IF(MAX(IFERROR(SEARCH("NS",MAIN!G628:J628), 0))&gt;0, "NS",
            IF(MAX(IFERROR(SEARCH("NC",MAIN!G628:J628), 0))&gt;0, "NC",
            IF(MAX(IFERROR(SEARCH("DQ",MAIN!G628:J628), 0))&gt;0, "DQ",
            IF(ISNUMBER(SEARCH("WD",MAIN!K628)), "WD",
            IF(ISNUMBER(SEARCH("NS",MAIN!K628)), "NS",
            IF(ISNUMBER(SEARCH("NC",MAIN!K628)), "NC",
            IF(ISNUMBER(SEARCH("DQ",MAIN!K628)), "DQ",
            IF(ISNUMBER(SEARCH("A",MAIN!K628)), 0,
            IF(OR(MAIN!K628=0,MAIN!K628=""), 0, --TRIM(MAIN!K628)))))))))))),
        0
    )
)</f>
        <v>0</v>
      </c>
    </row>
    <row r="629" spans="1:11" x14ac:dyDescent="0.25">
      <c r="A629" t="str">
        <f>IF(ISBLANK(MAIN!A629), "--", IFERROR(PROPER(SUBSTITUTE(SUBSTITUTE(SUBSTITUTE(SUBSTITUTE(SUBSTITUTE(SUBSTITUTE(SUBSTITUTE(SUBSTITUTE(SUBSTITUTE(SUBSTITUTE(LEFT(MAIN!A629, FIND(",",MAIN!A629) -1), "0", ""), "1", ""), "2", ""), "3", ""), "4", ""), "5", ""), "6", ""), "7", ""), "8", ""), "9", "")), PROPER(SUBSTITUTE(SUBSTITUTE(SUBSTITUTE(SUBSTITUTE(SUBSTITUTE(SUBSTITUTE(SUBSTITUTE(SUBSTITUTE(SUBSTITUTE(SUBSTITUTE(MAIN!A629, "0", ""), "1", ""), "2", ""), "3", ""), "4", ""), "5", ""), "6", ""), "7", ""), "8", ""), "9", ""))))</f>
        <v>--</v>
      </c>
      <c r="B629" t="str">
        <f>IF(ISBLANK(MAIN!B629), "--", IFERROR(PROPER(SUBSTITUTE(SUBSTITUTE(SUBSTITUTE(SUBSTITUTE(SUBSTITUTE(SUBSTITUTE(SUBSTITUTE(SUBSTITUTE(SUBSTITUTE(SUBSTITUTE(LEFT(MAIN!B629, FIND(",",MAIN!B629) -1), "0", ""), "1", ""), "2", ""), "3", ""), "4", ""), "5", ""), "6", ""), "7", ""), "8", ""), "9", "")), PROPER(SUBSTITUTE(SUBSTITUTE(SUBSTITUTE(SUBSTITUTE(SUBSTITUTE(SUBSTITUTE(SUBSTITUTE(SUBSTITUTE(SUBSTITUTE(SUBSTITUTE(MAIN!B629, "0", ""), "1", ""), "2", ""), "3", ""), "4", ""), "5", ""), "6", ""), "7", ""), "8", ""), "9", ""))))</f>
        <v>--</v>
      </c>
      <c r="C629" t="str">
        <f>IF(ISBLANK(MAIN!C629), "--", IFERROR(PROPER(SUBSTITUTE(SUBSTITUTE(SUBSTITUTE(SUBSTITUTE(SUBSTITUTE(SUBSTITUTE(SUBSTITUTE(SUBSTITUTE(SUBSTITUTE(SUBSTITUTE(LEFT(MAIN!C629, FIND(",",MAIN!C629) -1), "0", ""), "1", ""), "2", ""), "3", ""), "4", ""), "5", ""), "6", ""), "7", ""), "8", ""), "9", "")), PROPER(SUBSTITUTE(SUBSTITUTE(SUBSTITUTE(SUBSTITUTE(SUBSTITUTE(SUBSTITUTE(SUBSTITUTE(SUBSTITUTE(SUBSTITUTE(SUBSTITUTE(MAIN!C629, "0", ""), "1", ""), "2", ""), "3", ""), "4", ""), "5", ""), "6", ""), "7", ""), "8", ""), "9", ""))))</f>
        <v>--</v>
      </c>
      <c r="D629" t="str">
        <f>IF(ISBLANK(MAIN!D629), "--", IF(ISNUMBER(MATCH(SUBSTITUTE(LEFT(MAIN!D629, IFERROR(FIND(",", MAIN!D629)-1, LEN(MAIN!D629))), " ", ""), lookup_values!$B$2:$B$51, 0)), UPPER(SUBSTITUTE(LEFT(MAIN!D629, IFERROR(FIND(",", MAIN!D629)-1, LEN(MAIN!D629))), " ", "")), IF(ISNA(VLOOKUP(SUBSTITUTE(LEFT(MAIN!D629, IFERROR(FIND(",", MAIN!D629)-1, LEN(MAIN!D629))), " ", ""), lookup_values!$A$2:$B$51, 2, FALSE)), "--", VLOOKUP(SUBSTITUTE(LEFT(MAIN!D629, IFERROR(FIND(",", MAIN!D629)-1, LEN(MAIN!D629))), " ", ""), lookup_values!$A$2:$B$51, 2, FALSE))))</f>
        <v>--</v>
      </c>
      <c r="E629" t="str">
        <f>IF(CLEAN_DATA!D629&lt;&gt;"--","US",IF(ISBLANK(MAIN!E629), "--", IF(ISNUMBER(MATCH(SUBSTITUTE(LEFT(MAIN!E629, IFERROR(FIND(",", MAIN!E629)-1, LEN(MAIN!E629))), " ", ""), lookup_values!$E$2:$E$197, 0)), UPPER(SUBSTITUTE(LEFT(MAIN!E629, IFERROR(FIND(",", MAIN!E629)-1, LEN(MAIN!E629))), " ", "")), IF(ISNA(VLOOKUP(SUBSTITUTE(LEFT(MAIN!E629, IFERROR(FIND(",", MAIN!E629)-1, LEN(MAIN!E629))), " ", ""), lookup_values!$D$2:$E$197, 2, FALSE)), "--", VLOOKUP(SUBSTITUTE(LEFT(MAIN!E629, IFERROR(FIND(",", MAIN!E629)-1, LEN(MAIN!E629))), " ", ""), lookup_values!$D$2:$E$197, 2, FALSE)))))</f>
        <v>--</v>
      </c>
      <c r="F629" t="str">
        <f>IF(ISBLANK(MAIN!F629), "", IF(AND(ISNUMBER(VALUE(TRIM(MAIN!F629))), LEN(TRIM(MAIN!F629))=4), VALUE(TRIM(MAIN!F629)), ""))</f>
        <v/>
      </c>
      <c r="G629">
        <f>IF(ISBLANK(MAIN!G629), 0, IF(ISNUMBER(VALUE(TRIM(MAIN!G629))), VALUE(TRIM(MAIN!G629)), 0))</f>
        <v>0</v>
      </c>
      <c r="H629">
        <f>IF(ISBLANK(MAIN!H629), 0, IF(ISNUMBER(VALUE(TRIM(MAIN!H629))), VALUE(TRIM(MAIN!H629)), 0))</f>
        <v>0</v>
      </c>
      <c r="I629">
        <f>IF(ISBLANK(MAIN!I629), 0, IF(ISNUMBER(VALUE(TRIM(MAIN!I629))), VALUE(TRIM(MAIN!I629)), 0))</f>
        <v>0</v>
      </c>
      <c r="J629">
        <f>IF(ISBLANK(MAIN!J629), 0, IF(ISNUMBER(VALUE(TRIM(MAIN!J629))), VALUE(TRIM(MAIN!J629)), 0))</f>
        <v>0</v>
      </c>
      <c r="K629" cm="1">
        <f t="array" ref="K629">IFERROR(
    VALUE(
        IFERROR(
            UPPER(
                IF(MAX(IFERROR(SEARCH("WD",MAIN!G629:J629), 0))&gt;0, "WD",
                IF(MAX(IFERROR(SEARCH("NS",MAIN!G629:J629), 0))&gt;0, "NS",
                IF(MAX(IFERROR(SEARCH("NC",MAIN!G629:J629), 0))&gt;0, "NC",
                IF(MAX(IFERROR(SEARCH("DQ",MAIN!G629:J629), 0))&gt;0, "DQ",
                IF(ISNUMBER(SEARCH("WD",MAIN!K629)), "WD",
                IF(ISNUMBER(SEARCH("NS",MAIN!K629)), "NS",
                IF(ISNUMBER(SEARCH("NC",MAIN!K629)), "NC",
                IF(ISNUMBER(SEARCH("DQ",MAIN!K629)), "DQ",
                IF(ISNUMBER(SEARCH("A",MAIN!K629)), 0,
                IF(OR(MAIN!K629=0,MAIN!K629=""), 0, --TRIM(MAIN!K629)))))))))))),
            0
        )
    ),
    IFERROR(
        UPPER(
            IF(MAX(IFERROR(SEARCH("WD",MAIN!G629:J629), 0))&gt;0, "WD",
            IF(MAX(IFERROR(SEARCH("NS",MAIN!G629:J629), 0))&gt;0, "NS",
            IF(MAX(IFERROR(SEARCH("NC",MAIN!G629:J629), 0))&gt;0, "NC",
            IF(MAX(IFERROR(SEARCH("DQ",MAIN!G629:J629), 0))&gt;0, "DQ",
            IF(ISNUMBER(SEARCH("WD",MAIN!K629)), "WD",
            IF(ISNUMBER(SEARCH("NS",MAIN!K629)), "NS",
            IF(ISNUMBER(SEARCH("NC",MAIN!K629)), "NC",
            IF(ISNUMBER(SEARCH("DQ",MAIN!K629)), "DQ",
            IF(ISNUMBER(SEARCH("A",MAIN!K629)), 0,
            IF(OR(MAIN!K629=0,MAIN!K629=""), 0, --TRIM(MAIN!K629)))))))))))),
        0
    )
)</f>
        <v>0</v>
      </c>
    </row>
    <row r="630" spans="1:11" x14ac:dyDescent="0.25">
      <c r="A630" t="str">
        <f>IF(ISBLANK(MAIN!A630), "--", IFERROR(PROPER(SUBSTITUTE(SUBSTITUTE(SUBSTITUTE(SUBSTITUTE(SUBSTITUTE(SUBSTITUTE(SUBSTITUTE(SUBSTITUTE(SUBSTITUTE(SUBSTITUTE(LEFT(MAIN!A630, FIND(",",MAIN!A630) -1), "0", ""), "1", ""), "2", ""), "3", ""), "4", ""), "5", ""), "6", ""), "7", ""), "8", ""), "9", "")), PROPER(SUBSTITUTE(SUBSTITUTE(SUBSTITUTE(SUBSTITUTE(SUBSTITUTE(SUBSTITUTE(SUBSTITUTE(SUBSTITUTE(SUBSTITUTE(SUBSTITUTE(MAIN!A630, "0", ""), "1", ""), "2", ""), "3", ""), "4", ""), "5", ""), "6", ""), "7", ""), "8", ""), "9", ""))))</f>
        <v>--</v>
      </c>
      <c r="B630" t="str">
        <f>IF(ISBLANK(MAIN!B630), "--", IFERROR(PROPER(SUBSTITUTE(SUBSTITUTE(SUBSTITUTE(SUBSTITUTE(SUBSTITUTE(SUBSTITUTE(SUBSTITUTE(SUBSTITUTE(SUBSTITUTE(SUBSTITUTE(LEFT(MAIN!B630, FIND(",",MAIN!B630) -1), "0", ""), "1", ""), "2", ""), "3", ""), "4", ""), "5", ""), "6", ""), "7", ""), "8", ""), "9", "")), PROPER(SUBSTITUTE(SUBSTITUTE(SUBSTITUTE(SUBSTITUTE(SUBSTITUTE(SUBSTITUTE(SUBSTITUTE(SUBSTITUTE(SUBSTITUTE(SUBSTITUTE(MAIN!B630, "0", ""), "1", ""), "2", ""), "3", ""), "4", ""), "5", ""), "6", ""), "7", ""), "8", ""), "9", ""))))</f>
        <v>--</v>
      </c>
      <c r="C630" t="str">
        <f>IF(ISBLANK(MAIN!C630), "--", IFERROR(PROPER(SUBSTITUTE(SUBSTITUTE(SUBSTITUTE(SUBSTITUTE(SUBSTITUTE(SUBSTITUTE(SUBSTITUTE(SUBSTITUTE(SUBSTITUTE(SUBSTITUTE(LEFT(MAIN!C630, FIND(",",MAIN!C630) -1), "0", ""), "1", ""), "2", ""), "3", ""), "4", ""), "5", ""), "6", ""), "7", ""), "8", ""), "9", "")), PROPER(SUBSTITUTE(SUBSTITUTE(SUBSTITUTE(SUBSTITUTE(SUBSTITUTE(SUBSTITUTE(SUBSTITUTE(SUBSTITUTE(SUBSTITUTE(SUBSTITUTE(MAIN!C630, "0", ""), "1", ""), "2", ""), "3", ""), "4", ""), "5", ""), "6", ""), "7", ""), "8", ""), "9", ""))))</f>
        <v>--</v>
      </c>
      <c r="D630" t="str">
        <f>IF(ISBLANK(MAIN!D630), "--", IF(ISNUMBER(MATCH(SUBSTITUTE(LEFT(MAIN!D630, IFERROR(FIND(",", MAIN!D630)-1, LEN(MAIN!D630))), " ", ""), lookup_values!$B$2:$B$51, 0)), UPPER(SUBSTITUTE(LEFT(MAIN!D630, IFERROR(FIND(",", MAIN!D630)-1, LEN(MAIN!D630))), " ", "")), IF(ISNA(VLOOKUP(SUBSTITUTE(LEFT(MAIN!D630, IFERROR(FIND(",", MAIN!D630)-1, LEN(MAIN!D630))), " ", ""), lookup_values!$A$2:$B$51, 2, FALSE)), "--", VLOOKUP(SUBSTITUTE(LEFT(MAIN!D630, IFERROR(FIND(",", MAIN!D630)-1, LEN(MAIN!D630))), " ", ""), lookup_values!$A$2:$B$51, 2, FALSE))))</f>
        <v>--</v>
      </c>
      <c r="E630" t="str">
        <f>IF(CLEAN_DATA!D630&lt;&gt;"--","US",IF(ISBLANK(MAIN!E630), "--", IF(ISNUMBER(MATCH(SUBSTITUTE(LEFT(MAIN!E630, IFERROR(FIND(",", MAIN!E630)-1, LEN(MAIN!E630))), " ", ""), lookup_values!$E$2:$E$197, 0)), UPPER(SUBSTITUTE(LEFT(MAIN!E630, IFERROR(FIND(",", MAIN!E630)-1, LEN(MAIN!E630))), " ", "")), IF(ISNA(VLOOKUP(SUBSTITUTE(LEFT(MAIN!E630, IFERROR(FIND(",", MAIN!E630)-1, LEN(MAIN!E630))), " ", ""), lookup_values!$D$2:$E$197, 2, FALSE)), "--", VLOOKUP(SUBSTITUTE(LEFT(MAIN!E630, IFERROR(FIND(",", MAIN!E630)-1, LEN(MAIN!E630))), " ", ""), lookup_values!$D$2:$E$197, 2, FALSE)))))</f>
        <v>--</v>
      </c>
      <c r="F630" t="str">
        <f>IF(ISBLANK(MAIN!F630), "", IF(AND(ISNUMBER(VALUE(TRIM(MAIN!F630))), LEN(TRIM(MAIN!F630))=4), VALUE(TRIM(MAIN!F630)), ""))</f>
        <v/>
      </c>
      <c r="G630">
        <f>IF(ISBLANK(MAIN!G630), 0, IF(ISNUMBER(VALUE(TRIM(MAIN!G630))), VALUE(TRIM(MAIN!G630)), 0))</f>
        <v>0</v>
      </c>
      <c r="H630">
        <f>IF(ISBLANK(MAIN!H630), 0, IF(ISNUMBER(VALUE(TRIM(MAIN!H630))), VALUE(TRIM(MAIN!H630)), 0))</f>
        <v>0</v>
      </c>
      <c r="I630">
        <f>IF(ISBLANK(MAIN!I630), 0, IF(ISNUMBER(VALUE(TRIM(MAIN!I630))), VALUE(TRIM(MAIN!I630)), 0))</f>
        <v>0</v>
      </c>
      <c r="J630">
        <f>IF(ISBLANK(MAIN!J630), 0, IF(ISNUMBER(VALUE(TRIM(MAIN!J630))), VALUE(TRIM(MAIN!J630)), 0))</f>
        <v>0</v>
      </c>
      <c r="K630" cm="1">
        <f t="array" ref="K630">IFERROR(
    VALUE(
        IFERROR(
            UPPER(
                IF(MAX(IFERROR(SEARCH("WD",MAIN!G630:J630), 0))&gt;0, "WD",
                IF(MAX(IFERROR(SEARCH("NS",MAIN!G630:J630), 0))&gt;0, "NS",
                IF(MAX(IFERROR(SEARCH("NC",MAIN!G630:J630), 0))&gt;0, "NC",
                IF(MAX(IFERROR(SEARCH("DQ",MAIN!G630:J630), 0))&gt;0, "DQ",
                IF(ISNUMBER(SEARCH("WD",MAIN!K630)), "WD",
                IF(ISNUMBER(SEARCH("NS",MAIN!K630)), "NS",
                IF(ISNUMBER(SEARCH("NC",MAIN!K630)), "NC",
                IF(ISNUMBER(SEARCH("DQ",MAIN!K630)), "DQ",
                IF(ISNUMBER(SEARCH("A",MAIN!K630)), 0,
                IF(OR(MAIN!K630=0,MAIN!K630=""), 0, --TRIM(MAIN!K630)))))))))))),
            0
        )
    ),
    IFERROR(
        UPPER(
            IF(MAX(IFERROR(SEARCH("WD",MAIN!G630:J630), 0))&gt;0, "WD",
            IF(MAX(IFERROR(SEARCH("NS",MAIN!G630:J630), 0))&gt;0, "NS",
            IF(MAX(IFERROR(SEARCH("NC",MAIN!G630:J630), 0))&gt;0, "NC",
            IF(MAX(IFERROR(SEARCH("DQ",MAIN!G630:J630), 0))&gt;0, "DQ",
            IF(ISNUMBER(SEARCH("WD",MAIN!K630)), "WD",
            IF(ISNUMBER(SEARCH("NS",MAIN!K630)), "NS",
            IF(ISNUMBER(SEARCH("NC",MAIN!K630)), "NC",
            IF(ISNUMBER(SEARCH("DQ",MAIN!K630)), "DQ",
            IF(ISNUMBER(SEARCH("A",MAIN!K630)), 0,
            IF(OR(MAIN!K630=0,MAIN!K630=""), 0, --TRIM(MAIN!K630)))))))))))),
        0
    )
)</f>
        <v>0</v>
      </c>
    </row>
    <row r="631" spans="1:11" x14ac:dyDescent="0.25">
      <c r="A631" t="str">
        <f>IF(ISBLANK(MAIN!A631), "--", IFERROR(PROPER(SUBSTITUTE(SUBSTITUTE(SUBSTITUTE(SUBSTITUTE(SUBSTITUTE(SUBSTITUTE(SUBSTITUTE(SUBSTITUTE(SUBSTITUTE(SUBSTITUTE(LEFT(MAIN!A631, FIND(",",MAIN!A631) -1), "0", ""), "1", ""), "2", ""), "3", ""), "4", ""), "5", ""), "6", ""), "7", ""), "8", ""), "9", "")), PROPER(SUBSTITUTE(SUBSTITUTE(SUBSTITUTE(SUBSTITUTE(SUBSTITUTE(SUBSTITUTE(SUBSTITUTE(SUBSTITUTE(SUBSTITUTE(SUBSTITUTE(MAIN!A631, "0", ""), "1", ""), "2", ""), "3", ""), "4", ""), "5", ""), "6", ""), "7", ""), "8", ""), "9", ""))))</f>
        <v>--</v>
      </c>
      <c r="B631" t="str">
        <f>IF(ISBLANK(MAIN!B631), "--", IFERROR(PROPER(SUBSTITUTE(SUBSTITUTE(SUBSTITUTE(SUBSTITUTE(SUBSTITUTE(SUBSTITUTE(SUBSTITUTE(SUBSTITUTE(SUBSTITUTE(SUBSTITUTE(LEFT(MAIN!B631, FIND(",",MAIN!B631) -1), "0", ""), "1", ""), "2", ""), "3", ""), "4", ""), "5", ""), "6", ""), "7", ""), "8", ""), "9", "")), PROPER(SUBSTITUTE(SUBSTITUTE(SUBSTITUTE(SUBSTITUTE(SUBSTITUTE(SUBSTITUTE(SUBSTITUTE(SUBSTITUTE(SUBSTITUTE(SUBSTITUTE(MAIN!B631, "0", ""), "1", ""), "2", ""), "3", ""), "4", ""), "5", ""), "6", ""), "7", ""), "8", ""), "9", ""))))</f>
        <v>--</v>
      </c>
      <c r="C631" t="str">
        <f>IF(ISBLANK(MAIN!C631), "--", IFERROR(PROPER(SUBSTITUTE(SUBSTITUTE(SUBSTITUTE(SUBSTITUTE(SUBSTITUTE(SUBSTITUTE(SUBSTITUTE(SUBSTITUTE(SUBSTITUTE(SUBSTITUTE(LEFT(MAIN!C631, FIND(",",MAIN!C631) -1), "0", ""), "1", ""), "2", ""), "3", ""), "4", ""), "5", ""), "6", ""), "7", ""), "8", ""), "9", "")), PROPER(SUBSTITUTE(SUBSTITUTE(SUBSTITUTE(SUBSTITUTE(SUBSTITUTE(SUBSTITUTE(SUBSTITUTE(SUBSTITUTE(SUBSTITUTE(SUBSTITUTE(MAIN!C631, "0", ""), "1", ""), "2", ""), "3", ""), "4", ""), "5", ""), "6", ""), "7", ""), "8", ""), "9", ""))))</f>
        <v>--</v>
      </c>
      <c r="D631" t="str">
        <f>IF(ISBLANK(MAIN!D631), "--", IF(ISNUMBER(MATCH(SUBSTITUTE(LEFT(MAIN!D631, IFERROR(FIND(",", MAIN!D631)-1, LEN(MAIN!D631))), " ", ""), lookup_values!$B$2:$B$51, 0)), UPPER(SUBSTITUTE(LEFT(MAIN!D631, IFERROR(FIND(",", MAIN!D631)-1, LEN(MAIN!D631))), " ", "")), IF(ISNA(VLOOKUP(SUBSTITUTE(LEFT(MAIN!D631, IFERROR(FIND(",", MAIN!D631)-1, LEN(MAIN!D631))), " ", ""), lookup_values!$A$2:$B$51, 2, FALSE)), "--", VLOOKUP(SUBSTITUTE(LEFT(MAIN!D631, IFERROR(FIND(",", MAIN!D631)-1, LEN(MAIN!D631))), " ", ""), lookup_values!$A$2:$B$51, 2, FALSE))))</f>
        <v>--</v>
      </c>
      <c r="E631" t="str">
        <f>IF(CLEAN_DATA!D631&lt;&gt;"--","US",IF(ISBLANK(MAIN!E631), "--", IF(ISNUMBER(MATCH(SUBSTITUTE(LEFT(MAIN!E631, IFERROR(FIND(",", MAIN!E631)-1, LEN(MAIN!E631))), " ", ""), lookup_values!$E$2:$E$197, 0)), UPPER(SUBSTITUTE(LEFT(MAIN!E631, IFERROR(FIND(",", MAIN!E631)-1, LEN(MAIN!E631))), " ", "")), IF(ISNA(VLOOKUP(SUBSTITUTE(LEFT(MAIN!E631, IFERROR(FIND(",", MAIN!E631)-1, LEN(MAIN!E631))), " ", ""), lookup_values!$D$2:$E$197, 2, FALSE)), "--", VLOOKUP(SUBSTITUTE(LEFT(MAIN!E631, IFERROR(FIND(",", MAIN!E631)-1, LEN(MAIN!E631))), " ", ""), lookup_values!$D$2:$E$197, 2, FALSE)))))</f>
        <v>--</v>
      </c>
      <c r="F631" t="str">
        <f>IF(ISBLANK(MAIN!F631), "", IF(AND(ISNUMBER(VALUE(TRIM(MAIN!F631))), LEN(TRIM(MAIN!F631))=4), VALUE(TRIM(MAIN!F631)), ""))</f>
        <v/>
      </c>
      <c r="G631">
        <f>IF(ISBLANK(MAIN!G631), 0, IF(ISNUMBER(VALUE(TRIM(MAIN!G631))), VALUE(TRIM(MAIN!G631)), 0))</f>
        <v>0</v>
      </c>
      <c r="H631">
        <f>IF(ISBLANK(MAIN!H631), 0, IF(ISNUMBER(VALUE(TRIM(MAIN!H631))), VALUE(TRIM(MAIN!H631)), 0))</f>
        <v>0</v>
      </c>
      <c r="I631">
        <f>IF(ISBLANK(MAIN!I631), 0, IF(ISNUMBER(VALUE(TRIM(MAIN!I631))), VALUE(TRIM(MAIN!I631)), 0))</f>
        <v>0</v>
      </c>
      <c r="J631">
        <f>IF(ISBLANK(MAIN!J631), 0, IF(ISNUMBER(VALUE(TRIM(MAIN!J631))), VALUE(TRIM(MAIN!J631)), 0))</f>
        <v>0</v>
      </c>
      <c r="K631" cm="1">
        <f t="array" ref="K631">IFERROR(
    VALUE(
        IFERROR(
            UPPER(
                IF(MAX(IFERROR(SEARCH("WD",MAIN!G631:J631), 0))&gt;0, "WD",
                IF(MAX(IFERROR(SEARCH("NS",MAIN!G631:J631), 0))&gt;0, "NS",
                IF(MAX(IFERROR(SEARCH("NC",MAIN!G631:J631), 0))&gt;0, "NC",
                IF(MAX(IFERROR(SEARCH("DQ",MAIN!G631:J631), 0))&gt;0, "DQ",
                IF(ISNUMBER(SEARCH("WD",MAIN!K631)), "WD",
                IF(ISNUMBER(SEARCH("NS",MAIN!K631)), "NS",
                IF(ISNUMBER(SEARCH("NC",MAIN!K631)), "NC",
                IF(ISNUMBER(SEARCH("DQ",MAIN!K631)), "DQ",
                IF(ISNUMBER(SEARCH("A",MAIN!K631)), 0,
                IF(OR(MAIN!K631=0,MAIN!K631=""), 0, --TRIM(MAIN!K631)))))))))))),
            0
        )
    ),
    IFERROR(
        UPPER(
            IF(MAX(IFERROR(SEARCH("WD",MAIN!G631:J631), 0))&gt;0, "WD",
            IF(MAX(IFERROR(SEARCH("NS",MAIN!G631:J631), 0))&gt;0, "NS",
            IF(MAX(IFERROR(SEARCH("NC",MAIN!G631:J631), 0))&gt;0, "NC",
            IF(MAX(IFERROR(SEARCH("DQ",MAIN!G631:J631), 0))&gt;0, "DQ",
            IF(ISNUMBER(SEARCH("WD",MAIN!K631)), "WD",
            IF(ISNUMBER(SEARCH("NS",MAIN!K631)), "NS",
            IF(ISNUMBER(SEARCH("NC",MAIN!K631)), "NC",
            IF(ISNUMBER(SEARCH("DQ",MAIN!K631)), "DQ",
            IF(ISNUMBER(SEARCH("A",MAIN!K631)), 0,
            IF(OR(MAIN!K631=0,MAIN!K631=""), 0, --TRIM(MAIN!K631)))))))))))),
        0
    )
)</f>
        <v>0</v>
      </c>
    </row>
    <row r="632" spans="1:11" x14ac:dyDescent="0.25">
      <c r="A632" t="str">
        <f>IF(ISBLANK(MAIN!A632), "--", IFERROR(PROPER(SUBSTITUTE(SUBSTITUTE(SUBSTITUTE(SUBSTITUTE(SUBSTITUTE(SUBSTITUTE(SUBSTITUTE(SUBSTITUTE(SUBSTITUTE(SUBSTITUTE(LEFT(MAIN!A632, FIND(",",MAIN!A632) -1), "0", ""), "1", ""), "2", ""), "3", ""), "4", ""), "5", ""), "6", ""), "7", ""), "8", ""), "9", "")), PROPER(SUBSTITUTE(SUBSTITUTE(SUBSTITUTE(SUBSTITUTE(SUBSTITUTE(SUBSTITUTE(SUBSTITUTE(SUBSTITUTE(SUBSTITUTE(SUBSTITUTE(MAIN!A632, "0", ""), "1", ""), "2", ""), "3", ""), "4", ""), "5", ""), "6", ""), "7", ""), "8", ""), "9", ""))))</f>
        <v>--</v>
      </c>
      <c r="B632" t="str">
        <f>IF(ISBLANK(MAIN!B632), "--", IFERROR(PROPER(SUBSTITUTE(SUBSTITUTE(SUBSTITUTE(SUBSTITUTE(SUBSTITUTE(SUBSTITUTE(SUBSTITUTE(SUBSTITUTE(SUBSTITUTE(SUBSTITUTE(LEFT(MAIN!B632, FIND(",",MAIN!B632) -1), "0", ""), "1", ""), "2", ""), "3", ""), "4", ""), "5", ""), "6", ""), "7", ""), "8", ""), "9", "")), PROPER(SUBSTITUTE(SUBSTITUTE(SUBSTITUTE(SUBSTITUTE(SUBSTITUTE(SUBSTITUTE(SUBSTITUTE(SUBSTITUTE(SUBSTITUTE(SUBSTITUTE(MAIN!B632, "0", ""), "1", ""), "2", ""), "3", ""), "4", ""), "5", ""), "6", ""), "7", ""), "8", ""), "9", ""))))</f>
        <v>--</v>
      </c>
      <c r="C632" t="str">
        <f>IF(ISBLANK(MAIN!C632), "--", IFERROR(PROPER(SUBSTITUTE(SUBSTITUTE(SUBSTITUTE(SUBSTITUTE(SUBSTITUTE(SUBSTITUTE(SUBSTITUTE(SUBSTITUTE(SUBSTITUTE(SUBSTITUTE(LEFT(MAIN!C632, FIND(",",MAIN!C632) -1), "0", ""), "1", ""), "2", ""), "3", ""), "4", ""), "5", ""), "6", ""), "7", ""), "8", ""), "9", "")), PROPER(SUBSTITUTE(SUBSTITUTE(SUBSTITUTE(SUBSTITUTE(SUBSTITUTE(SUBSTITUTE(SUBSTITUTE(SUBSTITUTE(SUBSTITUTE(SUBSTITUTE(MAIN!C632, "0", ""), "1", ""), "2", ""), "3", ""), "4", ""), "5", ""), "6", ""), "7", ""), "8", ""), "9", ""))))</f>
        <v>--</v>
      </c>
      <c r="D632" t="str">
        <f>IF(ISBLANK(MAIN!D632), "--", IF(ISNUMBER(MATCH(SUBSTITUTE(LEFT(MAIN!D632, IFERROR(FIND(",", MAIN!D632)-1, LEN(MAIN!D632))), " ", ""), lookup_values!$B$2:$B$51, 0)), UPPER(SUBSTITUTE(LEFT(MAIN!D632, IFERROR(FIND(",", MAIN!D632)-1, LEN(MAIN!D632))), " ", "")), IF(ISNA(VLOOKUP(SUBSTITUTE(LEFT(MAIN!D632, IFERROR(FIND(",", MAIN!D632)-1, LEN(MAIN!D632))), " ", ""), lookup_values!$A$2:$B$51, 2, FALSE)), "--", VLOOKUP(SUBSTITUTE(LEFT(MAIN!D632, IFERROR(FIND(",", MAIN!D632)-1, LEN(MAIN!D632))), " ", ""), lookup_values!$A$2:$B$51, 2, FALSE))))</f>
        <v>--</v>
      </c>
      <c r="E632" t="str">
        <f>IF(CLEAN_DATA!D632&lt;&gt;"--","US",IF(ISBLANK(MAIN!E632), "--", IF(ISNUMBER(MATCH(SUBSTITUTE(LEFT(MAIN!E632, IFERROR(FIND(",", MAIN!E632)-1, LEN(MAIN!E632))), " ", ""), lookup_values!$E$2:$E$197, 0)), UPPER(SUBSTITUTE(LEFT(MAIN!E632, IFERROR(FIND(",", MAIN!E632)-1, LEN(MAIN!E632))), " ", "")), IF(ISNA(VLOOKUP(SUBSTITUTE(LEFT(MAIN!E632, IFERROR(FIND(",", MAIN!E632)-1, LEN(MAIN!E632))), " ", ""), lookup_values!$D$2:$E$197, 2, FALSE)), "--", VLOOKUP(SUBSTITUTE(LEFT(MAIN!E632, IFERROR(FIND(",", MAIN!E632)-1, LEN(MAIN!E632))), " ", ""), lookup_values!$D$2:$E$197, 2, FALSE)))))</f>
        <v>--</v>
      </c>
      <c r="F632" t="str">
        <f>IF(ISBLANK(MAIN!F632), "", IF(AND(ISNUMBER(VALUE(TRIM(MAIN!F632))), LEN(TRIM(MAIN!F632))=4), VALUE(TRIM(MAIN!F632)), ""))</f>
        <v/>
      </c>
      <c r="G632">
        <f>IF(ISBLANK(MAIN!G632), 0, IF(ISNUMBER(VALUE(TRIM(MAIN!G632))), VALUE(TRIM(MAIN!G632)), 0))</f>
        <v>0</v>
      </c>
      <c r="H632">
        <f>IF(ISBLANK(MAIN!H632), 0, IF(ISNUMBER(VALUE(TRIM(MAIN!H632))), VALUE(TRIM(MAIN!H632)), 0))</f>
        <v>0</v>
      </c>
      <c r="I632">
        <f>IF(ISBLANK(MAIN!I632), 0, IF(ISNUMBER(VALUE(TRIM(MAIN!I632))), VALUE(TRIM(MAIN!I632)), 0))</f>
        <v>0</v>
      </c>
      <c r="J632">
        <f>IF(ISBLANK(MAIN!J632), 0, IF(ISNUMBER(VALUE(TRIM(MAIN!J632))), VALUE(TRIM(MAIN!J632)), 0))</f>
        <v>0</v>
      </c>
      <c r="K632" cm="1">
        <f t="array" ref="K632">IFERROR(
    VALUE(
        IFERROR(
            UPPER(
                IF(MAX(IFERROR(SEARCH("WD",MAIN!G632:J632), 0))&gt;0, "WD",
                IF(MAX(IFERROR(SEARCH("NS",MAIN!G632:J632), 0))&gt;0, "NS",
                IF(MAX(IFERROR(SEARCH("NC",MAIN!G632:J632), 0))&gt;0, "NC",
                IF(MAX(IFERROR(SEARCH("DQ",MAIN!G632:J632), 0))&gt;0, "DQ",
                IF(ISNUMBER(SEARCH("WD",MAIN!K632)), "WD",
                IF(ISNUMBER(SEARCH("NS",MAIN!K632)), "NS",
                IF(ISNUMBER(SEARCH("NC",MAIN!K632)), "NC",
                IF(ISNUMBER(SEARCH("DQ",MAIN!K632)), "DQ",
                IF(ISNUMBER(SEARCH("A",MAIN!K632)), 0,
                IF(OR(MAIN!K632=0,MAIN!K632=""), 0, --TRIM(MAIN!K632)))))))))))),
            0
        )
    ),
    IFERROR(
        UPPER(
            IF(MAX(IFERROR(SEARCH("WD",MAIN!G632:J632), 0))&gt;0, "WD",
            IF(MAX(IFERROR(SEARCH("NS",MAIN!G632:J632), 0))&gt;0, "NS",
            IF(MAX(IFERROR(SEARCH("NC",MAIN!G632:J632), 0))&gt;0, "NC",
            IF(MAX(IFERROR(SEARCH("DQ",MAIN!G632:J632), 0))&gt;0, "DQ",
            IF(ISNUMBER(SEARCH("WD",MAIN!K632)), "WD",
            IF(ISNUMBER(SEARCH("NS",MAIN!K632)), "NS",
            IF(ISNUMBER(SEARCH("NC",MAIN!K632)), "NC",
            IF(ISNUMBER(SEARCH("DQ",MAIN!K632)), "DQ",
            IF(ISNUMBER(SEARCH("A",MAIN!K632)), 0,
            IF(OR(MAIN!K632=0,MAIN!K632=""), 0, --TRIM(MAIN!K632)))))))))))),
        0
    )
)</f>
        <v>0</v>
      </c>
    </row>
    <row r="633" spans="1:11" x14ac:dyDescent="0.25">
      <c r="A633" t="str">
        <f>IF(ISBLANK(MAIN!A633), "--", IFERROR(PROPER(SUBSTITUTE(SUBSTITUTE(SUBSTITUTE(SUBSTITUTE(SUBSTITUTE(SUBSTITUTE(SUBSTITUTE(SUBSTITUTE(SUBSTITUTE(SUBSTITUTE(LEFT(MAIN!A633, FIND(",",MAIN!A633) -1), "0", ""), "1", ""), "2", ""), "3", ""), "4", ""), "5", ""), "6", ""), "7", ""), "8", ""), "9", "")), PROPER(SUBSTITUTE(SUBSTITUTE(SUBSTITUTE(SUBSTITUTE(SUBSTITUTE(SUBSTITUTE(SUBSTITUTE(SUBSTITUTE(SUBSTITUTE(SUBSTITUTE(MAIN!A633, "0", ""), "1", ""), "2", ""), "3", ""), "4", ""), "5", ""), "6", ""), "7", ""), "8", ""), "9", ""))))</f>
        <v>--</v>
      </c>
      <c r="B633" t="str">
        <f>IF(ISBLANK(MAIN!B633), "--", IFERROR(PROPER(SUBSTITUTE(SUBSTITUTE(SUBSTITUTE(SUBSTITUTE(SUBSTITUTE(SUBSTITUTE(SUBSTITUTE(SUBSTITUTE(SUBSTITUTE(SUBSTITUTE(LEFT(MAIN!B633, FIND(",",MAIN!B633) -1), "0", ""), "1", ""), "2", ""), "3", ""), "4", ""), "5", ""), "6", ""), "7", ""), "8", ""), "9", "")), PROPER(SUBSTITUTE(SUBSTITUTE(SUBSTITUTE(SUBSTITUTE(SUBSTITUTE(SUBSTITUTE(SUBSTITUTE(SUBSTITUTE(SUBSTITUTE(SUBSTITUTE(MAIN!B633, "0", ""), "1", ""), "2", ""), "3", ""), "4", ""), "5", ""), "6", ""), "7", ""), "8", ""), "9", ""))))</f>
        <v>--</v>
      </c>
      <c r="C633" t="str">
        <f>IF(ISBLANK(MAIN!C633), "--", IFERROR(PROPER(SUBSTITUTE(SUBSTITUTE(SUBSTITUTE(SUBSTITUTE(SUBSTITUTE(SUBSTITUTE(SUBSTITUTE(SUBSTITUTE(SUBSTITUTE(SUBSTITUTE(LEFT(MAIN!C633, FIND(",",MAIN!C633) -1), "0", ""), "1", ""), "2", ""), "3", ""), "4", ""), "5", ""), "6", ""), "7", ""), "8", ""), "9", "")), PROPER(SUBSTITUTE(SUBSTITUTE(SUBSTITUTE(SUBSTITUTE(SUBSTITUTE(SUBSTITUTE(SUBSTITUTE(SUBSTITUTE(SUBSTITUTE(SUBSTITUTE(MAIN!C633, "0", ""), "1", ""), "2", ""), "3", ""), "4", ""), "5", ""), "6", ""), "7", ""), "8", ""), "9", ""))))</f>
        <v>--</v>
      </c>
      <c r="D633" t="str">
        <f>IF(ISBLANK(MAIN!D633), "--", IF(ISNUMBER(MATCH(SUBSTITUTE(LEFT(MAIN!D633, IFERROR(FIND(",", MAIN!D633)-1, LEN(MAIN!D633))), " ", ""), lookup_values!$B$2:$B$51, 0)), UPPER(SUBSTITUTE(LEFT(MAIN!D633, IFERROR(FIND(",", MAIN!D633)-1, LEN(MAIN!D633))), " ", "")), IF(ISNA(VLOOKUP(SUBSTITUTE(LEFT(MAIN!D633, IFERROR(FIND(",", MAIN!D633)-1, LEN(MAIN!D633))), " ", ""), lookup_values!$A$2:$B$51, 2, FALSE)), "--", VLOOKUP(SUBSTITUTE(LEFT(MAIN!D633, IFERROR(FIND(",", MAIN!D633)-1, LEN(MAIN!D633))), " ", ""), lookup_values!$A$2:$B$51, 2, FALSE))))</f>
        <v>--</v>
      </c>
      <c r="E633" t="str">
        <f>IF(CLEAN_DATA!D633&lt;&gt;"--","US",IF(ISBLANK(MAIN!E633), "--", IF(ISNUMBER(MATCH(SUBSTITUTE(LEFT(MAIN!E633, IFERROR(FIND(",", MAIN!E633)-1, LEN(MAIN!E633))), " ", ""), lookup_values!$E$2:$E$197, 0)), UPPER(SUBSTITUTE(LEFT(MAIN!E633, IFERROR(FIND(",", MAIN!E633)-1, LEN(MAIN!E633))), " ", "")), IF(ISNA(VLOOKUP(SUBSTITUTE(LEFT(MAIN!E633, IFERROR(FIND(",", MAIN!E633)-1, LEN(MAIN!E633))), " ", ""), lookup_values!$D$2:$E$197, 2, FALSE)), "--", VLOOKUP(SUBSTITUTE(LEFT(MAIN!E633, IFERROR(FIND(",", MAIN!E633)-1, LEN(MAIN!E633))), " ", ""), lookup_values!$D$2:$E$197, 2, FALSE)))))</f>
        <v>--</v>
      </c>
      <c r="F633" t="str">
        <f>IF(ISBLANK(MAIN!F633), "", IF(AND(ISNUMBER(VALUE(TRIM(MAIN!F633))), LEN(TRIM(MAIN!F633))=4), VALUE(TRIM(MAIN!F633)), ""))</f>
        <v/>
      </c>
      <c r="G633">
        <f>IF(ISBLANK(MAIN!G633), 0, IF(ISNUMBER(VALUE(TRIM(MAIN!G633))), VALUE(TRIM(MAIN!G633)), 0))</f>
        <v>0</v>
      </c>
      <c r="H633">
        <f>IF(ISBLANK(MAIN!H633), 0, IF(ISNUMBER(VALUE(TRIM(MAIN!H633))), VALUE(TRIM(MAIN!H633)), 0))</f>
        <v>0</v>
      </c>
      <c r="I633">
        <f>IF(ISBLANK(MAIN!I633), 0, IF(ISNUMBER(VALUE(TRIM(MAIN!I633))), VALUE(TRIM(MAIN!I633)), 0))</f>
        <v>0</v>
      </c>
      <c r="J633">
        <f>IF(ISBLANK(MAIN!J633), 0, IF(ISNUMBER(VALUE(TRIM(MAIN!J633))), VALUE(TRIM(MAIN!J633)), 0))</f>
        <v>0</v>
      </c>
      <c r="K633" cm="1">
        <f t="array" ref="K633">IFERROR(
    VALUE(
        IFERROR(
            UPPER(
                IF(MAX(IFERROR(SEARCH("WD",MAIN!G633:J633), 0))&gt;0, "WD",
                IF(MAX(IFERROR(SEARCH("NS",MAIN!G633:J633), 0))&gt;0, "NS",
                IF(MAX(IFERROR(SEARCH("NC",MAIN!G633:J633), 0))&gt;0, "NC",
                IF(MAX(IFERROR(SEARCH("DQ",MAIN!G633:J633), 0))&gt;0, "DQ",
                IF(ISNUMBER(SEARCH("WD",MAIN!K633)), "WD",
                IF(ISNUMBER(SEARCH("NS",MAIN!K633)), "NS",
                IF(ISNUMBER(SEARCH("NC",MAIN!K633)), "NC",
                IF(ISNUMBER(SEARCH("DQ",MAIN!K633)), "DQ",
                IF(ISNUMBER(SEARCH("A",MAIN!K633)), 0,
                IF(OR(MAIN!K633=0,MAIN!K633=""), 0, --TRIM(MAIN!K633)))))))))))),
            0
        )
    ),
    IFERROR(
        UPPER(
            IF(MAX(IFERROR(SEARCH("WD",MAIN!G633:J633), 0))&gt;0, "WD",
            IF(MAX(IFERROR(SEARCH("NS",MAIN!G633:J633), 0))&gt;0, "NS",
            IF(MAX(IFERROR(SEARCH("NC",MAIN!G633:J633), 0))&gt;0, "NC",
            IF(MAX(IFERROR(SEARCH("DQ",MAIN!G633:J633), 0))&gt;0, "DQ",
            IF(ISNUMBER(SEARCH("WD",MAIN!K633)), "WD",
            IF(ISNUMBER(SEARCH("NS",MAIN!K633)), "NS",
            IF(ISNUMBER(SEARCH("NC",MAIN!K633)), "NC",
            IF(ISNUMBER(SEARCH("DQ",MAIN!K633)), "DQ",
            IF(ISNUMBER(SEARCH("A",MAIN!K633)), 0,
            IF(OR(MAIN!K633=0,MAIN!K633=""), 0, --TRIM(MAIN!K633)))))))))))),
        0
    )
)</f>
        <v>0</v>
      </c>
    </row>
    <row r="634" spans="1:11" x14ac:dyDescent="0.25">
      <c r="A634" t="str">
        <f>IF(ISBLANK(MAIN!A634), "--", IFERROR(PROPER(SUBSTITUTE(SUBSTITUTE(SUBSTITUTE(SUBSTITUTE(SUBSTITUTE(SUBSTITUTE(SUBSTITUTE(SUBSTITUTE(SUBSTITUTE(SUBSTITUTE(LEFT(MAIN!A634, FIND(",",MAIN!A634) -1), "0", ""), "1", ""), "2", ""), "3", ""), "4", ""), "5", ""), "6", ""), "7", ""), "8", ""), "9", "")), PROPER(SUBSTITUTE(SUBSTITUTE(SUBSTITUTE(SUBSTITUTE(SUBSTITUTE(SUBSTITUTE(SUBSTITUTE(SUBSTITUTE(SUBSTITUTE(SUBSTITUTE(MAIN!A634, "0", ""), "1", ""), "2", ""), "3", ""), "4", ""), "5", ""), "6", ""), "7", ""), "8", ""), "9", ""))))</f>
        <v>--</v>
      </c>
      <c r="B634" t="str">
        <f>IF(ISBLANK(MAIN!B634), "--", IFERROR(PROPER(SUBSTITUTE(SUBSTITUTE(SUBSTITUTE(SUBSTITUTE(SUBSTITUTE(SUBSTITUTE(SUBSTITUTE(SUBSTITUTE(SUBSTITUTE(SUBSTITUTE(LEFT(MAIN!B634, FIND(",",MAIN!B634) -1), "0", ""), "1", ""), "2", ""), "3", ""), "4", ""), "5", ""), "6", ""), "7", ""), "8", ""), "9", "")), PROPER(SUBSTITUTE(SUBSTITUTE(SUBSTITUTE(SUBSTITUTE(SUBSTITUTE(SUBSTITUTE(SUBSTITUTE(SUBSTITUTE(SUBSTITUTE(SUBSTITUTE(MAIN!B634, "0", ""), "1", ""), "2", ""), "3", ""), "4", ""), "5", ""), "6", ""), "7", ""), "8", ""), "9", ""))))</f>
        <v>--</v>
      </c>
      <c r="C634" t="str">
        <f>IF(ISBLANK(MAIN!C634), "--", IFERROR(PROPER(SUBSTITUTE(SUBSTITUTE(SUBSTITUTE(SUBSTITUTE(SUBSTITUTE(SUBSTITUTE(SUBSTITUTE(SUBSTITUTE(SUBSTITUTE(SUBSTITUTE(LEFT(MAIN!C634, FIND(",",MAIN!C634) -1), "0", ""), "1", ""), "2", ""), "3", ""), "4", ""), "5", ""), "6", ""), "7", ""), "8", ""), "9", "")), PROPER(SUBSTITUTE(SUBSTITUTE(SUBSTITUTE(SUBSTITUTE(SUBSTITUTE(SUBSTITUTE(SUBSTITUTE(SUBSTITUTE(SUBSTITUTE(SUBSTITUTE(MAIN!C634, "0", ""), "1", ""), "2", ""), "3", ""), "4", ""), "5", ""), "6", ""), "7", ""), "8", ""), "9", ""))))</f>
        <v>--</v>
      </c>
      <c r="D634" t="str">
        <f>IF(ISBLANK(MAIN!D634), "--", IF(ISNUMBER(MATCH(SUBSTITUTE(LEFT(MAIN!D634, IFERROR(FIND(",", MAIN!D634)-1, LEN(MAIN!D634))), " ", ""), lookup_values!$B$2:$B$51, 0)), UPPER(SUBSTITUTE(LEFT(MAIN!D634, IFERROR(FIND(",", MAIN!D634)-1, LEN(MAIN!D634))), " ", "")), IF(ISNA(VLOOKUP(SUBSTITUTE(LEFT(MAIN!D634, IFERROR(FIND(",", MAIN!D634)-1, LEN(MAIN!D634))), " ", ""), lookup_values!$A$2:$B$51, 2, FALSE)), "--", VLOOKUP(SUBSTITUTE(LEFT(MAIN!D634, IFERROR(FIND(",", MAIN!D634)-1, LEN(MAIN!D634))), " ", ""), lookup_values!$A$2:$B$51, 2, FALSE))))</f>
        <v>--</v>
      </c>
      <c r="E634" t="str">
        <f>IF(CLEAN_DATA!D634&lt;&gt;"--","US",IF(ISBLANK(MAIN!E634), "--", IF(ISNUMBER(MATCH(SUBSTITUTE(LEFT(MAIN!E634, IFERROR(FIND(",", MAIN!E634)-1, LEN(MAIN!E634))), " ", ""), lookup_values!$E$2:$E$197, 0)), UPPER(SUBSTITUTE(LEFT(MAIN!E634, IFERROR(FIND(",", MAIN!E634)-1, LEN(MAIN!E634))), " ", "")), IF(ISNA(VLOOKUP(SUBSTITUTE(LEFT(MAIN!E634, IFERROR(FIND(",", MAIN!E634)-1, LEN(MAIN!E634))), " ", ""), lookup_values!$D$2:$E$197, 2, FALSE)), "--", VLOOKUP(SUBSTITUTE(LEFT(MAIN!E634, IFERROR(FIND(",", MAIN!E634)-1, LEN(MAIN!E634))), " ", ""), lookup_values!$D$2:$E$197, 2, FALSE)))))</f>
        <v>--</v>
      </c>
      <c r="F634" t="str">
        <f>IF(ISBLANK(MAIN!F634), "", IF(AND(ISNUMBER(VALUE(TRIM(MAIN!F634))), LEN(TRIM(MAIN!F634))=4), VALUE(TRIM(MAIN!F634)), ""))</f>
        <v/>
      </c>
      <c r="G634">
        <f>IF(ISBLANK(MAIN!G634), 0, IF(ISNUMBER(VALUE(TRIM(MAIN!G634))), VALUE(TRIM(MAIN!G634)), 0))</f>
        <v>0</v>
      </c>
      <c r="H634">
        <f>IF(ISBLANK(MAIN!H634), 0, IF(ISNUMBER(VALUE(TRIM(MAIN!H634))), VALUE(TRIM(MAIN!H634)), 0))</f>
        <v>0</v>
      </c>
      <c r="I634">
        <f>IF(ISBLANK(MAIN!I634), 0, IF(ISNUMBER(VALUE(TRIM(MAIN!I634))), VALUE(TRIM(MAIN!I634)), 0))</f>
        <v>0</v>
      </c>
      <c r="J634">
        <f>IF(ISBLANK(MAIN!J634), 0, IF(ISNUMBER(VALUE(TRIM(MAIN!J634))), VALUE(TRIM(MAIN!J634)), 0))</f>
        <v>0</v>
      </c>
      <c r="K634" cm="1">
        <f t="array" ref="K634">IFERROR(
    VALUE(
        IFERROR(
            UPPER(
                IF(MAX(IFERROR(SEARCH("WD",MAIN!G634:J634), 0))&gt;0, "WD",
                IF(MAX(IFERROR(SEARCH("NS",MAIN!G634:J634), 0))&gt;0, "NS",
                IF(MAX(IFERROR(SEARCH("NC",MAIN!G634:J634), 0))&gt;0, "NC",
                IF(MAX(IFERROR(SEARCH("DQ",MAIN!G634:J634), 0))&gt;0, "DQ",
                IF(ISNUMBER(SEARCH("WD",MAIN!K634)), "WD",
                IF(ISNUMBER(SEARCH("NS",MAIN!K634)), "NS",
                IF(ISNUMBER(SEARCH("NC",MAIN!K634)), "NC",
                IF(ISNUMBER(SEARCH("DQ",MAIN!K634)), "DQ",
                IF(ISNUMBER(SEARCH("A",MAIN!K634)), 0,
                IF(OR(MAIN!K634=0,MAIN!K634=""), 0, --TRIM(MAIN!K634)))))))))))),
            0
        )
    ),
    IFERROR(
        UPPER(
            IF(MAX(IFERROR(SEARCH("WD",MAIN!G634:J634), 0))&gt;0, "WD",
            IF(MAX(IFERROR(SEARCH("NS",MAIN!G634:J634), 0))&gt;0, "NS",
            IF(MAX(IFERROR(SEARCH("NC",MAIN!G634:J634), 0))&gt;0, "NC",
            IF(MAX(IFERROR(SEARCH("DQ",MAIN!G634:J634), 0))&gt;0, "DQ",
            IF(ISNUMBER(SEARCH("WD",MAIN!K634)), "WD",
            IF(ISNUMBER(SEARCH("NS",MAIN!K634)), "NS",
            IF(ISNUMBER(SEARCH("NC",MAIN!K634)), "NC",
            IF(ISNUMBER(SEARCH("DQ",MAIN!K634)), "DQ",
            IF(ISNUMBER(SEARCH("A",MAIN!K634)), 0,
            IF(OR(MAIN!K634=0,MAIN!K634=""), 0, --TRIM(MAIN!K634)))))))))))),
        0
    )
)</f>
        <v>0</v>
      </c>
    </row>
    <row r="635" spans="1:11" x14ac:dyDescent="0.25">
      <c r="A635" t="str">
        <f>IF(ISBLANK(MAIN!A635), "--", IFERROR(PROPER(SUBSTITUTE(SUBSTITUTE(SUBSTITUTE(SUBSTITUTE(SUBSTITUTE(SUBSTITUTE(SUBSTITUTE(SUBSTITUTE(SUBSTITUTE(SUBSTITUTE(LEFT(MAIN!A635, FIND(",",MAIN!A635) -1), "0", ""), "1", ""), "2", ""), "3", ""), "4", ""), "5", ""), "6", ""), "7", ""), "8", ""), "9", "")), PROPER(SUBSTITUTE(SUBSTITUTE(SUBSTITUTE(SUBSTITUTE(SUBSTITUTE(SUBSTITUTE(SUBSTITUTE(SUBSTITUTE(SUBSTITUTE(SUBSTITUTE(MAIN!A635, "0", ""), "1", ""), "2", ""), "3", ""), "4", ""), "5", ""), "6", ""), "7", ""), "8", ""), "9", ""))))</f>
        <v>--</v>
      </c>
      <c r="B635" t="str">
        <f>IF(ISBLANK(MAIN!B635), "--", IFERROR(PROPER(SUBSTITUTE(SUBSTITUTE(SUBSTITUTE(SUBSTITUTE(SUBSTITUTE(SUBSTITUTE(SUBSTITUTE(SUBSTITUTE(SUBSTITUTE(SUBSTITUTE(LEFT(MAIN!B635, FIND(",",MAIN!B635) -1), "0", ""), "1", ""), "2", ""), "3", ""), "4", ""), "5", ""), "6", ""), "7", ""), "8", ""), "9", "")), PROPER(SUBSTITUTE(SUBSTITUTE(SUBSTITUTE(SUBSTITUTE(SUBSTITUTE(SUBSTITUTE(SUBSTITUTE(SUBSTITUTE(SUBSTITUTE(SUBSTITUTE(MAIN!B635, "0", ""), "1", ""), "2", ""), "3", ""), "4", ""), "5", ""), "6", ""), "7", ""), "8", ""), "9", ""))))</f>
        <v>--</v>
      </c>
      <c r="C635" t="str">
        <f>IF(ISBLANK(MAIN!C635), "--", IFERROR(PROPER(SUBSTITUTE(SUBSTITUTE(SUBSTITUTE(SUBSTITUTE(SUBSTITUTE(SUBSTITUTE(SUBSTITUTE(SUBSTITUTE(SUBSTITUTE(SUBSTITUTE(LEFT(MAIN!C635, FIND(",",MAIN!C635) -1), "0", ""), "1", ""), "2", ""), "3", ""), "4", ""), "5", ""), "6", ""), "7", ""), "8", ""), "9", "")), PROPER(SUBSTITUTE(SUBSTITUTE(SUBSTITUTE(SUBSTITUTE(SUBSTITUTE(SUBSTITUTE(SUBSTITUTE(SUBSTITUTE(SUBSTITUTE(SUBSTITUTE(MAIN!C635, "0", ""), "1", ""), "2", ""), "3", ""), "4", ""), "5", ""), "6", ""), "7", ""), "8", ""), "9", ""))))</f>
        <v>--</v>
      </c>
      <c r="D635" t="str">
        <f>IF(ISBLANK(MAIN!D635), "--", IF(ISNUMBER(MATCH(SUBSTITUTE(LEFT(MAIN!D635, IFERROR(FIND(",", MAIN!D635)-1, LEN(MAIN!D635))), " ", ""), lookup_values!$B$2:$B$51, 0)), UPPER(SUBSTITUTE(LEFT(MAIN!D635, IFERROR(FIND(",", MAIN!D635)-1, LEN(MAIN!D635))), " ", "")), IF(ISNA(VLOOKUP(SUBSTITUTE(LEFT(MAIN!D635, IFERROR(FIND(",", MAIN!D635)-1, LEN(MAIN!D635))), " ", ""), lookup_values!$A$2:$B$51, 2, FALSE)), "--", VLOOKUP(SUBSTITUTE(LEFT(MAIN!D635, IFERROR(FIND(",", MAIN!D635)-1, LEN(MAIN!D635))), " ", ""), lookup_values!$A$2:$B$51, 2, FALSE))))</f>
        <v>--</v>
      </c>
      <c r="E635" t="str">
        <f>IF(CLEAN_DATA!D635&lt;&gt;"--","US",IF(ISBLANK(MAIN!E635), "--", IF(ISNUMBER(MATCH(SUBSTITUTE(LEFT(MAIN!E635, IFERROR(FIND(",", MAIN!E635)-1, LEN(MAIN!E635))), " ", ""), lookup_values!$E$2:$E$197, 0)), UPPER(SUBSTITUTE(LEFT(MAIN!E635, IFERROR(FIND(",", MAIN!E635)-1, LEN(MAIN!E635))), " ", "")), IF(ISNA(VLOOKUP(SUBSTITUTE(LEFT(MAIN!E635, IFERROR(FIND(",", MAIN!E635)-1, LEN(MAIN!E635))), " ", ""), lookup_values!$D$2:$E$197, 2, FALSE)), "--", VLOOKUP(SUBSTITUTE(LEFT(MAIN!E635, IFERROR(FIND(",", MAIN!E635)-1, LEN(MAIN!E635))), " ", ""), lookup_values!$D$2:$E$197, 2, FALSE)))))</f>
        <v>--</v>
      </c>
      <c r="F635" t="str">
        <f>IF(ISBLANK(MAIN!F635), "", IF(AND(ISNUMBER(VALUE(TRIM(MAIN!F635))), LEN(TRIM(MAIN!F635))=4), VALUE(TRIM(MAIN!F635)), ""))</f>
        <v/>
      </c>
      <c r="G635">
        <f>IF(ISBLANK(MAIN!G635), 0, IF(ISNUMBER(VALUE(TRIM(MAIN!G635))), VALUE(TRIM(MAIN!G635)), 0))</f>
        <v>0</v>
      </c>
      <c r="H635">
        <f>IF(ISBLANK(MAIN!H635), 0, IF(ISNUMBER(VALUE(TRIM(MAIN!H635))), VALUE(TRIM(MAIN!H635)), 0))</f>
        <v>0</v>
      </c>
      <c r="I635">
        <f>IF(ISBLANK(MAIN!I635), 0, IF(ISNUMBER(VALUE(TRIM(MAIN!I635))), VALUE(TRIM(MAIN!I635)), 0))</f>
        <v>0</v>
      </c>
      <c r="J635">
        <f>IF(ISBLANK(MAIN!J635), 0, IF(ISNUMBER(VALUE(TRIM(MAIN!J635))), VALUE(TRIM(MAIN!J635)), 0))</f>
        <v>0</v>
      </c>
      <c r="K635" cm="1">
        <f t="array" ref="K635">IFERROR(
    VALUE(
        IFERROR(
            UPPER(
                IF(MAX(IFERROR(SEARCH("WD",MAIN!G635:J635), 0))&gt;0, "WD",
                IF(MAX(IFERROR(SEARCH("NS",MAIN!G635:J635), 0))&gt;0, "NS",
                IF(MAX(IFERROR(SEARCH("NC",MAIN!G635:J635), 0))&gt;0, "NC",
                IF(MAX(IFERROR(SEARCH("DQ",MAIN!G635:J635), 0))&gt;0, "DQ",
                IF(ISNUMBER(SEARCH("WD",MAIN!K635)), "WD",
                IF(ISNUMBER(SEARCH("NS",MAIN!K635)), "NS",
                IF(ISNUMBER(SEARCH("NC",MAIN!K635)), "NC",
                IF(ISNUMBER(SEARCH("DQ",MAIN!K635)), "DQ",
                IF(ISNUMBER(SEARCH("A",MAIN!K635)), 0,
                IF(OR(MAIN!K635=0,MAIN!K635=""), 0, --TRIM(MAIN!K635)))))))))))),
            0
        )
    ),
    IFERROR(
        UPPER(
            IF(MAX(IFERROR(SEARCH("WD",MAIN!G635:J635), 0))&gt;0, "WD",
            IF(MAX(IFERROR(SEARCH("NS",MAIN!G635:J635), 0))&gt;0, "NS",
            IF(MAX(IFERROR(SEARCH("NC",MAIN!G635:J635), 0))&gt;0, "NC",
            IF(MAX(IFERROR(SEARCH("DQ",MAIN!G635:J635), 0))&gt;0, "DQ",
            IF(ISNUMBER(SEARCH("WD",MAIN!K635)), "WD",
            IF(ISNUMBER(SEARCH("NS",MAIN!K635)), "NS",
            IF(ISNUMBER(SEARCH("NC",MAIN!K635)), "NC",
            IF(ISNUMBER(SEARCH("DQ",MAIN!K635)), "DQ",
            IF(ISNUMBER(SEARCH("A",MAIN!K635)), 0,
            IF(OR(MAIN!K635=0,MAIN!K635=""), 0, --TRIM(MAIN!K635)))))))))))),
        0
    )
)</f>
        <v>0</v>
      </c>
    </row>
    <row r="636" spans="1:11" x14ac:dyDescent="0.25">
      <c r="A636" t="str">
        <f>IF(ISBLANK(MAIN!A636), "--", IFERROR(PROPER(SUBSTITUTE(SUBSTITUTE(SUBSTITUTE(SUBSTITUTE(SUBSTITUTE(SUBSTITUTE(SUBSTITUTE(SUBSTITUTE(SUBSTITUTE(SUBSTITUTE(LEFT(MAIN!A636, FIND(",",MAIN!A636) -1), "0", ""), "1", ""), "2", ""), "3", ""), "4", ""), "5", ""), "6", ""), "7", ""), "8", ""), "9", "")), PROPER(SUBSTITUTE(SUBSTITUTE(SUBSTITUTE(SUBSTITUTE(SUBSTITUTE(SUBSTITUTE(SUBSTITUTE(SUBSTITUTE(SUBSTITUTE(SUBSTITUTE(MAIN!A636, "0", ""), "1", ""), "2", ""), "3", ""), "4", ""), "5", ""), "6", ""), "7", ""), "8", ""), "9", ""))))</f>
        <v>--</v>
      </c>
      <c r="B636" t="str">
        <f>IF(ISBLANK(MAIN!B636), "--", IFERROR(PROPER(SUBSTITUTE(SUBSTITUTE(SUBSTITUTE(SUBSTITUTE(SUBSTITUTE(SUBSTITUTE(SUBSTITUTE(SUBSTITUTE(SUBSTITUTE(SUBSTITUTE(LEFT(MAIN!B636, FIND(",",MAIN!B636) -1), "0", ""), "1", ""), "2", ""), "3", ""), "4", ""), "5", ""), "6", ""), "7", ""), "8", ""), "9", "")), PROPER(SUBSTITUTE(SUBSTITUTE(SUBSTITUTE(SUBSTITUTE(SUBSTITUTE(SUBSTITUTE(SUBSTITUTE(SUBSTITUTE(SUBSTITUTE(SUBSTITUTE(MAIN!B636, "0", ""), "1", ""), "2", ""), "3", ""), "4", ""), "5", ""), "6", ""), "7", ""), "8", ""), "9", ""))))</f>
        <v>--</v>
      </c>
      <c r="C636" t="str">
        <f>IF(ISBLANK(MAIN!C636), "--", IFERROR(PROPER(SUBSTITUTE(SUBSTITUTE(SUBSTITUTE(SUBSTITUTE(SUBSTITUTE(SUBSTITUTE(SUBSTITUTE(SUBSTITUTE(SUBSTITUTE(SUBSTITUTE(LEFT(MAIN!C636, FIND(",",MAIN!C636) -1), "0", ""), "1", ""), "2", ""), "3", ""), "4", ""), "5", ""), "6", ""), "7", ""), "8", ""), "9", "")), PROPER(SUBSTITUTE(SUBSTITUTE(SUBSTITUTE(SUBSTITUTE(SUBSTITUTE(SUBSTITUTE(SUBSTITUTE(SUBSTITUTE(SUBSTITUTE(SUBSTITUTE(MAIN!C636, "0", ""), "1", ""), "2", ""), "3", ""), "4", ""), "5", ""), "6", ""), "7", ""), "8", ""), "9", ""))))</f>
        <v>--</v>
      </c>
      <c r="D636" t="str">
        <f>IF(ISBLANK(MAIN!D636), "--", IF(ISNUMBER(MATCH(SUBSTITUTE(LEFT(MAIN!D636, IFERROR(FIND(",", MAIN!D636)-1, LEN(MAIN!D636))), " ", ""), lookup_values!$B$2:$B$51, 0)), UPPER(SUBSTITUTE(LEFT(MAIN!D636, IFERROR(FIND(",", MAIN!D636)-1, LEN(MAIN!D636))), " ", "")), IF(ISNA(VLOOKUP(SUBSTITUTE(LEFT(MAIN!D636, IFERROR(FIND(",", MAIN!D636)-1, LEN(MAIN!D636))), " ", ""), lookup_values!$A$2:$B$51, 2, FALSE)), "--", VLOOKUP(SUBSTITUTE(LEFT(MAIN!D636, IFERROR(FIND(",", MAIN!D636)-1, LEN(MAIN!D636))), " ", ""), lookup_values!$A$2:$B$51, 2, FALSE))))</f>
        <v>--</v>
      </c>
      <c r="E636" t="str">
        <f>IF(CLEAN_DATA!D636&lt;&gt;"--","US",IF(ISBLANK(MAIN!E636), "--", IF(ISNUMBER(MATCH(SUBSTITUTE(LEFT(MAIN!E636, IFERROR(FIND(",", MAIN!E636)-1, LEN(MAIN!E636))), " ", ""), lookup_values!$E$2:$E$197, 0)), UPPER(SUBSTITUTE(LEFT(MAIN!E636, IFERROR(FIND(",", MAIN!E636)-1, LEN(MAIN!E636))), " ", "")), IF(ISNA(VLOOKUP(SUBSTITUTE(LEFT(MAIN!E636, IFERROR(FIND(",", MAIN!E636)-1, LEN(MAIN!E636))), " ", ""), lookup_values!$D$2:$E$197, 2, FALSE)), "--", VLOOKUP(SUBSTITUTE(LEFT(MAIN!E636, IFERROR(FIND(",", MAIN!E636)-1, LEN(MAIN!E636))), " ", ""), lookup_values!$D$2:$E$197, 2, FALSE)))))</f>
        <v>--</v>
      </c>
      <c r="F636" t="str">
        <f>IF(ISBLANK(MAIN!F636), "", IF(AND(ISNUMBER(VALUE(TRIM(MAIN!F636))), LEN(TRIM(MAIN!F636))=4), VALUE(TRIM(MAIN!F636)), ""))</f>
        <v/>
      </c>
      <c r="G636">
        <f>IF(ISBLANK(MAIN!G636), 0, IF(ISNUMBER(VALUE(TRIM(MAIN!G636))), VALUE(TRIM(MAIN!G636)), 0))</f>
        <v>0</v>
      </c>
      <c r="H636">
        <f>IF(ISBLANK(MAIN!H636), 0, IF(ISNUMBER(VALUE(TRIM(MAIN!H636))), VALUE(TRIM(MAIN!H636)), 0))</f>
        <v>0</v>
      </c>
      <c r="I636">
        <f>IF(ISBLANK(MAIN!I636), 0, IF(ISNUMBER(VALUE(TRIM(MAIN!I636))), VALUE(TRIM(MAIN!I636)), 0))</f>
        <v>0</v>
      </c>
      <c r="J636">
        <f>IF(ISBLANK(MAIN!J636), 0, IF(ISNUMBER(VALUE(TRIM(MAIN!J636))), VALUE(TRIM(MAIN!J636)), 0))</f>
        <v>0</v>
      </c>
      <c r="K636" cm="1">
        <f t="array" ref="K636">IFERROR(
    VALUE(
        IFERROR(
            UPPER(
                IF(MAX(IFERROR(SEARCH("WD",MAIN!G636:J636), 0))&gt;0, "WD",
                IF(MAX(IFERROR(SEARCH("NS",MAIN!G636:J636), 0))&gt;0, "NS",
                IF(MAX(IFERROR(SEARCH("NC",MAIN!G636:J636), 0))&gt;0, "NC",
                IF(MAX(IFERROR(SEARCH("DQ",MAIN!G636:J636), 0))&gt;0, "DQ",
                IF(ISNUMBER(SEARCH("WD",MAIN!K636)), "WD",
                IF(ISNUMBER(SEARCH("NS",MAIN!K636)), "NS",
                IF(ISNUMBER(SEARCH("NC",MAIN!K636)), "NC",
                IF(ISNUMBER(SEARCH("DQ",MAIN!K636)), "DQ",
                IF(ISNUMBER(SEARCH("A",MAIN!K636)), 0,
                IF(OR(MAIN!K636=0,MAIN!K636=""), 0, --TRIM(MAIN!K636)))))))))))),
            0
        )
    ),
    IFERROR(
        UPPER(
            IF(MAX(IFERROR(SEARCH("WD",MAIN!G636:J636), 0))&gt;0, "WD",
            IF(MAX(IFERROR(SEARCH("NS",MAIN!G636:J636), 0))&gt;0, "NS",
            IF(MAX(IFERROR(SEARCH("NC",MAIN!G636:J636), 0))&gt;0, "NC",
            IF(MAX(IFERROR(SEARCH("DQ",MAIN!G636:J636), 0))&gt;0, "DQ",
            IF(ISNUMBER(SEARCH("WD",MAIN!K636)), "WD",
            IF(ISNUMBER(SEARCH("NS",MAIN!K636)), "NS",
            IF(ISNUMBER(SEARCH("NC",MAIN!K636)), "NC",
            IF(ISNUMBER(SEARCH("DQ",MAIN!K636)), "DQ",
            IF(ISNUMBER(SEARCH("A",MAIN!K636)), 0,
            IF(OR(MAIN!K636=0,MAIN!K636=""), 0, --TRIM(MAIN!K636)))))))))))),
        0
    )
)</f>
        <v>0</v>
      </c>
    </row>
    <row r="637" spans="1:11" x14ac:dyDescent="0.25">
      <c r="A637" t="str">
        <f>IF(ISBLANK(MAIN!A637), "--", IFERROR(PROPER(SUBSTITUTE(SUBSTITUTE(SUBSTITUTE(SUBSTITUTE(SUBSTITUTE(SUBSTITUTE(SUBSTITUTE(SUBSTITUTE(SUBSTITUTE(SUBSTITUTE(LEFT(MAIN!A637, FIND(",",MAIN!A637) -1), "0", ""), "1", ""), "2", ""), "3", ""), "4", ""), "5", ""), "6", ""), "7", ""), "8", ""), "9", "")), PROPER(SUBSTITUTE(SUBSTITUTE(SUBSTITUTE(SUBSTITUTE(SUBSTITUTE(SUBSTITUTE(SUBSTITUTE(SUBSTITUTE(SUBSTITUTE(SUBSTITUTE(MAIN!A637, "0", ""), "1", ""), "2", ""), "3", ""), "4", ""), "5", ""), "6", ""), "7", ""), "8", ""), "9", ""))))</f>
        <v>--</v>
      </c>
      <c r="B637" t="str">
        <f>IF(ISBLANK(MAIN!B637), "--", IFERROR(PROPER(SUBSTITUTE(SUBSTITUTE(SUBSTITUTE(SUBSTITUTE(SUBSTITUTE(SUBSTITUTE(SUBSTITUTE(SUBSTITUTE(SUBSTITUTE(SUBSTITUTE(LEFT(MAIN!B637, FIND(",",MAIN!B637) -1), "0", ""), "1", ""), "2", ""), "3", ""), "4", ""), "5", ""), "6", ""), "7", ""), "8", ""), "9", "")), PROPER(SUBSTITUTE(SUBSTITUTE(SUBSTITUTE(SUBSTITUTE(SUBSTITUTE(SUBSTITUTE(SUBSTITUTE(SUBSTITUTE(SUBSTITUTE(SUBSTITUTE(MAIN!B637, "0", ""), "1", ""), "2", ""), "3", ""), "4", ""), "5", ""), "6", ""), "7", ""), "8", ""), "9", ""))))</f>
        <v>--</v>
      </c>
      <c r="C637" t="str">
        <f>IF(ISBLANK(MAIN!C637), "--", IFERROR(PROPER(SUBSTITUTE(SUBSTITUTE(SUBSTITUTE(SUBSTITUTE(SUBSTITUTE(SUBSTITUTE(SUBSTITUTE(SUBSTITUTE(SUBSTITUTE(SUBSTITUTE(LEFT(MAIN!C637, FIND(",",MAIN!C637) -1), "0", ""), "1", ""), "2", ""), "3", ""), "4", ""), "5", ""), "6", ""), "7", ""), "8", ""), "9", "")), PROPER(SUBSTITUTE(SUBSTITUTE(SUBSTITUTE(SUBSTITUTE(SUBSTITUTE(SUBSTITUTE(SUBSTITUTE(SUBSTITUTE(SUBSTITUTE(SUBSTITUTE(MAIN!C637, "0", ""), "1", ""), "2", ""), "3", ""), "4", ""), "5", ""), "6", ""), "7", ""), "8", ""), "9", ""))))</f>
        <v>--</v>
      </c>
      <c r="D637" t="str">
        <f>IF(ISBLANK(MAIN!D637), "--", IF(ISNUMBER(MATCH(SUBSTITUTE(LEFT(MAIN!D637, IFERROR(FIND(",", MAIN!D637)-1, LEN(MAIN!D637))), " ", ""), lookup_values!$B$2:$B$51, 0)), UPPER(SUBSTITUTE(LEFT(MAIN!D637, IFERROR(FIND(",", MAIN!D637)-1, LEN(MAIN!D637))), " ", "")), IF(ISNA(VLOOKUP(SUBSTITUTE(LEFT(MAIN!D637, IFERROR(FIND(",", MAIN!D637)-1, LEN(MAIN!D637))), " ", ""), lookup_values!$A$2:$B$51, 2, FALSE)), "--", VLOOKUP(SUBSTITUTE(LEFT(MAIN!D637, IFERROR(FIND(",", MAIN!D637)-1, LEN(MAIN!D637))), " ", ""), lookup_values!$A$2:$B$51, 2, FALSE))))</f>
        <v>--</v>
      </c>
      <c r="E637" t="str">
        <f>IF(CLEAN_DATA!D637&lt;&gt;"--","US",IF(ISBLANK(MAIN!E637), "--", IF(ISNUMBER(MATCH(SUBSTITUTE(LEFT(MAIN!E637, IFERROR(FIND(",", MAIN!E637)-1, LEN(MAIN!E637))), " ", ""), lookup_values!$E$2:$E$197, 0)), UPPER(SUBSTITUTE(LEFT(MAIN!E637, IFERROR(FIND(",", MAIN!E637)-1, LEN(MAIN!E637))), " ", "")), IF(ISNA(VLOOKUP(SUBSTITUTE(LEFT(MAIN!E637, IFERROR(FIND(",", MAIN!E637)-1, LEN(MAIN!E637))), " ", ""), lookup_values!$D$2:$E$197, 2, FALSE)), "--", VLOOKUP(SUBSTITUTE(LEFT(MAIN!E637, IFERROR(FIND(",", MAIN!E637)-1, LEN(MAIN!E637))), " ", ""), lookup_values!$D$2:$E$197, 2, FALSE)))))</f>
        <v>--</v>
      </c>
      <c r="F637" t="str">
        <f>IF(ISBLANK(MAIN!F637), "", IF(AND(ISNUMBER(VALUE(TRIM(MAIN!F637))), LEN(TRIM(MAIN!F637))=4), VALUE(TRIM(MAIN!F637)), ""))</f>
        <v/>
      </c>
      <c r="G637">
        <f>IF(ISBLANK(MAIN!G637), 0, IF(ISNUMBER(VALUE(TRIM(MAIN!G637))), VALUE(TRIM(MAIN!G637)), 0))</f>
        <v>0</v>
      </c>
      <c r="H637">
        <f>IF(ISBLANK(MAIN!H637), 0, IF(ISNUMBER(VALUE(TRIM(MAIN!H637))), VALUE(TRIM(MAIN!H637)), 0))</f>
        <v>0</v>
      </c>
      <c r="I637">
        <f>IF(ISBLANK(MAIN!I637), 0, IF(ISNUMBER(VALUE(TRIM(MAIN!I637))), VALUE(TRIM(MAIN!I637)), 0))</f>
        <v>0</v>
      </c>
      <c r="J637">
        <f>IF(ISBLANK(MAIN!J637), 0, IF(ISNUMBER(VALUE(TRIM(MAIN!J637))), VALUE(TRIM(MAIN!J637)), 0))</f>
        <v>0</v>
      </c>
      <c r="K637" cm="1">
        <f t="array" ref="K637">IFERROR(
    VALUE(
        IFERROR(
            UPPER(
                IF(MAX(IFERROR(SEARCH("WD",MAIN!G637:J637), 0))&gt;0, "WD",
                IF(MAX(IFERROR(SEARCH("NS",MAIN!G637:J637), 0))&gt;0, "NS",
                IF(MAX(IFERROR(SEARCH("NC",MAIN!G637:J637), 0))&gt;0, "NC",
                IF(MAX(IFERROR(SEARCH("DQ",MAIN!G637:J637), 0))&gt;0, "DQ",
                IF(ISNUMBER(SEARCH("WD",MAIN!K637)), "WD",
                IF(ISNUMBER(SEARCH("NS",MAIN!K637)), "NS",
                IF(ISNUMBER(SEARCH("NC",MAIN!K637)), "NC",
                IF(ISNUMBER(SEARCH("DQ",MAIN!K637)), "DQ",
                IF(ISNUMBER(SEARCH("A",MAIN!K637)), 0,
                IF(OR(MAIN!K637=0,MAIN!K637=""), 0, --TRIM(MAIN!K637)))))))))))),
            0
        )
    ),
    IFERROR(
        UPPER(
            IF(MAX(IFERROR(SEARCH("WD",MAIN!G637:J637), 0))&gt;0, "WD",
            IF(MAX(IFERROR(SEARCH("NS",MAIN!G637:J637), 0))&gt;0, "NS",
            IF(MAX(IFERROR(SEARCH("NC",MAIN!G637:J637), 0))&gt;0, "NC",
            IF(MAX(IFERROR(SEARCH("DQ",MAIN!G637:J637), 0))&gt;0, "DQ",
            IF(ISNUMBER(SEARCH("WD",MAIN!K637)), "WD",
            IF(ISNUMBER(SEARCH("NS",MAIN!K637)), "NS",
            IF(ISNUMBER(SEARCH("NC",MAIN!K637)), "NC",
            IF(ISNUMBER(SEARCH("DQ",MAIN!K637)), "DQ",
            IF(ISNUMBER(SEARCH("A",MAIN!K637)), 0,
            IF(OR(MAIN!K637=0,MAIN!K637=""), 0, --TRIM(MAIN!K637)))))))))))),
        0
    )
)</f>
        <v>0</v>
      </c>
    </row>
    <row r="638" spans="1:11" x14ac:dyDescent="0.25">
      <c r="A638" t="str">
        <f>IF(ISBLANK(MAIN!A638), "--", IFERROR(PROPER(SUBSTITUTE(SUBSTITUTE(SUBSTITUTE(SUBSTITUTE(SUBSTITUTE(SUBSTITUTE(SUBSTITUTE(SUBSTITUTE(SUBSTITUTE(SUBSTITUTE(LEFT(MAIN!A638, FIND(",",MAIN!A638) -1), "0", ""), "1", ""), "2", ""), "3", ""), "4", ""), "5", ""), "6", ""), "7", ""), "8", ""), "9", "")), PROPER(SUBSTITUTE(SUBSTITUTE(SUBSTITUTE(SUBSTITUTE(SUBSTITUTE(SUBSTITUTE(SUBSTITUTE(SUBSTITUTE(SUBSTITUTE(SUBSTITUTE(MAIN!A638, "0", ""), "1", ""), "2", ""), "3", ""), "4", ""), "5", ""), "6", ""), "7", ""), "8", ""), "9", ""))))</f>
        <v>--</v>
      </c>
      <c r="B638" t="str">
        <f>IF(ISBLANK(MAIN!B638), "--", IFERROR(PROPER(SUBSTITUTE(SUBSTITUTE(SUBSTITUTE(SUBSTITUTE(SUBSTITUTE(SUBSTITUTE(SUBSTITUTE(SUBSTITUTE(SUBSTITUTE(SUBSTITUTE(LEFT(MAIN!B638, FIND(",",MAIN!B638) -1), "0", ""), "1", ""), "2", ""), "3", ""), "4", ""), "5", ""), "6", ""), "7", ""), "8", ""), "9", "")), PROPER(SUBSTITUTE(SUBSTITUTE(SUBSTITUTE(SUBSTITUTE(SUBSTITUTE(SUBSTITUTE(SUBSTITUTE(SUBSTITUTE(SUBSTITUTE(SUBSTITUTE(MAIN!B638, "0", ""), "1", ""), "2", ""), "3", ""), "4", ""), "5", ""), "6", ""), "7", ""), "8", ""), "9", ""))))</f>
        <v>--</v>
      </c>
      <c r="C638" t="str">
        <f>IF(ISBLANK(MAIN!C638), "--", IFERROR(PROPER(SUBSTITUTE(SUBSTITUTE(SUBSTITUTE(SUBSTITUTE(SUBSTITUTE(SUBSTITUTE(SUBSTITUTE(SUBSTITUTE(SUBSTITUTE(SUBSTITUTE(LEFT(MAIN!C638, FIND(",",MAIN!C638) -1), "0", ""), "1", ""), "2", ""), "3", ""), "4", ""), "5", ""), "6", ""), "7", ""), "8", ""), "9", "")), PROPER(SUBSTITUTE(SUBSTITUTE(SUBSTITUTE(SUBSTITUTE(SUBSTITUTE(SUBSTITUTE(SUBSTITUTE(SUBSTITUTE(SUBSTITUTE(SUBSTITUTE(MAIN!C638, "0", ""), "1", ""), "2", ""), "3", ""), "4", ""), "5", ""), "6", ""), "7", ""), "8", ""), "9", ""))))</f>
        <v>--</v>
      </c>
      <c r="D638" t="str">
        <f>IF(ISBLANK(MAIN!D638), "--", IF(ISNUMBER(MATCH(SUBSTITUTE(LEFT(MAIN!D638, IFERROR(FIND(",", MAIN!D638)-1, LEN(MAIN!D638))), " ", ""), lookup_values!$B$2:$B$51, 0)), UPPER(SUBSTITUTE(LEFT(MAIN!D638, IFERROR(FIND(",", MAIN!D638)-1, LEN(MAIN!D638))), " ", "")), IF(ISNA(VLOOKUP(SUBSTITUTE(LEFT(MAIN!D638, IFERROR(FIND(",", MAIN!D638)-1, LEN(MAIN!D638))), " ", ""), lookup_values!$A$2:$B$51, 2, FALSE)), "--", VLOOKUP(SUBSTITUTE(LEFT(MAIN!D638, IFERROR(FIND(",", MAIN!D638)-1, LEN(MAIN!D638))), " ", ""), lookup_values!$A$2:$B$51, 2, FALSE))))</f>
        <v>--</v>
      </c>
      <c r="E638" t="str">
        <f>IF(CLEAN_DATA!D638&lt;&gt;"--","US",IF(ISBLANK(MAIN!E638), "--", IF(ISNUMBER(MATCH(SUBSTITUTE(LEFT(MAIN!E638, IFERROR(FIND(",", MAIN!E638)-1, LEN(MAIN!E638))), " ", ""), lookup_values!$E$2:$E$197, 0)), UPPER(SUBSTITUTE(LEFT(MAIN!E638, IFERROR(FIND(",", MAIN!E638)-1, LEN(MAIN!E638))), " ", "")), IF(ISNA(VLOOKUP(SUBSTITUTE(LEFT(MAIN!E638, IFERROR(FIND(",", MAIN!E638)-1, LEN(MAIN!E638))), " ", ""), lookup_values!$D$2:$E$197, 2, FALSE)), "--", VLOOKUP(SUBSTITUTE(LEFT(MAIN!E638, IFERROR(FIND(",", MAIN!E638)-1, LEN(MAIN!E638))), " ", ""), lookup_values!$D$2:$E$197, 2, FALSE)))))</f>
        <v>--</v>
      </c>
      <c r="F638" t="str">
        <f>IF(ISBLANK(MAIN!F638), "", IF(AND(ISNUMBER(VALUE(TRIM(MAIN!F638))), LEN(TRIM(MAIN!F638))=4), VALUE(TRIM(MAIN!F638)), ""))</f>
        <v/>
      </c>
      <c r="G638">
        <f>IF(ISBLANK(MAIN!G638), 0, IF(ISNUMBER(VALUE(TRIM(MAIN!G638))), VALUE(TRIM(MAIN!G638)), 0))</f>
        <v>0</v>
      </c>
      <c r="H638">
        <f>IF(ISBLANK(MAIN!H638), 0, IF(ISNUMBER(VALUE(TRIM(MAIN!H638))), VALUE(TRIM(MAIN!H638)), 0))</f>
        <v>0</v>
      </c>
      <c r="I638">
        <f>IF(ISBLANK(MAIN!I638), 0, IF(ISNUMBER(VALUE(TRIM(MAIN!I638))), VALUE(TRIM(MAIN!I638)), 0))</f>
        <v>0</v>
      </c>
      <c r="J638">
        <f>IF(ISBLANK(MAIN!J638), 0, IF(ISNUMBER(VALUE(TRIM(MAIN!J638))), VALUE(TRIM(MAIN!J638)), 0))</f>
        <v>0</v>
      </c>
      <c r="K638" cm="1">
        <f t="array" ref="K638">IFERROR(
    VALUE(
        IFERROR(
            UPPER(
                IF(MAX(IFERROR(SEARCH("WD",MAIN!G638:J638), 0))&gt;0, "WD",
                IF(MAX(IFERROR(SEARCH("NS",MAIN!G638:J638), 0))&gt;0, "NS",
                IF(MAX(IFERROR(SEARCH("NC",MAIN!G638:J638), 0))&gt;0, "NC",
                IF(MAX(IFERROR(SEARCH("DQ",MAIN!G638:J638), 0))&gt;0, "DQ",
                IF(ISNUMBER(SEARCH("WD",MAIN!K638)), "WD",
                IF(ISNUMBER(SEARCH("NS",MAIN!K638)), "NS",
                IF(ISNUMBER(SEARCH("NC",MAIN!K638)), "NC",
                IF(ISNUMBER(SEARCH("DQ",MAIN!K638)), "DQ",
                IF(ISNUMBER(SEARCH("A",MAIN!K638)), 0,
                IF(OR(MAIN!K638=0,MAIN!K638=""), 0, --TRIM(MAIN!K638)))))))))))),
            0
        )
    ),
    IFERROR(
        UPPER(
            IF(MAX(IFERROR(SEARCH("WD",MAIN!G638:J638), 0))&gt;0, "WD",
            IF(MAX(IFERROR(SEARCH("NS",MAIN!G638:J638), 0))&gt;0, "NS",
            IF(MAX(IFERROR(SEARCH("NC",MAIN!G638:J638), 0))&gt;0, "NC",
            IF(MAX(IFERROR(SEARCH("DQ",MAIN!G638:J638), 0))&gt;0, "DQ",
            IF(ISNUMBER(SEARCH("WD",MAIN!K638)), "WD",
            IF(ISNUMBER(SEARCH("NS",MAIN!K638)), "NS",
            IF(ISNUMBER(SEARCH("NC",MAIN!K638)), "NC",
            IF(ISNUMBER(SEARCH("DQ",MAIN!K638)), "DQ",
            IF(ISNUMBER(SEARCH("A",MAIN!K638)), 0,
            IF(OR(MAIN!K638=0,MAIN!K638=""), 0, --TRIM(MAIN!K638)))))))))))),
        0
    )
)</f>
        <v>0</v>
      </c>
    </row>
    <row r="639" spans="1:11" x14ac:dyDescent="0.25">
      <c r="A639" t="str">
        <f>IF(ISBLANK(MAIN!A639), "--", IFERROR(PROPER(SUBSTITUTE(SUBSTITUTE(SUBSTITUTE(SUBSTITUTE(SUBSTITUTE(SUBSTITUTE(SUBSTITUTE(SUBSTITUTE(SUBSTITUTE(SUBSTITUTE(LEFT(MAIN!A639, FIND(",",MAIN!A639) -1), "0", ""), "1", ""), "2", ""), "3", ""), "4", ""), "5", ""), "6", ""), "7", ""), "8", ""), "9", "")), PROPER(SUBSTITUTE(SUBSTITUTE(SUBSTITUTE(SUBSTITUTE(SUBSTITUTE(SUBSTITUTE(SUBSTITUTE(SUBSTITUTE(SUBSTITUTE(SUBSTITUTE(MAIN!A639, "0", ""), "1", ""), "2", ""), "3", ""), "4", ""), "5", ""), "6", ""), "7", ""), "8", ""), "9", ""))))</f>
        <v>--</v>
      </c>
      <c r="B639" t="str">
        <f>IF(ISBLANK(MAIN!B639), "--", IFERROR(PROPER(SUBSTITUTE(SUBSTITUTE(SUBSTITUTE(SUBSTITUTE(SUBSTITUTE(SUBSTITUTE(SUBSTITUTE(SUBSTITUTE(SUBSTITUTE(SUBSTITUTE(LEFT(MAIN!B639, FIND(",",MAIN!B639) -1), "0", ""), "1", ""), "2", ""), "3", ""), "4", ""), "5", ""), "6", ""), "7", ""), "8", ""), "9", "")), PROPER(SUBSTITUTE(SUBSTITUTE(SUBSTITUTE(SUBSTITUTE(SUBSTITUTE(SUBSTITUTE(SUBSTITUTE(SUBSTITUTE(SUBSTITUTE(SUBSTITUTE(MAIN!B639, "0", ""), "1", ""), "2", ""), "3", ""), "4", ""), "5", ""), "6", ""), "7", ""), "8", ""), "9", ""))))</f>
        <v>--</v>
      </c>
      <c r="C639" t="str">
        <f>IF(ISBLANK(MAIN!C639), "--", IFERROR(PROPER(SUBSTITUTE(SUBSTITUTE(SUBSTITUTE(SUBSTITUTE(SUBSTITUTE(SUBSTITUTE(SUBSTITUTE(SUBSTITUTE(SUBSTITUTE(SUBSTITUTE(LEFT(MAIN!C639, FIND(",",MAIN!C639) -1), "0", ""), "1", ""), "2", ""), "3", ""), "4", ""), "5", ""), "6", ""), "7", ""), "8", ""), "9", "")), PROPER(SUBSTITUTE(SUBSTITUTE(SUBSTITUTE(SUBSTITUTE(SUBSTITUTE(SUBSTITUTE(SUBSTITUTE(SUBSTITUTE(SUBSTITUTE(SUBSTITUTE(MAIN!C639, "0", ""), "1", ""), "2", ""), "3", ""), "4", ""), "5", ""), "6", ""), "7", ""), "8", ""), "9", ""))))</f>
        <v>--</v>
      </c>
      <c r="D639" t="str">
        <f>IF(ISBLANK(MAIN!D639), "--", IF(ISNUMBER(MATCH(SUBSTITUTE(LEFT(MAIN!D639, IFERROR(FIND(",", MAIN!D639)-1, LEN(MAIN!D639))), " ", ""), lookup_values!$B$2:$B$51, 0)), UPPER(SUBSTITUTE(LEFT(MAIN!D639, IFERROR(FIND(",", MAIN!D639)-1, LEN(MAIN!D639))), " ", "")), IF(ISNA(VLOOKUP(SUBSTITUTE(LEFT(MAIN!D639, IFERROR(FIND(",", MAIN!D639)-1, LEN(MAIN!D639))), " ", ""), lookup_values!$A$2:$B$51, 2, FALSE)), "--", VLOOKUP(SUBSTITUTE(LEFT(MAIN!D639, IFERROR(FIND(",", MAIN!D639)-1, LEN(MAIN!D639))), " ", ""), lookup_values!$A$2:$B$51, 2, FALSE))))</f>
        <v>--</v>
      </c>
      <c r="E639" t="str">
        <f>IF(CLEAN_DATA!D639&lt;&gt;"--","US",IF(ISBLANK(MAIN!E639), "--", IF(ISNUMBER(MATCH(SUBSTITUTE(LEFT(MAIN!E639, IFERROR(FIND(",", MAIN!E639)-1, LEN(MAIN!E639))), " ", ""), lookup_values!$E$2:$E$197, 0)), UPPER(SUBSTITUTE(LEFT(MAIN!E639, IFERROR(FIND(",", MAIN!E639)-1, LEN(MAIN!E639))), " ", "")), IF(ISNA(VLOOKUP(SUBSTITUTE(LEFT(MAIN!E639, IFERROR(FIND(",", MAIN!E639)-1, LEN(MAIN!E639))), " ", ""), lookup_values!$D$2:$E$197, 2, FALSE)), "--", VLOOKUP(SUBSTITUTE(LEFT(MAIN!E639, IFERROR(FIND(",", MAIN!E639)-1, LEN(MAIN!E639))), " ", ""), lookup_values!$D$2:$E$197, 2, FALSE)))))</f>
        <v>--</v>
      </c>
      <c r="F639" t="str">
        <f>IF(ISBLANK(MAIN!F639), "", IF(AND(ISNUMBER(VALUE(TRIM(MAIN!F639))), LEN(TRIM(MAIN!F639))=4), VALUE(TRIM(MAIN!F639)), ""))</f>
        <v/>
      </c>
      <c r="G639">
        <f>IF(ISBLANK(MAIN!G639), 0, IF(ISNUMBER(VALUE(TRIM(MAIN!G639))), VALUE(TRIM(MAIN!G639)), 0))</f>
        <v>0</v>
      </c>
      <c r="H639">
        <f>IF(ISBLANK(MAIN!H639), 0, IF(ISNUMBER(VALUE(TRIM(MAIN!H639))), VALUE(TRIM(MAIN!H639)), 0))</f>
        <v>0</v>
      </c>
      <c r="I639">
        <f>IF(ISBLANK(MAIN!I639), 0, IF(ISNUMBER(VALUE(TRIM(MAIN!I639))), VALUE(TRIM(MAIN!I639)), 0))</f>
        <v>0</v>
      </c>
      <c r="J639">
        <f>IF(ISBLANK(MAIN!J639), 0, IF(ISNUMBER(VALUE(TRIM(MAIN!J639))), VALUE(TRIM(MAIN!J639)), 0))</f>
        <v>0</v>
      </c>
      <c r="K639" cm="1">
        <f t="array" ref="K639">IFERROR(
    VALUE(
        IFERROR(
            UPPER(
                IF(MAX(IFERROR(SEARCH("WD",MAIN!G639:J639), 0))&gt;0, "WD",
                IF(MAX(IFERROR(SEARCH("NS",MAIN!G639:J639), 0))&gt;0, "NS",
                IF(MAX(IFERROR(SEARCH("NC",MAIN!G639:J639), 0))&gt;0, "NC",
                IF(MAX(IFERROR(SEARCH("DQ",MAIN!G639:J639), 0))&gt;0, "DQ",
                IF(ISNUMBER(SEARCH("WD",MAIN!K639)), "WD",
                IF(ISNUMBER(SEARCH("NS",MAIN!K639)), "NS",
                IF(ISNUMBER(SEARCH("NC",MAIN!K639)), "NC",
                IF(ISNUMBER(SEARCH("DQ",MAIN!K639)), "DQ",
                IF(ISNUMBER(SEARCH("A",MAIN!K639)), 0,
                IF(OR(MAIN!K639=0,MAIN!K639=""), 0, --TRIM(MAIN!K639)))))))))))),
            0
        )
    ),
    IFERROR(
        UPPER(
            IF(MAX(IFERROR(SEARCH("WD",MAIN!G639:J639), 0))&gt;0, "WD",
            IF(MAX(IFERROR(SEARCH("NS",MAIN!G639:J639), 0))&gt;0, "NS",
            IF(MAX(IFERROR(SEARCH("NC",MAIN!G639:J639), 0))&gt;0, "NC",
            IF(MAX(IFERROR(SEARCH("DQ",MAIN!G639:J639), 0))&gt;0, "DQ",
            IF(ISNUMBER(SEARCH("WD",MAIN!K639)), "WD",
            IF(ISNUMBER(SEARCH("NS",MAIN!K639)), "NS",
            IF(ISNUMBER(SEARCH("NC",MAIN!K639)), "NC",
            IF(ISNUMBER(SEARCH("DQ",MAIN!K639)), "DQ",
            IF(ISNUMBER(SEARCH("A",MAIN!K639)), 0,
            IF(OR(MAIN!K639=0,MAIN!K639=""), 0, --TRIM(MAIN!K639)))))))))))),
        0
    )
)</f>
        <v>0</v>
      </c>
    </row>
    <row r="640" spans="1:11" x14ac:dyDescent="0.25">
      <c r="A640" t="str">
        <f>IF(ISBLANK(MAIN!A640), "--", IFERROR(PROPER(SUBSTITUTE(SUBSTITUTE(SUBSTITUTE(SUBSTITUTE(SUBSTITUTE(SUBSTITUTE(SUBSTITUTE(SUBSTITUTE(SUBSTITUTE(SUBSTITUTE(LEFT(MAIN!A640, FIND(",",MAIN!A640) -1), "0", ""), "1", ""), "2", ""), "3", ""), "4", ""), "5", ""), "6", ""), "7", ""), "8", ""), "9", "")), PROPER(SUBSTITUTE(SUBSTITUTE(SUBSTITUTE(SUBSTITUTE(SUBSTITUTE(SUBSTITUTE(SUBSTITUTE(SUBSTITUTE(SUBSTITUTE(SUBSTITUTE(MAIN!A640, "0", ""), "1", ""), "2", ""), "3", ""), "4", ""), "5", ""), "6", ""), "7", ""), "8", ""), "9", ""))))</f>
        <v>--</v>
      </c>
      <c r="B640" t="str">
        <f>IF(ISBLANK(MAIN!B640), "--", IFERROR(PROPER(SUBSTITUTE(SUBSTITUTE(SUBSTITUTE(SUBSTITUTE(SUBSTITUTE(SUBSTITUTE(SUBSTITUTE(SUBSTITUTE(SUBSTITUTE(SUBSTITUTE(LEFT(MAIN!B640, FIND(",",MAIN!B640) -1), "0", ""), "1", ""), "2", ""), "3", ""), "4", ""), "5", ""), "6", ""), "7", ""), "8", ""), "9", "")), PROPER(SUBSTITUTE(SUBSTITUTE(SUBSTITUTE(SUBSTITUTE(SUBSTITUTE(SUBSTITUTE(SUBSTITUTE(SUBSTITUTE(SUBSTITUTE(SUBSTITUTE(MAIN!B640, "0", ""), "1", ""), "2", ""), "3", ""), "4", ""), "5", ""), "6", ""), "7", ""), "8", ""), "9", ""))))</f>
        <v>--</v>
      </c>
      <c r="C640" t="str">
        <f>IF(ISBLANK(MAIN!C640), "--", IFERROR(PROPER(SUBSTITUTE(SUBSTITUTE(SUBSTITUTE(SUBSTITUTE(SUBSTITUTE(SUBSTITUTE(SUBSTITUTE(SUBSTITUTE(SUBSTITUTE(SUBSTITUTE(LEFT(MAIN!C640, FIND(",",MAIN!C640) -1), "0", ""), "1", ""), "2", ""), "3", ""), "4", ""), "5", ""), "6", ""), "7", ""), "8", ""), "9", "")), PROPER(SUBSTITUTE(SUBSTITUTE(SUBSTITUTE(SUBSTITUTE(SUBSTITUTE(SUBSTITUTE(SUBSTITUTE(SUBSTITUTE(SUBSTITUTE(SUBSTITUTE(MAIN!C640, "0", ""), "1", ""), "2", ""), "3", ""), "4", ""), "5", ""), "6", ""), "7", ""), "8", ""), "9", ""))))</f>
        <v>--</v>
      </c>
      <c r="D640" t="str">
        <f>IF(ISBLANK(MAIN!D640), "--", IF(ISNUMBER(MATCH(SUBSTITUTE(LEFT(MAIN!D640, IFERROR(FIND(",", MAIN!D640)-1, LEN(MAIN!D640))), " ", ""), lookup_values!$B$2:$B$51, 0)), UPPER(SUBSTITUTE(LEFT(MAIN!D640, IFERROR(FIND(",", MAIN!D640)-1, LEN(MAIN!D640))), " ", "")), IF(ISNA(VLOOKUP(SUBSTITUTE(LEFT(MAIN!D640, IFERROR(FIND(",", MAIN!D640)-1, LEN(MAIN!D640))), " ", ""), lookup_values!$A$2:$B$51, 2, FALSE)), "--", VLOOKUP(SUBSTITUTE(LEFT(MAIN!D640, IFERROR(FIND(",", MAIN!D640)-1, LEN(MAIN!D640))), " ", ""), lookup_values!$A$2:$B$51, 2, FALSE))))</f>
        <v>--</v>
      </c>
      <c r="E640" t="str">
        <f>IF(CLEAN_DATA!D640&lt;&gt;"--","US",IF(ISBLANK(MAIN!E640), "--", IF(ISNUMBER(MATCH(SUBSTITUTE(LEFT(MAIN!E640, IFERROR(FIND(",", MAIN!E640)-1, LEN(MAIN!E640))), " ", ""), lookup_values!$E$2:$E$197, 0)), UPPER(SUBSTITUTE(LEFT(MAIN!E640, IFERROR(FIND(",", MAIN!E640)-1, LEN(MAIN!E640))), " ", "")), IF(ISNA(VLOOKUP(SUBSTITUTE(LEFT(MAIN!E640, IFERROR(FIND(",", MAIN!E640)-1, LEN(MAIN!E640))), " ", ""), lookup_values!$D$2:$E$197, 2, FALSE)), "--", VLOOKUP(SUBSTITUTE(LEFT(MAIN!E640, IFERROR(FIND(",", MAIN!E640)-1, LEN(MAIN!E640))), " ", ""), lookup_values!$D$2:$E$197, 2, FALSE)))))</f>
        <v>--</v>
      </c>
      <c r="F640" t="str">
        <f>IF(ISBLANK(MAIN!F640), "", IF(AND(ISNUMBER(VALUE(TRIM(MAIN!F640))), LEN(TRIM(MAIN!F640))=4), VALUE(TRIM(MAIN!F640)), ""))</f>
        <v/>
      </c>
      <c r="G640">
        <f>IF(ISBLANK(MAIN!G640), 0, IF(ISNUMBER(VALUE(TRIM(MAIN!G640))), VALUE(TRIM(MAIN!G640)), 0))</f>
        <v>0</v>
      </c>
      <c r="H640">
        <f>IF(ISBLANK(MAIN!H640), 0, IF(ISNUMBER(VALUE(TRIM(MAIN!H640))), VALUE(TRIM(MAIN!H640)), 0))</f>
        <v>0</v>
      </c>
      <c r="I640">
        <f>IF(ISBLANK(MAIN!I640), 0, IF(ISNUMBER(VALUE(TRIM(MAIN!I640))), VALUE(TRIM(MAIN!I640)), 0))</f>
        <v>0</v>
      </c>
      <c r="J640">
        <f>IF(ISBLANK(MAIN!J640), 0, IF(ISNUMBER(VALUE(TRIM(MAIN!J640))), VALUE(TRIM(MAIN!J640)), 0))</f>
        <v>0</v>
      </c>
      <c r="K640" cm="1">
        <f t="array" ref="K640">IFERROR(
    VALUE(
        IFERROR(
            UPPER(
                IF(MAX(IFERROR(SEARCH("WD",MAIN!G640:J640), 0))&gt;0, "WD",
                IF(MAX(IFERROR(SEARCH("NS",MAIN!G640:J640), 0))&gt;0, "NS",
                IF(MAX(IFERROR(SEARCH("NC",MAIN!G640:J640), 0))&gt;0, "NC",
                IF(MAX(IFERROR(SEARCH("DQ",MAIN!G640:J640), 0))&gt;0, "DQ",
                IF(ISNUMBER(SEARCH("WD",MAIN!K640)), "WD",
                IF(ISNUMBER(SEARCH("NS",MAIN!K640)), "NS",
                IF(ISNUMBER(SEARCH("NC",MAIN!K640)), "NC",
                IF(ISNUMBER(SEARCH("DQ",MAIN!K640)), "DQ",
                IF(ISNUMBER(SEARCH("A",MAIN!K640)), 0,
                IF(OR(MAIN!K640=0,MAIN!K640=""), 0, --TRIM(MAIN!K640)))))))))))),
            0
        )
    ),
    IFERROR(
        UPPER(
            IF(MAX(IFERROR(SEARCH("WD",MAIN!G640:J640), 0))&gt;0, "WD",
            IF(MAX(IFERROR(SEARCH("NS",MAIN!G640:J640), 0))&gt;0, "NS",
            IF(MAX(IFERROR(SEARCH("NC",MAIN!G640:J640), 0))&gt;0, "NC",
            IF(MAX(IFERROR(SEARCH("DQ",MAIN!G640:J640), 0))&gt;0, "DQ",
            IF(ISNUMBER(SEARCH("WD",MAIN!K640)), "WD",
            IF(ISNUMBER(SEARCH("NS",MAIN!K640)), "NS",
            IF(ISNUMBER(SEARCH("NC",MAIN!K640)), "NC",
            IF(ISNUMBER(SEARCH("DQ",MAIN!K640)), "DQ",
            IF(ISNUMBER(SEARCH("A",MAIN!K640)), 0,
            IF(OR(MAIN!K640=0,MAIN!K640=""), 0, --TRIM(MAIN!K640)))))))))))),
        0
    )
)</f>
        <v>0</v>
      </c>
    </row>
    <row r="641" spans="1:11" x14ac:dyDescent="0.25">
      <c r="A641" t="str">
        <f>IF(ISBLANK(MAIN!A641), "--", IFERROR(PROPER(SUBSTITUTE(SUBSTITUTE(SUBSTITUTE(SUBSTITUTE(SUBSTITUTE(SUBSTITUTE(SUBSTITUTE(SUBSTITUTE(SUBSTITUTE(SUBSTITUTE(LEFT(MAIN!A641, FIND(",",MAIN!A641) -1), "0", ""), "1", ""), "2", ""), "3", ""), "4", ""), "5", ""), "6", ""), "7", ""), "8", ""), "9", "")), PROPER(SUBSTITUTE(SUBSTITUTE(SUBSTITUTE(SUBSTITUTE(SUBSTITUTE(SUBSTITUTE(SUBSTITUTE(SUBSTITUTE(SUBSTITUTE(SUBSTITUTE(MAIN!A641, "0", ""), "1", ""), "2", ""), "3", ""), "4", ""), "5", ""), "6", ""), "7", ""), "8", ""), "9", ""))))</f>
        <v>--</v>
      </c>
      <c r="B641" t="str">
        <f>IF(ISBLANK(MAIN!B641), "--", IFERROR(PROPER(SUBSTITUTE(SUBSTITUTE(SUBSTITUTE(SUBSTITUTE(SUBSTITUTE(SUBSTITUTE(SUBSTITUTE(SUBSTITUTE(SUBSTITUTE(SUBSTITUTE(LEFT(MAIN!B641, FIND(",",MAIN!B641) -1), "0", ""), "1", ""), "2", ""), "3", ""), "4", ""), "5", ""), "6", ""), "7", ""), "8", ""), "9", "")), PROPER(SUBSTITUTE(SUBSTITUTE(SUBSTITUTE(SUBSTITUTE(SUBSTITUTE(SUBSTITUTE(SUBSTITUTE(SUBSTITUTE(SUBSTITUTE(SUBSTITUTE(MAIN!B641, "0", ""), "1", ""), "2", ""), "3", ""), "4", ""), "5", ""), "6", ""), "7", ""), "8", ""), "9", ""))))</f>
        <v>--</v>
      </c>
      <c r="C641" t="str">
        <f>IF(ISBLANK(MAIN!C641), "--", IFERROR(PROPER(SUBSTITUTE(SUBSTITUTE(SUBSTITUTE(SUBSTITUTE(SUBSTITUTE(SUBSTITUTE(SUBSTITUTE(SUBSTITUTE(SUBSTITUTE(SUBSTITUTE(LEFT(MAIN!C641, FIND(",",MAIN!C641) -1), "0", ""), "1", ""), "2", ""), "3", ""), "4", ""), "5", ""), "6", ""), "7", ""), "8", ""), "9", "")), PROPER(SUBSTITUTE(SUBSTITUTE(SUBSTITUTE(SUBSTITUTE(SUBSTITUTE(SUBSTITUTE(SUBSTITUTE(SUBSTITUTE(SUBSTITUTE(SUBSTITUTE(MAIN!C641, "0", ""), "1", ""), "2", ""), "3", ""), "4", ""), "5", ""), "6", ""), "7", ""), "8", ""), "9", ""))))</f>
        <v>--</v>
      </c>
      <c r="D641" t="str">
        <f>IF(ISBLANK(MAIN!D641), "--", IF(ISNUMBER(MATCH(SUBSTITUTE(LEFT(MAIN!D641, IFERROR(FIND(",", MAIN!D641)-1, LEN(MAIN!D641))), " ", ""), lookup_values!$B$2:$B$51, 0)), UPPER(SUBSTITUTE(LEFT(MAIN!D641, IFERROR(FIND(",", MAIN!D641)-1, LEN(MAIN!D641))), " ", "")), IF(ISNA(VLOOKUP(SUBSTITUTE(LEFT(MAIN!D641, IFERROR(FIND(",", MAIN!D641)-1, LEN(MAIN!D641))), " ", ""), lookup_values!$A$2:$B$51, 2, FALSE)), "--", VLOOKUP(SUBSTITUTE(LEFT(MAIN!D641, IFERROR(FIND(",", MAIN!D641)-1, LEN(MAIN!D641))), " ", ""), lookup_values!$A$2:$B$51, 2, FALSE))))</f>
        <v>--</v>
      </c>
      <c r="E641" t="str">
        <f>IF(CLEAN_DATA!D641&lt;&gt;"--","US",IF(ISBLANK(MAIN!E641), "--", IF(ISNUMBER(MATCH(SUBSTITUTE(LEFT(MAIN!E641, IFERROR(FIND(",", MAIN!E641)-1, LEN(MAIN!E641))), " ", ""), lookup_values!$E$2:$E$197, 0)), UPPER(SUBSTITUTE(LEFT(MAIN!E641, IFERROR(FIND(",", MAIN!E641)-1, LEN(MAIN!E641))), " ", "")), IF(ISNA(VLOOKUP(SUBSTITUTE(LEFT(MAIN!E641, IFERROR(FIND(",", MAIN!E641)-1, LEN(MAIN!E641))), " ", ""), lookup_values!$D$2:$E$197, 2, FALSE)), "--", VLOOKUP(SUBSTITUTE(LEFT(MAIN!E641, IFERROR(FIND(",", MAIN!E641)-1, LEN(MAIN!E641))), " ", ""), lookup_values!$D$2:$E$197, 2, FALSE)))))</f>
        <v>--</v>
      </c>
      <c r="F641" t="str">
        <f>IF(ISBLANK(MAIN!F641), "", IF(AND(ISNUMBER(VALUE(TRIM(MAIN!F641))), LEN(TRIM(MAIN!F641))=4), VALUE(TRIM(MAIN!F641)), ""))</f>
        <v/>
      </c>
      <c r="G641">
        <f>IF(ISBLANK(MAIN!G641), 0, IF(ISNUMBER(VALUE(TRIM(MAIN!G641))), VALUE(TRIM(MAIN!G641)), 0))</f>
        <v>0</v>
      </c>
      <c r="H641">
        <f>IF(ISBLANK(MAIN!H641), 0, IF(ISNUMBER(VALUE(TRIM(MAIN!H641))), VALUE(TRIM(MAIN!H641)), 0))</f>
        <v>0</v>
      </c>
      <c r="I641">
        <f>IF(ISBLANK(MAIN!I641), 0, IF(ISNUMBER(VALUE(TRIM(MAIN!I641))), VALUE(TRIM(MAIN!I641)), 0))</f>
        <v>0</v>
      </c>
      <c r="J641">
        <f>IF(ISBLANK(MAIN!J641), 0, IF(ISNUMBER(VALUE(TRIM(MAIN!J641))), VALUE(TRIM(MAIN!J641)), 0))</f>
        <v>0</v>
      </c>
      <c r="K641" cm="1">
        <f t="array" ref="K641">IFERROR(
    VALUE(
        IFERROR(
            UPPER(
                IF(MAX(IFERROR(SEARCH("WD",MAIN!G641:J641), 0))&gt;0, "WD",
                IF(MAX(IFERROR(SEARCH("NS",MAIN!G641:J641), 0))&gt;0, "NS",
                IF(MAX(IFERROR(SEARCH("NC",MAIN!G641:J641), 0))&gt;0, "NC",
                IF(MAX(IFERROR(SEARCH("DQ",MAIN!G641:J641), 0))&gt;0, "DQ",
                IF(ISNUMBER(SEARCH("WD",MAIN!K641)), "WD",
                IF(ISNUMBER(SEARCH("NS",MAIN!K641)), "NS",
                IF(ISNUMBER(SEARCH("NC",MAIN!K641)), "NC",
                IF(ISNUMBER(SEARCH("DQ",MAIN!K641)), "DQ",
                IF(ISNUMBER(SEARCH("A",MAIN!K641)), 0,
                IF(OR(MAIN!K641=0,MAIN!K641=""), 0, --TRIM(MAIN!K641)))))))))))),
            0
        )
    ),
    IFERROR(
        UPPER(
            IF(MAX(IFERROR(SEARCH("WD",MAIN!G641:J641), 0))&gt;0, "WD",
            IF(MAX(IFERROR(SEARCH("NS",MAIN!G641:J641), 0))&gt;0, "NS",
            IF(MAX(IFERROR(SEARCH("NC",MAIN!G641:J641), 0))&gt;0, "NC",
            IF(MAX(IFERROR(SEARCH("DQ",MAIN!G641:J641), 0))&gt;0, "DQ",
            IF(ISNUMBER(SEARCH("WD",MAIN!K641)), "WD",
            IF(ISNUMBER(SEARCH("NS",MAIN!K641)), "NS",
            IF(ISNUMBER(SEARCH("NC",MAIN!K641)), "NC",
            IF(ISNUMBER(SEARCH("DQ",MAIN!K641)), "DQ",
            IF(ISNUMBER(SEARCH("A",MAIN!K641)), 0,
            IF(OR(MAIN!K641=0,MAIN!K641=""), 0, --TRIM(MAIN!K641)))))))))))),
        0
    )
)</f>
        <v>0</v>
      </c>
    </row>
    <row r="642" spans="1:11" x14ac:dyDescent="0.25">
      <c r="A642" t="str">
        <f>IF(ISBLANK(MAIN!A642), "--", IFERROR(PROPER(SUBSTITUTE(SUBSTITUTE(SUBSTITUTE(SUBSTITUTE(SUBSTITUTE(SUBSTITUTE(SUBSTITUTE(SUBSTITUTE(SUBSTITUTE(SUBSTITUTE(LEFT(MAIN!A642, FIND(",",MAIN!A642) -1), "0", ""), "1", ""), "2", ""), "3", ""), "4", ""), "5", ""), "6", ""), "7", ""), "8", ""), "9", "")), PROPER(SUBSTITUTE(SUBSTITUTE(SUBSTITUTE(SUBSTITUTE(SUBSTITUTE(SUBSTITUTE(SUBSTITUTE(SUBSTITUTE(SUBSTITUTE(SUBSTITUTE(MAIN!A642, "0", ""), "1", ""), "2", ""), "3", ""), "4", ""), "5", ""), "6", ""), "7", ""), "8", ""), "9", ""))))</f>
        <v>--</v>
      </c>
      <c r="B642" t="str">
        <f>IF(ISBLANK(MAIN!B642), "--", IFERROR(PROPER(SUBSTITUTE(SUBSTITUTE(SUBSTITUTE(SUBSTITUTE(SUBSTITUTE(SUBSTITUTE(SUBSTITUTE(SUBSTITUTE(SUBSTITUTE(SUBSTITUTE(LEFT(MAIN!B642, FIND(",",MAIN!B642) -1), "0", ""), "1", ""), "2", ""), "3", ""), "4", ""), "5", ""), "6", ""), "7", ""), "8", ""), "9", "")), PROPER(SUBSTITUTE(SUBSTITUTE(SUBSTITUTE(SUBSTITUTE(SUBSTITUTE(SUBSTITUTE(SUBSTITUTE(SUBSTITUTE(SUBSTITUTE(SUBSTITUTE(MAIN!B642, "0", ""), "1", ""), "2", ""), "3", ""), "4", ""), "5", ""), "6", ""), "7", ""), "8", ""), "9", ""))))</f>
        <v>--</v>
      </c>
      <c r="C642" t="str">
        <f>IF(ISBLANK(MAIN!C642), "--", IFERROR(PROPER(SUBSTITUTE(SUBSTITUTE(SUBSTITUTE(SUBSTITUTE(SUBSTITUTE(SUBSTITUTE(SUBSTITUTE(SUBSTITUTE(SUBSTITUTE(SUBSTITUTE(LEFT(MAIN!C642, FIND(",",MAIN!C642) -1), "0", ""), "1", ""), "2", ""), "3", ""), "4", ""), "5", ""), "6", ""), "7", ""), "8", ""), "9", "")), PROPER(SUBSTITUTE(SUBSTITUTE(SUBSTITUTE(SUBSTITUTE(SUBSTITUTE(SUBSTITUTE(SUBSTITUTE(SUBSTITUTE(SUBSTITUTE(SUBSTITUTE(MAIN!C642, "0", ""), "1", ""), "2", ""), "3", ""), "4", ""), "5", ""), "6", ""), "7", ""), "8", ""), "9", ""))))</f>
        <v>--</v>
      </c>
      <c r="D642" t="str">
        <f>IF(ISBLANK(MAIN!D642), "--", IF(ISNUMBER(MATCH(SUBSTITUTE(LEFT(MAIN!D642, IFERROR(FIND(",", MAIN!D642)-1, LEN(MAIN!D642))), " ", ""), lookup_values!$B$2:$B$51, 0)), UPPER(SUBSTITUTE(LEFT(MAIN!D642, IFERROR(FIND(",", MAIN!D642)-1, LEN(MAIN!D642))), " ", "")), IF(ISNA(VLOOKUP(SUBSTITUTE(LEFT(MAIN!D642, IFERROR(FIND(",", MAIN!D642)-1, LEN(MAIN!D642))), " ", ""), lookup_values!$A$2:$B$51, 2, FALSE)), "--", VLOOKUP(SUBSTITUTE(LEFT(MAIN!D642, IFERROR(FIND(",", MAIN!D642)-1, LEN(MAIN!D642))), " ", ""), lookup_values!$A$2:$B$51, 2, FALSE))))</f>
        <v>--</v>
      </c>
      <c r="E642" t="str">
        <f>IF(CLEAN_DATA!D642&lt;&gt;"--","US",IF(ISBLANK(MAIN!E642), "--", IF(ISNUMBER(MATCH(SUBSTITUTE(LEFT(MAIN!E642, IFERROR(FIND(",", MAIN!E642)-1, LEN(MAIN!E642))), " ", ""), lookup_values!$E$2:$E$197, 0)), UPPER(SUBSTITUTE(LEFT(MAIN!E642, IFERROR(FIND(",", MAIN!E642)-1, LEN(MAIN!E642))), " ", "")), IF(ISNA(VLOOKUP(SUBSTITUTE(LEFT(MAIN!E642, IFERROR(FIND(",", MAIN!E642)-1, LEN(MAIN!E642))), " ", ""), lookup_values!$D$2:$E$197, 2, FALSE)), "--", VLOOKUP(SUBSTITUTE(LEFT(MAIN!E642, IFERROR(FIND(",", MAIN!E642)-1, LEN(MAIN!E642))), " ", ""), lookup_values!$D$2:$E$197, 2, FALSE)))))</f>
        <v>--</v>
      </c>
      <c r="F642" t="str">
        <f>IF(ISBLANK(MAIN!F642), "", IF(AND(ISNUMBER(VALUE(TRIM(MAIN!F642))), LEN(TRIM(MAIN!F642))=4), VALUE(TRIM(MAIN!F642)), ""))</f>
        <v/>
      </c>
      <c r="G642">
        <f>IF(ISBLANK(MAIN!G642), 0, IF(ISNUMBER(VALUE(TRIM(MAIN!G642))), VALUE(TRIM(MAIN!G642)), 0))</f>
        <v>0</v>
      </c>
      <c r="H642">
        <f>IF(ISBLANK(MAIN!H642), 0, IF(ISNUMBER(VALUE(TRIM(MAIN!H642))), VALUE(TRIM(MAIN!H642)), 0))</f>
        <v>0</v>
      </c>
      <c r="I642">
        <f>IF(ISBLANK(MAIN!I642), 0, IF(ISNUMBER(VALUE(TRIM(MAIN!I642))), VALUE(TRIM(MAIN!I642)), 0))</f>
        <v>0</v>
      </c>
      <c r="J642">
        <f>IF(ISBLANK(MAIN!J642), 0, IF(ISNUMBER(VALUE(TRIM(MAIN!J642))), VALUE(TRIM(MAIN!J642)), 0))</f>
        <v>0</v>
      </c>
      <c r="K642" cm="1">
        <f t="array" ref="K642">IFERROR(
    VALUE(
        IFERROR(
            UPPER(
                IF(MAX(IFERROR(SEARCH("WD",MAIN!G642:J642), 0))&gt;0, "WD",
                IF(MAX(IFERROR(SEARCH("NS",MAIN!G642:J642), 0))&gt;0, "NS",
                IF(MAX(IFERROR(SEARCH("NC",MAIN!G642:J642), 0))&gt;0, "NC",
                IF(MAX(IFERROR(SEARCH("DQ",MAIN!G642:J642), 0))&gt;0, "DQ",
                IF(ISNUMBER(SEARCH("WD",MAIN!K642)), "WD",
                IF(ISNUMBER(SEARCH("NS",MAIN!K642)), "NS",
                IF(ISNUMBER(SEARCH("NC",MAIN!K642)), "NC",
                IF(ISNUMBER(SEARCH("DQ",MAIN!K642)), "DQ",
                IF(ISNUMBER(SEARCH("A",MAIN!K642)), 0,
                IF(OR(MAIN!K642=0,MAIN!K642=""), 0, --TRIM(MAIN!K642)))))))))))),
            0
        )
    ),
    IFERROR(
        UPPER(
            IF(MAX(IFERROR(SEARCH("WD",MAIN!G642:J642), 0))&gt;0, "WD",
            IF(MAX(IFERROR(SEARCH("NS",MAIN!G642:J642), 0))&gt;0, "NS",
            IF(MAX(IFERROR(SEARCH("NC",MAIN!G642:J642), 0))&gt;0, "NC",
            IF(MAX(IFERROR(SEARCH("DQ",MAIN!G642:J642), 0))&gt;0, "DQ",
            IF(ISNUMBER(SEARCH("WD",MAIN!K642)), "WD",
            IF(ISNUMBER(SEARCH("NS",MAIN!K642)), "NS",
            IF(ISNUMBER(SEARCH("NC",MAIN!K642)), "NC",
            IF(ISNUMBER(SEARCH("DQ",MAIN!K642)), "DQ",
            IF(ISNUMBER(SEARCH("A",MAIN!K642)), 0,
            IF(OR(MAIN!K642=0,MAIN!K642=""), 0, --TRIM(MAIN!K642)))))))))))),
        0
    )
)</f>
        <v>0</v>
      </c>
    </row>
    <row r="643" spans="1:11" x14ac:dyDescent="0.25">
      <c r="A643" t="str">
        <f>IF(ISBLANK(MAIN!A643), "--", IFERROR(PROPER(SUBSTITUTE(SUBSTITUTE(SUBSTITUTE(SUBSTITUTE(SUBSTITUTE(SUBSTITUTE(SUBSTITUTE(SUBSTITUTE(SUBSTITUTE(SUBSTITUTE(LEFT(MAIN!A643, FIND(",",MAIN!A643) -1), "0", ""), "1", ""), "2", ""), "3", ""), "4", ""), "5", ""), "6", ""), "7", ""), "8", ""), "9", "")), PROPER(SUBSTITUTE(SUBSTITUTE(SUBSTITUTE(SUBSTITUTE(SUBSTITUTE(SUBSTITUTE(SUBSTITUTE(SUBSTITUTE(SUBSTITUTE(SUBSTITUTE(MAIN!A643, "0", ""), "1", ""), "2", ""), "3", ""), "4", ""), "5", ""), "6", ""), "7", ""), "8", ""), "9", ""))))</f>
        <v>--</v>
      </c>
      <c r="B643" t="str">
        <f>IF(ISBLANK(MAIN!B643), "--", IFERROR(PROPER(SUBSTITUTE(SUBSTITUTE(SUBSTITUTE(SUBSTITUTE(SUBSTITUTE(SUBSTITUTE(SUBSTITUTE(SUBSTITUTE(SUBSTITUTE(SUBSTITUTE(LEFT(MAIN!B643, FIND(",",MAIN!B643) -1), "0", ""), "1", ""), "2", ""), "3", ""), "4", ""), "5", ""), "6", ""), "7", ""), "8", ""), "9", "")), PROPER(SUBSTITUTE(SUBSTITUTE(SUBSTITUTE(SUBSTITUTE(SUBSTITUTE(SUBSTITUTE(SUBSTITUTE(SUBSTITUTE(SUBSTITUTE(SUBSTITUTE(MAIN!B643, "0", ""), "1", ""), "2", ""), "3", ""), "4", ""), "5", ""), "6", ""), "7", ""), "8", ""), "9", ""))))</f>
        <v>--</v>
      </c>
      <c r="C643" t="str">
        <f>IF(ISBLANK(MAIN!C643), "--", IFERROR(PROPER(SUBSTITUTE(SUBSTITUTE(SUBSTITUTE(SUBSTITUTE(SUBSTITUTE(SUBSTITUTE(SUBSTITUTE(SUBSTITUTE(SUBSTITUTE(SUBSTITUTE(LEFT(MAIN!C643, FIND(",",MAIN!C643) -1), "0", ""), "1", ""), "2", ""), "3", ""), "4", ""), "5", ""), "6", ""), "7", ""), "8", ""), "9", "")), PROPER(SUBSTITUTE(SUBSTITUTE(SUBSTITUTE(SUBSTITUTE(SUBSTITUTE(SUBSTITUTE(SUBSTITUTE(SUBSTITUTE(SUBSTITUTE(SUBSTITUTE(MAIN!C643, "0", ""), "1", ""), "2", ""), "3", ""), "4", ""), "5", ""), "6", ""), "7", ""), "8", ""), "9", ""))))</f>
        <v>--</v>
      </c>
      <c r="D643" t="str">
        <f>IF(ISBLANK(MAIN!D643), "--", IF(ISNUMBER(MATCH(SUBSTITUTE(LEFT(MAIN!D643, IFERROR(FIND(",", MAIN!D643)-1, LEN(MAIN!D643))), " ", ""), lookup_values!$B$2:$B$51, 0)), UPPER(SUBSTITUTE(LEFT(MAIN!D643, IFERROR(FIND(",", MAIN!D643)-1, LEN(MAIN!D643))), " ", "")), IF(ISNA(VLOOKUP(SUBSTITUTE(LEFT(MAIN!D643, IFERROR(FIND(",", MAIN!D643)-1, LEN(MAIN!D643))), " ", ""), lookup_values!$A$2:$B$51, 2, FALSE)), "--", VLOOKUP(SUBSTITUTE(LEFT(MAIN!D643, IFERROR(FIND(",", MAIN!D643)-1, LEN(MAIN!D643))), " ", ""), lookup_values!$A$2:$B$51, 2, FALSE))))</f>
        <v>--</v>
      </c>
      <c r="E643" t="str">
        <f>IF(CLEAN_DATA!D643&lt;&gt;"--","US",IF(ISBLANK(MAIN!E643), "--", IF(ISNUMBER(MATCH(SUBSTITUTE(LEFT(MAIN!E643, IFERROR(FIND(",", MAIN!E643)-1, LEN(MAIN!E643))), " ", ""), lookup_values!$E$2:$E$197, 0)), UPPER(SUBSTITUTE(LEFT(MAIN!E643, IFERROR(FIND(",", MAIN!E643)-1, LEN(MAIN!E643))), " ", "")), IF(ISNA(VLOOKUP(SUBSTITUTE(LEFT(MAIN!E643, IFERROR(FIND(",", MAIN!E643)-1, LEN(MAIN!E643))), " ", ""), lookup_values!$D$2:$E$197, 2, FALSE)), "--", VLOOKUP(SUBSTITUTE(LEFT(MAIN!E643, IFERROR(FIND(",", MAIN!E643)-1, LEN(MAIN!E643))), " ", ""), lookup_values!$D$2:$E$197, 2, FALSE)))))</f>
        <v>--</v>
      </c>
      <c r="F643" t="str">
        <f>IF(ISBLANK(MAIN!F643), "", IF(AND(ISNUMBER(VALUE(TRIM(MAIN!F643))), LEN(TRIM(MAIN!F643))=4), VALUE(TRIM(MAIN!F643)), ""))</f>
        <v/>
      </c>
      <c r="G643">
        <f>IF(ISBLANK(MAIN!G643), 0, IF(ISNUMBER(VALUE(TRIM(MAIN!G643))), VALUE(TRIM(MAIN!G643)), 0))</f>
        <v>0</v>
      </c>
      <c r="H643">
        <f>IF(ISBLANK(MAIN!H643), 0, IF(ISNUMBER(VALUE(TRIM(MAIN!H643))), VALUE(TRIM(MAIN!H643)), 0))</f>
        <v>0</v>
      </c>
      <c r="I643">
        <f>IF(ISBLANK(MAIN!I643), 0, IF(ISNUMBER(VALUE(TRIM(MAIN!I643))), VALUE(TRIM(MAIN!I643)), 0))</f>
        <v>0</v>
      </c>
      <c r="J643">
        <f>IF(ISBLANK(MAIN!J643), 0, IF(ISNUMBER(VALUE(TRIM(MAIN!J643))), VALUE(TRIM(MAIN!J643)), 0))</f>
        <v>0</v>
      </c>
      <c r="K643" cm="1">
        <f t="array" ref="K643">IFERROR(
    VALUE(
        IFERROR(
            UPPER(
                IF(MAX(IFERROR(SEARCH("WD",MAIN!G643:J643), 0))&gt;0, "WD",
                IF(MAX(IFERROR(SEARCH("NS",MAIN!G643:J643), 0))&gt;0, "NS",
                IF(MAX(IFERROR(SEARCH("NC",MAIN!G643:J643), 0))&gt;0, "NC",
                IF(MAX(IFERROR(SEARCH("DQ",MAIN!G643:J643), 0))&gt;0, "DQ",
                IF(ISNUMBER(SEARCH("WD",MAIN!K643)), "WD",
                IF(ISNUMBER(SEARCH("NS",MAIN!K643)), "NS",
                IF(ISNUMBER(SEARCH("NC",MAIN!K643)), "NC",
                IF(ISNUMBER(SEARCH("DQ",MAIN!K643)), "DQ",
                IF(ISNUMBER(SEARCH("A",MAIN!K643)), 0,
                IF(OR(MAIN!K643=0,MAIN!K643=""), 0, --TRIM(MAIN!K643)))))))))))),
            0
        )
    ),
    IFERROR(
        UPPER(
            IF(MAX(IFERROR(SEARCH("WD",MAIN!G643:J643), 0))&gt;0, "WD",
            IF(MAX(IFERROR(SEARCH("NS",MAIN!G643:J643), 0))&gt;0, "NS",
            IF(MAX(IFERROR(SEARCH("NC",MAIN!G643:J643), 0))&gt;0, "NC",
            IF(MAX(IFERROR(SEARCH("DQ",MAIN!G643:J643), 0))&gt;0, "DQ",
            IF(ISNUMBER(SEARCH("WD",MAIN!K643)), "WD",
            IF(ISNUMBER(SEARCH("NS",MAIN!K643)), "NS",
            IF(ISNUMBER(SEARCH("NC",MAIN!K643)), "NC",
            IF(ISNUMBER(SEARCH("DQ",MAIN!K643)), "DQ",
            IF(ISNUMBER(SEARCH("A",MAIN!K643)), 0,
            IF(OR(MAIN!K643=0,MAIN!K643=""), 0, --TRIM(MAIN!K643)))))))))))),
        0
    )
)</f>
        <v>0</v>
      </c>
    </row>
    <row r="644" spans="1:11" x14ac:dyDescent="0.25">
      <c r="A644" t="str">
        <f>IF(ISBLANK(MAIN!A644), "--", IFERROR(PROPER(SUBSTITUTE(SUBSTITUTE(SUBSTITUTE(SUBSTITUTE(SUBSTITUTE(SUBSTITUTE(SUBSTITUTE(SUBSTITUTE(SUBSTITUTE(SUBSTITUTE(LEFT(MAIN!A644, FIND(",",MAIN!A644) -1), "0", ""), "1", ""), "2", ""), "3", ""), "4", ""), "5", ""), "6", ""), "7", ""), "8", ""), "9", "")), PROPER(SUBSTITUTE(SUBSTITUTE(SUBSTITUTE(SUBSTITUTE(SUBSTITUTE(SUBSTITUTE(SUBSTITUTE(SUBSTITUTE(SUBSTITUTE(SUBSTITUTE(MAIN!A644, "0", ""), "1", ""), "2", ""), "3", ""), "4", ""), "5", ""), "6", ""), "7", ""), "8", ""), "9", ""))))</f>
        <v>--</v>
      </c>
      <c r="B644" t="str">
        <f>IF(ISBLANK(MAIN!B644), "--", IFERROR(PROPER(SUBSTITUTE(SUBSTITUTE(SUBSTITUTE(SUBSTITUTE(SUBSTITUTE(SUBSTITUTE(SUBSTITUTE(SUBSTITUTE(SUBSTITUTE(SUBSTITUTE(LEFT(MAIN!B644, FIND(",",MAIN!B644) -1), "0", ""), "1", ""), "2", ""), "3", ""), "4", ""), "5", ""), "6", ""), "7", ""), "8", ""), "9", "")), PROPER(SUBSTITUTE(SUBSTITUTE(SUBSTITUTE(SUBSTITUTE(SUBSTITUTE(SUBSTITUTE(SUBSTITUTE(SUBSTITUTE(SUBSTITUTE(SUBSTITUTE(MAIN!B644, "0", ""), "1", ""), "2", ""), "3", ""), "4", ""), "5", ""), "6", ""), "7", ""), "8", ""), "9", ""))))</f>
        <v>--</v>
      </c>
      <c r="C644" t="str">
        <f>IF(ISBLANK(MAIN!C644), "--", IFERROR(PROPER(SUBSTITUTE(SUBSTITUTE(SUBSTITUTE(SUBSTITUTE(SUBSTITUTE(SUBSTITUTE(SUBSTITUTE(SUBSTITUTE(SUBSTITUTE(SUBSTITUTE(LEFT(MAIN!C644, FIND(",",MAIN!C644) -1), "0", ""), "1", ""), "2", ""), "3", ""), "4", ""), "5", ""), "6", ""), "7", ""), "8", ""), "9", "")), PROPER(SUBSTITUTE(SUBSTITUTE(SUBSTITUTE(SUBSTITUTE(SUBSTITUTE(SUBSTITUTE(SUBSTITUTE(SUBSTITUTE(SUBSTITUTE(SUBSTITUTE(MAIN!C644, "0", ""), "1", ""), "2", ""), "3", ""), "4", ""), "5", ""), "6", ""), "7", ""), "8", ""), "9", ""))))</f>
        <v>--</v>
      </c>
      <c r="D644" t="str">
        <f>IF(ISBLANK(MAIN!D644), "--", IF(ISNUMBER(MATCH(SUBSTITUTE(LEFT(MAIN!D644, IFERROR(FIND(",", MAIN!D644)-1, LEN(MAIN!D644))), " ", ""), lookup_values!$B$2:$B$51, 0)), UPPER(SUBSTITUTE(LEFT(MAIN!D644, IFERROR(FIND(",", MAIN!D644)-1, LEN(MAIN!D644))), " ", "")), IF(ISNA(VLOOKUP(SUBSTITUTE(LEFT(MAIN!D644, IFERROR(FIND(",", MAIN!D644)-1, LEN(MAIN!D644))), " ", ""), lookup_values!$A$2:$B$51, 2, FALSE)), "--", VLOOKUP(SUBSTITUTE(LEFT(MAIN!D644, IFERROR(FIND(",", MAIN!D644)-1, LEN(MAIN!D644))), " ", ""), lookup_values!$A$2:$B$51, 2, FALSE))))</f>
        <v>--</v>
      </c>
      <c r="E644" t="str">
        <f>IF(CLEAN_DATA!D644&lt;&gt;"--","US",IF(ISBLANK(MAIN!E644), "--", IF(ISNUMBER(MATCH(SUBSTITUTE(LEFT(MAIN!E644, IFERROR(FIND(",", MAIN!E644)-1, LEN(MAIN!E644))), " ", ""), lookup_values!$E$2:$E$197, 0)), UPPER(SUBSTITUTE(LEFT(MAIN!E644, IFERROR(FIND(",", MAIN!E644)-1, LEN(MAIN!E644))), " ", "")), IF(ISNA(VLOOKUP(SUBSTITUTE(LEFT(MAIN!E644, IFERROR(FIND(",", MAIN!E644)-1, LEN(MAIN!E644))), " ", ""), lookup_values!$D$2:$E$197, 2, FALSE)), "--", VLOOKUP(SUBSTITUTE(LEFT(MAIN!E644, IFERROR(FIND(",", MAIN!E644)-1, LEN(MAIN!E644))), " ", ""), lookup_values!$D$2:$E$197, 2, FALSE)))))</f>
        <v>--</v>
      </c>
      <c r="F644" t="str">
        <f>IF(ISBLANK(MAIN!F644), "", IF(AND(ISNUMBER(VALUE(TRIM(MAIN!F644))), LEN(TRIM(MAIN!F644))=4), VALUE(TRIM(MAIN!F644)), ""))</f>
        <v/>
      </c>
      <c r="G644">
        <f>IF(ISBLANK(MAIN!G644), 0, IF(ISNUMBER(VALUE(TRIM(MAIN!G644))), VALUE(TRIM(MAIN!G644)), 0))</f>
        <v>0</v>
      </c>
      <c r="H644">
        <f>IF(ISBLANK(MAIN!H644), 0, IF(ISNUMBER(VALUE(TRIM(MAIN!H644))), VALUE(TRIM(MAIN!H644)), 0))</f>
        <v>0</v>
      </c>
      <c r="I644">
        <f>IF(ISBLANK(MAIN!I644), 0, IF(ISNUMBER(VALUE(TRIM(MAIN!I644))), VALUE(TRIM(MAIN!I644)), 0))</f>
        <v>0</v>
      </c>
      <c r="J644">
        <f>IF(ISBLANK(MAIN!J644), 0, IF(ISNUMBER(VALUE(TRIM(MAIN!J644))), VALUE(TRIM(MAIN!J644)), 0))</f>
        <v>0</v>
      </c>
      <c r="K644" cm="1">
        <f t="array" ref="K644">IFERROR(
    VALUE(
        IFERROR(
            UPPER(
                IF(MAX(IFERROR(SEARCH("WD",MAIN!G644:J644), 0))&gt;0, "WD",
                IF(MAX(IFERROR(SEARCH("NS",MAIN!G644:J644), 0))&gt;0, "NS",
                IF(MAX(IFERROR(SEARCH("NC",MAIN!G644:J644), 0))&gt;0, "NC",
                IF(MAX(IFERROR(SEARCH("DQ",MAIN!G644:J644), 0))&gt;0, "DQ",
                IF(ISNUMBER(SEARCH("WD",MAIN!K644)), "WD",
                IF(ISNUMBER(SEARCH("NS",MAIN!K644)), "NS",
                IF(ISNUMBER(SEARCH("NC",MAIN!K644)), "NC",
                IF(ISNUMBER(SEARCH("DQ",MAIN!K644)), "DQ",
                IF(ISNUMBER(SEARCH("A",MAIN!K644)), 0,
                IF(OR(MAIN!K644=0,MAIN!K644=""), 0, --TRIM(MAIN!K644)))))))))))),
            0
        )
    ),
    IFERROR(
        UPPER(
            IF(MAX(IFERROR(SEARCH("WD",MAIN!G644:J644), 0))&gt;0, "WD",
            IF(MAX(IFERROR(SEARCH("NS",MAIN!G644:J644), 0))&gt;0, "NS",
            IF(MAX(IFERROR(SEARCH("NC",MAIN!G644:J644), 0))&gt;0, "NC",
            IF(MAX(IFERROR(SEARCH("DQ",MAIN!G644:J644), 0))&gt;0, "DQ",
            IF(ISNUMBER(SEARCH("WD",MAIN!K644)), "WD",
            IF(ISNUMBER(SEARCH("NS",MAIN!K644)), "NS",
            IF(ISNUMBER(SEARCH("NC",MAIN!K644)), "NC",
            IF(ISNUMBER(SEARCH("DQ",MAIN!K644)), "DQ",
            IF(ISNUMBER(SEARCH("A",MAIN!K644)), 0,
            IF(OR(MAIN!K644=0,MAIN!K644=""), 0, --TRIM(MAIN!K644)))))))))))),
        0
    )
)</f>
        <v>0</v>
      </c>
    </row>
    <row r="645" spans="1:11" x14ac:dyDescent="0.25">
      <c r="A645" t="str">
        <f>IF(ISBLANK(MAIN!A645), "--", IFERROR(PROPER(SUBSTITUTE(SUBSTITUTE(SUBSTITUTE(SUBSTITUTE(SUBSTITUTE(SUBSTITUTE(SUBSTITUTE(SUBSTITUTE(SUBSTITUTE(SUBSTITUTE(LEFT(MAIN!A645, FIND(",",MAIN!A645) -1), "0", ""), "1", ""), "2", ""), "3", ""), "4", ""), "5", ""), "6", ""), "7", ""), "8", ""), "9", "")), PROPER(SUBSTITUTE(SUBSTITUTE(SUBSTITUTE(SUBSTITUTE(SUBSTITUTE(SUBSTITUTE(SUBSTITUTE(SUBSTITUTE(SUBSTITUTE(SUBSTITUTE(MAIN!A645, "0", ""), "1", ""), "2", ""), "3", ""), "4", ""), "5", ""), "6", ""), "7", ""), "8", ""), "9", ""))))</f>
        <v>--</v>
      </c>
      <c r="B645" t="str">
        <f>IF(ISBLANK(MAIN!B645), "--", IFERROR(PROPER(SUBSTITUTE(SUBSTITUTE(SUBSTITUTE(SUBSTITUTE(SUBSTITUTE(SUBSTITUTE(SUBSTITUTE(SUBSTITUTE(SUBSTITUTE(SUBSTITUTE(LEFT(MAIN!B645, FIND(",",MAIN!B645) -1), "0", ""), "1", ""), "2", ""), "3", ""), "4", ""), "5", ""), "6", ""), "7", ""), "8", ""), "9", "")), PROPER(SUBSTITUTE(SUBSTITUTE(SUBSTITUTE(SUBSTITUTE(SUBSTITUTE(SUBSTITUTE(SUBSTITUTE(SUBSTITUTE(SUBSTITUTE(SUBSTITUTE(MAIN!B645, "0", ""), "1", ""), "2", ""), "3", ""), "4", ""), "5", ""), "6", ""), "7", ""), "8", ""), "9", ""))))</f>
        <v>--</v>
      </c>
      <c r="C645" t="str">
        <f>IF(ISBLANK(MAIN!C645), "--", IFERROR(PROPER(SUBSTITUTE(SUBSTITUTE(SUBSTITUTE(SUBSTITUTE(SUBSTITUTE(SUBSTITUTE(SUBSTITUTE(SUBSTITUTE(SUBSTITUTE(SUBSTITUTE(LEFT(MAIN!C645, FIND(",",MAIN!C645) -1), "0", ""), "1", ""), "2", ""), "3", ""), "4", ""), "5", ""), "6", ""), "7", ""), "8", ""), "9", "")), PROPER(SUBSTITUTE(SUBSTITUTE(SUBSTITUTE(SUBSTITUTE(SUBSTITUTE(SUBSTITUTE(SUBSTITUTE(SUBSTITUTE(SUBSTITUTE(SUBSTITUTE(MAIN!C645, "0", ""), "1", ""), "2", ""), "3", ""), "4", ""), "5", ""), "6", ""), "7", ""), "8", ""), "9", ""))))</f>
        <v>--</v>
      </c>
      <c r="D645" t="str">
        <f>IF(ISBLANK(MAIN!D645), "--", IF(ISNUMBER(MATCH(SUBSTITUTE(LEFT(MAIN!D645, IFERROR(FIND(",", MAIN!D645)-1, LEN(MAIN!D645))), " ", ""), lookup_values!$B$2:$B$51, 0)), UPPER(SUBSTITUTE(LEFT(MAIN!D645, IFERROR(FIND(",", MAIN!D645)-1, LEN(MAIN!D645))), " ", "")), IF(ISNA(VLOOKUP(SUBSTITUTE(LEFT(MAIN!D645, IFERROR(FIND(",", MAIN!D645)-1, LEN(MAIN!D645))), " ", ""), lookup_values!$A$2:$B$51, 2, FALSE)), "--", VLOOKUP(SUBSTITUTE(LEFT(MAIN!D645, IFERROR(FIND(",", MAIN!D645)-1, LEN(MAIN!D645))), " ", ""), lookup_values!$A$2:$B$51, 2, FALSE))))</f>
        <v>--</v>
      </c>
      <c r="E645" t="str">
        <f>IF(CLEAN_DATA!D645&lt;&gt;"--","US",IF(ISBLANK(MAIN!E645), "--", IF(ISNUMBER(MATCH(SUBSTITUTE(LEFT(MAIN!E645, IFERROR(FIND(",", MAIN!E645)-1, LEN(MAIN!E645))), " ", ""), lookup_values!$E$2:$E$197, 0)), UPPER(SUBSTITUTE(LEFT(MAIN!E645, IFERROR(FIND(",", MAIN!E645)-1, LEN(MAIN!E645))), " ", "")), IF(ISNA(VLOOKUP(SUBSTITUTE(LEFT(MAIN!E645, IFERROR(FIND(",", MAIN!E645)-1, LEN(MAIN!E645))), " ", ""), lookup_values!$D$2:$E$197, 2, FALSE)), "--", VLOOKUP(SUBSTITUTE(LEFT(MAIN!E645, IFERROR(FIND(",", MAIN!E645)-1, LEN(MAIN!E645))), " ", ""), lookup_values!$D$2:$E$197, 2, FALSE)))))</f>
        <v>--</v>
      </c>
      <c r="F645" t="str">
        <f>IF(ISBLANK(MAIN!F645), "", IF(AND(ISNUMBER(VALUE(TRIM(MAIN!F645))), LEN(TRIM(MAIN!F645))=4), VALUE(TRIM(MAIN!F645)), ""))</f>
        <v/>
      </c>
      <c r="G645">
        <f>IF(ISBLANK(MAIN!G645), 0, IF(ISNUMBER(VALUE(TRIM(MAIN!G645))), VALUE(TRIM(MAIN!G645)), 0))</f>
        <v>0</v>
      </c>
      <c r="H645">
        <f>IF(ISBLANK(MAIN!H645), 0, IF(ISNUMBER(VALUE(TRIM(MAIN!H645))), VALUE(TRIM(MAIN!H645)), 0))</f>
        <v>0</v>
      </c>
      <c r="I645">
        <f>IF(ISBLANK(MAIN!I645), 0, IF(ISNUMBER(VALUE(TRIM(MAIN!I645))), VALUE(TRIM(MAIN!I645)), 0))</f>
        <v>0</v>
      </c>
      <c r="J645">
        <f>IF(ISBLANK(MAIN!J645), 0, IF(ISNUMBER(VALUE(TRIM(MAIN!J645))), VALUE(TRIM(MAIN!J645)), 0))</f>
        <v>0</v>
      </c>
      <c r="K645" cm="1">
        <f t="array" ref="K645">IFERROR(
    VALUE(
        IFERROR(
            UPPER(
                IF(MAX(IFERROR(SEARCH("WD",MAIN!G645:J645), 0))&gt;0, "WD",
                IF(MAX(IFERROR(SEARCH("NS",MAIN!G645:J645), 0))&gt;0, "NS",
                IF(MAX(IFERROR(SEARCH("NC",MAIN!G645:J645), 0))&gt;0, "NC",
                IF(MAX(IFERROR(SEARCH("DQ",MAIN!G645:J645), 0))&gt;0, "DQ",
                IF(ISNUMBER(SEARCH("WD",MAIN!K645)), "WD",
                IF(ISNUMBER(SEARCH("NS",MAIN!K645)), "NS",
                IF(ISNUMBER(SEARCH("NC",MAIN!K645)), "NC",
                IF(ISNUMBER(SEARCH("DQ",MAIN!K645)), "DQ",
                IF(ISNUMBER(SEARCH("A",MAIN!K645)), 0,
                IF(OR(MAIN!K645=0,MAIN!K645=""), 0, --TRIM(MAIN!K645)))))))))))),
            0
        )
    ),
    IFERROR(
        UPPER(
            IF(MAX(IFERROR(SEARCH("WD",MAIN!G645:J645), 0))&gt;0, "WD",
            IF(MAX(IFERROR(SEARCH("NS",MAIN!G645:J645), 0))&gt;0, "NS",
            IF(MAX(IFERROR(SEARCH("NC",MAIN!G645:J645), 0))&gt;0, "NC",
            IF(MAX(IFERROR(SEARCH("DQ",MAIN!G645:J645), 0))&gt;0, "DQ",
            IF(ISNUMBER(SEARCH("WD",MAIN!K645)), "WD",
            IF(ISNUMBER(SEARCH("NS",MAIN!K645)), "NS",
            IF(ISNUMBER(SEARCH("NC",MAIN!K645)), "NC",
            IF(ISNUMBER(SEARCH("DQ",MAIN!K645)), "DQ",
            IF(ISNUMBER(SEARCH("A",MAIN!K645)), 0,
            IF(OR(MAIN!K645=0,MAIN!K645=""), 0, --TRIM(MAIN!K645)))))))))))),
        0
    )
)</f>
        <v>0</v>
      </c>
    </row>
    <row r="646" spans="1:11" x14ac:dyDescent="0.25">
      <c r="A646" t="str">
        <f>IF(ISBLANK(MAIN!A646), "--", IFERROR(PROPER(SUBSTITUTE(SUBSTITUTE(SUBSTITUTE(SUBSTITUTE(SUBSTITUTE(SUBSTITUTE(SUBSTITUTE(SUBSTITUTE(SUBSTITUTE(SUBSTITUTE(LEFT(MAIN!A646, FIND(",",MAIN!A646) -1), "0", ""), "1", ""), "2", ""), "3", ""), "4", ""), "5", ""), "6", ""), "7", ""), "8", ""), "9", "")), PROPER(SUBSTITUTE(SUBSTITUTE(SUBSTITUTE(SUBSTITUTE(SUBSTITUTE(SUBSTITUTE(SUBSTITUTE(SUBSTITUTE(SUBSTITUTE(SUBSTITUTE(MAIN!A646, "0", ""), "1", ""), "2", ""), "3", ""), "4", ""), "5", ""), "6", ""), "7", ""), "8", ""), "9", ""))))</f>
        <v>--</v>
      </c>
      <c r="B646" t="str">
        <f>IF(ISBLANK(MAIN!B646), "--", IFERROR(PROPER(SUBSTITUTE(SUBSTITUTE(SUBSTITUTE(SUBSTITUTE(SUBSTITUTE(SUBSTITUTE(SUBSTITUTE(SUBSTITUTE(SUBSTITUTE(SUBSTITUTE(LEFT(MAIN!B646, FIND(",",MAIN!B646) -1), "0", ""), "1", ""), "2", ""), "3", ""), "4", ""), "5", ""), "6", ""), "7", ""), "8", ""), "9", "")), PROPER(SUBSTITUTE(SUBSTITUTE(SUBSTITUTE(SUBSTITUTE(SUBSTITUTE(SUBSTITUTE(SUBSTITUTE(SUBSTITUTE(SUBSTITUTE(SUBSTITUTE(MAIN!B646, "0", ""), "1", ""), "2", ""), "3", ""), "4", ""), "5", ""), "6", ""), "7", ""), "8", ""), "9", ""))))</f>
        <v>--</v>
      </c>
      <c r="C646" t="str">
        <f>IF(ISBLANK(MAIN!C646), "--", IFERROR(PROPER(SUBSTITUTE(SUBSTITUTE(SUBSTITUTE(SUBSTITUTE(SUBSTITUTE(SUBSTITUTE(SUBSTITUTE(SUBSTITUTE(SUBSTITUTE(SUBSTITUTE(LEFT(MAIN!C646, FIND(",",MAIN!C646) -1), "0", ""), "1", ""), "2", ""), "3", ""), "4", ""), "5", ""), "6", ""), "7", ""), "8", ""), "9", "")), PROPER(SUBSTITUTE(SUBSTITUTE(SUBSTITUTE(SUBSTITUTE(SUBSTITUTE(SUBSTITUTE(SUBSTITUTE(SUBSTITUTE(SUBSTITUTE(SUBSTITUTE(MAIN!C646, "0", ""), "1", ""), "2", ""), "3", ""), "4", ""), "5", ""), "6", ""), "7", ""), "8", ""), "9", ""))))</f>
        <v>--</v>
      </c>
      <c r="D646" t="str">
        <f>IF(ISBLANK(MAIN!D646), "--", IF(ISNUMBER(MATCH(SUBSTITUTE(LEFT(MAIN!D646, IFERROR(FIND(",", MAIN!D646)-1, LEN(MAIN!D646))), " ", ""), lookup_values!$B$2:$B$51, 0)), UPPER(SUBSTITUTE(LEFT(MAIN!D646, IFERROR(FIND(",", MAIN!D646)-1, LEN(MAIN!D646))), " ", "")), IF(ISNA(VLOOKUP(SUBSTITUTE(LEFT(MAIN!D646, IFERROR(FIND(",", MAIN!D646)-1, LEN(MAIN!D646))), " ", ""), lookup_values!$A$2:$B$51, 2, FALSE)), "--", VLOOKUP(SUBSTITUTE(LEFT(MAIN!D646, IFERROR(FIND(",", MAIN!D646)-1, LEN(MAIN!D646))), " ", ""), lookup_values!$A$2:$B$51, 2, FALSE))))</f>
        <v>--</v>
      </c>
      <c r="E646" t="str">
        <f>IF(CLEAN_DATA!D646&lt;&gt;"--","US",IF(ISBLANK(MAIN!E646), "--", IF(ISNUMBER(MATCH(SUBSTITUTE(LEFT(MAIN!E646, IFERROR(FIND(",", MAIN!E646)-1, LEN(MAIN!E646))), " ", ""), lookup_values!$E$2:$E$197, 0)), UPPER(SUBSTITUTE(LEFT(MAIN!E646, IFERROR(FIND(",", MAIN!E646)-1, LEN(MAIN!E646))), " ", "")), IF(ISNA(VLOOKUP(SUBSTITUTE(LEFT(MAIN!E646, IFERROR(FIND(",", MAIN!E646)-1, LEN(MAIN!E646))), " ", ""), lookup_values!$D$2:$E$197, 2, FALSE)), "--", VLOOKUP(SUBSTITUTE(LEFT(MAIN!E646, IFERROR(FIND(",", MAIN!E646)-1, LEN(MAIN!E646))), " ", ""), lookup_values!$D$2:$E$197, 2, FALSE)))))</f>
        <v>--</v>
      </c>
      <c r="F646" t="str">
        <f>IF(ISBLANK(MAIN!F646), "", IF(AND(ISNUMBER(VALUE(TRIM(MAIN!F646))), LEN(TRIM(MAIN!F646))=4), VALUE(TRIM(MAIN!F646)), ""))</f>
        <v/>
      </c>
      <c r="G646">
        <f>IF(ISBLANK(MAIN!G646), 0, IF(ISNUMBER(VALUE(TRIM(MAIN!G646))), VALUE(TRIM(MAIN!G646)), 0))</f>
        <v>0</v>
      </c>
      <c r="H646">
        <f>IF(ISBLANK(MAIN!H646), 0, IF(ISNUMBER(VALUE(TRIM(MAIN!H646))), VALUE(TRIM(MAIN!H646)), 0))</f>
        <v>0</v>
      </c>
      <c r="I646">
        <f>IF(ISBLANK(MAIN!I646), 0, IF(ISNUMBER(VALUE(TRIM(MAIN!I646))), VALUE(TRIM(MAIN!I646)), 0))</f>
        <v>0</v>
      </c>
      <c r="J646">
        <f>IF(ISBLANK(MAIN!J646), 0, IF(ISNUMBER(VALUE(TRIM(MAIN!J646))), VALUE(TRIM(MAIN!J646)), 0))</f>
        <v>0</v>
      </c>
      <c r="K646" cm="1">
        <f t="array" ref="K646">IFERROR(
    VALUE(
        IFERROR(
            UPPER(
                IF(MAX(IFERROR(SEARCH("WD",MAIN!G646:J646), 0))&gt;0, "WD",
                IF(MAX(IFERROR(SEARCH("NS",MAIN!G646:J646), 0))&gt;0, "NS",
                IF(MAX(IFERROR(SEARCH("NC",MAIN!G646:J646), 0))&gt;0, "NC",
                IF(MAX(IFERROR(SEARCH("DQ",MAIN!G646:J646), 0))&gt;0, "DQ",
                IF(ISNUMBER(SEARCH("WD",MAIN!K646)), "WD",
                IF(ISNUMBER(SEARCH("NS",MAIN!K646)), "NS",
                IF(ISNUMBER(SEARCH("NC",MAIN!K646)), "NC",
                IF(ISNUMBER(SEARCH("DQ",MAIN!K646)), "DQ",
                IF(ISNUMBER(SEARCH("A",MAIN!K646)), 0,
                IF(OR(MAIN!K646=0,MAIN!K646=""), 0, --TRIM(MAIN!K646)))))))))))),
            0
        )
    ),
    IFERROR(
        UPPER(
            IF(MAX(IFERROR(SEARCH("WD",MAIN!G646:J646), 0))&gt;0, "WD",
            IF(MAX(IFERROR(SEARCH("NS",MAIN!G646:J646), 0))&gt;0, "NS",
            IF(MAX(IFERROR(SEARCH("NC",MAIN!G646:J646), 0))&gt;0, "NC",
            IF(MAX(IFERROR(SEARCH("DQ",MAIN!G646:J646), 0))&gt;0, "DQ",
            IF(ISNUMBER(SEARCH("WD",MAIN!K646)), "WD",
            IF(ISNUMBER(SEARCH("NS",MAIN!K646)), "NS",
            IF(ISNUMBER(SEARCH("NC",MAIN!K646)), "NC",
            IF(ISNUMBER(SEARCH("DQ",MAIN!K646)), "DQ",
            IF(ISNUMBER(SEARCH("A",MAIN!K646)), 0,
            IF(OR(MAIN!K646=0,MAIN!K646=""), 0, --TRIM(MAIN!K646)))))))))))),
        0
    )
)</f>
        <v>0</v>
      </c>
    </row>
    <row r="647" spans="1:11" x14ac:dyDescent="0.25">
      <c r="A647" t="str">
        <f>IF(ISBLANK(MAIN!A647), "--", IFERROR(PROPER(SUBSTITUTE(SUBSTITUTE(SUBSTITUTE(SUBSTITUTE(SUBSTITUTE(SUBSTITUTE(SUBSTITUTE(SUBSTITUTE(SUBSTITUTE(SUBSTITUTE(LEFT(MAIN!A647, FIND(",",MAIN!A647) -1), "0", ""), "1", ""), "2", ""), "3", ""), "4", ""), "5", ""), "6", ""), "7", ""), "8", ""), "9", "")), PROPER(SUBSTITUTE(SUBSTITUTE(SUBSTITUTE(SUBSTITUTE(SUBSTITUTE(SUBSTITUTE(SUBSTITUTE(SUBSTITUTE(SUBSTITUTE(SUBSTITUTE(MAIN!A647, "0", ""), "1", ""), "2", ""), "3", ""), "4", ""), "5", ""), "6", ""), "7", ""), "8", ""), "9", ""))))</f>
        <v>--</v>
      </c>
      <c r="B647" t="str">
        <f>IF(ISBLANK(MAIN!B647), "--", IFERROR(PROPER(SUBSTITUTE(SUBSTITUTE(SUBSTITUTE(SUBSTITUTE(SUBSTITUTE(SUBSTITUTE(SUBSTITUTE(SUBSTITUTE(SUBSTITUTE(SUBSTITUTE(LEFT(MAIN!B647, FIND(",",MAIN!B647) -1), "0", ""), "1", ""), "2", ""), "3", ""), "4", ""), "5", ""), "6", ""), "7", ""), "8", ""), "9", "")), PROPER(SUBSTITUTE(SUBSTITUTE(SUBSTITUTE(SUBSTITUTE(SUBSTITUTE(SUBSTITUTE(SUBSTITUTE(SUBSTITUTE(SUBSTITUTE(SUBSTITUTE(MAIN!B647, "0", ""), "1", ""), "2", ""), "3", ""), "4", ""), "5", ""), "6", ""), "7", ""), "8", ""), "9", ""))))</f>
        <v>--</v>
      </c>
      <c r="C647" t="str">
        <f>IF(ISBLANK(MAIN!C647), "--", IFERROR(PROPER(SUBSTITUTE(SUBSTITUTE(SUBSTITUTE(SUBSTITUTE(SUBSTITUTE(SUBSTITUTE(SUBSTITUTE(SUBSTITUTE(SUBSTITUTE(SUBSTITUTE(LEFT(MAIN!C647, FIND(",",MAIN!C647) -1), "0", ""), "1", ""), "2", ""), "3", ""), "4", ""), "5", ""), "6", ""), "7", ""), "8", ""), "9", "")), PROPER(SUBSTITUTE(SUBSTITUTE(SUBSTITUTE(SUBSTITUTE(SUBSTITUTE(SUBSTITUTE(SUBSTITUTE(SUBSTITUTE(SUBSTITUTE(SUBSTITUTE(MAIN!C647, "0", ""), "1", ""), "2", ""), "3", ""), "4", ""), "5", ""), "6", ""), "7", ""), "8", ""), "9", ""))))</f>
        <v>--</v>
      </c>
      <c r="D647" t="str">
        <f>IF(ISBLANK(MAIN!D647), "--", IF(ISNUMBER(MATCH(SUBSTITUTE(LEFT(MAIN!D647, IFERROR(FIND(",", MAIN!D647)-1, LEN(MAIN!D647))), " ", ""), lookup_values!$B$2:$B$51, 0)), UPPER(SUBSTITUTE(LEFT(MAIN!D647, IFERROR(FIND(",", MAIN!D647)-1, LEN(MAIN!D647))), " ", "")), IF(ISNA(VLOOKUP(SUBSTITUTE(LEFT(MAIN!D647, IFERROR(FIND(",", MAIN!D647)-1, LEN(MAIN!D647))), " ", ""), lookup_values!$A$2:$B$51, 2, FALSE)), "--", VLOOKUP(SUBSTITUTE(LEFT(MAIN!D647, IFERROR(FIND(",", MAIN!D647)-1, LEN(MAIN!D647))), " ", ""), lookup_values!$A$2:$B$51, 2, FALSE))))</f>
        <v>--</v>
      </c>
      <c r="E647" t="str">
        <f>IF(CLEAN_DATA!D647&lt;&gt;"--","US",IF(ISBLANK(MAIN!E647), "--", IF(ISNUMBER(MATCH(SUBSTITUTE(LEFT(MAIN!E647, IFERROR(FIND(",", MAIN!E647)-1, LEN(MAIN!E647))), " ", ""), lookup_values!$E$2:$E$197, 0)), UPPER(SUBSTITUTE(LEFT(MAIN!E647, IFERROR(FIND(",", MAIN!E647)-1, LEN(MAIN!E647))), " ", "")), IF(ISNA(VLOOKUP(SUBSTITUTE(LEFT(MAIN!E647, IFERROR(FIND(",", MAIN!E647)-1, LEN(MAIN!E647))), " ", ""), lookup_values!$D$2:$E$197, 2, FALSE)), "--", VLOOKUP(SUBSTITUTE(LEFT(MAIN!E647, IFERROR(FIND(",", MAIN!E647)-1, LEN(MAIN!E647))), " ", ""), lookup_values!$D$2:$E$197, 2, FALSE)))))</f>
        <v>--</v>
      </c>
      <c r="F647" t="str">
        <f>IF(ISBLANK(MAIN!F647), "", IF(AND(ISNUMBER(VALUE(TRIM(MAIN!F647))), LEN(TRIM(MAIN!F647))=4), VALUE(TRIM(MAIN!F647)), ""))</f>
        <v/>
      </c>
      <c r="G647">
        <f>IF(ISBLANK(MAIN!G647), 0, IF(ISNUMBER(VALUE(TRIM(MAIN!G647))), VALUE(TRIM(MAIN!G647)), 0))</f>
        <v>0</v>
      </c>
      <c r="H647">
        <f>IF(ISBLANK(MAIN!H647), 0, IF(ISNUMBER(VALUE(TRIM(MAIN!H647))), VALUE(TRIM(MAIN!H647)), 0))</f>
        <v>0</v>
      </c>
      <c r="I647">
        <f>IF(ISBLANK(MAIN!I647), 0, IF(ISNUMBER(VALUE(TRIM(MAIN!I647))), VALUE(TRIM(MAIN!I647)), 0))</f>
        <v>0</v>
      </c>
      <c r="J647">
        <f>IF(ISBLANK(MAIN!J647), 0, IF(ISNUMBER(VALUE(TRIM(MAIN!J647))), VALUE(TRIM(MAIN!J647)), 0))</f>
        <v>0</v>
      </c>
      <c r="K647" cm="1">
        <f t="array" ref="K647">IFERROR(
    VALUE(
        IFERROR(
            UPPER(
                IF(MAX(IFERROR(SEARCH("WD",MAIN!G647:J647), 0))&gt;0, "WD",
                IF(MAX(IFERROR(SEARCH("NS",MAIN!G647:J647), 0))&gt;0, "NS",
                IF(MAX(IFERROR(SEARCH("NC",MAIN!G647:J647), 0))&gt;0, "NC",
                IF(MAX(IFERROR(SEARCH("DQ",MAIN!G647:J647), 0))&gt;0, "DQ",
                IF(ISNUMBER(SEARCH("WD",MAIN!K647)), "WD",
                IF(ISNUMBER(SEARCH("NS",MAIN!K647)), "NS",
                IF(ISNUMBER(SEARCH("NC",MAIN!K647)), "NC",
                IF(ISNUMBER(SEARCH("DQ",MAIN!K647)), "DQ",
                IF(ISNUMBER(SEARCH("A",MAIN!K647)), 0,
                IF(OR(MAIN!K647=0,MAIN!K647=""), 0, --TRIM(MAIN!K647)))))))))))),
            0
        )
    ),
    IFERROR(
        UPPER(
            IF(MAX(IFERROR(SEARCH("WD",MAIN!G647:J647), 0))&gt;0, "WD",
            IF(MAX(IFERROR(SEARCH("NS",MAIN!G647:J647), 0))&gt;0, "NS",
            IF(MAX(IFERROR(SEARCH("NC",MAIN!G647:J647), 0))&gt;0, "NC",
            IF(MAX(IFERROR(SEARCH("DQ",MAIN!G647:J647), 0))&gt;0, "DQ",
            IF(ISNUMBER(SEARCH("WD",MAIN!K647)), "WD",
            IF(ISNUMBER(SEARCH("NS",MAIN!K647)), "NS",
            IF(ISNUMBER(SEARCH("NC",MAIN!K647)), "NC",
            IF(ISNUMBER(SEARCH("DQ",MAIN!K647)), "DQ",
            IF(ISNUMBER(SEARCH("A",MAIN!K647)), 0,
            IF(OR(MAIN!K647=0,MAIN!K647=""), 0, --TRIM(MAIN!K647)))))))))))),
        0
    )
)</f>
        <v>0</v>
      </c>
    </row>
    <row r="648" spans="1:11" x14ac:dyDescent="0.25">
      <c r="A648" t="str">
        <f>IF(ISBLANK(MAIN!A648), "--", IFERROR(PROPER(SUBSTITUTE(SUBSTITUTE(SUBSTITUTE(SUBSTITUTE(SUBSTITUTE(SUBSTITUTE(SUBSTITUTE(SUBSTITUTE(SUBSTITUTE(SUBSTITUTE(LEFT(MAIN!A648, FIND(",",MAIN!A648) -1), "0", ""), "1", ""), "2", ""), "3", ""), "4", ""), "5", ""), "6", ""), "7", ""), "8", ""), "9", "")), PROPER(SUBSTITUTE(SUBSTITUTE(SUBSTITUTE(SUBSTITUTE(SUBSTITUTE(SUBSTITUTE(SUBSTITUTE(SUBSTITUTE(SUBSTITUTE(SUBSTITUTE(MAIN!A648, "0", ""), "1", ""), "2", ""), "3", ""), "4", ""), "5", ""), "6", ""), "7", ""), "8", ""), "9", ""))))</f>
        <v>--</v>
      </c>
      <c r="B648" t="str">
        <f>IF(ISBLANK(MAIN!B648), "--", IFERROR(PROPER(SUBSTITUTE(SUBSTITUTE(SUBSTITUTE(SUBSTITUTE(SUBSTITUTE(SUBSTITUTE(SUBSTITUTE(SUBSTITUTE(SUBSTITUTE(SUBSTITUTE(LEFT(MAIN!B648, FIND(",",MAIN!B648) -1), "0", ""), "1", ""), "2", ""), "3", ""), "4", ""), "5", ""), "6", ""), "7", ""), "8", ""), "9", "")), PROPER(SUBSTITUTE(SUBSTITUTE(SUBSTITUTE(SUBSTITUTE(SUBSTITUTE(SUBSTITUTE(SUBSTITUTE(SUBSTITUTE(SUBSTITUTE(SUBSTITUTE(MAIN!B648, "0", ""), "1", ""), "2", ""), "3", ""), "4", ""), "5", ""), "6", ""), "7", ""), "8", ""), "9", ""))))</f>
        <v>--</v>
      </c>
      <c r="C648" t="str">
        <f>IF(ISBLANK(MAIN!C648), "--", IFERROR(PROPER(SUBSTITUTE(SUBSTITUTE(SUBSTITUTE(SUBSTITUTE(SUBSTITUTE(SUBSTITUTE(SUBSTITUTE(SUBSTITUTE(SUBSTITUTE(SUBSTITUTE(LEFT(MAIN!C648, FIND(",",MAIN!C648) -1), "0", ""), "1", ""), "2", ""), "3", ""), "4", ""), "5", ""), "6", ""), "7", ""), "8", ""), "9", "")), PROPER(SUBSTITUTE(SUBSTITUTE(SUBSTITUTE(SUBSTITUTE(SUBSTITUTE(SUBSTITUTE(SUBSTITUTE(SUBSTITUTE(SUBSTITUTE(SUBSTITUTE(MAIN!C648, "0", ""), "1", ""), "2", ""), "3", ""), "4", ""), "5", ""), "6", ""), "7", ""), "8", ""), "9", ""))))</f>
        <v>--</v>
      </c>
      <c r="D648" t="str">
        <f>IF(ISBLANK(MAIN!D648), "--", IF(ISNUMBER(MATCH(SUBSTITUTE(LEFT(MAIN!D648, IFERROR(FIND(",", MAIN!D648)-1, LEN(MAIN!D648))), " ", ""), lookup_values!$B$2:$B$51, 0)), UPPER(SUBSTITUTE(LEFT(MAIN!D648, IFERROR(FIND(",", MAIN!D648)-1, LEN(MAIN!D648))), " ", "")), IF(ISNA(VLOOKUP(SUBSTITUTE(LEFT(MAIN!D648, IFERROR(FIND(",", MAIN!D648)-1, LEN(MAIN!D648))), " ", ""), lookup_values!$A$2:$B$51, 2, FALSE)), "--", VLOOKUP(SUBSTITUTE(LEFT(MAIN!D648, IFERROR(FIND(",", MAIN!D648)-1, LEN(MAIN!D648))), " ", ""), lookup_values!$A$2:$B$51, 2, FALSE))))</f>
        <v>--</v>
      </c>
      <c r="E648" t="str">
        <f>IF(CLEAN_DATA!D648&lt;&gt;"--","US",IF(ISBLANK(MAIN!E648), "--", IF(ISNUMBER(MATCH(SUBSTITUTE(LEFT(MAIN!E648, IFERROR(FIND(",", MAIN!E648)-1, LEN(MAIN!E648))), " ", ""), lookup_values!$E$2:$E$197, 0)), UPPER(SUBSTITUTE(LEFT(MAIN!E648, IFERROR(FIND(",", MAIN!E648)-1, LEN(MAIN!E648))), " ", "")), IF(ISNA(VLOOKUP(SUBSTITUTE(LEFT(MAIN!E648, IFERROR(FIND(",", MAIN!E648)-1, LEN(MAIN!E648))), " ", ""), lookup_values!$D$2:$E$197, 2, FALSE)), "--", VLOOKUP(SUBSTITUTE(LEFT(MAIN!E648, IFERROR(FIND(",", MAIN!E648)-1, LEN(MAIN!E648))), " ", ""), lookup_values!$D$2:$E$197, 2, FALSE)))))</f>
        <v>--</v>
      </c>
      <c r="F648" t="str">
        <f>IF(ISBLANK(MAIN!F648), "", IF(AND(ISNUMBER(VALUE(TRIM(MAIN!F648))), LEN(TRIM(MAIN!F648))=4), VALUE(TRIM(MAIN!F648)), ""))</f>
        <v/>
      </c>
      <c r="G648">
        <f>IF(ISBLANK(MAIN!G648), 0, IF(ISNUMBER(VALUE(TRIM(MAIN!G648))), VALUE(TRIM(MAIN!G648)), 0))</f>
        <v>0</v>
      </c>
      <c r="H648">
        <f>IF(ISBLANK(MAIN!H648), 0, IF(ISNUMBER(VALUE(TRIM(MAIN!H648))), VALUE(TRIM(MAIN!H648)), 0))</f>
        <v>0</v>
      </c>
      <c r="I648">
        <f>IF(ISBLANK(MAIN!I648), 0, IF(ISNUMBER(VALUE(TRIM(MAIN!I648))), VALUE(TRIM(MAIN!I648)), 0))</f>
        <v>0</v>
      </c>
      <c r="J648">
        <f>IF(ISBLANK(MAIN!J648), 0, IF(ISNUMBER(VALUE(TRIM(MAIN!J648))), VALUE(TRIM(MAIN!J648)), 0))</f>
        <v>0</v>
      </c>
      <c r="K648" cm="1">
        <f t="array" ref="K648">IFERROR(
    VALUE(
        IFERROR(
            UPPER(
                IF(MAX(IFERROR(SEARCH("WD",MAIN!G648:J648), 0))&gt;0, "WD",
                IF(MAX(IFERROR(SEARCH("NS",MAIN!G648:J648), 0))&gt;0, "NS",
                IF(MAX(IFERROR(SEARCH("NC",MAIN!G648:J648), 0))&gt;0, "NC",
                IF(MAX(IFERROR(SEARCH("DQ",MAIN!G648:J648), 0))&gt;0, "DQ",
                IF(ISNUMBER(SEARCH("WD",MAIN!K648)), "WD",
                IF(ISNUMBER(SEARCH("NS",MAIN!K648)), "NS",
                IF(ISNUMBER(SEARCH("NC",MAIN!K648)), "NC",
                IF(ISNUMBER(SEARCH("DQ",MAIN!K648)), "DQ",
                IF(ISNUMBER(SEARCH("A",MAIN!K648)), 0,
                IF(OR(MAIN!K648=0,MAIN!K648=""), 0, --TRIM(MAIN!K648)))))))))))),
            0
        )
    ),
    IFERROR(
        UPPER(
            IF(MAX(IFERROR(SEARCH("WD",MAIN!G648:J648), 0))&gt;0, "WD",
            IF(MAX(IFERROR(SEARCH("NS",MAIN!G648:J648), 0))&gt;0, "NS",
            IF(MAX(IFERROR(SEARCH("NC",MAIN!G648:J648), 0))&gt;0, "NC",
            IF(MAX(IFERROR(SEARCH("DQ",MAIN!G648:J648), 0))&gt;0, "DQ",
            IF(ISNUMBER(SEARCH("WD",MAIN!K648)), "WD",
            IF(ISNUMBER(SEARCH("NS",MAIN!K648)), "NS",
            IF(ISNUMBER(SEARCH("NC",MAIN!K648)), "NC",
            IF(ISNUMBER(SEARCH("DQ",MAIN!K648)), "DQ",
            IF(ISNUMBER(SEARCH("A",MAIN!K648)), 0,
            IF(OR(MAIN!K648=0,MAIN!K648=""), 0, --TRIM(MAIN!K648)))))))))))),
        0
    )
)</f>
        <v>0</v>
      </c>
    </row>
    <row r="649" spans="1:11" x14ac:dyDescent="0.25">
      <c r="A649" t="str">
        <f>IF(ISBLANK(MAIN!A649), "--", IFERROR(PROPER(SUBSTITUTE(SUBSTITUTE(SUBSTITUTE(SUBSTITUTE(SUBSTITUTE(SUBSTITUTE(SUBSTITUTE(SUBSTITUTE(SUBSTITUTE(SUBSTITUTE(LEFT(MAIN!A649, FIND(",",MAIN!A649) -1), "0", ""), "1", ""), "2", ""), "3", ""), "4", ""), "5", ""), "6", ""), "7", ""), "8", ""), "9", "")), PROPER(SUBSTITUTE(SUBSTITUTE(SUBSTITUTE(SUBSTITUTE(SUBSTITUTE(SUBSTITUTE(SUBSTITUTE(SUBSTITUTE(SUBSTITUTE(SUBSTITUTE(MAIN!A649, "0", ""), "1", ""), "2", ""), "3", ""), "4", ""), "5", ""), "6", ""), "7", ""), "8", ""), "9", ""))))</f>
        <v>--</v>
      </c>
      <c r="B649" t="str">
        <f>IF(ISBLANK(MAIN!B649), "--", IFERROR(PROPER(SUBSTITUTE(SUBSTITUTE(SUBSTITUTE(SUBSTITUTE(SUBSTITUTE(SUBSTITUTE(SUBSTITUTE(SUBSTITUTE(SUBSTITUTE(SUBSTITUTE(LEFT(MAIN!B649, FIND(",",MAIN!B649) -1), "0", ""), "1", ""), "2", ""), "3", ""), "4", ""), "5", ""), "6", ""), "7", ""), "8", ""), "9", "")), PROPER(SUBSTITUTE(SUBSTITUTE(SUBSTITUTE(SUBSTITUTE(SUBSTITUTE(SUBSTITUTE(SUBSTITUTE(SUBSTITUTE(SUBSTITUTE(SUBSTITUTE(MAIN!B649, "0", ""), "1", ""), "2", ""), "3", ""), "4", ""), "5", ""), "6", ""), "7", ""), "8", ""), "9", ""))))</f>
        <v>--</v>
      </c>
      <c r="C649" t="str">
        <f>IF(ISBLANK(MAIN!C649), "--", IFERROR(PROPER(SUBSTITUTE(SUBSTITUTE(SUBSTITUTE(SUBSTITUTE(SUBSTITUTE(SUBSTITUTE(SUBSTITUTE(SUBSTITUTE(SUBSTITUTE(SUBSTITUTE(LEFT(MAIN!C649, FIND(",",MAIN!C649) -1), "0", ""), "1", ""), "2", ""), "3", ""), "4", ""), "5", ""), "6", ""), "7", ""), "8", ""), "9", "")), PROPER(SUBSTITUTE(SUBSTITUTE(SUBSTITUTE(SUBSTITUTE(SUBSTITUTE(SUBSTITUTE(SUBSTITUTE(SUBSTITUTE(SUBSTITUTE(SUBSTITUTE(MAIN!C649, "0", ""), "1", ""), "2", ""), "3", ""), "4", ""), "5", ""), "6", ""), "7", ""), "8", ""), "9", ""))))</f>
        <v>--</v>
      </c>
      <c r="D649" t="str">
        <f>IF(ISBLANK(MAIN!D649), "--", IF(ISNUMBER(MATCH(SUBSTITUTE(LEFT(MAIN!D649, IFERROR(FIND(",", MAIN!D649)-1, LEN(MAIN!D649))), " ", ""), lookup_values!$B$2:$B$51, 0)), UPPER(SUBSTITUTE(LEFT(MAIN!D649, IFERROR(FIND(",", MAIN!D649)-1, LEN(MAIN!D649))), " ", "")), IF(ISNA(VLOOKUP(SUBSTITUTE(LEFT(MAIN!D649, IFERROR(FIND(",", MAIN!D649)-1, LEN(MAIN!D649))), " ", ""), lookup_values!$A$2:$B$51, 2, FALSE)), "--", VLOOKUP(SUBSTITUTE(LEFT(MAIN!D649, IFERROR(FIND(",", MAIN!D649)-1, LEN(MAIN!D649))), " ", ""), lookup_values!$A$2:$B$51, 2, FALSE))))</f>
        <v>--</v>
      </c>
      <c r="E649" t="str">
        <f>IF(CLEAN_DATA!D649&lt;&gt;"--","US",IF(ISBLANK(MAIN!E649), "--", IF(ISNUMBER(MATCH(SUBSTITUTE(LEFT(MAIN!E649, IFERROR(FIND(",", MAIN!E649)-1, LEN(MAIN!E649))), " ", ""), lookup_values!$E$2:$E$197, 0)), UPPER(SUBSTITUTE(LEFT(MAIN!E649, IFERROR(FIND(",", MAIN!E649)-1, LEN(MAIN!E649))), " ", "")), IF(ISNA(VLOOKUP(SUBSTITUTE(LEFT(MAIN!E649, IFERROR(FIND(",", MAIN!E649)-1, LEN(MAIN!E649))), " ", ""), lookup_values!$D$2:$E$197, 2, FALSE)), "--", VLOOKUP(SUBSTITUTE(LEFT(MAIN!E649, IFERROR(FIND(",", MAIN!E649)-1, LEN(MAIN!E649))), " ", ""), lookup_values!$D$2:$E$197, 2, FALSE)))))</f>
        <v>--</v>
      </c>
      <c r="F649" t="str">
        <f>IF(ISBLANK(MAIN!F649), "", IF(AND(ISNUMBER(VALUE(TRIM(MAIN!F649))), LEN(TRIM(MAIN!F649))=4), VALUE(TRIM(MAIN!F649)), ""))</f>
        <v/>
      </c>
      <c r="G649">
        <f>IF(ISBLANK(MAIN!G649), 0, IF(ISNUMBER(VALUE(TRIM(MAIN!G649))), VALUE(TRIM(MAIN!G649)), 0))</f>
        <v>0</v>
      </c>
      <c r="H649">
        <f>IF(ISBLANK(MAIN!H649), 0, IF(ISNUMBER(VALUE(TRIM(MAIN!H649))), VALUE(TRIM(MAIN!H649)), 0))</f>
        <v>0</v>
      </c>
      <c r="I649">
        <f>IF(ISBLANK(MAIN!I649), 0, IF(ISNUMBER(VALUE(TRIM(MAIN!I649))), VALUE(TRIM(MAIN!I649)), 0))</f>
        <v>0</v>
      </c>
      <c r="J649">
        <f>IF(ISBLANK(MAIN!J649), 0, IF(ISNUMBER(VALUE(TRIM(MAIN!J649))), VALUE(TRIM(MAIN!J649)), 0))</f>
        <v>0</v>
      </c>
      <c r="K649" cm="1">
        <f t="array" ref="K649">IFERROR(
    VALUE(
        IFERROR(
            UPPER(
                IF(MAX(IFERROR(SEARCH("WD",MAIN!G649:J649), 0))&gt;0, "WD",
                IF(MAX(IFERROR(SEARCH("NS",MAIN!G649:J649), 0))&gt;0, "NS",
                IF(MAX(IFERROR(SEARCH("NC",MAIN!G649:J649), 0))&gt;0, "NC",
                IF(MAX(IFERROR(SEARCH("DQ",MAIN!G649:J649), 0))&gt;0, "DQ",
                IF(ISNUMBER(SEARCH("WD",MAIN!K649)), "WD",
                IF(ISNUMBER(SEARCH("NS",MAIN!K649)), "NS",
                IF(ISNUMBER(SEARCH("NC",MAIN!K649)), "NC",
                IF(ISNUMBER(SEARCH("DQ",MAIN!K649)), "DQ",
                IF(ISNUMBER(SEARCH("A",MAIN!K649)), 0,
                IF(OR(MAIN!K649=0,MAIN!K649=""), 0, --TRIM(MAIN!K649)))))))))))),
            0
        )
    ),
    IFERROR(
        UPPER(
            IF(MAX(IFERROR(SEARCH("WD",MAIN!G649:J649), 0))&gt;0, "WD",
            IF(MAX(IFERROR(SEARCH("NS",MAIN!G649:J649), 0))&gt;0, "NS",
            IF(MAX(IFERROR(SEARCH("NC",MAIN!G649:J649), 0))&gt;0, "NC",
            IF(MAX(IFERROR(SEARCH("DQ",MAIN!G649:J649), 0))&gt;0, "DQ",
            IF(ISNUMBER(SEARCH("WD",MAIN!K649)), "WD",
            IF(ISNUMBER(SEARCH("NS",MAIN!K649)), "NS",
            IF(ISNUMBER(SEARCH("NC",MAIN!K649)), "NC",
            IF(ISNUMBER(SEARCH("DQ",MAIN!K649)), "DQ",
            IF(ISNUMBER(SEARCH("A",MAIN!K649)), 0,
            IF(OR(MAIN!K649=0,MAIN!K649=""), 0, --TRIM(MAIN!K649)))))))))))),
        0
    )
)</f>
        <v>0</v>
      </c>
    </row>
    <row r="650" spans="1:11" x14ac:dyDescent="0.25">
      <c r="A650" t="str">
        <f>IF(ISBLANK(MAIN!A650), "--", IFERROR(PROPER(SUBSTITUTE(SUBSTITUTE(SUBSTITUTE(SUBSTITUTE(SUBSTITUTE(SUBSTITUTE(SUBSTITUTE(SUBSTITUTE(SUBSTITUTE(SUBSTITUTE(LEFT(MAIN!A650, FIND(",",MAIN!A650) -1), "0", ""), "1", ""), "2", ""), "3", ""), "4", ""), "5", ""), "6", ""), "7", ""), "8", ""), "9", "")), PROPER(SUBSTITUTE(SUBSTITUTE(SUBSTITUTE(SUBSTITUTE(SUBSTITUTE(SUBSTITUTE(SUBSTITUTE(SUBSTITUTE(SUBSTITUTE(SUBSTITUTE(MAIN!A650, "0", ""), "1", ""), "2", ""), "3", ""), "4", ""), "5", ""), "6", ""), "7", ""), "8", ""), "9", ""))))</f>
        <v>--</v>
      </c>
      <c r="B650" t="str">
        <f>IF(ISBLANK(MAIN!B650), "--", IFERROR(PROPER(SUBSTITUTE(SUBSTITUTE(SUBSTITUTE(SUBSTITUTE(SUBSTITUTE(SUBSTITUTE(SUBSTITUTE(SUBSTITUTE(SUBSTITUTE(SUBSTITUTE(LEFT(MAIN!B650, FIND(",",MAIN!B650) -1), "0", ""), "1", ""), "2", ""), "3", ""), "4", ""), "5", ""), "6", ""), "7", ""), "8", ""), "9", "")), PROPER(SUBSTITUTE(SUBSTITUTE(SUBSTITUTE(SUBSTITUTE(SUBSTITUTE(SUBSTITUTE(SUBSTITUTE(SUBSTITUTE(SUBSTITUTE(SUBSTITUTE(MAIN!B650, "0", ""), "1", ""), "2", ""), "3", ""), "4", ""), "5", ""), "6", ""), "7", ""), "8", ""), "9", ""))))</f>
        <v>--</v>
      </c>
      <c r="C650" t="str">
        <f>IF(ISBLANK(MAIN!C650), "--", IFERROR(PROPER(SUBSTITUTE(SUBSTITUTE(SUBSTITUTE(SUBSTITUTE(SUBSTITUTE(SUBSTITUTE(SUBSTITUTE(SUBSTITUTE(SUBSTITUTE(SUBSTITUTE(LEFT(MAIN!C650, FIND(",",MAIN!C650) -1), "0", ""), "1", ""), "2", ""), "3", ""), "4", ""), "5", ""), "6", ""), "7", ""), "8", ""), "9", "")), PROPER(SUBSTITUTE(SUBSTITUTE(SUBSTITUTE(SUBSTITUTE(SUBSTITUTE(SUBSTITUTE(SUBSTITUTE(SUBSTITUTE(SUBSTITUTE(SUBSTITUTE(MAIN!C650, "0", ""), "1", ""), "2", ""), "3", ""), "4", ""), "5", ""), "6", ""), "7", ""), "8", ""), "9", ""))))</f>
        <v>--</v>
      </c>
      <c r="D650" t="str">
        <f>IF(ISBLANK(MAIN!D650), "--", IF(ISNUMBER(MATCH(SUBSTITUTE(LEFT(MAIN!D650, IFERROR(FIND(",", MAIN!D650)-1, LEN(MAIN!D650))), " ", ""), lookup_values!$B$2:$B$51, 0)), UPPER(SUBSTITUTE(LEFT(MAIN!D650, IFERROR(FIND(",", MAIN!D650)-1, LEN(MAIN!D650))), " ", "")), IF(ISNA(VLOOKUP(SUBSTITUTE(LEFT(MAIN!D650, IFERROR(FIND(",", MAIN!D650)-1, LEN(MAIN!D650))), " ", ""), lookup_values!$A$2:$B$51, 2, FALSE)), "--", VLOOKUP(SUBSTITUTE(LEFT(MAIN!D650, IFERROR(FIND(",", MAIN!D650)-1, LEN(MAIN!D650))), " ", ""), lookup_values!$A$2:$B$51, 2, FALSE))))</f>
        <v>--</v>
      </c>
      <c r="E650" t="str">
        <f>IF(CLEAN_DATA!D650&lt;&gt;"--","US",IF(ISBLANK(MAIN!E650), "--", IF(ISNUMBER(MATCH(SUBSTITUTE(LEFT(MAIN!E650, IFERROR(FIND(",", MAIN!E650)-1, LEN(MAIN!E650))), " ", ""), lookup_values!$E$2:$E$197, 0)), UPPER(SUBSTITUTE(LEFT(MAIN!E650, IFERROR(FIND(",", MAIN!E650)-1, LEN(MAIN!E650))), " ", "")), IF(ISNA(VLOOKUP(SUBSTITUTE(LEFT(MAIN!E650, IFERROR(FIND(",", MAIN!E650)-1, LEN(MAIN!E650))), " ", ""), lookup_values!$D$2:$E$197, 2, FALSE)), "--", VLOOKUP(SUBSTITUTE(LEFT(MAIN!E650, IFERROR(FIND(",", MAIN!E650)-1, LEN(MAIN!E650))), " ", ""), lookup_values!$D$2:$E$197, 2, FALSE)))))</f>
        <v>--</v>
      </c>
      <c r="F650" t="str">
        <f>IF(ISBLANK(MAIN!F650), "", IF(AND(ISNUMBER(VALUE(TRIM(MAIN!F650))), LEN(TRIM(MAIN!F650))=4), VALUE(TRIM(MAIN!F650)), ""))</f>
        <v/>
      </c>
      <c r="G650">
        <f>IF(ISBLANK(MAIN!G650), 0, IF(ISNUMBER(VALUE(TRIM(MAIN!G650))), VALUE(TRIM(MAIN!G650)), 0))</f>
        <v>0</v>
      </c>
      <c r="H650">
        <f>IF(ISBLANK(MAIN!H650), 0, IF(ISNUMBER(VALUE(TRIM(MAIN!H650))), VALUE(TRIM(MAIN!H650)), 0))</f>
        <v>0</v>
      </c>
      <c r="I650">
        <f>IF(ISBLANK(MAIN!I650), 0, IF(ISNUMBER(VALUE(TRIM(MAIN!I650))), VALUE(TRIM(MAIN!I650)), 0))</f>
        <v>0</v>
      </c>
      <c r="J650">
        <f>IF(ISBLANK(MAIN!J650), 0, IF(ISNUMBER(VALUE(TRIM(MAIN!J650))), VALUE(TRIM(MAIN!J650)), 0))</f>
        <v>0</v>
      </c>
      <c r="K650" cm="1">
        <f t="array" ref="K650">IFERROR(
    VALUE(
        IFERROR(
            UPPER(
                IF(MAX(IFERROR(SEARCH("WD",MAIN!G650:J650), 0))&gt;0, "WD",
                IF(MAX(IFERROR(SEARCH("NS",MAIN!G650:J650), 0))&gt;0, "NS",
                IF(MAX(IFERROR(SEARCH("NC",MAIN!G650:J650), 0))&gt;0, "NC",
                IF(MAX(IFERROR(SEARCH("DQ",MAIN!G650:J650), 0))&gt;0, "DQ",
                IF(ISNUMBER(SEARCH("WD",MAIN!K650)), "WD",
                IF(ISNUMBER(SEARCH("NS",MAIN!K650)), "NS",
                IF(ISNUMBER(SEARCH("NC",MAIN!K650)), "NC",
                IF(ISNUMBER(SEARCH("DQ",MAIN!K650)), "DQ",
                IF(ISNUMBER(SEARCH("A",MAIN!K650)), 0,
                IF(OR(MAIN!K650=0,MAIN!K650=""), 0, --TRIM(MAIN!K650)))))))))))),
            0
        )
    ),
    IFERROR(
        UPPER(
            IF(MAX(IFERROR(SEARCH("WD",MAIN!G650:J650), 0))&gt;0, "WD",
            IF(MAX(IFERROR(SEARCH("NS",MAIN!G650:J650), 0))&gt;0, "NS",
            IF(MAX(IFERROR(SEARCH("NC",MAIN!G650:J650), 0))&gt;0, "NC",
            IF(MAX(IFERROR(SEARCH("DQ",MAIN!G650:J650), 0))&gt;0, "DQ",
            IF(ISNUMBER(SEARCH("WD",MAIN!K650)), "WD",
            IF(ISNUMBER(SEARCH("NS",MAIN!K650)), "NS",
            IF(ISNUMBER(SEARCH("NC",MAIN!K650)), "NC",
            IF(ISNUMBER(SEARCH("DQ",MAIN!K650)), "DQ",
            IF(ISNUMBER(SEARCH("A",MAIN!K650)), 0,
            IF(OR(MAIN!K650=0,MAIN!K650=""), 0, --TRIM(MAIN!K650)))))))))))),
        0
    )
)</f>
        <v>0</v>
      </c>
    </row>
    <row r="651" spans="1:11" x14ac:dyDescent="0.25">
      <c r="A651" t="str">
        <f>IF(ISBLANK(MAIN!A651), "--", IFERROR(PROPER(SUBSTITUTE(SUBSTITUTE(SUBSTITUTE(SUBSTITUTE(SUBSTITUTE(SUBSTITUTE(SUBSTITUTE(SUBSTITUTE(SUBSTITUTE(SUBSTITUTE(LEFT(MAIN!A651, FIND(",",MAIN!A651) -1), "0", ""), "1", ""), "2", ""), "3", ""), "4", ""), "5", ""), "6", ""), "7", ""), "8", ""), "9", "")), PROPER(SUBSTITUTE(SUBSTITUTE(SUBSTITUTE(SUBSTITUTE(SUBSTITUTE(SUBSTITUTE(SUBSTITUTE(SUBSTITUTE(SUBSTITUTE(SUBSTITUTE(MAIN!A651, "0", ""), "1", ""), "2", ""), "3", ""), "4", ""), "5", ""), "6", ""), "7", ""), "8", ""), "9", ""))))</f>
        <v>--</v>
      </c>
      <c r="B651" t="str">
        <f>IF(ISBLANK(MAIN!B651), "--", IFERROR(PROPER(SUBSTITUTE(SUBSTITUTE(SUBSTITUTE(SUBSTITUTE(SUBSTITUTE(SUBSTITUTE(SUBSTITUTE(SUBSTITUTE(SUBSTITUTE(SUBSTITUTE(LEFT(MAIN!B651, FIND(",",MAIN!B651) -1), "0", ""), "1", ""), "2", ""), "3", ""), "4", ""), "5", ""), "6", ""), "7", ""), "8", ""), "9", "")), PROPER(SUBSTITUTE(SUBSTITUTE(SUBSTITUTE(SUBSTITUTE(SUBSTITUTE(SUBSTITUTE(SUBSTITUTE(SUBSTITUTE(SUBSTITUTE(SUBSTITUTE(MAIN!B651, "0", ""), "1", ""), "2", ""), "3", ""), "4", ""), "5", ""), "6", ""), "7", ""), "8", ""), "9", ""))))</f>
        <v>--</v>
      </c>
      <c r="C651" t="str">
        <f>IF(ISBLANK(MAIN!C651), "--", IFERROR(PROPER(SUBSTITUTE(SUBSTITUTE(SUBSTITUTE(SUBSTITUTE(SUBSTITUTE(SUBSTITUTE(SUBSTITUTE(SUBSTITUTE(SUBSTITUTE(SUBSTITUTE(LEFT(MAIN!C651, FIND(",",MAIN!C651) -1), "0", ""), "1", ""), "2", ""), "3", ""), "4", ""), "5", ""), "6", ""), "7", ""), "8", ""), "9", "")), PROPER(SUBSTITUTE(SUBSTITUTE(SUBSTITUTE(SUBSTITUTE(SUBSTITUTE(SUBSTITUTE(SUBSTITUTE(SUBSTITUTE(SUBSTITUTE(SUBSTITUTE(MAIN!C651, "0", ""), "1", ""), "2", ""), "3", ""), "4", ""), "5", ""), "6", ""), "7", ""), "8", ""), "9", ""))))</f>
        <v>--</v>
      </c>
      <c r="D651" t="str">
        <f>IF(ISBLANK(MAIN!D651), "--", IF(ISNUMBER(MATCH(SUBSTITUTE(LEFT(MAIN!D651, IFERROR(FIND(",", MAIN!D651)-1, LEN(MAIN!D651))), " ", ""), lookup_values!$B$2:$B$51, 0)), UPPER(SUBSTITUTE(LEFT(MAIN!D651, IFERROR(FIND(",", MAIN!D651)-1, LEN(MAIN!D651))), " ", "")), IF(ISNA(VLOOKUP(SUBSTITUTE(LEFT(MAIN!D651, IFERROR(FIND(",", MAIN!D651)-1, LEN(MAIN!D651))), " ", ""), lookup_values!$A$2:$B$51, 2, FALSE)), "--", VLOOKUP(SUBSTITUTE(LEFT(MAIN!D651, IFERROR(FIND(",", MAIN!D651)-1, LEN(MAIN!D651))), " ", ""), lookup_values!$A$2:$B$51, 2, FALSE))))</f>
        <v>--</v>
      </c>
      <c r="E651" t="str">
        <f>IF(CLEAN_DATA!D651&lt;&gt;"--","US",IF(ISBLANK(MAIN!E651), "--", IF(ISNUMBER(MATCH(SUBSTITUTE(LEFT(MAIN!E651, IFERROR(FIND(",", MAIN!E651)-1, LEN(MAIN!E651))), " ", ""), lookup_values!$E$2:$E$197, 0)), UPPER(SUBSTITUTE(LEFT(MAIN!E651, IFERROR(FIND(",", MAIN!E651)-1, LEN(MAIN!E651))), " ", "")), IF(ISNA(VLOOKUP(SUBSTITUTE(LEFT(MAIN!E651, IFERROR(FIND(",", MAIN!E651)-1, LEN(MAIN!E651))), " ", ""), lookup_values!$D$2:$E$197, 2, FALSE)), "--", VLOOKUP(SUBSTITUTE(LEFT(MAIN!E651, IFERROR(FIND(",", MAIN!E651)-1, LEN(MAIN!E651))), " ", ""), lookup_values!$D$2:$E$197, 2, FALSE)))))</f>
        <v>--</v>
      </c>
      <c r="F651" t="str">
        <f>IF(ISBLANK(MAIN!F651), "", IF(AND(ISNUMBER(VALUE(TRIM(MAIN!F651))), LEN(TRIM(MAIN!F651))=4), VALUE(TRIM(MAIN!F651)), ""))</f>
        <v/>
      </c>
      <c r="G651">
        <f>IF(ISBLANK(MAIN!G651), 0, IF(ISNUMBER(VALUE(TRIM(MAIN!G651))), VALUE(TRIM(MAIN!G651)), 0))</f>
        <v>0</v>
      </c>
      <c r="H651">
        <f>IF(ISBLANK(MAIN!H651), 0, IF(ISNUMBER(VALUE(TRIM(MAIN!H651))), VALUE(TRIM(MAIN!H651)), 0))</f>
        <v>0</v>
      </c>
      <c r="I651">
        <f>IF(ISBLANK(MAIN!I651), 0, IF(ISNUMBER(VALUE(TRIM(MAIN!I651))), VALUE(TRIM(MAIN!I651)), 0))</f>
        <v>0</v>
      </c>
      <c r="J651">
        <f>IF(ISBLANK(MAIN!J651), 0, IF(ISNUMBER(VALUE(TRIM(MAIN!J651))), VALUE(TRIM(MAIN!J651)), 0))</f>
        <v>0</v>
      </c>
      <c r="K651" cm="1">
        <f t="array" ref="K651">IFERROR(
    VALUE(
        IFERROR(
            UPPER(
                IF(MAX(IFERROR(SEARCH("WD",MAIN!G651:J651), 0))&gt;0, "WD",
                IF(MAX(IFERROR(SEARCH("NS",MAIN!G651:J651), 0))&gt;0, "NS",
                IF(MAX(IFERROR(SEARCH("NC",MAIN!G651:J651), 0))&gt;0, "NC",
                IF(MAX(IFERROR(SEARCH("DQ",MAIN!G651:J651), 0))&gt;0, "DQ",
                IF(ISNUMBER(SEARCH("WD",MAIN!K651)), "WD",
                IF(ISNUMBER(SEARCH("NS",MAIN!K651)), "NS",
                IF(ISNUMBER(SEARCH("NC",MAIN!K651)), "NC",
                IF(ISNUMBER(SEARCH("DQ",MAIN!K651)), "DQ",
                IF(ISNUMBER(SEARCH("A",MAIN!K651)), 0,
                IF(OR(MAIN!K651=0,MAIN!K651=""), 0, --TRIM(MAIN!K651)))))))))))),
            0
        )
    ),
    IFERROR(
        UPPER(
            IF(MAX(IFERROR(SEARCH("WD",MAIN!G651:J651), 0))&gt;0, "WD",
            IF(MAX(IFERROR(SEARCH("NS",MAIN!G651:J651), 0))&gt;0, "NS",
            IF(MAX(IFERROR(SEARCH("NC",MAIN!G651:J651), 0))&gt;0, "NC",
            IF(MAX(IFERROR(SEARCH("DQ",MAIN!G651:J651), 0))&gt;0, "DQ",
            IF(ISNUMBER(SEARCH("WD",MAIN!K651)), "WD",
            IF(ISNUMBER(SEARCH("NS",MAIN!K651)), "NS",
            IF(ISNUMBER(SEARCH("NC",MAIN!K651)), "NC",
            IF(ISNUMBER(SEARCH("DQ",MAIN!K651)), "DQ",
            IF(ISNUMBER(SEARCH("A",MAIN!K651)), 0,
            IF(OR(MAIN!K651=0,MAIN!K651=""), 0, --TRIM(MAIN!K651)))))))))))),
        0
    )
)</f>
        <v>0</v>
      </c>
    </row>
    <row r="652" spans="1:11" x14ac:dyDescent="0.25">
      <c r="A652" t="str">
        <f>IF(ISBLANK(MAIN!A652), "--", IFERROR(PROPER(SUBSTITUTE(SUBSTITUTE(SUBSTITUTE(SUBSTITUTE(SUBSTITUTE(SUBSTITUTE(SUBSTITUTE(SUBSTITUTE(SUBSTITUTE(SUBSTITUTE(LEFT(MAIN!A652, FIND(",",MAIN!A652) -1), "0", ""), "1", ""), "2", ""), "3", ""), "4", ""), "5", ""), "6", ""), "7", ""), "8", ""), "9", "")), PROPER(SUBSTITUTE(SUBSTITUTE(SUBSTITUTE(SUBSTITUTE(SUBSTITUTE(SUBSTITUTE(SUBSTITUTE(SUBSTITUTE(SUBSTITUTE(SUBSTITUTE(MAIN!A652, "0", ""), "1", ""), "2", ""), "3", ""), "4", ""), "5", ""), "6", ""), "7", ""), "8", ""), "9", ""))))</f>
        <v>--</v>
      </c>
      <c r="B652" t="str">
        <f>IF(ISBLANK(MAIN!B652), "--", IFERROR(PROPER(SUBSTITUTE(SUBSTITUTE(SUBSTITUTE(SUBSTITUTE(SUBSTITUTE(SUBSTITUTE(SUBSTITUTE(SUBSTITUTE(SUBSTITUTE(SUBSTITUTE(LEFT(MAIN!B652, FIND(",",MAIN!B652) -1), "0", ""), "1", ""), "2", ""), "3", ""), "4", ""), "5", ""), "6", ""), "7", ""), "8", ""), "9", "")), PROPER(SUBSTITUTE(SUBSTITUTE(SUBSTITUTE(SUBSTITUTE(SUBSTITUTE(SUBSTITUTE(SUBSTITUTE(SUBSTITUTE(SUBSTITUTE(SUBSTITUTE(MAIN!B652, "0", ""), "1", ""), "2", ""), "3", ""), "4", ""), "5", ""), "6", ""), "7", ""), "8", ""), "9", ""))))</f>
        <v>--</v>
      </c>
      <c r="C652" t="str">
        <f>IF(ISBLANK(MAIN!C652), "--", IFERROR(PROPER(SUBSTITUTE(SUBSTITUTE(SUBSTITUTE(SUBSTITUTE(SUBSTITUTE(SUBSTITUTE(SUBSTITUTE(SUBSTITUTE(SUBSTITUTE(SUBSTITUTE(LEFT(MAIN!C652, FIND(",",MAIN!C652) -1), "0", ""), "1", ""), "2", ""), "3", ""), "4", ""), "5", ""), "6", ""), "7", ""), "8", ""), "9", "")), PROPER(SUBSTITUTE(SUBSTITUTE(SUBSTITUTE(SUBSTITUTE(SUBSTITUTE(SUBSTITUTE(SUBSTITUTE(SUBSTITUTE(SUBSTITUTE(SUBSTITUTE(MAIN!C652, "0", ""), "1", ""), "2", ""), "3", ""), "4", ""), "5", ""), "6", ""), "7", ""), "8", ""), "9", ""))))</f>
        <v>--</v>
      </c>
      <c r="D652" t="str">
        <f>IF(ISBLANK(MAIN!D652), "--", IF(ISNUMBER(MATCH(SUBSTITUTE(LEFT(MAIN!D652, IFERROR(FIND(",", MAIN!D652)-1, LEN(MAIN!D652))), " ", ""), lookup_values!$B$2:$B$51, 0)), UPPER(SUBSTITUTE(LEFT(MAIN!D652, IFERROR(FIND(",", MAIN!D652)-1, LEN(MAIN!D652))), " ", "")), IF(ISNA(VLOOKUP(SUBSTITUTE(LEFT(MAIN!D652, IFERROR(FIND(",", MAIN!D652)-1, LEN(MAIN!D652))), " ", ""), lookup_values!$A$2:$B$51, 2, FALSE)), "--", VLOOKUP(SUBSTITUTE(LEFT(MAIN!D652, IFERROR(FIND(",", MAIN!D652)-1, LEN(MAIN!D652))), " ", ""), lookup_values!$A$2:$B$51, 2, FALSE))))</f>
        <v>--</v>
      </c>
      <c r="E652" t="str">
        <f>IF(CLEAN_DATA!D652&lt;&gt;"--","US",IF(ISBLANK(MAIN!E652), "--", IF(ISNUMBER(MATCH(SUBSTITUTE(LEFT(MAIN!E652, IFERROR(FIND(",", MAIN!E652)-1, LEN(MAIN!E652))), " ", ""), lookup_values!$E$2:$E$197, 0)), UPPER(SUBSTITUTE(LEFT(MAIN!E652, IFERROR(FIND(",", MAIN!E652)-1, LEN(MAIN!E652))), " ", "")), IF(ISNA(VLOOKUP(SUBSTITUTE(LEFT(MAIN!E652, IFERROR(FIND(",", MAIN!E652)-1, LEN(MAIN!E652))), " ", ""), lookup_values!$D$2:$E$197, 2, FALSE)), "--", VLOOKUP(SUBSTITUTE(LEFT(MAIN!E652, IFERROR(FIND(",", MAIN!E652)-1, LEN(MAIN!E652))), " ", ""), lookup_values!$D$2:$E$197, 2, FALSE)))))</f>
        <v>--</v>
      </c>
      <c r="F652" t="str">
        <f>IF(ISBLANK(MAIN!F652), "", IF(AND(ISNUMBER(VALUE(TRIM(MAIN!F652))), LEN(TRIM(MAIN!F652))=4), VALUE(TRIM(MAIN!F652)), ""))</f>
        <v/>
      </c>
      <c r="G652">
        <f>IF(ISBLANK(MAIN!G652), 0, IF(ISNUMBER(VALUE(TRIM(MAIN!G652))), VALUE(TRIM(MAIN!G652)), 0))</f>
        <v>0</v>
      </c>
      <c r="H652">
        <f>IF(ISBLANK(MAIN!H652), 0, IF(ISNUMBER(VALUE(TRIM(MAIN!H652))), VALUE(TRIM(MAIN!H652)), 0))</f>
        <v>0</v>
      </c>
      <c r="I652">
        <f>IF(ISBLANK(MAIN!I652), 0, IF(ISNUMBER(VALUE(TRIM(MAIN!I652))), VALUE(TRIM(MAIN!I652)), 0))</f>
        <v>0</v>
      </c>
      <c r="J652">
        <f>IF(ISBLANK(MAIN!J652), 0, IF(ISNUMBER(VALUE(TRIM(MAIN!J652))), VALUE(TRIM(MAIN!J652)), 0))</f>
        <v>0</v>
      </c>
      <c r="K652" cm="1">
        <f t="array" ref="K652">IFERROR(
    VALUE(
        IFERROR(
            UPPER(
                IF(MAX(IFERROR(SEARCH("WD",MAIN!G652:J652), 0))&gt;0, "WD",
                IF(MAX(IFERROR(SEARCH("NS",MAIN!G652:J652), 0))&gt;0, "NS",
                IF(MAX(IFERROR(SEARCH("NC",MAIN!G652:J652), 0))&gt;0, "NC",
                IF(MAX(IFERROR(SEARCH("DQ",MAIN!G652:J652), 0))&gt;0, "DQ",
                IF(ISNUMBER(SEARCH("WD",MAIN!K652)), "WD",
                IF(ISNUMBER(SEARCH("NS",MAIN!K652)), "NS",
                IF(ISNUMBER(SEARCH("NC",MAIN!K652)), "NC",
                IF(ISNUMBER(SEARCH("DQ",MAIN!K652)), "DQ",
                IF(ISNUMBER(SEARCH("A",MAIN!K652)), 0,
                IF(OR(MAIN!K652=0,MAIN!K652=""), 0, --TRIM(MAIN!K652)))))))))))),
            0
        )
    ),
    IFERROR(
        UPPER(
            IF(MAX(IFERROR(SEARCH("WD",MAIN!G652:J652), 0))&gt;0, "WD",
            IF(MAX(IFERROR(SEARCH("NS",MAIN!G652:J652), 0))&gt;0, "NS",
            IF(MAX(IFERROR(SEARCH("NC",MAIN!G652:J652), 0))&gt;0, "NC",
            IF(MAX(IFERROR(SEARCH("DQ",MAIN!G652:J652), 0))&gt;0, "DQ",
            IF(ISNUMBER(SEARCH("WD",MAIN!K652)), "WD",
            IF(ISNUMBER(SEARCH("NS",MAIN!K652)), "NS",
            IF(ISNUMBER(SEARCH("NC",MAIN!K652)), "NC",
            IF(ISNUMBER(SEARCH("DQ",MAIN!K652)), "DQ",
            IF(ISNUMBER(SEARCH("A",MAIN!K652)), 0,
            IF(OR(MAIN!K652=0,MAIN!K652=""), 0, --TRIM(MAIN!K652)))))))))))),
        0
    )
)</f>
        <v>0</v>
      </c>
    </row>
    <row r="653" spans="1:11" x14ac:dyDescent="0.25">
      <c r="A653" t="str">
        <f>IF(ISBLANK(MAIN!A653), "--", IFERROR(PROPER(SUBSTITUTE(SUBSTITUTE(SUBSTITUTE(SUBSTITUTE(SUBSTITUTE(SUBSTITUTE(SUBSTITUTE(SUBSTITUTE(SUBSTITUTE(SUBSTITUTE(LEFT(MAIN!A653, FIND(",",MAIN!A653) -1), "0", ""), "1", ""), "2", ""), "3", ""), "4", ""), "5", ""), "6", ""), "7", ""), "8", ""), "9", "")), PROPER(SUBSTITUTE(SUBSTITUTE(SUBSTITUTE(SUBSTITUTE(SUBSTITUTE(SUBSTITUTE(SUBSTITUTE(SUBSTITUTE(SUBSTITUTE(SUBSTITUTE(MAIN!A653, "0", ""), "1", ""), "2", ""), "3", ""), "4", ""), "5", ""), "6", ""), "7", ""), "8", ""), "9", ""))))</f>
        <v>--</v>
      </c>
      <c r="B653" t="str">
        <f>IF(ISBLANK(MAIN!B653), "--", IFERROR(PROPER(SUBSTITUTE(SUBSTITUTE(SUBSTITUTE(SUBSTITUTE(SUBSTITUTE(SUBSTITUTE(SUBSTITUTE(SUBSTITUTE(SUBSTITUTE(SUBSTITUTE(LEFT(MAIN!B653, FIND(",",MAIN!B653) -1), "0", ""), "1", ""), "2", ""), "3", ""), "4", ""), "5", ""), "6", ""), "7", ""), "8", ""), "9", "")), PROPER(SUBSTITUTE(SUBSTITUTE(SUBSTITUTE(SUBSTITUTE(SUBSTITUTE(SUBSTITUTE(SUBSTITUTE(SUBSTITUTE(SUBSTITUTE(SUBSTITUTE(MAIN!B653, "0", ""), "1", ""), "2", ""), "3", ""), "4", ""), "5", ""), "6", ""), "7", ""), "8", ""), "9", ""))))</f>
        <v>--</v>
      </c>
      <c r="C653" t="str">
        <f>IF(ISBLANK(MAIN!C653), "--", IFERROR(PROPER(SUBSTITUTE(SUBSTITUTE(SUBSTITUTE(SUBSTITUTE(SUBSTITUTE(SUBSTITUTE(SUBSTITUTE(SUBSTITUTE(SUBSTITUTE(SUBSTITUTE(LEFT(MAIN!C653, FIND(",",MAIN!C653) -1), "0", ""), "1", ""), "2", ""), "3", ""), "4", ""), "5", ""), "6", ""), "7", ""), "8", ""), "9", "")), PROPER(SUBSTITUTE(SUBSTITUTE(SUBSTITUTE(SUBSTITUTE(SUBSTITUTE(SUBSTITUTE(SUBSTITUTE(SUBSTITUTE(SUBSTITUTE(SUBSTITUTE(MAIN!C653, "0", ""), "1", ""), "2", ""), "3", ""), "4", ""), "5", ""), "6", ""), "7", ""), "8", ""), "9", ""))))</f>
        <v>--</v>
      </c>
      <c r="D653" t="str">
        <f>IF(ISBLANK(MAIN!D653), "--", IF(ISNUMBER(MATCH(SUBSTITUTE(LEFT(MAIN!D653, IFERROR(FIND(",", MAIN!D653)-1, LEN(MAIN!D653))), " ", ""), lookup_values!$B$2:$B$51, 0)), UPPER(SUBSTITUTE(LEFT(MAIN!D653, IFERROR(FIND(",", MAIN!D653)-1, LEN(MAIN!D653))), " ", "")), IF(ISNA(VLOOKUP(SUBSTITUTE(LEFT(MAIN!D653, IFERROR(FIND(",", MAIN!D653)-1, LEN(MAIN!D653))), " ", ""), lookup_values!$A$2:$B$51, 2, FALSE)), "--", VLOOKUP(SUBSTITUTE(LEFT(MAIN!D653, IFERROR(FIND(",", MAIN!D653)-1, LEN(MAIN!D653))), " ", ""), lookup_values!$A$2:$B$51, 2, FALSE))))</f>
        <v>--</v>
      </c>
      <c r="E653" t="str">
        <f>IF(CLEAN_DATA!D653&lt;&gt;"--","US",IF(ISBLANK(MAIN!E653), "--", IF(ISNUMBER(MATCH(SUBSTITUTE(LEFT(MAIN!E653, IFERROR(FIND(",", MAIN!E653)-1, LEN(MAIN!E653))), " ", ""), lookup_values!$E$2:$E$197, 0)), UPPER(SUBSTITUTE(LEFT(MAIN!E653, IFERROR(FIND(",", MAIN!E653)-1, LEN(MAIN!E653))), " ", "")), IF(ISNA(VLOOKUP(SUBSTITUTE(LEFT(MAIN!E653, IFERROR(FIND(",", MAIN!E653)-1, LEN(MAIN!E653))), " ", ""), lookup_values!$D$2:$E$197, 2, FALSE)), "--", VLOOKUP(SUBSTITUTE(LEFT(MAIN!E653, IFERROR(FIND(",", MAIN!E653)-1, LEN(MAIN!E653))), " ", ""), lookup_values!$D$2:$E$197, 2, FALSE)))))</f>
        <v>--</v>
      </c>
      <c r="F653" t="str">
        <f>IF(ISBLANK(MAIN!F653), "", IF(AND(ISNUMBER(VALUE(TRIM(MAIN!F653))), LEN(TRIM(MAIN!F653))=4), VALUE(TRIM(MAIN!F653)), ""))</f>
        <v/>
      </c>
      <c r="G653">
        <f>IF(ISBLANK(MAIN!G653), 0, IF(ISNUMBER(VALUE(TRIM(MAIN!G653))), VALUE(TRIM(MAIN!G653)), 0))</f>
        <v>0</v>
      </c>
      <c r="H653">
        <f>IF(ISBLANK(MAIN!H653), 0, IF(ISNUMBER(VALUE(TRIM(MAIN!H653))), VALUE(TRIM(MAIN!H653)), 0))</f>
        <v>0</v>
      </c>
      <c r="I653">
        <f>IF(ISBLANK(MAIN!I653), 0, IF(ISNUMBER(VALUE(TRIM(MAIN!I653))), VALUE(TRIM(MAIN!I653)), 0))</f>
        <v>0</v>
      </c>
      <c r="J653">
        <f>IF(ISBLANK(MAIN!J653), 0, IF(ISNUMBER(VALUE(TRIM(MAIN!J653))), VALUE(TRIM(MAIN!J653)), 0))</f>
        <v>0</v>
      </c>
      <c r="K653" cm="1">
        <f t="array" ref="K653">IFERROR(
    VALUE(
        IFERROR(
            UPPER(
                IF(MAX(IFERROR(SEARCH("WD",MAIN!G653:J653), 0))&gt;0, "WD",
                IF(MAX(IFERROR(SEARCH("NS",MAIN!G653:J653), 0))&gt;0, "NS",
                IF(MAX(IFERROR(SEARCH("NC",MAIN!G653:J653), 0))&gt;0, "NC",
                IF(MAX(IFERROR(SEARCH("DQ",MAIN!G653:J653), 0))&gt;0, "DQ",
                IF(ISNUMBER(SEARCH("WD",MAIN!K653)), "WD",
                IF(ISNUMBER(SEARCH("NS",MAIN!K653)), "NS",
                IF(ISNUMBER(SEARCH("NC",MAIN!K653)), "NC",
                IF(ISNUMBER(SEARCH("DQ",MAIN!K653)), "DQ",
                IF(ISNUMBER(SEARCH("A",MAIN!K653)), 0,
                IF(OR(MAIN!K653=0,MAIN!K653=""), 0, --TRIM(MAIN!K653)))))))))))),
            0
        )
    ),
    IFERROR(
        UPPER(
            IF(MAX(IFERROR(SEARCH("WD",MAIN!G653:J653), 0))&gt;0, "WD",
            IF(MAX(IFERROR(SEARCH("NS",MAIN!G653:J653), 0))&gt;0, "NS",
            IF(MAX(IFERROR(SEARCH("NC",MAIN!G653:J653), 0))&gt;0, "NC",
            IF(MAX(IFERROR(SEARCH("DQ",MAIN!G653:J653), 0))&gt;0, "DQ",
            IF(ISNUMBER(SEARCH("WD",MAIN!K653)), "WD",
            IF(ISNUMBER(SEARCH("NS",MAIN!K653)), "NS",
            IF(ISNUMBER(SEARCH("NC",MAIN!K653)), "NC",
            IF(ISNUMBER(SEARCH("DQ",MAIN!K653)), "DQ",
            IF(ISNUMBER(SEARCH("A",MAIN!K653)), 0,
            IF(OR(MAIN!K653=0,MAIN!K653=""), 0, --TRIM(MAIN!K653)))))))))))),
        0
    )
)</f>
        <v>0</v>
      </c>
    </row>
    <row r="654" spans="1:11" x14ac:dyDescent="0.25">
      <c r="A654" t="str">
        <f>IF(ISBLANK(MAIN!A654), "--", IFERROR(PROPER(SUBSTITUTE(SUBSTITUTE(SUBSTITUTE(SUBSTITUTE(SUBSTITUTE(SUBSTITUTE(SUBSTITUTE(SUBSTITUTE(SUBSTITUTE(SUBSTITUTE(LEFT(MAIN!A654, FIND(",",MAIN!A654) -1), "0", ""), "1", ""), "2", ""), "3", ""), "4", ""), "5", ""), "6", ""), "7", ""), "8", ""), "9", "")), PROPER(SUBSTITUTE(SUBSTITUTE(SUBSTITUTE(SUBSTITUTE(SUBSTITUTE(SUBSTITUTE(SUBSTITUTE(SUBSTITUTE(SUBSTITUTE(SUBSTITUTE(MAIN!A654, "0", ""), "1", ""), "2", ""), "3", ""), "4", ""), "5", ""), "6", ""), "7", ""), "8", ""), "9", ""))))</f>
        <v>--</v>
      </c>
      <c r="B654" t="str">
        <f>IF(ISBLANK(MAIN!B654), "--", IFERROR(PROPER(SUBSTITUTE(SUBSTITUTE(SUBSTITUTE(SUBSTITUTE(SUBSTITUTE(SUBSTITUTE(SUBSTITUTE(SUBSTITUTE(SUBSTITUTE(SUBSTITUTE(LEFT(MAIN!B654, FIND(",",MAIN!B654) -1), "0", ""), "1", ""), "2", ""), "3", ""), "4", ""), "5", ""), "6", ""), "7", ""), "8", ""), "9", "")), PROPER(SUBSTITUTE(SUBSTITUTE(SUBSTITUTE(SUBSTITUTE(SUBSTITUTE(SUBSTITUTE(SUBSTITUTE(SUBSTITUTE(SUBSTITUTE(SUBSTITUTE(MAIN!B654, "0", ""), "1", ""), "2", ""), "3", ""), "4", ""), "5", ""), "6", ""), "7", ""), "8", ""), "9", ""))))</f>
        <v>--</v>
      </c>
      <c r="C654" t="str">
        <f>IF(ISBLANK(MAIN!C654), "--", IFERROR(PROPER(SUBSTITUTE(SUBSTITUTE(SUBSTITUTE(SUBSTITUTE(SUBSTITUTE(SUBSTITUTE(SUBSTITUTE(SUBSTITUTE(SUBSTITUTE(SUBSTITUTE(LEFT(MAIN!C654, FIND(",",MAIN!C654) -1), "0", ""), "1", ""), "2", ""), "3", ""), "4", ""), "5", ""), "6", ""), "7", ""), "8", ""), "9", "")), PROPER(SUBSTITUTE(SUBSTITUTE(SUBSTITUTE(SUBSTITUTE(SUBSTITUTE(SUBSTITUTE(SUBSTITUTE(SUBSTITUTE(SUBSTITUTE(SUBSTITUTE(MAIN!C654, "0", ""), "1", ""), "2", ""), "3", ""), "4", ""), "5", ""), "6", ""), "7", ""), "8", ""), "9", ""))))</f>
        <v>--</v>
      </c>
      <c r="D654" t="str">
        <f>IF(ISBLANK(MAIN!D654), "--", IF(ISNUMBER(MATCH(SUBSTITUTE(LEFT(MAIN!D654, IFERROR(FIND(",", MAIN!D654)-1, LEN(MAIN!D654))), " ", ""), lookup_values!$B$2:$B$51, 0)), UPPER(SUBSTITUTE(LEFT(MAIN!D654, IFERROR(FIND(",", MAIN!D654)-1, LEN(MAIN!D654))), " ", "")), IF(ISNA(VLOOKUP(SUBSTITUTE(LEFT(MAIN!D654, IFERROR(FIND(",", MAIN!D654)-1, LEN(MAIN!D654))), " ", ""), lookup_values!$A$2:$B$51, 2, FALSE)), "--", VLOOKUP(SUBSTITUTE(LEFT(MAIN!D654, IFERROR(FIND(",", MAIN!D654)-1, LEN(MAIN!D654))), " ", ""), lookup_values!$A$2:$B$51, 2, FALSE))))</f>
        <v>--</v>
      </c>
      <c r="E654" t="str">
        <f>IF(CLEAN_DATA!D654&lt;&gt;"--","US",IF(ISBLANK(MAIN!E654), "--", IF(ISNUMBER(MATCH(SUBSTITUTE(LEFT(MAIN!E654, IFERROR(FIND(",", MAIN!E654)-1, LEN(MAIN!E654))), " ", ""), lookup_values!$E$2:$E$197, 0)), UPPER(SUBSTITUTE(LEFT(MAIN!E654, IFERROR(FIND(",", MAIN!E654)-1, LEN(MAIN!E654))), " ", "")), IF(ISNA(VLOOKUP(SUBSTITUTE(LEFT(MAIN!E654, IFERROR(FIND(",", MAIN!E654)-1, LEN(MAIN!E654))), " ", ""), lookup_values!$D$2:$E$197, 2, FALSE)), "--", VLOOKUP(SUBSTITUTE(LEFT(MAIN!E654, IFERROR(FIND(",", MAIN!E654)-1, LEN(MAIN!E654))), " ", ""), lookup_values!$D$2:$E$197, 2, FALSE)))))</f>
        <v>--</v>
      </c>
      <c r="F654" t="str">
        <f>IF(ISBLANK(MAIN!F654), "", IF(AND(ISNUMBER(VALUE(TRIM(MAIN!F654))), LEN(TRIM(MAIN!F654))=4), VALUE(TRIM(MAIN!F654)), ""))</f>
        <v/>
      </c>
      <c r="G654">
        <f>IF(ISBLANK(MAIN!G654), 0, IF(ISNUMBER(VALUE(TRIM(MAIN!G654))), VALUE(TRIM(MAIN!G654)), 0))</f>
        <v>0</v>
      </c>
      <c r="H654">
        <f>IF(ISBLANK(MAIN!H654), 0, IF(ISNUMBER(VALUE(TRIM(MAIN!H654))), VALUE(TRIM(MAIN!H654)), 0))</f>
        <v>0</v>
      </c>
      <c r="I654">
        <f>IF(ISBLANK(MAIN!I654), 0, IF(ISNUMBER(VALUE(TRIM(MAIN!I654))), VALUE(TRIM(MAIN!I654)), 0))</f>
        <v>0</v>
      </c>
      <c r="J654">
        <f>IF(ISBLANK(MAIN!J654), 0, IF(ISNUMBER(VALUE(TRIM(MAIN!J654))), VALUE(TRIM(MAIN!J654)), 0))</f>
        <v>0</v>
      </c>
      <c r="K654" cm="1">
        <f t="array" ref="K654">IFERROR(
    VALUE(
        IFERROR(
            UPPER(
                IF(MAX(IFERROR(SEARCH("WD",MAIN!G654:J654), 0))&gt;0, "WD",
                IF(MAX(IFERROR(SEARCH("NS",MAIN!G654:J654), 0))&gt;0, "NS",
                IF(MAX(IFERROR(SEARCH("NC",MAIN!G654:J654), 0))&gt;0, "NC",
                IF(MAX(IFERROR(SEARCH("DQ",MAIN!G654:J654), 0))&gt;0, "DQ",
                IF(ISNUMBER(SEARCH("WD",MAIN!K654)), "WD",
                IF(ISNUMBER(SEARCH("NS",MAIN!K654)), "NS",
                IF(ISNUMBER(SEARCH("NC",MAIN!K654)), "NC",
                IF(ISNUMBER(SEARCH("DQ",MAIN!K654)), "DQ",
                IF(ISNUMBER(SEARCH("A",MAIN!K654)), 0,
                IF(OR(MAIN!K654=0,MAIN!K654=""), 0, --TRIM(MAIN!K654)))))))))))),
            0
        )
    ),
    IFERROR(
        UPPER(
            IF(MAX(IFERROR(SEARCH("WD",MAIN!G654:J654), 0))&gt;0, "WD",
            IF(MAX(IFERROR(SEARCH("NS",MAIN!G654:J654), 0))&gt;0, "NS",
            IF(MAX(IFERROR(SEARCH("NC",MAIN!G654:J654), 0))&gt;0, "NC",
            IF(MAX(IFERROR(SEARCH("DQ",MAIN!G654:J654), 0))&gt;0, "DQ",
            IF(ISNUMBER(SEARCH("WD",MAIN!K654)), "WD",
            IF(ISNUMBER(SEARCH("NS",MAIN!K654)), "NS",
            IF(ISNUMBER(SEARCH("NC",MAIN!K654)), "NC",
            IF(ISNUMBER(SEARCH("DQ",MAIN!K654)), "DQ",
            IF(ISNUMBER(SEARCH("A",MAIN!K654)), 0,
            IF(OR(MAIN!K654=0,MAIN!K654=""), 0, --TRIM(MAIN!K654)))))))))))),
        0
    )
)</f>
        <v>0</v>
      </c>
    </row>
    <row r="655" spans="1:11" x14ac:dyDescent="0.25">
      <c r="A655" t="str">
        <f>IF(ISBLANK(MAIN!A655), "--", IFERROR(PROPER(SUBSTITUTE(SUBSTITUTE(SUBSTITUTE(SUBSTITUTE(SUBSTITUTE(SUBSTITUTE(SUBSTITUTE(SUBSTITUTE(SUBSTITUTE(SUBSTITUTE(LEFT(MAIN!A655, FIND(",",MAIN!A655) -1), "0", ""), "1", ""), "2", ""), "3", ""), "4", ""), "5", ""), "6", ""), "7", ""), "8", ""), "9", "")), PROPER(SUBSTITUTE(SUBSTITUTE(SUBSTITUTE(SUBSTITUTE(SUBSTITUTE(SUBSTITUTE(SUBSTITUTE(SUBSTITUTE(SUBSTITUTE(SUBSTITUTE(MAIN!A655, "0", ""), "1", ""), "2", ""), "3", ""), "4", ""), "5", ""), "6", ""), "7", ""), "8", ""), "9", ""))))</f>
        <v>--</v>
      </c>
      <c r="B655" t="str">
        <f>IF(ISBLANK(MAIN!B655), "--", IFERROR(PROPER(SUBSTITUTE(SUBSTITUTE(SUBSTITUTE(SUBSTITUTE(SUBSTITUTE(SUBSTITUTE(SUBSTITUTE(SUBSTITUTE(SUBSTITUTE(SUBSTITUTE(LEFT(MAIN!B655, FIND(",",MAIN!B655) -1), "0", ""), "1", ""), "2", ""), "3", ""), "4", ""), "5", ""), "6", ""), "7", ""), "8", ""), "9", "")), PROPER(SUBSTITUTE(SUBSTITUTE(SUBSTITUTE(SUBSTITUTE(SUBSTITUTE(SUBSTITUTE(SUBSTITUTE(SUBSTITUTE(SUBSTITUTE(SUBSTITUTE(MAIN!B655, "0", ""), "1", ""), "2", ""), "3", ""), "4", ""), "5", ""), "6", ""), "7", ""), "8", ""), "9", ""))))</f>
        <v>--</v>
      </c>
      <c r="C655" t="str">
        <f>IF(ISBLANK(MAIN!C655), "--", IFERROR(PROPER(SUBSTITUTE(SUBSTITUTE(SUBSTITUTE(SUBSTITUTE(SUBSTITUTE(SUBSTITUTE(SUBSTITUTE(SUBSTITUTE(SUBSTITUTE(SUBSTITUTE(LEFT(MAIN!C655, FIND(",",MAIN!C655) -1), "0", ""), "1", ""), "2", ""), "3", ""), "4", ""), "5", ""), "6", ""), "7", ""), "8", ""), "9", "")), PROPER(SUBSTITUTE(SUBSTITUTE(SUBSTITUTE(SUBSTITUTE(SUBSTITUTE(SUBSTITUTE(SUBSTITUTE(SUBSTITUTE(SUBSTITUTE(SUBSTITUTE(MAIN!C655, "0", ""), "1", ""), "2", ""), "3", ""), "4", ""), "5", ""), "6", ""), "7", ""), "8", ""), "9", ""))))</f>
        <v>--</v>
      </c>
      <c r="D655" t="str">
        <f>IF(ISBLANK(MAIN!D655), "--", IF(ISNUMBER(MATCH(SUBSTITUTE(LEFT(MAIN!D655, IFERROR(FIND(",", MAIN!D655)-1, LEN(MAIN!D655))), " ", ""), lookup_values!$B$2:$B$51, 0)), UPPER(SUBSTITUTE(LEFT(MAIN!D655, IFERROR(FIND(",", MAIN!D655)-1, LEN(MAIN!D655))), " ", "")), IF(ISNA(VLOOKUP(SUBSTITUTE(LEFT(MAIN!D655, IFERROR(FIND(",", MAIN!D655)-1, LEN(MAIN!D655))), " ", ""), lookup_values!$A$2:$B$51, 2, FALSE)), "--", VLOOKUP(SUBSTITUTE(LEFT(MAIN!D655, IFERROR(FIND(",", MAIN!D655)-1, LEN(MAIN!D655))), " ", ""), lookup_values!$A$2:$B$51, 2, FALSE))))</f>
        <v>--</v>
      </c>
      <c r="E655" t="str">
        <f>IF(CLEAN_DATA!D655&lt;&gt;"--","US",IF(ISBLANK(MAIN!E655), "--", IF(ISNUMBER(MATCH(SUBSTITUTE(LEFT(MAIN!E655, IFERROR(FIND(",", MAIN!E655)-1, LEN(MAIN!E655))), " ", ""), lookup_values!$E$2:$E$197, 0)), UPPER(SUBSTITUTE(LEFT(MAIN!E655, IFERROR(FIND(",", MAIN!E655)-1, LEN(MAIN!E655))), " ", "")), IF(ISNA(VLOOKUP(SUBSTITUTE(LEFT(MAIN!E655, IFERROR(FIND(",", MAIN!E655)-1, LEN(MAIN!E655))), " ", ""), lookup_values!$D$2:$E$197, 2, FALSE)), "--", VLOOKUP(SUBSTITUTE(LEFT(MAIN!E655, IFERROR(FIND(",", MAIN!E655)-1, LEN(MAIN!E655))), " ", ""), lookup_values!$D$2:$E$197, 2, FALSE)))))</f>
        <v>--</v>
      </c>
      <c r="F655" t="str">
        <f>IF(ISBLANK(MAIN!F655), "", IF(AND(ISNUMBER(VALUE(TRIM(MAIN!F655))), LEN(TRIM(MAIN!F655))=4), VALUE(TRIM(MAIN!F655)), ""))</f>
        <v/>
      </c>
      <c r="G655">
        <f>IF(ISBLANK(MAIN!G655), 0, IF(ISNUMBER(VALUE(TRIM(MAIN!G655))), VALUE(TRIM(MAIN!G655)), 0))</f>
        <v>0</v>
      </c>
      <c r="H655">
        <f>IF(ISBLANK(MAIN!H655), 0, IF(ISNUMBER(VALUE(TRIM(MAIN!H655))), VALUE(TRIM(MAIN!H655)), 0))</f>
        <v>0</v>
      </c>
      <c r="I655">
        <f>IF(ISBLANK(MAIN!I655), 0, IF(ISNUMBER(VALUE(TRIM(MAIN!I655))), VALUE(TRIM(MAIN!I655)), 0))</f>
        <v>0</v>
      </c>
      <c r="J655">
        <f>IF(ISBLANK(MAIN!J655), 0, IF(ISNUMBER(VALUE(TRIM(MAIN!J655))), VALUE(TRIM(MAIN!J655)), 0))</f>
        <v>0</v>
      </c>
      <c r="K655" cm="1">
        <f t="array" ref="K655">IFERROR(
    VALUE(
        IFERROR(
            UPPER(
                IF(MAX(IFERROR(SEARCH("WD",MAIN!G655:J655), 0))&gt;0, "WD",
                IF(MAX(IFERROR(SEARCH("NS",MAIN!G655:J655), 0))&gt;0, "NS",
                IF(MAX(IFERROR(SEARCH("NC",MAIN!G655:J655), 0))&gt;0, "NC",
                IF(MAX(IFERROR(SEARCH("DQ",MAIN!G655:J655), 0))&gt;0, "DQ",
                IF(ISNUMBER(SEARCH("WD",MAIN!K655)), "WD",
                IF(ISNUMBER(SEARCH("NS",MAIN!K655)), "NS",
                IF(ISNUMBER(SEARCH("NC",MAIN!K655)), "NC",
                IF(ISNUMBER(SEARCH("DQ",MAIN!K655)), "DQ",
                IF(ISNUMBER(SEARCH("A",MAIN!K655)), 0,
                IF(OR(MAIN!K655=0,MAIN!K655=""), 0, --TRIM(MAIN!K655)))))))))))),
            0
        )
    ),
    IFERROR(
        UPPER(
            IF(MAX(IFERROR(SEARCH("WD",MAIN!G655:J655), 0))&gt;0, "WD",
            IF(MAX(IFERROR(SEARCH("NS",MAIN!G655:J655), 0))&gt;0, "NS",
            IF(MAX(IFERROR(SEARCH("NC",MAIN!G655:J655), 0))&gt;0, "NC",
            IF(MAX(IFERROR(SEARCH("DQ",MAIN!G655:J655), 0))&gt;0, "DQ",
            IF(ISNUMBER(SEARCH("WD",MAIN!K655)), "WD",
            IF(ISNUMBER(SEARCH("NS",MAIN!K655)), "NS",
            IF(ISNUMBER(SEARCH("NC",MAIN!K655)), "NC",
            IF(ISNUMBER(SEARCH("DQ",MAIN!K655)), "DQ",
            IF(ISNUMBER(SEARCH("A",MAIN!K655)), 0,
            IF(OR(MAIN!K655=0,MAIN!K655=""), 0, --TRIM(MAIN!K655)))))))))))),
        0
    )
)</f>
        <v>0</v>
      </c>
    </row>
    <row r="656" spans="1:11" x14ac:dyDescent="0.25">
      <c r="A656" t="str">
        <f>IF(ISBLANK(MAIN!A656), "--", IFERROR(PROPER(SUBSTITUTE(SUBSTITUTE(SUBSTITUTE(SUBSTITUTE(SUBSTITUTE(SUBSTITUTE(SUBSTITUTE(SUBSTITUTE(SUBSTITUTE(SUBSTITUTE(LEFT(MAIN!A656, FIND(",",MAIN!A656) -1), "0", ""), "1", ""), "2", ""), "3", ""), "4", ""), "5", ""), "6", ""), "7", ""), "8", ""), "9", "")), PROPER(SUBSTITUTE(SUBSTITUTE(SUBSTITUTE(SUBSTITUTE(SUBSTITUTE(SUBSTITUTE(SUBSTITUTE(SUBSTITUTE(SUBSTITUTE(SUBSTITUTE(MAIN!A656, "0", ""), "1", ""), "2", ""), "3", ""), "4", ""), "5", ""), "6", ""), "7", ""), "8", ""), "9", ""))))</f>
        <v>--</v>
      </c>
      <c r="B656" t="str">
        <f>IF(ISBLANK(MAIN!B656), "--", IFERROR(PROPER(SUBSTITUTE(SUBSTITUTE(SUBSTITUTE(SUBSTITUTE(SUBSTITUTE(SUBSTITUTE(SUBSTITUTE(SUBSTITUTE(SUBSTITUTE(SUBSTITUTE(LEFT(MAIN!B656, FIND(",",MAIN!B656) -1), "0", ""), "1", ""), "2", ""), "3", ""), "4", ""), "5", ""), "6", ""), "7", ""), "8", ""), "9", "")), PROPER(SUBSTITUTE(SUBSTITUTE(SUBSTITUTE(SUBSTITUTE(SUBSTITUTE(SUBSTITUTE(SUBSTITUTE(SUBSTITUTE(SUBSTITUTE(SUBSTITUTE(MAIN!B656, "0", ""), "1", ""), "2", ""), "3", ""), "4", ""), "5", ""), "6", ""), "7", ""), "8", ""), "9", ""))))</f>
        <v>--</v>
      </c>
      <c r="C656" t="str">
        <f>IF(ISBLANK(MAIN!C656), "--", IFERROR(PROPER(SUBSTITUTE(SUBSTITUTE(SUBSTITUTE(SUBSTITUTE(SUBSTITUTE(SUBSTITUTE(SUBSTITUTE(SUBSTITUTE(SUBSTITUTE(SUBSTITUTE(LEFT(MAIN!C656, FIND(",",MAIN!C656) -1), "0", ""), "1", ""), "2", ""), "3", ""), "4", ""), "5", ""), "6", ""), "7", ""), "8", ""), "9", "")), PROPER(SUBSTITUTE(SUBSTITUTE(SUBSTITUTE(SUBSTITUTE(SUBSTITUTE(SUBSTITUTE(SUBSTITUTE(SUBSTITUTE(SUBSTITUTE(SUBSTITUTE(MAIN!C656, "0", ""), "1", ""), "2", ""), "3", ""), "4", ""), "5", ""), "6", ""), "7", ""), "8", ""), "9", ""))))</f>
        <v>--</v>
      </c>
      <c r="D656" t="str">
        <f>IF(ISBLANK(MAIN!D656), "--", IF(ISNUMBER(MATCH(SUBSTITUTE(LEFT(MAIN!D656, IFERROR(FIND(",", MAIN!D656)-1, LEN(MAIN!D656))), " ", ""), lookup_values!$B$2:$B$51, 0)), UPPER(SUBSTITUTE(LEFT(MAIN!D656, IFERROR(FIND(",", MAIN!D656)-1, LEN(MAIN!D656))), " ", "")), IF(ISNA(VLOOKUP(SUBSTITUTE(LEFT(MAIN!D656, IFERROR(FIND(",", MAIN!D656)-1, LEN(MAIN!D656))), " ", ""), lookup_values!$A$2:$B$51, 2, FALSE)), "--", VLOOKUP(SUBSTITUTE(LEFT(MAIN!D656, IFERROR(FIND(",", MAIN!D656)-1, LEN(MAIN!D656))), " ", ""), lookup_values!$A$2:$B$51, 2, FALSE))))</f>
        <v>--</v>
      </c>
      <c r="E656" t="str">
        <f>IF(CLEAN_DATA!D656&lt;&gt;"--","US",IF(ISBLANK(MAIN!E656), "--", IF(ISNUMBER(MATCH(SUBSTITUTE(LEFT(MAIN!E656, IFERROR(FIND(",", MAIN!E656)-1, LEN(MAIN!E656))), " ", ""), lookup_values!$E$2:$E$197, 0)), UPPER(SUBSTITUTE(LEFT(MAIN!E656, IFERROR(FIND(",", MAIN!E656)-1, LEN(MAIN!E656))), " ", "")), IF(ISNA(VLOOKUP(SUBSTITUTE(LEFT(MAIN!E656, IFERROR(FIND(",", MAIN!E656)-1, LEN(MAIN!E656))), " ", ""), lookup_values!$D$2:$E$197, 2, FALSE)), "--", VLOOKUP(SUBSTITUTE(LEFT(MAIN!E656, IFERROR(FIND(",", MAIN!E656)-1, LEN(MAIN!E656))), " ", ""), lookup_values!$D$2:$E$197, 2, FALSE)))))</f>
        <v>--</v>
      </c>
      <c r="F656" t="str">
        <f>IF(ISBLANK(MAIN!F656), "", IF(AND(ISNUMBER(VALUE(TRIM(MAIN!F656))), LEN(TRIM(MAIN!F656))=4), VALUE(TRIM(MAIN!F656)), ""))</f>
        <v/>
      </c>
      <c r="G656">
        <f>IF(ISBLANK(MAIN!G656), 0, IF(ISNUMBER(VALUE(TRIM(MAIN!G656))), VALUE(TRIM(MAIN!G656)), 0))</f>
        <v>0</v>
      </c>
      <c r="H656">
        <f>IF(ISBLANK(MAIN!H656), 0, IF(ISNUMBER(VALUE(TRIM(MAIN!H656))), VALUE(TRIM(MAIN!H656)), 0))</f>
        <v>0</v>
      </c>
      <c r="I656">
        <f>IF(ISBLANK(MAIN!I656), 0, IF(ISNUMBER(VALUE(TRIM(MAIN!I656))), VALUE(TRIM(MAIN!I656)), 0))</f>
        <v>0</v>
      </c>
      <c r="J656">
        <f>IF(ISBLANK(MAIN!J656), 0, IF(ISNUMBER(VALUE(TRIM(MAIN!J656))), VALUE(TRIM(MAIN!J656)), 0))</f>
        <v>0</v>
      </c>
      <c r="K656" cm="1">
        <f t="array" ref="K656">IFERROR(
    VALUE(
        IFERROR(
            UPPER(
                IF(MAX(IFERROR(SEARCH("WD",MAIN!G656:J656), 0))&gt;0, "WD",
                IF(MAX(IFERROR(SEARCH("NS",MAIN!G656:J656), 0))&gt;0, "NS",
                IF(MAX(IFERROR(SEARCH("NC",MAIN!G656:J656), 0))&gt;0, "NC",
                IF(MAX(IFERROR(SEARCH("DQ",MAIN!G656:J656), 0))&gt;0, "DQ",
                IF(ISNUMBER(SEARCH("WD",MAIN!K656)), "WD",
                IF(ISNUMBER(SEARCH("NS",MAIN!K656)), "NS",
                IF(ISNUMBER(SEARCH("NC",MAIN!K656)), "NC",
                IF(ISNUMBER(SEARCH("DQ",MAIN!K656)), "DQ",
                IF(ISNUMBER(SEARCH("A",MAIN!K656)), 0,
                IF(OR(MAIN!K656=0,MAIN!K656=""), 0, --TRIM(MAIN!K656)))))))))))),
            0
        )
    ),
    IFERROR(
        UPPER(
            IF(MAX(IFERROR(SEARCH("WD",MAIN!G656:J656), 0))&gt;0, "WD",
            IF(MAX(IFERROR(SEARCH("NS",MAIN!G656:J656), 0))&gt;0, "NS",
            IF(MAX(IFERROR(SEARCH("NC",MAIN!G656:J656), 0))&gt;0, "NC",
            IF(MAX(IFERROR(SEARCH("DQ",MAIN!G656:J656), 0))&gt;0, "DQ",
            IF(ISNUMBER(SEARCH("WD",MAIN!K656)), "WD",
            IF(ISNUMBER(SEARCH("NS",MAIN!K656)), "NS",
            IF(ISNUMBER(SEARCH("NC",MAIN!K656)), "NC",
            IF(ISNUMBER(SEARCH("DQ",MAIN!K656)), "DQ",
            IF(ISNUMBER(SEARCH("A",MAIN!K656)), 0,
            IF(OR(MAIN!K656=0,MAIN!K656=""), 0, --TRIM(MAIN!K656)))))))))))),
        0
    )
)</f>
        <v>0</v>
      </c>
    </row>
    <row r="657" spans="1:11" x14ac:dyDescent="0.25">
      <c r="A657" t="str">
        <f>IF(ISBLANK(MAIN!A657), "--", IFERROR(PROPER(SUBSTITUTE(SUBSTITUTE(SUBSTITUTE(SUBSTITUTE(SUBSTITUTE(SUBSTITUTE(SUBSTITUTE(SUBSTITUTE(SUBSTITUTE(SUBSTITUTE(LEFT(MAIN!A657, FIND(",",MAIN!A657) -1), "0", ""), "1", ""), "2", ""), "3", ""), "4", ""), "5", ""), "6", ""), "7", ""), "8", ""), "9", "")), PROPER(SUBSTITUTE(SUBSTITUTE(SUBSTITUTE(SUBSTITUTE(SUBSTITUTE(SUBSTITUTE(SUBSTITUTE(SUBSTITUTE(SUBSTITUTE(SUBSTITUTE(MAIN!A657, "0", ""), "1", ""), "2", ""), "3", ""), "4", ""), "5", ""), "6", ""), "7", ""), "8", ""), "9", ""))))</f>
        <v>--</v>
      </c>
      <c r="B657" t="str">
        <f>IF(ISBLANK(MAIN!B657), "--", IFERROR(PROPER(SUBSTITUTE(SUBSTITUTE(SUBSTITUTE(SUBSTITUTE(SUBSTITUTE(SUBSTITUTE(SUBSTITUTE(SUBSTITUTE(SUBSTITUTE(SUBSTITUTE(LEFT(MAIN!B657, FIND(",",MAIN!B657) -1), "0", ""), "1", ""), "2", ""), "3", ""), "4", ""), "5", ""), "6", ""), "7", ""), "8", ""), "9", "")), PROPER(SUBSTITUTE(SUBSTITUTE(SUBSTITUTE(SUBSTITUTE(SUBSTITUTE(SUBSTITUTE(SUBSTITUTE(SUBSTITUTE(SUBSTITUTE(SUBSTITUTE(MAIN!B657, "0", ""), "1", ""), "2", ""), "3", ""), "4", ""), "5", ""), "6", ""), "7", ""), "8", ""), "9", ""))))</f>
        <v>--</v>
      </c>
      <c r="C657" t="str">
        <f>IF(ISBLANK(MAIN!C657), "--", IFERROR(PROPER(SUBSTITUTE(SUBSTITUTE(SUBSTITUTE(SUBSTITUTE(SUBSTITUTE(SUBSTITUTE(SUBSTITUTE(SUBSTITUTE(SUBSTITUTE(SUBSTITUTE(LEFT(MAIN!C657, FIND(",",MAIN!C657) -1), "0", ""), "1", ""), "2", ""), "3", ""), "4", ""), "5", ""), "6", ""), "7", ""), "8", ""), "9", "")), PROPER(SUBSTITUTE(SUBSTITUTE(SUBSTITUTE(SUBSTITUTE(SUBSTITUTE(SUBSTITUTE(SUBSTITUTE(SUBSTITUTE(SUBSTITUTE(SUBSTITUTE(MAIN!C657, "0", ""), "1", ""), "2", ""), "3", ""), "4", ""), "5", ""), "6", ""), "7", ""), "8", ""), "9", ""))))</f>
        <v>--</v>
      </c>
      <c r="D657" t="str">
        <f>IF(ISBLANK(MAIN!D657), "--", IF(ISNUMBER(MATCH(SUBSTITUTE(LEFT(MAIN!D657, IFERROR(FIND(",", MAIN!D657)-1, LEN(MAIN!D657))), " ", ""), lookup_values!$B$2:$B$51, 0)), UPPER(SUBSTITUTE(LEFT(MAIN!D657, IFERROR(FIND(",", MAIN!D657)-1, LEN(MAIN!D657))), " ", "")), IF(ISNA(VLOOKUP(SUBSTITUTE(LEFT(MAIN!D657, IFERROR(FIND(",", MAIN!D657)-1, LEN(MAIN!D657))), " ", ""), lookup_values!$A$2:$B$51, 2, FALSE)), "--", VLOOKUP(SUBSTITUTE(LEFT(MAIN!D657, IFERROR(FIND(",", MAIN!D657)-1, LEN(MAIN!D657))), " ", ""), lookup_values!$A$2:$B$51, 2, FALSE))))</f>
        <v>--</v>
      </c>
      <c r="E657" t="str">
        <f>IF(CLEAN_DATA!D657&lt;&gt;"--","US",IF(ISBLANK(MAIN!E657), "--", IF(ISNUMBER(MATCH(SUBSTITUTE(LEFT(MAIN!E657, IFERROR(FIND(",", MAIN!E657)-1, LEN(MAIN!E657))), " ", ""), lookup_values!$E$2:$E$197, 0)), UPPER(SUBSTITUTE(LEFT(MAIN!E657, IFERROR(FIND(",", MAIN!E657)-1, LEN(MAIN!E657))), " ", "")), IF(ISNA(VLOOKUP(SUBSTITUTE(LEFT(MAIN!E657, IFERROR(FIND(",", MAIN!E657)-1, LEN(MAIN!E657))), " ", ""), lookup_values!$D$2:$E$197, 2, FALSE)), "--", VLOOKUP(SUBSTITUTE(LEFT(MAIN!E657, IFERROR(FIND(",", MAIN!E657)-1, LEN(MAIN!E657))), " ", ""), lookup_values!$D$2:$E$197, 2, FALSE)))))</f>
        <v>--</v>
      </c>
      <c r="F657" t="str">
        <f>IF(ISBLANK(MAIN!F657), "", IF(AND(ISNUMBER(VALUE(TRIM(MAIN!F657))), LEN(TRIM(MAIN!F657))=4), VALUE(TRIM(MAIN!F657)), ""))</f>
        <v/>
      </c>
      <c r="G657">
        <f>IF(ISBLANK(MAIN!G657), 0, IF(ISNUMBER(VALUE(TRIM(MAIN!G657))), VALUE(TRIM(MAIN!G657)), 0))</f>
        <v>0</v>
      </c>
      <c r="H657">
        <f>IF(ISBLANK(MAIN!H657), 0, IF(ISNUMBER(VALUE(TRIM(MAIN!H657))), VALUE(TRIM(MAIN!H657)), 0))</f>
        <v>0</v>
      </c>
      <c r="I657">
        <f>IF(ISBLANK(MAIN!I657), 0, IF(ISNUMBER(VALUE(TRIM(MAIN!I657))), VALUE(TRIM(MAIN!I657)), 0))</f>
        <v>0</v>
      </c>
      <c r="J657">
        <f>IF(ISBLANK(MAIN!J657), 0, IF(ISNUMBER(VALUE(TRIM(MAIN!J657))), VALUE(TRIM(MAIN!J657)), 0))</f>
        <v>0</v>
      </c>
      <c r="K657" cm="1">
        <f t="array" ref="K657">IFERROR(
    VALUE(
        IFERROR(
            UPPER(
                IF(MAX(IFERROR(SEARCH("WD",MAIN!G657:J657), 0))&gt;0, "WD",
                IF(MAX(IFERROR(SEARCH("NS",MAIN!G657:J657), 0))&gt;0, "NS",
                IF(MAX(IFERROR(SEARCH("NC",MAIN!G657:J657), 0))&gt;0, "NC",
                IF(MAX(IFERROR(SEARCH("DQ",MAIN!G657:J657), 0))&gt;0, "DQ",
                IF(ISNUMBER(SEARCH("WD",MAIN!K657)), "WD",
                IF(ISNUMBER(SEARCH("NS",MAIN!K657)), "NS",
                IF(ISNUMBER(SEARCH("NC",MAIN!K657)), "NC",
                IF(ISNUMBER(SEARCH("DQ",MAIN!K657)), "DQ",
                IF(ISNUMBER(SEARCH("A",MAIN!K657)), 0,
                IF(OR(MAIN!K657=0,MAIN!K657=""), 0, --TRIM(MAIN!K657)))))))))))),
            0
        )
    ),
    IFERROR(
        UPPER(
            IF(MAX(IFERROR(SEARCH("WD",MAIN!G657:J657), 0))&gt;0, "WD",
            IF(MAX(IFERROR(SEARCH("NS",MAIN!G657:J657), 0))&gt;0, "NS",
            IF(MAX(IFERROR(SEARCH("NC",MAIN!G657:J657), 0))&gt;0, "NC",
            IF(MAX(IFERROR(SEARCH("DQ",MAIN!G657:J657), 0))&gt;0, "DQ",
            IF(ISNUMBER(SEARCH("WD",MAIN!K657)), "WD",
            IF(ISNUMBER(SEARCH("NS",MAIN!K657)), "NS",
            IF(ISNUMBER(SEARCH("NC",MAIN!K657)), "NC",
            IF(ISNUMBER(SEARCH("DQ",MAIN!K657)), "DQ",
            IF(ISNUMBER(SEARCH("A",MAIN!K657)), 0,
            IF(OR(MAIN!K657=0,MAIN!K657=""), 0, --TRIM(MAIN!K657)))))))))))),
        0
    )
)</f>
        <v>0</v>
      </c>
    </row>
    <row r="658" spans="1:11" x14ac:dyDescent="0.25">
      <c r="A658" t="str">
        <f>IF(ISBLANK(MAIN!A658), "--", IFERROR(PROPER(SUBSTITUTE(SUBSTITUTE(SUBSTITUTE(SUBSTITUTE(SUBSTITUTE(SUBSTITUTE(SUBSTITUTE(SUBSTITUTE(SUBSTITUTE(SUBSTITUTE(LEFT(MAIN!A658, FIND(",",MAIN!A658) -1), "0", ""), "1", ""), "2", ""), "3", ""), "4", ""), "5", ""), "6", ""), "7", ""), "8", ""), "9", "")), PROPER(SUBSTITUTE(SUBSTITUTE(SUBSTITUTE(SUBSTITUTE(SUBSTITUTE(SUBSTITUTE(SUBSTITUTE(SUBSTITUTE(SUBSTITUTE(SUBSTITUTE(MAIN!A658, "0", ""), "1", ""), "2", ""), "3", ""), "4", ""), "5", ""), "6", ""), "7", ""), "8", ""), "9", ""))))</f>
        <v>--</v>
      </c>
      <c r="B658" t="str">
        <f>IF(ISBLANK(MAIN!B658), "--", IFERROR(PROPER(SUBSTITUTE(SUBSTITUTE(SUBSTITUTE(SUBSTITUTE(SUBSTITUTE(SUBSTITUTE(SUBSTITUTE(SUBSTITUTE(SUBSTITUTE(SUBSTITUTE(LEFT(MAIN!B658, FIND(",",MAIN!B658) -1), "0", ""), "1", ""), "2", ""), "3", ""), "4", ""), "5", ""), "6", ""), "7", ""), "8", ""), "9", "")), PROPER(SUBSTITUTE(SUBSTITUTE(SUBSTITUTE(SUBSTITUTE(SUBSTITUTE(SUBSTITUTE(SUBSTITUTE(SUBSTITUTE(SUBSTITUTE(SUBSTITUTE(MAIN!B658, "0", ""), "1", ""), "2", ""), "3", ""), "4", ""), "5", ""), "6", ""), "7", ""), "8", ""), "9", ""))))</f>
        <v>--</v>
      </c>
      <c r="C658" t="str">
        <f>IF(ISBLANK(MAIN!C658), "--", IFERROR(PROPER(SUBSTITUTE(SUBSTITUTE(SUBSTITUTE(SUBSTITUTE(SUBSTITUTE(SUBSTITUTE(SUBSTITUTE(SUBSTITUTE(SUBSTITUTE(SUBSTITUTE(LEFT(MAIN!C658, FIND(",",MAIN!C658) -1), "0", ""), "1", ""), "2", ""), "3", ""), "4", ""), "5", ""), "6", ""), "7", ""), "8", ""), "9", "")), PROPER(SUBSTITUTE(SUBSTITUTE(SUBSTITUTE(SUBSTITUTE(SUBSTITUTE(SUBSTITUTE(SUBSTITUTE(SUBSTITUTE(SUBSTITUTE(SUBSTITUTE(MAIN!C658, "0", ""), "1", ""), "2", ""), "3", ""), "4", ""), "5", ""), "6", ""), "7", ""), "8", ""), "9", ""))))</f>
        <v>--</v>
      </c>
      <c r="D658" t="str">
        <f>IF(ISBLANK(MAIN!D658), "--", IF(ISNUMBER(MATCH(SUBSTITUTE(LEFT(MAIN!D658, IFERROR(FIND(",", MAIN!D658)-1, LEN(MAIN!D658))), " ", ""), lookup_values!$B$2:$B$51, 0)), UPPER(SUBSTITUTE(LEFT(MAIN!D658, IFERROR(FIND(",", MAIN!D658)-1, LEN(MAIN!D658))), " ", "")), IF(ISNA(VLOOKUP(SUBSTITUTE(LEFT(MAIN!D658, IFERROR(FIND(",", MAIN!D658)-1, LEN(MAIN!D658))), " ", ""), lookup_values!$A$2:$B$51, 2, FALSE)), "--", VLOOKUP(SUBSTITUTE(LEFT(MAIN!D658, IFERROR(FIND(",", MAIN!D658)-1, LEN(MAIN!D658))), " ", ""), lookup_values!$A$2:$B$51, 2, FALSE))))</f>
        <v>--</v>
      </c>
      <c r="E658" t="str">
        <f>IF(CLEAN_DATA!D658&lt;&gt;"--","US",IF(ISBLANK(MAIN!E658), "--", IF(ISNUMBER(MATCH(SUBSTITUTE(LEFT(MAIN!E658, IFERROR(FIND(",", MAIN!E658)-1, LEN(MAIN!E658))), " ", ""), lookup_values!$E$2:$E$197, 0)), UPPER(SUBSTITUTE(LEFT(MAIN!E658, IFERROR(FIND(",", MAIN!E658)-1, LEN(MAIN!E658))), " ", "")), IF(ISNA(VLOOKUP(SUBSTITUTE(LEFT(MAIN!E658, IFERROR(FIND(",", MAIN!E658)-1, LEN(MAIN!E658))), " ", ""), lookup_values!$D$2:$E$197, 2, FALSE)), "--", VLOOKUP(SUBSTITUTE(LEFT(MAIN!E658, IFERROR(FIND(",", MAIN!E658)-1, LEN(MAIN!E658))), " ", ""), lookup_values!$D$2:$E$197, 2, FALSE)))))</f>
        <v>--</v>
      </c>
      <c r="F658" t="str">
        <f>IF(ISBLANK(MAIN!F658), "", IF(AND(ISNUMBER(VALUE(TRIM(MAIN!F658))), LEN(TRIM(MAIN!F658))=4), VALUE(TRIM(MAIN!F658)), ""))</f>
        <v/>
      </c>
      <c r="G658">
        <f>IF(ISBLANK(MAIN!G658), 0, IF(ISNUMBER(VALUE(TRIM(MAIN!G658))), VALUE(TRIM(MAIN!G658)), 0))</f>
        <v>0</v>
      </c>
      <c r="H658">
        <f>IF(ISBLANK(MAIN!H658), 0, IF(ISNUMBER(VALUE(TRIM(MAIN!H658))), VALUE(TRIM(MAIN!H658)), 0))</f>
        <v>0</v>
      </c>
      <c r="I658">
        <f>IF(ISBLANK(MAIN!I658), 0, IF(ISNUMBER(VALUE(TRIM(MAIN!I658))), VALUE(TRIM(MAIN!I658)), 0))</f>
        <v>0</v>
      </c>
      <c r="J658">
        <f>IF(ISBLANK(MAIN!J658), 0, IF(ISNUMBER(VALUE(TRIM(MAIN!J658))), VALUE(TRIM(MAIN!J658)), 0))</f>
        <v>0</v>
      </c>
      <c r="K658" cm="1">
        <f t="array" ref="K658">IFERROR(
    VALUE(
        IFERROR(
            UPPER(
                IF(MAX(IFERROR(SEARCH("WD",MAIN!G658:J658), 0))&gt;0, "WD",
                IF(MAX(IFERROR(SEARCH("NS",MAIN!G658:J658), 0))&gt;0, "NS",
                IF(MAX(IFERROR(SEARCH("NC",MAIN!G658:J658), 0))&gt;0, "NC",
                IF(MAX(IFERROR(SEARCH("DQ",MAIN!G658:J658), 0))&gt;0, "DQ",
                IF(ISNUMBER(SEARCH("WD",MAIN!K658)), "WD",
                IF(ISNUMBER(SEARCH("NS",MAIN!K658)), "NS",
                IF(ISNUMBER(SEARCH("NC",MAIN!K658)), "NC",
                IF(ISNUMBER(SEARCH("DQ",MAIN!K658)), "DQ",
                IF(ISNUMBER(SEARCH("A",MAIN!K658)), 0,
                IF(OR(MAIN!K658=0,MAIN!K658=""), 0, --TRIM(MAIN!K658)))))))))))),
            0
        )
    ),
    IFERROR(
        UPPER(
            IF(MAX(IFERROR(SEARCH("WD",MAIN!G658:J658), 0))&gt;0, "WD",
            IF(MAX(IFERROR(SEARCH("NS",MAIN!G658:J658), 0))&gt;0, "NS",
            IF(MAX(IFERROR(SEARCH("NC",MAIN!G658:J658), 0))&gt;0, "NC",
            IF(MAX(IFERROR(SEARCH("DQ",MAIN!G658:J658), 0))&gt;0, "DQ",
            IF(ISNUMBER(SEARCH("WD",MAIN!K658)), "WD",
            IF(ISNUMBER(SEARCH("NS",MAIN!K658)), "NS",
            IF(ISNUMBER(SEARCH("NC",MAIN!K658)), "NC",
            IF(ISNUMBER(SEARCH("DQ",MAIN!K658)), "DQ",
            IF(ISNUMBER(SEARCH("A",MAIN!K658)), 0,
            IF(OR(MAIN!K658=0,MAIN!K658=""), 0, --TRIM(MAIN!K658)))))))))))),
        0
    )
)</f>
        <v>0</v>
      </c>
    </row>
    <row r="659" spans="1:11" x14ac:dyDescent="0.25">
      <c r="A659" t="str">
        <f>IF(ISBLANK(MAIN!A659), "--", IFERROR(PROPER(SUBSTITUTE(SUBSTITUTE(SUBSTITUTE(SUBSTITUTE(SUBSTITUTE(SUBSTITUTE(SUBSTITUTE(SUBSTITUTE(SUBSTITUTE(SUBSTITUTE(LEFT(MAIN!A659, FIND(",",MAIN!A659) -1), "0", ""), "1", ""), "2", ""), "3", ""), "4", ""), "5", ""), "6", ""), "7", ""), "8", ""), "9", "")), PROPER(SUBSTITUTE(SUBSTITUTE(SUBSTITUTE(SUBSTITUTE(SUBSTITUTE(SUBSTITUTE(SUBSTITUTE(SUBSTITUTE(SUBSTITUTE(SUBSTITUTE(MAIN!A659, "0", ""), "1", ""), "2", ""), "3", ""), "4", ""), "5", ""), "6", ""), "7", ""), "8", ""), "9", ""))))</f>
        <v>--</v>
      </c>
      <c r="B659" t="str">
        <f>IF(ISBLANK(MAIN!B659), "--", IFERROR(PROPER(SUBSTITUTE(SUBSTITUTE(SUBSTITUTE(SUBSTITUTE(SUBSTITUTE(SUBSTITUTE(SUBSTITUTE(SUBSTITUTE(SUBSTITUTE(SUBSTITUTE(LEFT(MAIN!B659, FIND(",",MAIN!B659) -1), "0", ""), "1", ""), "2", ""), "3", ""), "4", ""), "5", ""), "6", ""), "7", ""), "8", ""), "9", "")), PROPER(SUBSTITUTE(SUBSTITUTE(SUBSTITUTE(SUBSTITUTE(SUBSTITUTE(SUBSTITUTE(SUBSTITUTE(SUBSTITUTE(SUBSTITUTE(SUBSTITUTE(MAIN!B659, "0", ""), "1", ""), "2", ""), "3", ""), "4", ""), "5", ""), "6", ""), "7", ""), "8", ""), "9", ""))))</f>
        <v>--</v>
      </c>
      <c r="C659" t="str">
        <f>IF(ISBLANK(MAIN!C659), "--", IFERROR(PROPER(SUBSTITUTE(SUBSTITUTE(SUBSTITUTE(SUBSTITUTE(SUBSTITUTE(SUBSTITUTE(SUBSTITUTE(SUBSTITUTE(SUBSTITUTE(SUBSTITUTE(LEFT(MAIN!C659, FIND(",",MAIN!C659) -1), "0", ""), "1", ""), "2", ""), "3", ""), "4", ""), "5", ""), "6", ""), "7", ""), "8", ""), "9", "")), PROPER(SUBSTITUTE(SUBSTITUTE(SUBSTITUTE(SUBSTITUTE(SUBSTITUTE(SUBSTITUTE(SUBSTITUTE(SUBSTITUTE(SUBSTITUTE(SUBSTITUTE(MAIN!C659, "0", ""), "1", ""), "2", ""), "3", ""), "4", ""), "5", ""), "6", ""), "7", ""), "8", ""), "9", ""))))</f>
        <v>--</v>
      </c>
      <c r="D659" t="str">
        <f>IF(ISBLANK(MAIN!D659), "--", IF(ISNUMBER(MATCH(SUBSTITUTE(LEFT(MAIN!D659, IFERROR(FIND(",", MAIN!D659)-1, LEN(MAIN!D659))), " ", ""), lookup_values!$B$2:$B$51, 0)), UPPER(SUBSTITUTE(LEFT(MAIN!D659, IFERROR(FIND(",", MAIN!D659)-1, LEN(MAIN!D659))), " ", "")), IF(ISNA(VLOOKUP(SUBSTITUTE(LEFT(MAIN!D659, IFERROR(FIND(",", MAIN!D659)-1, LEN(MAIN!D659))), " ", ""), lookup_values!$A$2:$B$51, 2, FALSE)), "--", VLOOKUP(SUBSTITUTE(LEFT(MAIN!D659, IFERROR(FIND(",", MAIN!D659)-1, LEN(MAIN!D659))), " ", ""), lookup_values!$A$2:$B$51, 2, FALSE))))</f>
        <v>--</v>
      </c>
      <c r="E659" t="str">
        <f>IF(CLEAN_DATA!D659&lt;&gt;"--","US",IF(ISBLANK(MAIN!E659), "--", IF(ISNUMBER(MATCH(SUBSTITUTE(LEFT(MAIN!E659, IFERROR(FIND(",", MAIN!E659)-1, LEN(MAIN!E659))), " ", ""), lookup_values!$E$2:$E$197, 0)), UPPER(SUBSTITUTE(LEFT(MAIN!E659, IFERROR(FIND(",", MAIN!E659)-1, LEN(MAIN!E659))), " ", "")), IF(ISNA(VLOOKUP(SUBSTITUTE(LEFT(MAIN!E659, IFERROR(FIND(",", MAIN!E659)-1, LEN(MAIN!E659))), " ", ""), lookup_values!$D$2:$E$197, 2, FALSE)), "--", VLOOKUP(SUBSTITUTE(LEFT(MAIN!E659, IFERROR(FIND(",", MAIN!E659)-1, LEN(MAIN!E659))), " ", ""), lookup_values!$D$2:$E$197, 2, FALSE)))))</f>
        <v>--</v>
      </c>
      <c r="F659" t="str">
        <f>IF(ISBLANK(MAIN!F659), "", IF(AND(ISNUMBER(VALUE(TRIM(MAIN!F659))), LEN(TRIM(MAIN!F659))=4), VALUE(TRIM(MAIN!F659)), ""))</f>
        <v/>
      </c>
      <c r="G659">
        <f>IF(ISBLANK(MAIN!G659), 0, IF(ISNUMBER(VALUE(TRIM(MAIN!G659))), VALUE(TRIM(MAIN!G659)), 0))</f>
        <v>0</v>
      </c>
      <c r="H659">
        <f>IF(ISBLANK(MAIN!H659), 0, IF(ISNUMBER(VALUE(TRIM(MAIN!H659))), VALUE(TRIM(MAIN!H659)), 0))</f>
        <v>0</v>
      </c>
      <c r="I659">
        <f>IF(ISBLANK(MAIN!I659), 0, IF(ISNUMBER(VALUE(TRIM(MAIN!I659))), VALUE(TRIM(MAIN!I659)), 0))</f>
        <v>0</v>
      </c>
      <c r="J659">
        <f>IF(ISBLANK(MAIN!J659), 0, IF(ISNUMBER(VALUE(TRIM(MAIN!J659))), VALUE(TRIM(MAIN!J659)), 0))</f>
        <v>0</v>
      </c>
      <c r="K659" cm="1">
        <f t="array" ref="K659">IFERROR(
    VALUE(
        IFERROR(
            UPPER(
                IF(MAX(IFERROR(SEARCH("WD",MAIN!G659:J659), 0))&gt;0, "WD",
                IF(MAX(IFERROR(SEARCH("NS",MAIN!G659:J659), 0))&gt;0, "NS",
                IF(MAX(IFERROR(SEARCH("NC",MAIN!G659:J659), 0))&gt;0, "NC",
                IF(MAX(IFERROR(SEARCH("DQ",MAIN!G659:J659), 0))&gt;0, "DQ",
                IF(ISNUMBER(SEARCH("WD",MAIN!K659)), "WD",
                IF(ISNUMBER(SEARCH("NS",MAIN!K659)), "NS",
                IF(ISNUMBER(SEARCH("NC",MAIN!K659)), "NC",
                IF(ISNUMBER(SEARCH("DQ",MAIN!K659)), "DQ",
                IF(ISNUMBER(SEARCH("A",MAIN!K659)), 0,
                IF(OR(MAIN!K659=0,MAIN!K659=""), 0, --TRIM(MAIN!K659)))))))))))),
            0
        )
    ),
    IFERROR(
        UPPER(
            IF(MAX(IFERROR(SEARCH("WD",MAIN!G659:J659), 0))&gt;0, "WD",
            IF(MAX(IFERROR(SEARCH("NS",MAIN!G659:J659), 0))&gt;0, "NS",
            IF(MAX(IFERROR(SEARCH("NC",MAIN!G659:J659), 0))&gt;0, "NC",
            IF(MAX(IFERROR(SEARCH("DQ",MAIN!G659:J659), 0))&gt;0, "DQ",
            IF(ISNUMBER(SEARCH("WD",MAIN!K659)), "WD",
            IF(ISNUMBER(SEARCH("NS",MAIN!K659)), "NS",
            IF(ISNUMBER(SEARCH("NC",MAIN!K659)), "NC",
            IF(ISNUMBER(SEARCH("DQ",MAIN!K659)), "DQ",
            IF(ISNUMBER(SEARCH("A",MAIN!K659)), 0,
            IF(OR(MAIN!K659=0,MAIN!K659=""), 0, --TRIM(MAIN!K659)))))))))))),
        0
    )
)</f>
        <v>0</v>
      </c>
    </row>
    <row r="660" spans="1:11" x14ac:dyDescent="0.25">
      <c r="A660" t="str">
        <f>IF(ISBLANK(MAIN!A660), "--", IFERROR(PROPER(SUBSTITUTE(SUBSTITUTE(SUBSTITUTE(SUBSTITUTE(SUBSTITUTE(SUBSTITUTE(SUBSTITUTE(SUBSTITUTE(SUBSTITUTE(SUBSTITUTE(LEFT(MAIN!A660, FIND(",",MAIN!A660) -1), "0", ""), "1", ""), "2", ""), "3", ""), "4", ""), "5", ""), "6", ""), "7", ""), "8", ""), "9", "")), PROPER(SUBSTITUTE(SUBSTITUTE(SUBSTITUTE(SUBSTITUTE(SUBSTITUTE(SUBSTITUTE(SUBSTITUTE(SUBSTITUTE(SUBSTITUTE(SUBSTITUTE(MAIN!A660, "0", ""), "1", ""), "2", ""), "3", ""), "4", ""), "5", ""), "6", ""), "7", ""), "8", ""), "9", ""))))</f>
        <v>--</v>
      </c>
      <c r="B660" t="str">
        <f>IF(ISBLANK(MAIN!B660), "--", IFERROR(PROPER(SUBSTITUTE(SUBSTITUTE(SUBSTITUTE(SUBSTITUTE(SUBSTITUTE(SUBSTITUTE(SUBSTITUTE(SUBSTITUTE(SUBSTITUTE(SUBSTITUTE(LEFT(MAIN!B660, FIND(",",MAIN!B660) -1), "0", ""), "1", ""), "2", ""), "3", ""), "4", ""), "5", ""), "6", ""), "7", ""), "8", ""), "9", "")), PROPER(SUBSTITUTE(SUBSTITUTE(SUBSTITUTE(SUBSTITUTE(SUBSTITUTE(SUBSTITUTE(SUBSTITUTE(SUBSTITUTE(SUBSTITUTE(SUBSTITUTE(MAIN!B660, "0", ""), "1", ""), "2", ""), "3", ""), "4", ""), "5", ""), "6", ""), "7", ""), "8", ""), "9", ""))))</f>
        <v>--</v>
      </c>
      <c r="C660" t="str">
        <f>IF(ISBLANK(MAIN!C660), "--", IFERROR(PROPER(SUBSTITUTE(SUBSTITUTE(SUBSTITUTE(SUBSTITUTE(SUBSTITUTE(SUBSTITUTE(SUBSTITUTE(SUBSTITUTE(SUBSTITUTE(SUBSTITUTE(LEFT(MAIN!C660, FIND(",",MAIN!C660) -1), "0", ""), "1", ""), "2", ""), "3", ""), "4", ""), "5", ""), "6", ""), "7", ""), "8", ""), "9", "")), PROPER(SUBSTITUTE(SUBSTITUTE(SUBSTITUTE(SUBSTITUTE(SUBSTITUTE(SUBSTITUTE(SUBSTITUTE(SUBSTITUTE(SUBSTITUTE(SUBSTITUTE(MAIN!C660, "0", ""), "1", ""), "2", ""), "3", ""), "4", ""), "5", ""), "6", ""), "7", ""), "8", ""), "9", ""))))</f>
        <v>--</v>
      </c>
      <c r="D660" t="str">
        <f>IF(ISBLANK(MAIN!D660), "--", IF(ISNUMBER(MATCH(SUBSTITUTE(LEFT(MAIN!D660, IFERROR(FIND(",", MAIN!D660)-1, LEN(MAIN!D660))), " ", ""), lookup_values!$B$2:$B$51, 0)), UPPER(SUBSTITUTE(LEFT(MAIN!D660, IFERROR(FIND(",", MAIN!D660)-1, LEN(MAIN!D660))), " ", "")), IF(ISNA(VLOOKUP(SUBSTITUTE(LEFT(MAIN!D660, IFERROR(FIND(",", MAIN!D660)-1, LEN(MAIN!D660))), " ", ""), lookup_values!$A$2:$B$51, 2, FALSE)), "--", VLOOKUP(SUBSTITUTE(LEFT(MAIN!D660, IFERROR(FIND(",", MAIN!D660)-1, LEN(MAIN!D660))), " ", ""), lookup_values!$A$2:$B$51, 2, FALSE))))</f>
        <v>--</v>
      </c>
      <c r="E660" t="str">
        <f>IF(CLEAN_DATA!D660&lt;&gt;"--","US",IF(ISBLANK(MAIN!E660), "--", IF(ISNUMBER(MATCH(SUBSTITUTE(LEFT(MAIN!E660, IFERROR(FIND(",", MAIN!E660)-1, LEN(MAIN!E660))), " ", ""), lookup_values!$E$2:$E$197, 0)), UPPER(SUBSTITUTE(LEFT(MAIN!E660, IFERROR(FIND(",", MAIN!E660)-1, LEN(MAIN!E660))), " ", "")), IF(ISNA(VLOOKUP(SUBSTITUTE(LEFT(MAIN!E660, IFERROR(FIND(",", MAIN!E660)-1, LEN(MAIN!E660))), " ", ""), lookup_values!$D$2:$E$197, 2, FALSE)), "--", VLOOKUP(SUBSTITUTE(LEFT(MAIN!E660, IFERROR(FIND(",", MAIN!E660)-1, LEN(MAIN!E660))), " ", ""), lookup_values!$D$2:$E$197, 2, FALSE)))))</f>
        <v>--</v>
      </c>
      <c r="F660" t="str">
        <f>IF(ISBLANK(MAIN!F660), "", IF(AND(ISNUMBER(VALUE(TRIM(MAIN!F660))), LEN(TRIM(MAIN!F660))=4), VALUE(TRIM(MAIN!F660)), ""))</f>
        <v/>
      </c>
      <c r="G660">
        <f>IF(ISBLANK(MAIN!G660), 0, IF(ISNUMBER(VALUE(TRIM(MAIN!G660))), VALUE(TRIM(MAIN!G660)), 0))</f>
        <v>0</v>
      </c>
      <c r="H660">
        <f>IF(ISBLANK(MAIN!H660), 0, IF(ISNUMBER(VALUE(TRIM(MAIN!H660))), VALUE(TRIM(MAIN!H660)), 0))</f>
        <v>0</v>
      </c>
      <c r="I660">
        <f>IF(ISBLANK(MAIN!I660), 0, IF(ISNUMBER(VALUE(TRIM(MAIN!I660))), VALUE(TRIM(MAIN!I660)), 0))</f>
        <v>0</v>
      </c>
      <c r="J660">
        <f>IF(ISBLANK(MAIN!J660), 0, IF(ISNUMBER(VALUE(TRIM(MAIN!J660))), VALUE(TRIM(MAIN!J660)), 0))</f>
        <v>0</v>
      </c>
      <c r="K660" cm="1">
        <f t="array" ref="K660">IFERROR(
    VALUE(
        IFERROR(
            UPPER(
                IF(MAX(IFERROR(SEARCH("WD",MAIN!G660:J660), 0))&gt;0, "WD",
                IF(MAX(IFERROR(SEARCH("NS",MAIN!G660:J660), 0))&gt;0, "NS",
                IF(MAX(IFERROR(SEARCH("NC",MAIN!G660:J660), 0))&gt;0, "NC",
                IF(MAX(IFERROR(SEARCH("DQ",MAIN!G660:J660), 0))&gt;0, "DQ",
                IF(ISNUMBER(SEARCH("WD",MAIN!K660)), "WD",
                IF(ISNUMBER(SEARCH("NS",MAIN!K660)), "NS",
                IF(ISNUMBER(SEARCH("NC",MAIN!K660)), "NC",
                IF(ISNUMBER(SEARCH("DQ",MAIN!K660)), "DQ",
                IF(ISNUMBER(SEARCH("A",MAIN!K660)), 0,
                IF(OR(MAIN!K660=0,MAIN!K660=""), 0, --TRIM(MAIN!K660)))))))))))),
            0
        )
    ),
    IFERROR(
        UPPER(
            IF(MAX(IFERROR(SEARCH("WD",MAIN!G660:J660), 0))&gt;0, "WD",
            IF(MAX(IFERROR(SEARCH("NS",MAIN!G660:J660), 0))&gt;0, "NS",
            IF(MAX(IFERROR(SEARCH("NC",MAIN!G660:J660), 0))&gt;0, "NC",
            IF(MAX(IFERROR(SEARCH("DQ",MAIN!G660:J660), 0))&gt;0, "DQ",
            IF(ISNUMBER(SEARCH("WD",MAIN!K660)), "WD",
            IF(ISNUMBER(SEARCH("NS",MAIN!K660)), "NS",
            IF(ISNUMBER(SEARCH("NC",MAIN!K660)), "NC",
            IF(ISNUMBER(SEARCH("DQ",MAIN!K660)), "DQ",
            IF(ISNUMBER(SEARCH("A",MAIN!K660)), 0,
            IF(OR(MAIN!K660=0,MAIN!K660=""), 0, --TRIM(MAIN!K660)))))))))))),
        0
    )
)</f>
        <v>0</v>
      </c>
    </row>
    <row r="661" spans="1:11" x14ac:dyDescent="0.25">
      <c r="A661" t="str">
        <f>IF(ISBLANK(MAIN!A661), "--", IFERROR(PROPER(SUBSTITUTE(SUBSTITUTE(SUBSTITUTE(SUBSTITUTE(SUBSTITUTE(SUBSTITUTE(SUBSTITUTE(SUBSTITUTE(SUBSTITUTE(SUBSTITUTE(LEFT(MAIN!A661, FIND(",",MAIN!A661) -1), "0", ""), "1", ""), "2", ""), "3", ""), "4", ""), "5", ""), "6", ""), "7", ""), "8", ""), "9", "")), PROPER(SUBSTITUTE(SUBSTITUTE(SUBSTITUTE(SUBSTITUTE(SUBSTITUTE(SUBSTITUTE(SUBSTITUTE(SUBSTITUTE(SUBSTITUTE(SUBSTITUTE(MAIN!A661, "0", ""), "1", ""), "2", ""), "3", ""), "4", ""), "5", ""), "6", ""), "7", ""), "8", ""), "9", ""))))</f>
        <v>--</v>
      </c>
      <c r="B661" t="str">
        <f>IF(ISBLANK(MAIN!B661), "--", IFERROR(PROPER(SUBSTITUTE(SUBSTITUTE(SUBSTITUTE(SUBSTITUTE(SUBSTITUTE(SUBSTITUTE(SUBSTITUTE(SUBSTITUTE(SUBSTITUTE(SUBSTITUTE(LEFT(MAIN!B661, FIND(",",MAIN!B661) -1), "0", ""), "1", ""), "2", ""), "3", ""), "4", ""), "5", ""), "6", ""), "7", ""), "8", ""), "9", "")), PROPER(SUBSTITUTE(SUBSTITUTE(SUBSTITUTE(SUBSTITUTE(SUBSTITUTE(SUBSTITUTE(SUBSTITUTE(SUBSTITUTE(SUBSTITUTE(SUBSTITUTE(MAIN!B661, "0", ""), "1", ""), "2", ""), "3", ""), "4", ""), "5", ""), "6", ""), "7", ""), "8", ""), "9", ""))))</f>
        <v>--</v>
      </c>
      <c r="C661" t="str">
        <f>IF(ISBLANK(MAIN!C661), "--", IFERROR(PROPER(SUBSTITUTE(SUBSTITUTE(SUBSTITUTE(SUBSTITUTE(SUBSTITUTE(SUBSTITUTE(SUBSTITUTE(SUBSTITUTE(SUBSTITUTE(SUBSTITUTE(LEFT(MAIN!C661, FIND(",",MAIN!C661) -1), "0", ""), "1", ""), "2", ""), "3", ""), "4", ""), "5", ""), "6", ""), "7", ""), "8", ""), "9", "")), PROPER(SUBSTITUTE(SUBSTITUTE(SUBSTITUTE(SUBSTITUTE(SUBSTITUTE(SUBSTITUTE(SUBSTITUTE(SUBSTITUTE(SUBSTITUTE(SUBSTITUTE(MAIN!C661, "0", ""), "1", ""), "2", ""), "3", ""), "4", ""), "5", ""), "6", ""), "7", ""), "8", ""), "9", ""))))</f>
        <v>--</v>
      </c>
      <c r="D661" t="str">
        <f>IF(ISBLANK(MAIN!D661), "--", IF(ISNUMBER(MATCH(SUBSTITUTE(LEFT(MAIN!D661, IFERROR(FIND(",", MAIN!D661)-1, LEN(MAIN!D661))), " ", ""), lookup_values!$B$2:$B$51, 0)), UPPER(SUBSTITUTE(LEFT(MAIN!D661, IFERROR(FIND(",", MAIN!D661)-1, LEN(MAIN!D661))), " ", "")), IF(ISNA(VLOOKUP(SUBSTITUTE(LEFT(MAIN!D661, IFERROR(FIND(",", MAIN!D661)-1, LEN(MAIN!D661))), " ", ""), lookup_values!$A$2:$B$51, 2, FALSE)), "--", VLOOKUP(SUBSTITUTE(LEFT(MAIN!D661, IFERROR(FIND(",", MAIN!D661)-1, LEN(MAIN!D661))), " ", ""), lookup_values!$A$2:$B$51, 2, FALSE))))</f>
        <v>--</v>
      </c>
      <c r="E661" t="str">
        <f>IF(CLEAN_DATA!D661&lt;&gt;"--","US",IF(ISBLANK(MAIN!E661), "--", IF(ISNUMBER(MATCH(SUBSTITUTE(LEFT(MAIN!E661, IFERROR(FIND(",", MAIN!E661)-1, LEN(MAIN!E661))), " ", ""), lookup_values!$E$2:$E$197, 0)), UPPER(SUBSTITUTE(LEFT(MAIN!E661, IFERROR(FIND(",", MAIN!E661)-1, LEN(MAIN!E661))), " ", "")), IF(ISNA(VLOOKUP(SUBSTITUTE(LEFT(MAIN!E661, IFERROR(FIND(",", MAIN!E661)-1, LEN(MAIN!E661))), " ", ""), lookup_values!$D$2:$E$197, 2, FALSE)), "--", VLOOKUP(SUBSTITUTE(LEFT(MAIN!E661, IFERROR(FIND(",", MAIN!E661)-1, LEN(MAIN!E661))), " ", ""), lookup_values!$D$2:$E$197, 2, FALSE)))))</f>
        <v>--</v>
      </c>
      <c r="F661" t="str">
        <f>IF(ISBLANK(MAIN!F661), "", IF(AND(ISNUMBER(VALUE(TRIM(MAIN!F661))), LEN(TRIM(MAIN!F661))=4), VALUE(TRIM(MAIN!F661)), ""))</f>
        <v/>
      </c>
      <c r="G661">
        <f>IF(ISBLANK(MAIN!G661), 0, IF(ISNUMBER(VALUE(TRIM(MAIN!G661))), VALUE(TRIM(MAIN!G661)), 0))</f>
        <v>0</v>
      </c>
      <c r="H661">
        <f>IF(ISBLANK(MAIN!H661), 0, IF(ISNUMBER(VALUE(TRIM(MAIN!H661))), VALUE(TRIM(MAIN!H661)), 0))</f>
        <v>0</v>
      </c>
      <c r="I661">
        <f>IF(ISBLANK(MAIN!I661), 0, IF(ISNUMBER(VALUE(TRIM(MAIN!I661))), VALUE(TRIM(MAIN!I661)), 0))</f>
        <v>0</v>
      </c>
      <c r="J661">
        <f>IF(ISBLANK(MAIN!J661), 0, IF(ISNUMBER(VALUE(TRIM(MAIN!J661))), VALUE(TRIM(MAIN!J661)), 0))</f>
        <v>0</v>
      </c>
      <c r="K661" cm="1">
        <f t="array" ref="K661">IFERROR(
    VALUE(
        IFERROR(
            UPPER(
                IF(MAX(IFERROR(SEARCH("WD",MAIN!G661:J661), 0))&gt;0, "WD",
                IF(MAX(IFERROR(SEARCH("NS",MAIN!G661:J661), 0))&gt;0, "NS",
                IF(MAX(IFERROR(SEARCH("NC",MAIN!G661:J661), 0))&gt;0, "NC",
                IF(MAX(IFERROR(SEARCH("DQ",MAIN!G661:J661), 0))&gt;0, "DQ",
                IF(ISNUMBER(SEARCH("WD",MAIN!K661)), "WD",
                IF(ISNUMBER(SEARCH("NS",MAIN!K661)), "NS",
                IF(ISNUMBER(SEARCH("NC",MAIN!K661)), "NC",
                IF(ISNUMBER(SEARCH("DQ",MAIN!K661)), "DQ",
                IF(ISNUMBER(SEARCH("A",MAIN!K661)), 0,
                IF(OR(MAIN!K661=0,MAIN!K661=""), 0, --TRIM(MAIN!K661)))))))))))),
            0
        )
    ),
    IFERROR(
        UPPER(
            IF(MAX(IFERROR(SEARCH("WD",MAIN!G661:J661), 0))&gt;0, "WD",
            IF(MAX(IFERROR(SEARCH("NS",MAIN!G661:J661), 0))&gt;0, "NS",
            IF(MAX(IFERROR(SEARCH("NC",MAIN!G661:J661), 0))&gt;0, "NC",
            IF(MAX(IFERROR(SEARCH("DQ",MAIN!G661:J661), 0))&gt;0, "DQ",
            IF(ISNUMBER(SEARCH("WD",MAIN!K661)), "WD",
            IF(ISNUMBER(SEARCH("NS",MAIN!K661)), "NS",
            IF(ISNUMBER(SEARCH("NC",MAIN!K661)), "NC",
            IF(ISNUMBER(SEARCH("DQ",MAIN!K661)), "DQ",
            IF(ISNUMBER(SEARCH("A",MAIN!K661)), 0,
            IF(OR(MAIN!K661=0,MAIN!K661=""), 0, --TRIM(MAIN!K661)))))))))))),
        0
    )
)</f>
        <v>0</v>
      </c>
    </row>
    <row r="662" spans="1:11" x14ac:dyDescent="0.25">
      <c r="A662" t="str">
        <f>IF(ISBLANK(MAIN!A662), "--", IFERROR(PROPER(SUBSTITUTE(SUBSTITUTE(SUBSTITUTE(SUBSTITUTE(SUBSTITUTE(SUBSTITUTE(SUBSTITUTE(SUBSTITUTE(SUBSTITUTE(SUBSTITUTE(LEFT(MAIN!A662, FIND(",",MAIN!A662) -1), "0", ""), "1", ""), "2", ""), "3", ""), "4", ""), "5", ""), "6", ""), "7", ""), "8", ""), "9", "")), PROPER(SUBSTITUTE(SUBSTITUTE(SUBSTITUTE(SUBSTITUTE(SUBSTITUTE(SUBSTITUTE(SUBSTITUTE(SUBSTITUTE(SUBSTITUTE(SUBSTITUTE(MAIN!A662, "0", ""), "1", ""), "2", ""), "3", ""), "4", ""), "5", ""), "6", ""), "7", ""), "8", ""), "9", ""))))</f>
        <v>--</v>
      </c>
      <c r="B662" t="str">
        <f>IF(ISBLANK(MAIN!B662), "--", IFERROR(PROPER(SUBSTITUTE(SUBSTITUTE(SUBSTITUTE(SUBSTITUTE(SUBSTITUTE(SUBSTITUTE(SUBSTITUTE(SUBSTITUTE(SUBSTITUTE(SUBSTITUTE(LEFT(MAIN!B662, FIND(",",MAIN!B662) -1), "0", ""), "1", ""), "2", ""), "3", ""), "4", ""), "5", ""), "6", ""), "7", ""), "8", ""), "9", "")), PROPER(SUBSTITUTE(SUBSTITUTE(SUBSTITUTE(SUBSTITUTE(SUBSTITUTE(SUBSTITUTE(SUBSTITUTE(SUBSTITUTE(SUBSTITUTE(SUBSTITUTE(MAIN!B662, "0", ""), "1", ""), "2", ""), "3", ""), "4", ""), "5", ""), "6", ""), "7", ""), "8", ""), "9", ""))))</f>
        <v>--</v>
      </c>
      <c r="C662" t="str">
        <f>IF(ISBLANK(MAIN!C662), "--", IFERROR(PROPER(SUBSTITUTE(SUBSTITUTE(SUBSTITUTE(SUBSTITUTE(SUBSTITUTE(SUBSTITUTE(SUBSTITUTE(SUBSTITUTE(SUBSTITUTE(SUBSTITUTE(LEFT(MAIN!C662, FIND(",",MAIN!C662) -1), "0", ""), "1", ""), "2", ""), "3", ""), "4", ""), "5", ""), "6", ""), "7", ""), "8", ""), "9", "")), PROPER(SUBSTITUTE(SUBSTITUTE(SUBSTITUTE(SUBSTITUTE(SUBSTITUTE(SUBSTITUTE(SUBSTITUTE(SUBSTITUTE(SUBSTITUTE(SUBSTITUTE(MAIN!C662, "0", ""), "1", ""), "2", ""), "3", ""), "4", ""), "5", ""), "6", ""), "7", ""), "8", ""), "9", ""))))</f>
        <v>--</v>
      </c>
      <c r="D662" t="str">
        <f>IF(ISBLANK(MAIN!D662), "--", IF(ISNUMBER(MATCH(SUBSTITUTE(LEFT(MAIN!D662, IFERROR(FIND(",", MAIN!D662)-1, LEN(MAIN!D662))), " ", ""), lookup_values!$B$2:$B$51, 0)), UPPER(SUBSTITUTE(LEFT(MAIN!D662, IFERROR(FIND(",", MAIN!D662)-1, LEN(MAIN!D662))), " ", "")), IF(ISNA(VLOOKUP(SUBSTITUTE(LEFT(MAIN!D662, IFERROR(FIND(",", MAIN!D662)-1, LEN(MAIN!D662))), " ", ""), lookup_values!$A$2:$B$51, 2, FALSE)), "--", VLOOKUP(SUBSTITUTE(LEFT(MAIN!D662, IFERROR(FIND(",", MAIN!D662)-1, LEN(MAIN!D662))), " ", ""), lookup_values!$A$2:$B$51, 2, FALSE))))</f>
        <v>--</v>
      </c>
      <c r="E662" t="str">
        <f>IF(CLEAN_DATA!D662&lt;&gt;"--","US",IF(ISBLANK(MAIN!E662), "--", IF(ISNUMBER(MATCH(SUBSTITUTE(LEFT(MAIN!E662, IFERROR(FIND(",", MAIN!E662)-1, LEN(MAIN!E662))), " ", ""), lookup_values!$E$2:$E$197, 0)), UPPER(SUBSTITUTE(LEFT(MAIN!E662, IFERROR(FIND(",", MAIN!E662)-1, LEN(MAIN!E662))), " ", "")), IF(ISNA(VLOOKUP(SUBSTITUTE(LEFT(MAIN!E662, IFERROR(FIND(",", MAIN!E662)-1, LEN(MAIN!E662))), " ", ""), lookup_values!$D$2:$E$197, 2, FALSE)), "--", VLOOKUP(SUBSTITUTE(LEFT(MAIN!E662, IFERROR(FIND(",", MAIN!E662)-1, LEN(MAIN!E662))), " ", ""), lookup_values!$D$2:$E$197, 2, FALSE)))))</f>
        <v>--</v>
      </c>
      <c r="F662" t="str">
        <f>IF(ISBLANK(MAIN!F662), "", IF(AND(ISNUMBER(VALUE(TRIM(MAIN!F662))), LEN(TRIM(MAIN!F662))=4), VALUE(TRIM(MAIN!F662)), ""))</f>
        <v/>
      </c>
      <c r="G662">
        <f>IF(ISBLANK(MAIN!G662), 0, IF(ISNUMBER(VALUE(TRIM(MAIN!G662))), VALUE(TRIM(MAIN!G662)), 0))</f>
        <v>0</v>
      </c>
      <c r="H662">
        <f>IF(ISBLANK(MAIN!H662), 0, IF(ISNUMBER(VALUE(TRIM(MAIN!H662))), VALUE(TRIM(MAIN!H662)), 0))</f>
        <v>0</v>
      </c>
      <c r="I662">
        <f>IF(ISBLANK(MAIN!I662), 0, IF(ISNUMBER(VALUE(TRIM(MAIN!I662))), VALUE(TRIM(MAIN!I662)), 0))</f>
        <v>0</v>
      </c>
      <c r="J662">
        <f>IF(ISBLANK(MAIN!J662), 0, IF(ISNUMBER(VALUE(TRIM(MAIN!J662))), VALUE(TRIM(MAIN!J662)), 0))</f>
        <v>0</v>
      </c>
      <c r="K662" cm="1">
        <f t="array" ref="K662">IFERROR(
    VALUE(
        IFERROR(
            UPPER(
                IF(MAX(IFERROR(SEARCH("WD",MAIN!G662:J662), 0))&gt;0, "WD",
                IF(MAX(IFERROR(SEARCH("NS",MAIN!G662:J662), 0))&gt;0, "NS",
                IF(MAX(IFERROR(SEARCH("NC",MAIN!G662:J662), 0))&gt;0, "NC",
                IF(MAX(IFERROR(SEARCH("DQ",MAIN!G662:J662), 0))&gt;0, "DQ",
                IF(ISNUMBER(SEARCH("WD",MAIN!K662)), "WD",
                IF(ISNUMBER(SEARCH("NS",MAIN!K662)), "NS",
                IF(ISNUMBER(SEARCH("NC",MAIN!K662)), "NC",
                IF(ISNUMBER(SEARCH("DQ",MAIN!K662)), "DQ",
                IF(ISNUMBER(SEARCH("A",MAIN!K662)), 0,
                IF(OR(MAIN!K662=0,MAIN!K662=""), 0, --TRIM(MAIN!K662)))))))))))),
            0
        )
    ),
    IFERROR(
        UPPER(
            IF(MAX(IFERROR(SEARCH("WD",MAIN!G662:J662), 0))&gt;0, "WD",
            IF(MAX(IFERROR(SEARCH("NS",MAIN!G662:J662), 0))&gt;0, "NS",
            IF(MAX(IFERROR(SEARCH("NC",MAIN!G662:J662), 0))&gt;0, "NC",
            IF(MAX(IFERROR(SEARCH("DQ",MAIN!G662:J662), 0))&gt;0, "DQ",
            IF(ISNUMBER(SEARCH("WD",MAIN!K662)), "WD",
            IF(ISNUMBER(SEARCH("NS",MAIN!K662)), "NS",
            IF(ISNUMBER(SEARCH("NC",MAIN!K662)), "NC",
            IF(ISNUMBER(SEARCH("DQ",MAIN!K662)), "DQ",
            IF(ISNUMBER(SEARCH("A",MAIN!K662)), 0,
            IF(OR(MAIN!K662=0,MAIN!K662=""), 0, --TRIM(MAIN!K662)))))))))))),
        0
    )
)</f>
        <v>0</v>
      </c>
    </row>
    <row r="663" spans="1:11" x14ac:dyDescent="0.25">
      <c r="A663" t="str">
        <f>IF(ISBLANK(MAIN!A663), "--", IFERROR(PROPER(SUBSTITUTE(SUBSTITUTE(SUBSTITUTE(SUBSTITUTE(SUBSTITUTE(SUBSTITUTE(SUBSTITUTE(SUBSTITUTE(SUBSTITUTE(SUBSTITUTE(LEFT(MAIN!A663, FIND(",",MAIN!A663) -1), "0", ""), "1", ""), "2", ""), "3", ""), "4", ""), "5", ""), "6", ""), "7", ""), "8", ""), "9", "")), PROPER(SUBSTITUTE(SUBSTITUTE(SUBSTITUTE(SUBSTITUTE(SUBSTITUTE(SUBSTITUTE(SUBSTITUTE(SUBSTITUTE(SUBSTITUTE(SUBSTITUTE(MAIN!A663, "0", ""), "1", ""), "2", ""), "3", ""), "4", ""), "5", ""), "6", ""), "7", ""), "8", ""), "9", ""))))</f>
        <v>--</v>
      </c>
      <c r="B663" t="str">
        <f>IF(ISBLANK(MAIN!B663), "--", IFERROR(PROPER(SUBSTITUTE(SUBSTITUTE(SUBSTITUTE(SUBSTITUTE(SUBSTITUTE(SUBSTITUTE(SUBSTITUTE(SUBSTITUTE(SUBSTITUTE(SUBSTITUTE(LEFT(MAIN!B663, FIND(",",MAIN!B663) -1), "0", ""), "1", ""), "2", ""), "3", ""), "4", ""), "5", ""), "6", ""), "7", ""), "8", ""), "9", "")), PROPER(SUBSTITUTE(SUBSTITUTE(SUBSTITUTE(SUBSTITUTE(SUBSTITUTE(SUBSTITUTE(SUBSTITUTE(SUBSTITUTE(SUBSTITUTE(SUBSTITUTE(MAIN!B663, "0", ""), "1", ""), "2", ""), "3", ""), "4", ""), "5", ""), "6", ""), "7", ""), "8", ""), "9", ""))))</f>
        <v>--</v>
      </c>
      <c r="C663" t="str">
        <f>IF(ISBLANK(MAIN!C663), "--", IFERROR(PROPER(SUBSTITUTE(SUBSTITUTE(SUBSTITUTE(SUBSTITUTE(SUBSTITUTE(SUBSTITUTE(SUBSTITUTE(SUBSTITUTE(SUBSTITUTE(SUBSTITUTE(LEFT(MAIN!C663, FIND(",",MAIN!C663) -1), "0", ""), "1", ""), "2", ""), "3", ""), "4", ""), "5", ""), "6", ""), "7", ""), "8", ""), "9", "")), PROPER(SUBSTITUTE(SUBSTITUTE(SUBSTITUTE(SUBSTITUTE(SUBSTITUTE(SUBSTITUTE(SUBSTITUTE(SUBSTITUTE(SUBSTITUTE(SUBSTITUTE(MAIN!C663, "0", ""), "1", ""), "2", ""), "3", ""), "4", ""), "5", ""), "6", ""), "7", ""), "8", ""), "9", ""))))</f>
        <v>--</v>
      </c>
      <c r="D663" t="str">
        <f>IF(ISBLANK(MAIN!D663), "--", IF(ISNUMBER(MATCH(SUBSTITUTE(LEFT(MAIN!D663, IFERROR(FIND(",", MAIN!D663)-1, LEN(MAIN!D663))), " ", ""), lookup_values!$B$2:$B$51, 0)), UPPER(SUBSTITUTE(LEFT(MAIN!D663, IFERROR(FIND(",", MAIN!D663)-1, LEN(MAIN!D663))), " ", "")), IF(ISNA(VLOOKUP(SUBSTITUTE(LEFT(MAIN!D663, IFERROR(FIND(",", MAIN!D663)-1, LEN(MAIN!D663))), " ", ""), lookup_values!$A$2:$B$51, 2, FALSE)), "--", VLOOKUP(SUBSTITUTE(LEFT(MAIN!D663, IFERROR(FIND(",", MAIN!D663)-1, LEN(MAIN!D663))), " ", ""), lookup_values!$A$2:$B$51, 2, FALSE))))</f>
        <v>--</v>
      </c>
      <c r="E663" t="str">
        <f>IF(CLEAN_DATA!D663&lt;&gt;"--","US",IF(ISBLANK(MAIN!E663), "--", IF(ISNUMBER(MATCH(SUBSTITUTE(LEFT(MAIN!E663, IFERROR(FIND(",", MAIN!E663)-1, LEN(MAIN!E663))), " ", ""), lookup_values!$E$2:$E$197, 0)), UPPER(SUBSTITUTE(LEFT(MAIN!E663, IFERROR(FIND(",", MAIN!E663)-1, LEN(MAIN!E663))), " ", "")), IF(ISNA(VLOOKUP(SUBSTITUTE(LEFT(MAIN!E663, IFERROR(FIND(",", MAIN!E663)-1, LEN(MAIN!E663))), " ", ""), lookup_values!$D$2:$E$197, 2, FALSE)), "--", VLOOKUP(SUBSTITUTE(LEFT(MAIN!E663, IFERROR(FIND(",", MAIN!E663)-1, LEN(MAIN!E663))), " ", ""), lookup_values!$D$2:$E$197, 2, FALSE)))))</f>
        <v>--</v>
      </c>
      <c r="F663" t="str">
        <f>IF(ISBLANK(MAIN!F663), "", IF(AND(ISNUMBER(VALUE(TRIM(MAIN!F663))), LEN(TRIM(MAIN!F663))=4), VALUE(TRIM(MAIN!F663)), ""))</f>
        <v/>
      </c>
      <c r="G663">
        <f>IF(ISBLANK(MAIN!G663), 0, IF(ISNUMBER(VALUE(TRIM(MAIN!G663))), VALUE(TRIM(MAIN!G663)), 0))</f>
        <v>0</v>
      </c>
      <c r="H663">
        <f>IF(ISBLANK(MAIN!H663), 0, IF(ISNUMBER(VALUE(TRIM(MAIN!H663))), VALUE(TRIM(MAIN!H663)), 0))</f>
        <v>0</v>
      </c>
      <c r="I663">
        <f>IF(ISBLANK(MAIN!I663), 0, IF(ISNUMBER(VALUE(TRIM(MAIN!I663))), VALUE(TRIM(MAIN!I663)), 0))</f>
        <v>0</v>
      </c>
      <c r="J663">
        <f>IF(ISBLANK(MAIN!J663), 0, IF(ISNUMBER(VALUE(TRIM(MAIN!J663))), VALUE(TRIM(MAIN!J663)), 0))</f>
        <v>0</v>
      </c>
      <c r="K663" cm="1">
        <f t="array" ref="K663">IFERROR(
    VALUE(
        IFERROR(
            UPPER(
                IF(MAX(IFERROR(SEARCH("WD",MAIN!G663:J663), 0))&gt;0, "WD",
                IF(MAX(IFERROR(SEARCH("NS",MAIN!G663:J663), 0))&gt;0, "NS",
                IF(MAX(IFERROR(SEARCH("NC",MAIN!G663:J663), 0))&gt;0, "NC",
                IF(MAX(IFERROR(SEARCH("DQ",MAIN!G663:J663), 0))&gt;0, "DQ",
                IF(ISNUMBER(SEARCH("WD",MAIN!K663)), "WD",
                IF(ISNUMBER(SEARCH("NS",MAIN!K663)), "NS",
                IF(ISNUMBER(SEARCH("NC",MAIN!K663)), "NC",
                IF(ISNUMBER(SEARCH("DQ",MAIN!K663)), "DQ",
                IF(ISNUMBER(SEARCH("A",MAIN!K663)), 0,
                IF(OR(MAIN!K663=0,MAIN!K663=""), 0, --TRIM(MAIN!K663)))))))))))),
            0
        )
    ),
    IFERROR(
        UPPER(
            IF(MAX(IFERROR(SEARCH("WD",MAIN!G663:J663), 0))&gt;0, "WD",
            IF(MAX(IFERROR(SEARCH("NS",MAIN!G663:J663), 0))&gt;0, "NS",
            IF(MAX(IFERROR(SEARCH("NC",MAIN!G663:J663), 0))&gt;0, "NC",
            IF(MAX(IFERROR(SEARCH("DQ",MAIN!G663:J663), 0))&gt;0, "DQ",
            IF(ISNUMBER(SEARCH("WD",MAIN!K663)), "WD",
            IF(ISNUMBER(SEARCH("NS",MAIN!K663)), "NS",
            IF(ISNUMBER(SEARCH("NC",MAIN!K663)), "NC",
            IF(ISNUMBER(SEARCH("DQ",MAIN!K663)), "DQ",
            IF(ISNUMBER(SEARCH("A",MAIN!K663)), 0,
            IF(OR(MAIN!K663=0,MAIN!K663=""), 0, --TRIM(MAIN!K663)))))))))))),
        0
    )
)</f>
        <v>0</v>
      </c>
    </row>
    <row r="664" spans="1:11" x14ac:dyDescent="0.25">
      <c r="A664" t="str">
        <f>IF(ISBLANK(MAIN!A664), "--", IFERROR(PROPER(SUBSTITUTE(SUBSTITUTE(SUBSTITUTE(SUBSTITUTE(SUBSTITUTE(SUBSTITUTE(SUBSTITUTE(SUBSTITUTE(SUBSTITUTE(SUBSTITUTE(LEFT(MAIN!A664, FIND(",",MAIN!A664) -1), "0", ""), "1", ""), "2", ""), "3", ""), "4", ""), "5", ""), "6", ""), "7", ""), "8", ""), "9", "")), PROPER(SUBSTITUTE(SUBSTITUTE(SUBSTITUTE(SUBSTITUTE(SUBSTITUTE(SUBSTITUTE(SUBSTITUTE(SUBSTITUTE(SUBSTITUTE(SUBSTITUTE(MAIN!A664, "0", ""), "1", ""), "2", ""), "3", ""), "4", ""), "5", ""), "6", ""), "7", ""), "8", ""), "9", ""))))</f>
        <v>--</v>
      </c>
      <c r="B664" t="str">
        <f>IF(ISBLANK(MAIN!B664), "--", IFERROR(PROPER(SUBSTITUTE(SUBSTITUTE(SUBSTITUTE(SUBSTITUTE(SUBSTITUTE(SUBSTITUTE(SUBSTITUTE(SUBSTITUTE(SUBSTITUTE(SUBSTITUTE(LEFT(MAIN!B664, FIND(",",MAIN!B664) -1), "0", ""), "1", ""), "2", ""), "3", ""), "4", ""), "5", ""), "6", ""), "7", ""), "8", ""), "9", "")), PROPER(SUBSTITUTE(SUBSTITUTE(SUBSTITUTE(SUBSTITUTE(SUBSTITUTE(SUBSTITUTE(SUBSTITUTE(SUBSTITUTE(SUBSTITUTE(SUBSTITUTE(MAIN!B664, "0", ""), "1", ""), "2", ""), "3", ""), "4", ""), "5", ""), "6", ""), "7", ""), "8", ""), "9", ""))))</f>
        <v>--</v>
      </c>
      <c r="C664" t="str">
        <f>IF(ISBLANK(MAIN!C664), "--", IFERROR(PROPER(SUBSTITUTE(SUBSTITUTE(SUBSTITUTE(SUBSTITUTE(SUBSTITUTE(SUBSTITUTE(SUBSTITUTE(SUBSTITUTE(SUBSTITUTE(SUBSTITUTE(LEFT(MAIN!C664, FIND(",",MAIN!C664) -1), "0", ""), "1", ""), "2", ""), "3", ""), "4", ""), "5", ""), "6", ""), "7", ""), "8", ""), "9", "")), PROPER(SUBSTITUTE(SUBSTITUTE(SUBSTITUTE(SUBSTITUTE(SUBSTITUTE(SUBSTITUTE(SUBSTITUTE(SUBSTITUTE(SUBSTITUTE(SUBSTITUTE(MAIN!C664, "0", ""), "1", ""), "2", ""), "3", ""), "4", ""), "5", ""), "6", ""), "7", ""), "8", ""), "9", ""))))</f>
        <v>--</v>
      </c>
      <c r="D664" t="str">
        <f>IF(ISBLANK(MAIN!D664), "--", IF(ISNUMBER(MATCH(SUBSTITUTE(LEFT(MAIN!D664, IFERROR(FIND(",", MAIN!D664)-1, LEN(MAIN!D664))), " ", ""), lookup_values!$B$2:$B$51, 0)), UPPER(SUBSTITUTE(LEFT(MAIN!D664, IFERROR(FIND(",", MAIN!D664)-1, LEN(MAIN!D664))), " ", "")), IF(ISNA(VLOOKUP(SUBSTITUTE(LEFT(MAIN!D664, IFERROR(FIND(",", MAIN!D664)-1, LEN(MAIN!D664))), " ", ""), lookup_values!$A$2:$B$51, 2, FALSE)), "--", VLOOKUP(SUBSTITUTE(LEFT(MAIN!D664, IFERROR(FIND(",", MAIN!D664)-1, LEN(MAIN!D664))), " ", ""), lookup_values!$A$2:$B$51, 2, FALSE))))</f>
        <v>--</v>
      </c>
      <c r="E664" t="str">
        <f>IF(CLEAN_DATA!D664&lt;&gt;"--","US",IF(ISBLANK(MAIN!E664), "--", IF(ISNUMBER(MATCH(SUBSTITUTE(LEFT(MAIN!E664, IFERROR(FIND(",", MAIN!E664)-1, LEN(MAIN!E664))), " ", ""), lookup_values!$E$2:$E$197, 0)), UPPER(SUBSTITUTE(LEFT(MAIN!E664, IFERROR(FIND(",", MAIN!E664)-1, LEN(MAIN!E664))), " ", "")), IF(ISNA(VLOOKUP(SUBSTITUTE(LEFT(MAIN!E664, IFERROR(FIND(",", MAIN!E664)-1, LEN(MAIN!E664))), " ", ""), lookup_values!$D$2:$E$197, 2, FALSE)), "--", VLOOKUP(SUBSTITUTE(LEFT(MAIN!E664, IFERROR(FIND(",", MAIN!E664)-1, LEN(MAIN!E664))), " ", ""), lookup_values!$D$2:$E$197, 2, FALSE)))))</f>
        <v>--</v>
      </c>
      <c r="F664" t="str">
        <f>IF(ISBLANK(MAIN!F664), "", IF(AND(ISNUMBER(VALUE(TRIM(MAIN!F664))), LEN(TRIM(MAIN!F664))=4), VALUE(TRIM(MAIN!F664)), ""))</f>
        <v/>
      </c>
      <c r="G664">
        <f>IF(ISBLANK(MAIN!G664), 0, IF(ISNUMBER(VALUE(TRIM(MAIN!G664))), VALUE(TRIM(MAIN!G664)), 0))</f>
        <v>0</v>
      </c>
      <c r="H664">
        <f>IF(ISBLANK(MAIN!H664), 0, IF(ISNUMBER(VALUE(TRIM(MAIN!H664))), VALUE(TRIM(MAIN!H664)), 0))</f>
        <v>0</v>
      </c>
      <c r="I664">
        <f>IF(ISBLANK(MAIN!I664), 0, IF(ISNUMBER(VALUE(TRIM(MAIN!I664))), VALUE(TRIM(MAIN!I664)), 0))</f>
        <v>0</v>
      </c>
      <c r="J664">
        <f>IF(ISBLANK(MAIN!J664), 0, IF(ISNUMBER(VALUE(TRIM(MAIN!J664))), VALUE(TRIM(MAIN!J664)), 0))</f>
        <v>0</v>
      </c>
      <c r="K664" cm="1">
        <f t="array" ref="K664">IFERROR(
    VALUE(
        IFERROR(
            UPPER(
                IF(MAX(IFERROR(SEARCH("WD",MAIN!G664:J664), 0))&gt;0, "WD",
                IF(MAX(IFERROR(SEARCH("NS",MAIN!G664:J664), 0))&gt;0, "NS",
                IF(MAX(IFERROR(SEARCH("NC",MAIN!G664:J664), 0))&gt;0, "NC",
                IF(MAX(IFERROR(SEARCH("DQ",MAIN!G664:J664), 0))&gt;0, "DQ",
                IF(ISNUMBER(SEARCH("WD",MAIN!K664)), "WD",
                IF(ISNUMBER(SEARCH("NS",MAIN!K664)), "NS",
                IF(ISNUMBER(SEARCH("NC",MAIN!K664)), "NC",
                IF(ISNUMBER(SEARCH("DQ",MAIN!K664)), "DQ",
                IF(ISNUMBER(SEARCH("A",MAIN!K664)), 0,
                IF(OR(MAIN!K664=0,MAIN!K664=""), 0, --TRIM(MAIN!K664)))))))))))),
            0
        )
    ),
    IFERROR(
        UPPER(
            IF(MAX(IFERROR(SEARCH("WD",MAIN!G664:J664), 0))&gt;0, "WD",
            IF(MAX(IFERROR(SEARCH("NS",MAIN!G664:J664), 0))&gt;0, "NS",
            IF(MAX(IFERROR(SEARCH("NC",MAIN!G664:J664), 0))&gt;0, "NC",
            IF(MAX(IFERROR(SEARCH("DQ",MAIN!G664:J664), 0))&gt;0, "DQ",
            IF(ISNUMBER(SEARCH("WD",MAIN!K664)), "WD",
            IF(ISNUMBER(SEARCH("NS",MAIN!K664)), "NS",
            IF(ISNUMBER(SEARCH("NC",MAIN!K664)), "NC",
            IF(ISNUMBER(SEARCH("DQ",MAIN!K664)), "DQ",
            IF(ISNUMBER(SEARCH("A",MAIN!K664)), 0,
            IF(OR(MAIN!K664=0,MAIN!K664=""), 0, --TRIM(MAIN!K664)))))))))))),
        0
    )
)</f>
        <v>0</v>
      </c>
    </row>
    <row r="665" spans="1:11" x14ac:dyDescent="0.25">
      <c r="A665" t="str">
        <f>IF(ISBLANK(MAIN!A665), "--", IFERROR(PROPER(SUBSTITUTE(SUBSTITUTE(SUBSTITUTE(SUBSTITUTE(SUBSTITUTE(SUBSTITUTE(SUBSTITUTE(SUBSTITUTE(SUBSTITUTE(SUBSTITUTE(LEFT(MAIN!A665, FIND(",",MAIN!A665) -1), "0", ""), "1", ""), "2", ""), "3", ""), "4", ""), "5", ""), "6", ""), "7", ""), "8", ""), "9", "")), PROPER(SUBSTITUTE(SUBSTITUTE(SUBSTITUTE(SUBSTITUTE(SUBSTITUTE(SUBSTITUTE(SUBSTITUTE(SUBSTITUTE(SUBSTITUTE(SUBSTITUTE(MAIN!A665, "0", ""), "1", ""), "2", ""), "3", ""), "4", ""), "5", ""), "6", ""), "7", ""), "8", ""), "9", ""))))</f>
        <v>--</v>
      </c>
      <c r="B665" t="str">
        <f>IF(ISBLANK(MAIN!B665), "--", IFERROR(PROPER(SUBSTITUTE(SUBSTITUTE(SUBSTITUTE(SUBSTITUTE(SUBSTITUTE(SUBSTITUTE(SUBSTITUTE(SUBSTITUTE(SUBSTITUTE(SUBSTITUTE(LEFT(MAIN!B665, FIND(",",MAIN!B665) -1), "0", ""), "1", ""), "2", ""), "3", ""), "4", ""), "5", ""), "6", ""), "7", ""), "8", ""), "9", "")), PROPER(SUBSTITUTE(SUBSTITUTE(SUBSTITUTE(SUBSTITUTE(SUBSTITUTE(SUBSTITUTE(SUBSTITUTE(SUBSTITUTE(SUBSTITUTE(SUBSTITUTE(MAIN!B665, "0", ""), "1", ""), "2", ""), "3", ""), "4", ""), "5", ""), "6", ""), "7", ""), "8", ""), "9", ""))))</f>
        <v>--</v>
      </c>
      <c r="C665" t="str">
        <f>IF(ISBLANK(MAIN!C665), "--", IFERROR(PROPER(SUBSTITUTE(SUBSTITUTE(SUBSTITUTE(SUBSTITUTE(SUBSTITUTE(SUBSTITUTE(SUBSTITUTE(SUBSTITUTE(SUBSTITUTE(SUBSTITUTE(LEFT(MAIN!C665, FIND(",",MAIN!C665) -1), "0", ""), "1", ""), "2", ""), "3", ""), "4", ""), "5", ""), "6", ""), "7", ""), "8", ""), "9", "")), PROPER(SUBSTITUTE(SUBSTITUTE(SUBSTITUTE(SUBSTITUTE(SUBSTITUTE(SUBSTITUTE(SUBSTITUTE(SUBSTITUTE(SUBSTITUTE(SUBSTITUTE(MAIN!C665, "0", ""), "1", ""), "2", ""), "3", ""), "4", ""), "5", ""), "6", ""), "7", ""), "8", ""), "9", ""))))</f>
        <v>--</v>
      </c>
      <c r="D665" t="str">
        <f>IF(ISBLANK(MAIN!D665), "--", IF(ISNUMBER(MATCH(SUBSTITUTE(LEFT(MAIN!D665, IFERROR(FIND(",", MAIN!D665)-1, LEN(MAIN!D665))), " ", ""), lookup_values!$B$2:$B$51, 0)), UPPER(SUBSTITUTE(LEFT(MAIN!D665, IFERROR(FIND(",", MAIN!D665)-1, LEN(MAIN!D665))), " ", "")), IF(ISNA(VLOOKUP(SUBSTITUTE(LEFT(MAIN!D665, IFERROR(FIND(",", MAIN!D665)-1, LEN(MAIN!D665))), " ", ""), lookup_values!$A$2:$B$51, 2, FALSE)), "--", VLOOKUP(SUBSTITUTE(LEFT(MAIN!D665, IFERROR(FIND(",", MAIN!D665)-1, LEN(MAIN!D665))), " ", ""), lookup_values!$A$2:$B$51, 2, FALSE))))</f>
        <v>--</v>
      </c>
      <c r="E665" t="str">
        <f>IF(CLEAN_DATA!D665&lt;&gt;"--","US",IF(ISBLANK(MAIN!E665), "--", IF(ISNUMBER(MATCH(SUBSTITUTE(LEFT(MAIN!E665, IFERROR(FIND(",", MAIN!E665)-1, LEN(MAIN!E665))), " ", ""), lookup_values!$E$2:$E$197, 0)), UPPER(SUBSTITUTE(LEFT(MAIN!E665, IFERROR(FIND(",", MAIN!E665)-1, LEN(MAIN!E665))), " ", "")), IF(ISNA(VLOOKUP(SUBSTITUTE(LEFT(MAIN!E665, IFERROR(FIND(",", MAIN!E665)-1, LEN(MAIN!E665))), " ", ""), lookup_values!$D$2:$E$197, 2, FALSE)), "--", VLOOKUP(SUBSTITUTE(LEFT(MAIN!E665, IFERROR(FIND(",", MAIN!E665)-1, LEN(MAIN!E665))), " ", ""), lookup_values!$D$2:$E$197, 2, FALSE)))))</f>
        <v>--</v>
      </c>
      <c r="F665" t="str">
        <f>IF(ISBLANK(MAIN!F665), "", IF(AND(ISNUMBER(VALUE(TRIM(MAIN!F665))), LEN(TRIM(MAIN!F665))=4), VALUE(TRIM(MAIN!F665)), ""))</f>
        <v/>
      </c>
      <c r="G665">
        <f>IF(ISBLANK(MAIN!G665), 0, IF(ISNUMBER(VALUE(TRIM(MAIN!G665))), VALUE(TRIM(MAIN!G665)), 0))</f>
        <v>0</v>
      </c>
      <c r="H665">
        <f>IF(ISBLANK(MAIN!H665), 0, IF(ISNUMBER(VALUE(TRIM(MAIN!H665))), VALUE(TRIM(MAIN!H665)), 0))</f>
        <v>0</v>
      </c>
      <c r="I665">
        <f>IF(ISBLANK(MAIN!I665), 0, IF(ISNUMBER(VALUE(TRIM(MAIN!I665))), VALUE(TRIM(MAIN!I665)), 0))</f>
        <v>0</v>
      </c>
      <c r="J665">
        <f>IF(ISBLANK(MAIN!J665), 0, IF(ISNUMBER(VALUE(TRIM(MAIN!J665))), VALUE(TRIM(MAIN!J665)), 0))</f>
        <v>0</v>
      </c>
      <c r="K665" cm="1">
        <f t="array" ref="K665">IFERROR(
    VALUE(
        IFERROR(
            UPPER(
                IF(MAX(IFERROR(SEARCH("WD",MAIN!G665:J665), 0))&gt;0, "WD",
                IF(MAX(IFERROR(SEARCH("NS",MAIN!G665:J665), 0))&gt;0, "NS",
                IF(MAX(IFERROR(SEARCH("NC",MAIN!G665:J665), 0))&gt;0, "NC",
                IF(MAX(IFERROR(SEARCH("DQ",MAIN!G665:J665), 0))&gt;0, "DQ",
                IF(ISNUMBER(SEARCH("WD",MAIN!K665)), "WD",
                IF(ISNUMBER(SEARCH("NS",MAIN!K665)), "NS",
                IF(ISNUMBER(SEARCH("NC",MAIN!K665)), "NC",
                IF(ISNUMBER(SEARCH("DQ",MAIN!K665)), "DQ",
                IF(ISNUMBER(SEARCH("A",MAIN!K665)), 0,
                IF(OR(MAIN!K665=0,MAIN!K665=""), 0, --TRIM(MAIN!K665)))))))))))),
            0
        )
    ),
    IFERROR(
        UPPER(
            IF(MAX(IFERROR(SEARCH("WD",MAIN!G665:J665), 0))&gt;0, "WD",
            IF(MAX(IFERROR(SEARCH("NS",MAIN!G665:J665), 0))&gt;0, "NS",
            IF(MAX(IFERROR(SEARCH("NC",MAIN!G665:J665), 0))&gt;0, "NC",
            IF(MAX(IFERROR(SEARCH("DQ",MAIN!G665:J665), 0))&gt;0, "DQ",
            IF(ISNUMBER(SEARCH("WD",MAIN!K665)), "WD",
            IF(ISNUMBER(SEARCH("NS",MAIN!K665)), "NS",
            IF(ISNUMBER(SEARCH("NC",MAIN!K665)), "NC",
            IF(ISNUMBER(SEARCH("DQ",MAIN!K665)), "DQ",
            IF(ISNUMBER(SEARCH("A",MAIN!K665)), 0,
            IF(OR(MAIN!K665=0,MAIN!K665=""), 0, --TRIM(MAIN!K665)))))))))))),
        0
    )
)</f>
        <v>0</v>
      </c>
    </row>
    <row r="666" spans="1:11" x14ac:dyDescent="0.25">
      <c r="A666" t="str">
        <f>IF(ISBLANK(MAIN!A666), "--", IFERROR(PROPER(SUBSTITUTE(SUBSTITUTE(SUBSTITUTE(SUBSTITUTE(SUBSTITUTE(SUBSTITUTE(SUBSTITUTE(SUBSTITUTE(SUBSTITUTE(SUBSTITUTE(LEFT(MAIN!A666, FIND(",",MAIN!A666) -1), "0", ""), "1", ""), "2", ""), "3", ""), "4", ""), "5", ""), "6", ""), "7", ""), "8", ""), "9", "")), PROPER(SUBSTITUTE(SUBSTITUTE(SUBSTITUTE(SUBSTITUTE(SUBSTITUTE(SUBSTITUTE(SUBSTITUTE(SUBSTITUTE(SUBSTITUTE(SUBSTITUTE(MAIN!A666, "0", ""), "1", ""), "2", ""), "3", ""), "4", ""), "5", ""), "6", ""), "7", ""), "8", ""), "9", ""))))</f>
        <v>--</v>
      </c>
      <c r="B666" t="str">
        <f>IF(ISBLANK(MAIN!B666), "--", IFERROR(PROPER(SUBSTITUTE(SUBSTITUTE(SUBSTITUTE(SUBSTITUTE(SUBSTITUTE(SUBSTITUTE(SUBSTITUTE(SUBSTITUTE(SUBSTITUTE(SUBSTITUTE(LEFT(MAIN!B666, FIND(",",MAIN!B666) -1), "0", ""), "1", ""), "2", ""), "3", ""), "4", ""), "5", ""), "6", ""), "7", ""), "8", ""), "9", "")), PROPER(SUBSTITUTE(SUBSTITUTE(SUBSTITUTE(SUBSTITUTE(SUBSTITUTE(SUBSTITUTE(SUBSTITUTE(SUBSTITUTE(SUBSTITUTE(SUBSTITUTE(MAIN!B666, "0", ""), "1", ""), "2", ""), "3", ""), "4", ""), "5", ""), "6", ""), "7", ""), "8", ""), "9", ""))))</f>
        <v>--</v>
      </c>
      <c r="C666" t="str">
        <f>IF(ISBLANK(MAIN!C666), "--", IFERROR(PROPER(SUBSTITUTE(SUBSTITUTE(SUBSTITUTE(SUBSTITUTE(SUBSTITUTE(SUBSTITUTE(SUBSTITUTE(SUBSTITUTE(SUBSTITUTE(SUBSTITUTE(LEFT(MAIN!C666, FIND(",",MAIN!C666) -1), "0", ""), "1", ""), "2", ""), "3", ""), "4", ""), "5", ""), "6", ""), "7", ""), "8", ""), "9", "")), PROPER(SUBSTITUTE(SUBSTITUTE(SUBSTITUTE(SUBSTITUTE(SUBSTITUTE(SUBSTITUTE(SUBSTITUTE(SUBSTITUTE(SUBSTITUTE(SUBSTITUTE(MAIN!C666, "0", ""), "1", ""), "2", ""), "3", ""), "4", ""), "5", ""), "6", ""), "7", ""), "8", ""), "9", ""))))</f>
        <v>--</v>
      </c>
      <c r="D666" t="str">
        <f>IF(ISBLANK(MAIN!D666), "--", IF(ISNUMBER(MATCH(SUBSTITUTE(LEFT(MAIN!D666, IFERROR(FIND(",", MAIN!D666)-1, LEN(MAIN!D666))), " ", ""), lookup_values!$B$2:$B$51, 0)), UPPER(SUBSTITUTE(LEFT(MAIN!D666, IFERROR(FIND(",", MAIN!D666)-1, LEN(MAIN!D666))), " ", "")), IF(ISNA(VLOOKUP(SUBSTITUTE(LEFT(MAIN!D666, IFERROR(FIND(",", MAIN!D666)-1, LEN(MAIN!D666))), " ", ""), lookup_values!$A$2:$B$51, 2, FALSE)), "--", VLOOKUP(SUBSTITUTE(LEFT(MAIN!D666, IFERROR(FIND(",", MAIN!D666)-1, LEN(MAIN!D666))), " ", ""), lookup_values!$A$2:$B$51, 2, FALSE))))</f>
        <v>--</v>
      </c>
      <c r="E666" t="str">
        <f>IF(CLEAN_DATA!D666&lt;&gt;"--","US",IF(ISBLANK(MAIN!E666), "--", IF(ISNUMBER(MATCH(SUBSTITUTE(LEFT(MAIN!E666, IFERROR(FIND(",", MAIN!E666)-1, LEN(MAIN!E666))), " ", ""), lookup_values!$E$2:$E$197, 0)), UPPER(SUBSTITUTE(LEFT(MAIN!E666, IFERROR(FIND(",", MAIN!E666)-1, LEN(MAIN!E666))), " ", "")), IF(ISNA(VLOOKUP(SUBSTITUTE(LEFT(MAIN!E666, IFERROR(FIND(",", MAIN!E666)-1, LEN(MAIN!E666))), " ", ""), lookup_values!$D$2:$E$197, 2, FALSE)), "--", VLOOKUP(SUBSTITUTE(LEFT(MAIN!E666, IFERROR(FIND(",", MAIN!E666)-1, LEN(MAIN!E666))), " ", ""), lookup_values!$D$2:$E$197, 2, FALSE)))))</f>
        <v>--</v>
      </c>
      <c r="F666" t="str">
        <f>IF(ISBLANK(MAIN!F666), "", IF(AND(ISNUMBER(VALUE(TRIM(MAIN!F666))), LEN(TRIM(MAIN!F666))=4), VALUE(TRIM(MAIN!F666)), ""))</f>
        <v/>
      </c>
      <c r="G666">
        <f>IF(ISBLANK(MAIN!G666), 0, IF(ISNUMBER(VALUE(TRIM(MAIN!G666))), VALUE(TRIM(MAIN!G666)), 0))</f>
        <v>0</v>
      </c>
      <c r="H666">
        <f>IF(ISBLANK(MAIN!H666), 0, IF(ISNUMBER(VALUE(TRIM(MAIN!H666))), VALUE(TRIM(MAIN!H666)), 0))</f>
        <v>0</v>
      </c>
      <c r="I666">
        <f>IF(ISBLANK(MAIN!I666), 0, IF(ISNUMBER(VALUE(TRIM(MAIN!I666))), VALUE(TRIM(MAIN!I666)), 0))</f>
        <v>0</v>
      </c>
      <c r="J666">
        <f>IF(ISBLANK(MAIN!J666), 0, IF(ISNUMBER(VALUE(TRIM(MAIN!J666))), VALUE(TRIM(MAIN!J666)), 0))</f>
        <v>0</v>
      </c>
      <c r="K666" cm="1">
        <f t="array" ref="K666">IFERROR(
    VALUE(
        IFERROR(
            UPPER(
                IF(MAX(IFERROR(SEARCH("WD",MAIN!G666:J666), 0))&gt;0, "WD",
                IF(MAX(IFERROR(SEARCH("NS",MAIN!G666:J666), 0))&gt;0, "NS",
                IF(MAX(IFERROR(SEARCH("NC",MAIN!G666:J666), 0))&gt;0, "NC",
                IF(MAX(IFERROR(SEARCH("DQ",MAIN!G666:J666), 0))&gt;0, "DQ",
                IF(ISNUMBER(SEARCH("WD",MAIN!K666)), "WD",
                IF(ISNUMBER(SEARCH("NS",MAIN!K666)), "NS",
                IF(ISNUMBER(SEARCH("NC",MAIN!K666)), "NC",
                IF(ISNUMBER(SEARCH("DQ",MAIN!K666)), "DQ",
                IF(ISNUMBER(SEARCH("A",MAIN!K666)), 0,
                IF(OR(MAIN!K666=0,MAIN!K666=""), 0, --TRIM(MAIN!K666)))))))))))),
            0
        )
    ),
    IFERROR(
        UPPER(
            IF(MAX(IFERROR(SEARCH("WD",MAIN!G666:J666), 0))&gt;0, "WD",
            IF(MAX(IFERROR(SEARCH("NS",MAIN!G666:J666), 0))&gt;0, "NS",
            IF(MAX(IFERROR(SEARCH("NC",MAIN!G666:J666), 0))&gt;0, "NC",
            IF(MAX(IFERROR(SEARCH("DQ",MAIN!G666:J666), 0))&gt;0, "DQ",
            IF(ISNUMBER(SEARCH("WD",MAIN!K666)), "WD",
            IF(ISNUMBER(SEARCH("NS",MAIN!K666)), "NS",
            IF(ISNUMBER(SEARCH("NC",MAIN!K666)), "NC",
            IF(ISNUMBER(SEARCH("DQ",MAIN!K666)), "DQ",
            IF(ISNUMBER(SEARCH("A",MAIN!K666)), 0,
            IF(OR(MAIN!K666=0,MAIN!K666=""), 0, --TRIM(MAIN!K666)))))))))))),
        0
    )
)</f>
        <v>0</v>
      </c>
    </row>
    <row r="667" spans="1:11" x14ac:dyDescent="0.25">
      <c r="A667" t="str">
        <f>IF(ISBLANK(MAIN!A667), "--", IFERROR(PROPER(SUBSTITUTE(SUBSTITUTE(SUBSTITUTE(SUBSTITUTE(SUBSTITUTE(SUBSTITUTE(SUBSTITUTE(SUBSTITUTE(SUBSTITUTE(SUBSTITUTE(LEFT(MAIN!A667, FIND(",",MAIN!A667) -1), "0", ""), "1", ""), "2", ""), "3", ""), "4", ""), "5", ""), "6", ""), "7", ""), "8", ""), "9", "")), PROPER(SUBSTITUTE(SUBSTITUTE(SUBSTITUTE(SUBSTITUTE(SUBSTITUTE(SUBSTITUTE(SUBSTITUTE(SUBSTITUTE(SUBSTITUTE(SUBSTITUTE(MAIN!A667, "0", ""), "1", ""), "2", ""), "3", ""), "4", ""), "5", ""), "6", ""), "7", ""), "8", ""), "9", ""))))</f>
        <v>--</v>
      </c>
      <c r="B667" t="str">
        <f>IF(ISBLANK(MAIN!B667), "--", IFERROR(PROPER(SUBSTITUTE(SUBSTITUTE(SUBSTITUTE(SUBSTITUTE(SUBSTITUTE(SUBSTITUTE(SUBSTITUTE(SUBSTITUTE(SUBSTITUTE(SUBSTITUTE(LEFT(MAIN!B667, FIND(",",MAIN!B667) -1), "0", ""), "1", ""), "2", ""), "3", ""), "4", ""), "5", ""), "6", ""), "7", ""), "8", ""), "9", "")), PROPER(SUBSTITUTE(SUBSTITUTE(SUBSTITUTE(SUBSTITUTE(SUBSTITUTE(SUBSTITUTE(SUBSTITUTE(SUBSTITUTE(SUBSTITUTE(SUBSTITUTE(MAIN!B667, "0", ""), "1", ""), "2", ""), "3", ""), "4", ""), "5", ""), "6", ""), "7", ""), "8", ""), "9", ""))))</f>
        <v>--</v>
      </c>
      <c r="C667" t="str">
        <f>IF(ISBLANK(MAIN!C667), "--", IFERROR(PROPER(SUBSTITUTE(SUBSTITUTE(SUBSTITUTE(SUBSTITUTE(SUBSTITUTE(SUBSTITUTE(SUBSTITUTE(SUBSTITUTE(SUBSTITUTE(SUBSTITUTE(LEFT(MAIN!C667, FIND(",",MAIN!C667) -1), "0", ""), "1", ""), "2", ""), "3", ""), "4", ""), "5", ""), "6", ""), "7", ""), "8", ""), "9", "")), PROPER(SUBSTITUTE(SUBSTITUTE(SUBSTITUTE(SUBSTITUTE(SUBSTITUTE(SUBSTITUTE(SUBSTITUTE(SUBSTITUTE(SUBSTITUTE(SUBSTITUTE(MAIN!C667, "0", ""), "1", ""), "2", ""), "3", ""), "4", ""), "5", ""), "6", ""), "7", ""), "8", ""), "9", ""))))</f>
        <v>--</v>
      </c>
      <c r="D667" t="str">
        <f>IF(ISBLANK(MAIN!D667), "--", IF(ISNUMBER(MATCH(SUBSTITUTE(LEFT(MAIN!D667, IFERROR(FIND(",", MAIN!D667)-1, LEN(MAIN!D667))), " ", ""), lookup_values!$B$2:$B$51, 0)), UPPER(SUBSTITUTE(LEFT(MAIN!D667, IFERROR(FIND(",", MAIN!D667)-1, LEN(MAIN!D667))), " ", "")), IF(ISNA(VLOOKUP(SUBSTITUTE(LEFT(MAIN!D667, IFERROR(FIND(",", MAIN!D667)-1, LEN(MAIN!D667))), " ", ""), lookup_values!$A$2:$B$51, 2, FALSE)), "--", VLOOKUP(SUBSTITUTE(LEFT(MAIN!D667, IFERROR(FIND(",", MAIN!D667)-1, LEN(MAIN!D667))), " ", ""), lookup_values!$A$2:$B$51, 2, FALSE))))</f>
        <v>--</v>
      </c>
      <c r="E667" t="str">
        <f>IF(CLEAN_DATA!D667&lt;&gt;"--","US",IF(ISBLANK(MAIN!E667), "--", IF(ISNUMBER(MATCH(SUBSTITUTE(LEFT(MAIN!E667, IFERROR(FIND(",", MAIN!E667)-1, LEN(MAIN!E667))), " ", ""), lookup_values!$E$2:$E$197, 0)), UPPER(SUBSTITUTE(LEFT(MAIN!E667, IFERROR(FIND(",", MAIN!E667)-1, LEN(MAIN!E667))), " ", "")), IF(ISNA(VLOOKUP(SUBSTITUTE(LEFT(MAIN!E667, IFERROR(FIND(",", MAIN!E667)-1, LEN(MAIN!E667))), " ", ""), lookup_values!$D$2:$E$197, 2, FALSE)), "--", VLOOKUP(SUBSTITUTE(LEFT(MAIN!E667, IFERROR(FIND(",", MAIN!E667)-1, LEN(MAIN!E667))), " ", ""), lookup_values!$D$2:$E$197, 2, FALSE)))))</f>
        <v>--</v>
      </c>
      <c r="F667" t="str">
        <f>IF(ISBLANK(MAIN!F667), "", IF(AND(ISNUMBER(VALUE(TRIM(MAIN!F667))), LEN(TRIM(MAIN!F667))=4), VALUE(TRIM(MAIN!F667)), ""))</f>
        <v/>
      </c>
      <c r="G667">
        <f>IF(ISBLANK(MAIN!G667), 0, IF(ISNUMBER(VALUE(TRIM(MAIN!G667))), VALUE(TRIM(MAIN!G667)), 0))</f>
        <v>0</v>
      </c>
      <c r="H667">
        <f>IF(ISBLANK(MAIN!H667), 0, IF(ISNUMBER(VALUE(TRIM(MAIN!H667))), VALUE(TRIM(MAIN!H667)), 0))</f>
        <v>0</v>
      </c>
      <c r="I667">
        <f>IF(ISBLANK(MAIN!I667), 0, IF(ISNUMBER(VALUE(TRIM(MAIN!I667))), VALUE(TRIM(MAIN!I667)), 0))</f>
        <v>0</v>
      </c>
      <c r="J667">
        <f>IF(ISBLANK(MAIN!J667), 0, IF(ISNUMBER(VALUE(TRIM(MAIN!J667))), VALUE(TRIM(MAIN!J667)), 0))</f>
        <v>0</v>
      </c>
      <c r="K667" cm="1">
        <f t="array" ref="K667">IFERROR(
    VALUE(
        IFERROR(
            UPPER(
                IF(MAX(IFERROR(SEARCH("WD",MAIN!G667:J667), 0))&gt;0, "WD",
                IF(MAX(IFERROR(SEARCH("NS",MAIN!G667:J667), 0))&gt;0, "NS",
                IF(MAX(IFERROR(SEARCH("NC",MAIN!G667:J667), 0))&gt;0, "NC",
                IF(MAX(IFERROR(SEARCH("DQ",MAIN!G667:J667), 0))&gt;0, "DQ",
                IF(ISNUMBER(SEARCH("WD",MAIN!K667)), "WD",
                IF(ISNUMBER(SEARCH("NS",MAIN!K667)), "NS",
                IF(ISNUMBER(SEARCH("NC",MAIN!K667)), "NC",
                IF(ISNUMBER(SEARCH("DQ",MAIN!K667)), "DQ",
                IF(ISNUMBER(SEARCH("A",MAIN!K667)), 0,
                IF(OR(MAIN!K667=0,MAIN!K667=""), 0, --TRIM(MAIN!K667)))))))))))),
            0
        )
    ),
    IFERROR(
        UPPER(
            IF(MAX(IFERROR(SEARCH("WD",MAIN!G667:J667), 0))&gt;0, "WD",
            IF(MAX(IFERROR(SEARCH("NS",MAIN!G667:J667), 0))&gt;0, "NS",
            IF(MAX(IFERROR(SEARCH("NC",MAIN!G667:J667), 0))&gt;0, "NC",
            IF(MAX(IFERROR(SEARCH("DQ",MAIN!G667:J667), 0))&gt;0, "DQ",
            IF(ISNUMBER(SEARCH("WD",MAIN!K667)), "WD",
            IF(ISNUMBER(SEARCH("NS",MAIN!K667)), "NS",
            IF(ISNUMBER(SEARCH("NC",MAIN!K667)), "NC",
            IF(ISNUMBER(SEARCH("DQ",MAIN!K667)), "DQ",
            IF(ISNUMBER(SEARCH("A",MAIN!K667)), 0,
            IF(OR(MAIN!K667=0,MAIN!K667=""), 0, --TRIM(MAIN!K667)))))))))))),
        0
    )
)</f>
        <v>0</v>
      </c>
    </row>
    <row r="668" spans="1:11" x14ac:dyDescent="0.25">
      <c r="A668" t="str">
        <f>IF(ISBLANK(MAIN!A668), "--", IFERROR(PROPER(SUBSTITUTE(SUBSTITUTE(SUBSTITUTE(SUBSTITUTE(SUBSTITUTE(SUBSTITUTE(SUBSTITUTE(SUBSTITUTE(SUBSTITUTE(SUBSTITUTE(LEFT(MAIN!A668, FIND(",",MAIN!A668) -1), "0", ""), "1", ""), "2", ""), "3", ""), "4", ""), "5", ""), "6", ""), "7", ""), "8", ""), "9", "")), PROPER(SUBSTITUTE(SUBSTITUTE(SUBSTITUTE(SUBSTITUTE(SUBSTITUTE(SUBSTITUTE(SUBSTITUTE(SUBSTITUTE(SUBSTITUTE(SUBSTITUTE(MAIN!A668, "0", ""), "1", ""), "2", ""), "3", ""), "4", ""), "5", ""), "6", ""), "7", ""), "8", ""), "9", ""))))</f>
        <v>--</v>
      </c>
      <c r="B668" t="str">
        <f>IF(ISBLANK(MAIN!B668), "--", IFERROR(PROPER(SUBSTITUTE(SUBSTITUTE(SUBSTITUTE(SUBSTITUTE(SUBSTITUTE(SUBSTITUTE(SUBSTITUTE(SUBSTITUTE(SUBSTITUTE(SUBSTITUTE(LEFT(MAIN!B668, FIND(",",MAIN!B668) -1), "0", ""), "1", ""), "2", ""), "3", ""), "4", ""), "5", ""), "6", ""), "7", ""), "8", ""), "9", "")), PROPER(SUBSTITUTE(SUBSTITUTE(SUBSTITUTE(SUBSTITUTE(SUBSTITUTE(SUBSTITUTE(SUBSTITUTE(SUBSTITUTE(SUBSTITUTE(SUBSTITUTE(MAIN!B668, "0", ""), "1", ""), "2", ""), "3", ""), "4", ""), "5", ""), "6", ""), "7", ""), "8", ""), "9", ""))))</f>
        <v>--</v>
      </c>
      <c r="C668" t="str">
        <f>IF(ISBLANK(MAIN!C668), "--", IFERROR(PROPER(SUBSTITUTE(SUBSTITUTE(SUBSTITUTE(SUBSTITUTE(SUBSTITUTE(SUBSTITUTE(SUBSTITUTE(SUBSTITUTE(SUBSTITUTE(SUBSTITUTE(LEFT(MAIN!C668, FIND(",",MAIN!C668) -1), "0", ""), "1", ""), "2", ""), "3", ""), "4", ""), "5", ""), "6", ""), "7", ""), "8", ""), "9", "")), PROPER(SUBSTITUTE(SUBSTITUTE(SUBSTITUTE(SUBSTITUTE(SUBSTITUTE(SUBSTITUTE(SUBSTITUTE(SUBSTITUTE(SUBSTITUTE(SUBSTITUTE(MAIN!C668, "0", ""), "1", ""), "2", ""), "3", ""), "4", ""), "5", ""), "6", ""), "7", ""), "8", ""), "9", ""))))</f>
        <v>--</v>
      </c>
      <c r="D668" t="str">
        <f>IF(ISBLANK(MAIN!D668), "--", IF(ISNUMBER(MATCH(SUBSTITUTE(LEFT(MAIN!D668, IFERROR(FIND(",", MAIN!D668)-1, LEN(MAIN!D668))), " ", ""), lookup_values!$B$2:$B$51, 0)), UPPER(SUBSTITUTE(LEFT(MAIN!D668, IFERROR(FIND(",", MAIN!D668)-1, LEN(MAIN!D668))), " ", "")), IF(ISNA(VLOOKUP(SUBSTITUTE(LEFT(MAIN!D668, IFERROR(FIND(",", MAIN!D668)-1, LEN(MAIN!D668))), " ", ""), lookup_values!$A$2:$B$51, 2, FALSE)), "--", VLOOKUP(SUBSTITUTE(LEFT(MAIN!D668, IFERROR(FIND(",", MAIN!D668)-1, LEN(MAIN!D668))), " ", ""), lookup_values!$A$2:$B$51, 2, FALSE))))</f>
        <v>--</v>
      </c>
      <c r="E668" t="str">
        <f>IF(CLEAN_DATA!D668&lt;&gt;"--","US",IF(ISBLANK(MAIN!E668), "--", IF(ISNUMBER(MATCH(SUBSTITUTE(LEFT(MAIN!E668, IFERROR(FIND(",", MAIN!E668)-1, LEN(MAIN!E668))), " ", ""), lookup_values!$E$2:$E$197, 0)), UPPER(SUBSTITUTE(LEFT(MAIN!E668, IFERROR(FIND(",", MAIN!E668)-1, LEN(MAIN!E668))), " ", "")), IF(ISNA(VLOOKUP(SUBSTITUTE(LEFT(MAIN!E668, IFERROR(FIND(",", MAIN!E668)-1, LEN(MAIN!E668))), " ", ""), lookup_values!$D$2:$E$197, 2, FALSE)), "--", VLOOKUP(SUBSTITUTE(LEFT(MAIN!E668, IFERROR(FIND(",", MAIN!E668)-1, LEN(MAIN!E668))), " ", ""), lookup_values!$D$2:$E$197, 2, FALSE)))))</f>
        <v>--</v>
      </c>
      <c r="F668" t="str">
        <f>IF(ISBLANK(MAIN!F668), "", IF(AND(ISNUMBER(VALUE(TRIM(MAIN!F668))), LEN(TRIM(MAIN!F668))=4), VALUE(TRIM(MAIN!F668)), ""))</f>
        <v/>
      </c>
      <c r="G668">
        <f>IF(ISBLANK(MAIN!G668), 0, IF(ISNUMBER(VALUE(TRIM(MAIN!G668))), VALUE(TRIM(MAIN!G668)), 0))</f>
        <v>0</v>
      </c>
      <c r="H668">
        <f>IF(ISBLANK(MAIN!H668), 0, IF(ISNUMBER(VALUE(TRIM(MAIN!H668))), VALUE(TRIM(MAIN!H668)), 0))</f>
        <v>0</v>
      </c>
      <c r="I668">
        <f>IF(ISBLANK(MAIN!I668), 0, IF(ISNUMBER(VALUE(TRIM(MAIN!I668))), VALUE(TRIM(MAIN!I668)), 0))</f>
        <v>0</v>
      </c>
      <c r="J668">
        <f>IF(ISBLANK(MAIN!J668), 0, IF(ISNUMBER(VALUE(TRIM(MAIN!J668))), VALUE(TRIM(MAIN!J668)), 0))</f>
        <v>0</v>
      </c>
      <c r="K668" cm="1">
        <f t="array" ref="K668">IFERROR(
    VALUE(
        IFERROR(
            UPPER(
                IF(MAX(IFERROR(SEARCH("WD",MAIN!G668:J668), 0))&gt;0, "WD",
                IF(MAX(IFERROR(SEARCH("NS",MAIN!G668:J668), 0))&gt;0, "NS",
                IF(MAX(IFERROR(SEARCH("NC",MAIN!G668:J668), 0))&gt;0, "NC",
                IF(MAX(IFERROR(SEARCH("DQ",MAIN!G668:J668), 0))&gt;0, "DQ",
                IF(ISNUMBER(SEARCH("WD",MAIN!K668)), "WD",
                IF(ISNUMBER(SEARCH("NS",MAIN!K668)), "NS",
                IF(ISNUMBER(SEARCH("NC",MAIN!K668)), "NC",
                IF(ISNUMBER(SEARCH("DQ",MAIN!K668)), "DQ",
                IF(ISNUMBER(SEARCH("A",MAIN!K668)), 0,
                IF(OR(MAIN!K668=0,MAIN!K668=""), 0, --TRIM(MAIN!K668)))))))))))),
            0
        )
    ),
    IFERROR(
        UPPER(
            IF(MAX(IFERROR(SEARCH("WD",MAIN!G668:J668), 0))&gt;0, "WD",
            IF(MAX(IFERROR(SEARCH("NS",MAIN!G668:J668), 0))&gt;0, "NS",
            IF(MAX(IFERROR(SEARCH("NC",MAIN!G668:J668), 0))&gt;0, "NC",
            IF(MAX(IFERROR(SEARCH("DQ",MAIN!G668:J668), 0))&gt;0, "DQ",
            IF(ISNUMBER(SEARCH("WD",MAIN!K668)), "WD",
            IF(ISNUMBER(SEARCH("NS",MAIN!K668)), "NS",
            IF(ISNUMBER(SEARCH("NC",MAIN!K668)), "NC",
            IF(ISNUMBER(SEARCH("DQ",MAIN!K668)), "DQ",
            IF(ISNUMBER(SEARCH("A",MAIN!K668)), 0,
            IF(OR(MAIN!K668=0,MAIN!K668=""), 0, --TRIM(MAIN!K668)))))))))))),
        0
    )
)</f>
        <v>0</v>
      </c>
    </row>
    <row r="669" spans="1:11" x14ac:dyDescent="0.25">
      <c r="A669" t="str">
        <f>IF(ISBLANK(MAIN!A669), "--", IFERROR(PROPER(SUBSTITUTE(SUBSTITUTE(SUBSTITUTE(SUBSTITUTE(SUBSTITUTE(SUBSTITUTE(SUBSTITUTE(SUBSTITUTE(SUBSTITUTE(SUBSTITUTE(LEFT(MAIN!A669, FIND(",",MAIN!A669) -1), "0", ""), "1", ""), "2", ""), "3", ""), "4", ""), "5", ""), "6", ""), "7", ""), "8", ""), "9", "")), PROPER(SUBSTITUTE(SUBSTITUTE(SUBSTITUTE(SUBSTITUTE(SUBSTITUTE(SUBSTITUTE(SUBSTITUTE(SUBSTITUTE(SUBSTITUTE(SUBSTITUTE(MAIN!A669, "0", ""), "1", ""), "2", ""), "3", ""), "4", ""), "5", ""), "6", ""), "7", ""), "8", ""), "9", ""))))</f>
        <v>--</v>
      </c>
      <c r="B669" t="str">
        <f>IF(ISBLANK(MAIN!B669), "--", IFERROR(PROPER(SUBSTITUTE(SUBSTITUTE(SUBSTITUTE(SUBSTITUTE(SUBSTITUTE(SUBSTITUTE(SUBSTITUTE(SUBSTITUTE(SUBSTITUTE(SUBSTITUTE(LEFT(MAIN!B669, FIND(",",MAIN!B669) -1), "0", ""), "1", ""), "2", ""), "3", ""), "4", ""), "5", ""), "6", ""), "7", ""), "8", ""), "9", "")), PROPER(SUBSTITUTE(SUBSTITUTE(SUBSTITUTE(SUBSTITUTE(SUBSTITUTE(SUBSTITUTE(SUBSTITUTE(SUBSTITUTE(SUBSTITUTE(SUBSTITUTE(MAIN!B669, "0", ""), "1", ""), "2", ""), "3", ""), "4", ""), "5", ""), "6", ""), "7", ""), "8", ""), "9", ""))))</f>
        <v>--</v>
      </c>
      <c r="C669" t="str">
        <f>IF(ISBLANK(MAIN!C669), "--", IFERROR(PROPER(SUBSTITUTE(SUBSTITUTE(SUBSTITUTE(SUBSTITUTE(SUBSTITUTE(SUBSTITUTE(SUBSTITUTE(SUBSTITUTE(SUBSTITUTE(SUBSTITUTE(LEFT(MAIN!C669, FIND(",",MAIN!C669) -1), "0", ""), "1", ""), "2", ""), "3", ""), "4", ""), "5", ""), "6", ""), "7", ""), "8", ""), "9", "")), PROPER(SUBSTITUTE(SUBSTITUTE(SUBSTITUTE(SUBSTITUTE(SUBSTITUTE(SUBSTITUTE(SUBSTITUTE(SUBSTITUTE(SUBSTITUTE(SUBSTITUTE(MAIN!C669, "0", ""), "1", ""), "2", ""), "3", ""), "4", ""), "5", ""), "6", ""), "7", ""), "8", ""), "9", ""))))</f>
        <v>--</v>
      </c>
      <c r="D669" t="str">
        <f>IF(ISBLANK(MAIN!D669), "--", IF(ISNUMBER(MATCH(SUBSTITUTE(LEFT(MAIN!D669, IFERROR(FIND(",", MAIN!D669)-1, LEN(MAIN!D669))), " ", ""), lookup_values!$B$2:$B$51, 0)), UPPER(SUBSTITUTE(LEFT(MAIN!D669, IFERROR(FIND(",", MAIN!D669)-1, LEN(MAIN!D669))), " ", "")), IF(ISNA(VLOOKUP(SUBSTITUTE(LEFT(MAIN!D669, IFERROR(FIND(",", MAIN!D669)-1, LEN(MAIN!D669))), " ", ""), lookup_values!$A$2:$B$51, 2, FALSE)), "--", VLOOKUP(SUBSTITUTE(LEFT(MAIN!D669, IFERROR(FIND(",", MAIN!D669)-1, LEN(MAIN!D669))), " ", ""), lookup_values!$A$2:$B$51, 2, FALSE))))</f>
        <v>--</v>
      </c>
      <c r="E669" t="str">
        <f>IF(CLEAN_DATA!D669&lt;&gt;"--","US",IF(ISBLANK(MAIN!E669), "--", IF(ISNUMBER(MATCH(SUBSTITUTE(LEFT(MAIN!E669, IFERROR(FIND(",", MAIN!E669)-1, LEN(MAIN!E669))), " ", ""), lookup_values!$E$2:$E$197, 0)), UPPER(SUBSTITUTE(LEFT(MAIN!E669, IFERROR(FIND(",", MAIN!E669)-1, LEN(MAIN!E669))), " ", "")), IF(ISNA(VLOOKUP(SUBSTITUTE(LEFT(MAIN!E669, IFERROR(FIND(",", MAIN!E669)-1, LEN(MAIN!E669))), " ", ""), lookup_values!$D$2:$E$197, 2, FALSE)), "--", VLOOKUP(SUBSTITUTE(LEFT(MAIN!E669, IFERROR(FIND(",", MAIN!E669)-1, LEN(MAIN!E669))), " ", ""), lookup_values!$D$2:$E$197, 2, FALSE)))))</f>
        <v>--</v>
      </c>
      <c r="F669" t="str">
        <f>IF(ISBLANK(MAIN!F669), "", IF(AND(ISNUMBER(VALUE(TRIM(MAIN!F669))), LEN(TRIM(MAIN!F669))=4), VALUE(TRIM(MAIN!F669)), ""))</f>
        <v/>
      </c>
      <c r="G669">
        <f>IF(ISBLANK(MAIN!G669), 0, IF(ISNUMBER(VALUE(TRIM(MAIN!G669))), VALUE(TRIM(MAIN!G669)), 0))</f>
        <v>0</v>
      </c>
      <c r="H669">
        <f>IF(ISBLANK(MAIN!H669), 0, IF(ISNUMBER(VALUE(TRIM(MAIN!H669))), VALUE(TRIM(MAIN!H669)), 0))</f>
        <v>0</v>
      </c>
      <c r="I669">
        <f>IF(ISBLANK(MAIN!I669), 0, IF(ISNUMBER(VALUE(TRIM(MAIN!I669))), VALUE(TRIM(MAIN!I669)), 0))</f>
        <v>0</v>
      </c>
      <c r="J669">
        <f>IF(ISBLANK(MAIN!J669), 0, IF(ISNUMBER(VALUE(TRIM(MAIN!J669))), VALUE(TRIM(MAIN!J669)), 0))</f>
        <v>0</v>
      </c>
      <c r="K669" cm="1">
        <f t="array" ref="K669">IFERROR(
    VALUE(
        IFERROR(
            UPPER(
                IF(MAX(IFERROR(SEARCH("WD",MAIN!G669:J669), 0))&gt;0, "WD",
                IF(MAX(IFERROR(SEARCH("NS",MAIN!G669:J669), 0))&gt;0, "NS",
                IF(MAX(IFERROR(SEARCH("NC",MAIN!G669:J669), 0))&gt;0, "NC",
                IF(MAX(IFERROR(SEARCH("DQ",MAIN!G669:J669), 0))&gt;0, "DQ",
                IF(ISNUMBER(SEARCH("WD",MAIN!K669)), "WD",
                IF(ISNUMBER(SEARCH("NS",MAIN!K669)), "NS",
                IF(ISNUMBER(SEARCH("NC",MAIN!K669)), "NC",
                IF(ISNUMBER(SEARCH("DQ",MAIN!K669)), "DQ",
                IF(ISNUMBER(SEARCH("A",MAIN!K669)), 0,
                IF(OR(MAIN!K669=0,MAIN!K669=""), 0, --TRIM(MAIN!K669)))))))))))),
            0
        )
    ),
    IFERROR(
        UPPER(
            IF(MAX(IFERROR(SEARCH("WD",MAIN!G669:J669), 0))&gt;0, "WD",
            IF(MAX(IFERROR(SEARCH("NS",MAIN!G669:J669), 0))&gt;0, "NS",
            IF(MAX(IFERROR(SEARCH("NC",MAIN!G669:J669), 0))&gt;0, "NC",
            IF(MAX(IFERROR(SEARCH("DQ",MAIN!G669:J669), 0))&gt;0, "DQ",
            IF(ISNUMBER(SEARCH("WD",MAIN!K669)), "WD",
            IF(ISNUMBER(SEARCH("NS",MAIN!K669)), "NS",
            IF(ISNUMBER(SEARCH("NC",MAIN!K669)), "NC",
            IF(ISNUMBER(SEARCH("DQ",MAIN!K669)), "DQ",
            IF(ISNUMBER(SEARCH("A",MAIN!K669)), 0,
            IF(OR(MAIN!K669=0,MAIN!K669=""), 0, --TRIM(MAIN!K669)))))))))))),
        0
    )
)</f>
        <v>0</v>
      </c>
    </row>
    <row r="670" spans="1:11" x14ac:dyDescent="0.25">
      <c r="A670" t="str">
        <f>IF(ISBLANK(MAIN!A670), "--", IFERROR(PROPER(SUBSTITUTE(SUBSTITUTE(SUBSTITUTE(SUBSTITUTE(SUBSTITUTE(SUBSTITUTE(SUBSTITUTE(SUBSTITUTE(SUBSTITUTE(SUBSTITUTE(LEFT(MAIN!A670, FIND(",",MAIN!A670) -1), "0", ""), "1", ""), "2", ""), "3", ""), "4", ""), "5", ""), "6", ""), "7", ""), "8", ""), "9", "")), PROPER(SUBSTITUTE(SUBSTITUTE(SUBSTITUTE(SUBSTITUTE(SUBSTITUTE(SUBSTITUTE(SUBSTITUTE(SUBSTITUTE(SUBSTITUTE(SUBSTITUTE(MAIN!A670, "0", ""), "1", ""), "2", ""), "3", ""), "4", ""), "5", ""), "6", ""), "7", ""), "8", ""), "9", ""))))</f>
        <v>--</v>
      </c>
      <c r="B670" t="str">
        <f>IF(ISBLANK(MAIN!B670), "--", IFERROR(PROPER(SUBSTITUTE(SUBSTITUTE(SUBSTITUTE(SUBSTITUTE(SUBSTITUTE(SUBSTITUTE(SUBSTITUTE(SUBSTITUTE(SUBSTITUTE(SUBSTITUTE(LEFT(MAIN!B670, FIND(",",MAIN!B670) -1), "0", ""), "1", ""), "2", ""), "3", ""), "4", ""), "5", ""), "6", ""), "7", ""), "8", ""), "9", "")), PROPER(SUBSTITUTE(SUBSTITUTE(SUBSTITUTE(SUBSTITUTE(SUBSTITUTE(SUBSTITUTE(SUBSTITUTE(SUBSTITUTE(SUBSTITUTE(SUBSTITUTE(MAIN!B670, "0", ""), "1", ""), "2", ""), "3", ""), "4", ""), "5", ""), "6", ""), "7", ""), "8", ""), "9", ""))))</f>
        <v>--</v>
      </c>
      <c r="C670" t="str">
        <f>IF(ISBLANK(MAIN!C670), "--", IFERROR(PROPER(SUBSTITUTE(SUBSTITUTE(SUBSTITUTE(SUBSTITUTE(SUBSTITUTE(SUBSTITUTE(SUBSTITUTE(SUBSTITUTE(SUBSTITUTE(SUBSTITUTE(LEFT(MAIN!C670, FIND(",",MAIN!C670) -1), "0", ""), "1", ""), "2", ""), "3", ""), "4", ""), "5", ""), "6", ""), "7", ""), "8", ""), "9", "")), PROPER(SUBSTITUTE(SUBSTITUTE(SUBSTITUTE(SUBSTITUTE(SUBSTITUTE(SUBSTITUTE(SUBSTITUTE(SUBSTITUTE(SUBSTITUTE(SUBSTITUTE(MAIN!C670, "0", ""), "1", ""), "2", ""), "3", ""), "4", ""), "5", ""), "6", ""), "7", ""), "8", ""), "9", ""))))</f>
        <v>--</v>
      </c>
      <c r="D670" t="str">
        <f>IF(ISBLANK(MAIN!D670), "--", IF(ISNUMBER(MATCH(SUBSTITUTE(LEFT(MAIN!D670, IFERROR(FIND(",", MAIN!D670)-1, LEN(MAIN!D670))), " ", ""), lookup_values!$B$2:$B$51, 0)), UPPER(SUBSTITUTE(LEFT(MAIN!D670, IFERROR(FIND(",", MAIN!D670)-1, LEN(MAIN!D670))), " ", "")), IF(ISNA(VLOOKUP(SUBSTITUTE(LEFT(MAIN!D670, IFERROR(FIND(",", MAIN!D670)-1, LEN(MAIN!D670))), " ", ""), lookup_values!$A$2:$B$51, 2, FALSE)), "--", VLOOKUP(SUBSTITUTE(LEFT(MAIN!D670, IFERROR(FIND(",", MAIN!D670)-1, LEN(MAIN!D670))), " ", ""), lookup_values!$A$2:$B$51, 2, FALSE))))</f>
        <v>--</v>
      </c>
      <c r="E670" t="str">
        <f>IF(CLEAN_DATA!D670&lt;&gt;"--","US",IF(ISBLANK(MAIN!E670), "--", IF(ISNUMBER(MATCH(SUBSTITUTE(LEFT(MAIN!E670, IFERROR(FIND(",", MAIN!E670)-1, LEN(MAIN!E670))), " ", ""), lookup_values!$E$2:$E$197, 0)), UPPER(SUBSTITUTE(LEFT(MAIN!E670, IFERROR(FIND(",", MAIN!E670)-1, LEN(MAIN!E670))), " ", "")), IF(ISNA(VLOOKUP(SUBSTITUTE(LEFT(MAIN!E670, IFERROR(FIND(",", MAIN!E670)-1, LEN(MAIN!E670))), " ", ""), lookup_values!$D$2:$E$197, 2, FALSE)), "--", VLOOKUP(SUBSTITUTE(LEFT(MAIN!E670, IFERROR(FIND(",", MAIN!E670)-1, LEN(MAIN!E670))), " ", ""), lookup_values!$D$2:$E$197, 2, FALSE)))))</f>
        <v>--</v>
      </c>
      <c r="F670" t="str">
        <f>IF(ISBLANK(MAIN!F670), "", IF(AND(ISNUMBER(VALUE(TRIM(MAIN!F670))), LEN(TRIM(MAIN!F670))=4), VALUE(TRIM(MAIN!F670)), ""))</f>
        <v/>
      </c>
      <c r="G670">
        <f>IF(ISBLANK(MAIN!G670), 0, IF(ISNUMBER(VALUE(TRIM(MAIN!G670))), VALUE(TRIM(MAIN!G670)), 0))</f>
        <v>0</v>
      </c>
      <c r="H670">
        <f>IF(ISBLANK(MAIN!H670), 0, IF(ISNUMBER(VALUE(TRIM(MAIN!H670))), VALUE(TRIM(MAIN!H670)), 0))</f>
        <v>0</v>
      </c>
      <c r="I670">
        <f>IF(ISBLANK(MAIN!I670), 0, IF(ISNUMBER(VALUE(TRIM(MAIN!I670))), VALUE(TRIM(MAIN!I670)), 0))</f>
        <v>0</v>
      </c>
      <c r="J670">
        <f>IF(ISBLANK(MAIN!J670), 0, IF(ISNUMBER(VALUE(TRIM(MAIN!J670))), VALUE(TRIM(MAIN!J670)), 0))</f>
        <v>0</v>
      </c>
      <c r="K670" cm="1">
        <f t="array" ref="K670">IFERROR(
    VALUE(
        IFERROR(
            UPPER(
                IF(MAX(IFERROR(SEARCH("WD",MAIN!G670:J670), 0))&gt;0, "WD",
                IF(MAX(IFERROR(SEARCH("NS",MAIN!G670:J670), 0))&gt;0, "NS",
                IF(MAX(IFERROR(SEARCH("NC",MAIN!G670:J670), 0))&gt;0, "NC",
                IF(MAX(IFERROR(SEARCH("DQ",MAIN!G670:J670), 0))&gt;0, "DQ",
                IF(ISNUMBER(SEARCH("WD",MAIN!K670)), "WD",
                IF(ISNUMBER(SEARCH("NS",MAIN!K670)), "NS",
                IF(ISNUMBER(SEARCH("NC",MAIN!K670)), "NC",
                IF(ISNUMBER(SEARCH("DQ",MAIN!K670)), "DQ",
                IF(ISNUMBER(SEARCH("A",MAIN!K670)), 0,
                IF(OR(MAIN!K670=0,MAIN!K670=""), 0, --TRIM(MAIN!K670)))))))))))),
            0
        )
    ),
    IFERROR(
        UPPER(
            IF(MAX(IFERROR(SEARCH("WD",MAIN!G670:J670), 0))&gt;0, "WD",
            IF(MAX(IFERROR(SEARCH("NS",MAIN!G670:J670), 0))&gt;0, "NS",
            IF(MAX(IFERROR(SEARCH("NC",MAIN!G670:J670), 0))&gt;0, "NC",
            IF(MAX(IFERROR(SEARCH("DQ",MAIN!G670:J670), 0))&gt;0, "DQ",
            IF(ISNUMBER(SEARCH("WD",MAIN!K670)), "WD",
            IF(ISNUMBER(SEARCH("NS",MAIN!K670)), "NS",
            IF(ISNUMBER(SEARCH("NC",MAIN!K670)), "NC",
            IF(ISNUMBER(SEARCH("DQ",MAIN!K670)), "DQ",
            IF(ISNUMBER(SEARCH("A",MAIN!K670)), 0,
            IF(OR(MAIN!K670=0,MAIN!K670=""), 0, --TRIM(MAIN!K670)))))))))))),
        0
    )
)</f>
        <v>0</v>
      </c>
    </row>
    <row r="671" spans="1:11" x14ac:dyDescent="0.25">
      <c r="A671" t="str">
        <f>IF(ISBLANK(MAIN!A671), "--", IFERROR(PROPER(SUBSTITUTE(SUBSTITUTE(SUBSTITUTE(SUBSTITUTE(SUBSTITUTE(SUBSTITUTE(SUBSTITUTE(SUBSTITUTE(SUBSTITUTE(SUBSTITUTE(LEFT(MAIN!A671, FIND(",",MAIN!A671) -1), "0", ""), "1", ""), "2", ""), "3", ""), "4", ""), "5", ""), "6", ""), "7", ""), "8", ""), "9", "")), PROPER(SUBSTITUTE(SUBSTITUTE(SUBSTITUTE(SUBSTITUTE(SUBSTITUTE(SUBSTITUTE(SUBSTITUTE(SUBSTITUTE(SUBSTITUTE(SUBSTITUTE(MAIN!A671, "0", ""), "1", ""), "2", ""), "3", ""), "4", ""), "5", ""), "6", ""), "7", ""), "8", ""), "9", ""))))</f>
        <v>--</v>
      </c>
      <c r="B671" t="str">
        <f>IF(ISBLANK(MAIN!B671), "--", IFERROR(PROPER(SUBSTITUTE(SUBSTITUTE(SUBSTITUTE(SUBSTITUTE(SUBSTITUTE(SUBSTITUTE(SUBSTITUTE(SUBSTITUTE(SUBSTITUTE(SUBSTITUTE(LEFT(MAIN!B671, FIND(",",MAIN!B671) -1), "0", ""), "1", ""), "2", ""), "3", ""), "4", ""), "5", ""), "6", ""), "7", ""), "8", ""), "9", "")), PROPER(SUBSTITUTE(SUBSTITUTE(SUBSTITUTE(SUBSTITUTE(SUBSTITUTE(SUBSTITUTE(SUBSTITUTE(SUBSTITUTE(SUBSTITUTE(SUBSTITUTE(MAIN!B671, "0", ""), "1", ""), "2", ""), "3", ""), "4", ""), "5", ""), "6", ""), "7", ""), "8", ""), "9", ""))))</f>
        <v>--</v>
      </c>
      <c r="C671" t="str">
        <f>IF(ISBLANK(MAIN!C671), "--", IFERROR(PROPER(SUBSTITUTE(SUBSTITUTE(SUBSTITUTE(SUBSTITUTE(SUBSTITUTE(SUBSTITUTE(SUBSTITUTE(SUBSTITUTE(SUBSTITUTE(SUBSTITUTE(LEFT(MAIN!C671, FIND(",",MAIN!C671) -1), "0", ""), "1", ""), "2", ""), "3", ""), "4", ""), "5", ""), "6", ""), "7", ""), "8", ""), "9", "")), PROPER(SUBSTITUTE(SUBSTITUTE(SUBSTITUTE(SUBSTITUTE(SUBSTITUTE(SUBSTITUTE(SUBSTITUTE(SUBSTITUTE(SUBSTITUTE(SUBSTITUTE(MAIN!C671, "0", ""), "1", ""), "2", ""), "3", ""), "4", ""), "5", ""), "6", ""), "7", ""), "8", ""), "9", ""))))</f>
        <v>--</v>
      </c>
      <c r="D671" t="str">
        <f>IF(ISBLANK(MAIN!D671), "--", IF(ISNUMBER(MATCH(SUBSTITUTE(LEFT(MAIN!D671, IFERROR(FIND(",", MAIN!D671)-1, LEN(MAIN!D671))), " ", ""), lookup_values!$B$2:$B$51, 0)), UPPER(SUBSTITUTE(LEFT(MAIN!D671, IFERROR(FIND(",", MAIN!D671)-1, LEN(MAIN!D671))), " ", "")), IF(ISNA(VLOOKUP(SUBSTITUTE(LEFT(MAIN!D671, IFERROR(FIND(",", MAIN!D671)-1, LEN(MAIN!D671))), " ", ""), lookup_values!$A$2:$B$51, 2, FALSE)), "--", VLOOKUP(SUBSTITUTE(LEFT(MAIN!D671, IFERROR(FIND(",", MAIN!D671)-1, LEN(MAIN!D671))), " ", ""), lookup_values!$A$2:$B$51, 2, FALSE))))</f>
        <v>--</v>
      </c>
      <c r="E671" t="str">
        <f>IF(CLEAN_DATA!D671&lt;&gt;"--","US",IF(ISBLANK(MAIN!E671), "--", IF(ISNUMBER(MATCH(SUBSTITUTE(LEFT(MAIN!E671, IFERROR(FIND(",", MAIN!E671)-1, LEN(MAIN!E671))), " ", ""), lookup_values!$E$2:$E$197, 0)), UPPER(SUBSTITUTE(LEFT(MAIN!E671, IFERROR(FIND(",", MAIN!E671)-1, LEN(MAIN!E671))), " ", "")), IF(ISNA(VLOOKUP(SUBSTITUTE(LEFT(MAIN!E671, IFERROR(FIND(",", MAIN!E671)-1, LEN(MAIN!E671))), " ", ""), lookup_values!$D$2:$E$197, 2, FALSE)), "--", VLOOKUP(SUBSTITUTE(LEFT(MAIN!E671, IFERROR(FIND(",", MAIN!E671)-1, LEN(MAIN!E671))), " ", ""), lookup_values!$D$2:$E$197, 2, FALSE)))))</f>
        <v>--</v>
      </c>
      <c r="F671" t="str">
        <f>IF(ISBLANK(MAIN!F671), "", IF(AND(ISNUMBER(VALUE(TRIM(MAIN!F671))), LEN(TRIM(MAIN!F671))=4), VALUE(TRIM(MAIN!F671)), ""))</f>
        <v/>
      </c>
      <c r="G671">
        <f>IF(ISBLANK(MAIN!G671), 0, IF(ISNUMBER(VALUE(TRIM(MAIN!G671))), VALUE(TRIM(MAIN!G671)), 0))</f>
        <v>0</v>
      </c>
      <c r="H671">
        <f>IF(ISBLANK(MAIN!H671), 0, IF(ISNUMBER(VALUE(TRIM(MAIN!H671))), VALUE(TRIM(MAIN!H671)), 0))</f>
        <v>0</v>
      </c>
      <c r="I671">
        <f>IF(ISBLANK(MAIN!I671), 0, IF(ISNUMBER(VALUE(TRIM(MAIN!I671))), VALUE(TRIM(MAIN!I671)), 0))</f>
        <v>0</v>
      </c>
      <c r="J671">
        <f>IF(ISBLANK(MAIN!J671), 0, IF(ISNUMBER(VALUE(TRIM(MAIN!J671))), VALUE(TRIM(MAIN!J671)), 0))</f>
        <v>0</v>
      </c>
      <c r="K671" cm="1">
        <f t="array" ref="K671">IFERROR(
    VALUE(
        IFERROR(
            UPPER(
                IF(MAX(IFERROR(SEARCH("WD",MAIN!G671:J671), 0))&gt;0, "WD",
                IF(MAX(IFERROR(SEARCH("NS",MAIN!G671:J671), 0))&gt;0, "NS",
                IF(MAX(IFERROR(SEARCH("NC",MAIN!G671:J671), 0))&gt;0, "NC",
                IF(MAX(IFERROR(SEARCH("DQ",MAIN!G671:J671), 0))&gt;0, "DQ",
                IF(ISNUMBER(SEARCH("WD",MAIN!K671)), "WD",
                IF(ISNUMBER(SEARCH("NS",MAIN!K671)), "NS",
                IF(ISNUMBER(SEARCH("NC",MAIN!K671)), "NC",
                IF(ISNUMBER(SEARCH("DQ",MAIN!K671)), "DQ",
                IF(ISNUMBER(SEARCH("A",MAIN!K671)), 0,
                IF(OR(MAIN!K671=0,MAIN!K671=""), 0, --TRIM(MAIN!K671)))))))))))),
            0
        )
    ),
    IFERROR(
        UPPER(
            IF(MAX(IFERROR(SEARCH("WD",MAIN!G671:J671), 0))&gt;0, "WD",
            IF(MAX(IFERROR(SEARCH("NS",MAIN!G671:J671), 0))&gt;0, "NS",
            IF(MAX(IFERROR(SEARCH("NC",MAIN!G671:J671), 0))&gt;0, "NC",
            IF(MAX(IFERROR(SEARCH("DQ",MAIN!G671:J671), 0))&gt;0, "DQ",
            IF(ISNUMBER(SEARCH("WD",MAIN!K671)), "WD",
            IF(ISNUMBER(SEARCH("NS",MAIN!K671)), "NS",
            IF(ISNUMBER(SEARCH("NC",MAIN!K671)), "NC",
            IF(ISNUMBER(SEARCH("DQ",MAIN!K671)), "DQ",
            IF(ISNUMBER(SEARCH("A",MAIN!K671)), 0,
            IF(OR(MAIN!K671=0,MAIN!K671=""), 0, --TRIM(MAIN!K671)))))))))))),
        0
    )
)</f>
        <v>0</v>
      </c>
    </row>
    <row r="672" spans="1:11" x14ac:dyDescent="0.25">
      <c r="A672" t="str">
        <f>IF(ISBLANK(MAIN!A672), "--", IFERROR(PROPER(SUBSTITUTE(SUBSTITUTE(SUBSTITUTE(SUBSTITUTE(SUBSTITUTE(SUBSTITUTE(SUBSTITUTE(SUBSTITUTE(SUBSTITUTE(SUBSTITUTE(LEFT(MAIN!A672, FIND(",",MAIN!A672) -1), "0", ""), "1", ""), "2", ""), "3", ""), "4", ""), "5", ""), "6", ""), "7", ""), "8", ""), "9", "")), PROPER(SUBSTITUTE(SUBSTITUTE(SUBSTITUTE(SUBSTITUTE(SUBSTITUTE(SUBSTITUTE(SUBSTITUTE(SUBSTITUTE(SUBSTITUTE(SUBSTITUTE(MAIN!A672, "0", ""), "1", ""), "2", ""), "3", ""), "4", ""), "5", ""), "6", ""), "7", ""), "8", ""), "9", ""))))</f>
        <v>--</v>
      </c>
      <c r="B672" t="str">
        <f>IF(ISBLANK(MAIN!B672), "--", IFERROR(PROPER(SUBSTITUTE(SUBSTITUTE(SUBSTITUTE(SUBSTITUTE(SUBSTITUTE(SUBSTITUTE(SUBSTITUTE(SUBSTITUTE(SUBSTITUTE(SUBSTITUTE(LEFT(MAIN!B672, FIND(",",MAIN!B672) -1), "0", ""), "1", ""), "2", ""), "3", ""), "4", ""), "5", ""), "6", ""), "7", ""), "8", ""), "9", "")), PROPER(SUBSTITUTE(SUBSTITUTE(SUBSTITUTE(SUBSTITUTE(SUBSTITUTE(SUBSTITUTE(SUBSTITUTE(SUBSTITUTE(SUBSTITUTE(SUBSTITUTE(MAIN!B672, "0", ""), "1", ""), "2", ""), "3", ""), "4", ""), "5", ""), "6", ""), "7", ""), "8", ""), "9", ""))))</f>
        <v>--</v>
      </c>
      <c r="C672" t="str">
        <f>IF(ISBLANK(MAIN!C672), "--", IFERROR(PROPER(SUBSTITUTE(SUBSTITUTE(SUBSTITUTE(SUBSTITUTE(SUBSTITUTE(SUBSTITUTE(SUBSTITUTE(SUBSTITUTE(SUBSTITUTE(SUBSTITUTE(LEFT(MAIN!C672, FIND(",",MAIN!C672) -1), "0", ""), "1", ""), "2", ""), "3", ""), "4", ""), "5", ""), "6", ""), "7", ""), "8", ""), "9", "")), PROPER(SUBSTITUTE(SUBSTITUTE(SUBSTITUTE(SUBSTITUTE(SUBSTITUTE(SUBSTITUTE(SUBSTITUTE(SUBSTITUTE(SUBSTITUTE(SUBSTITUTE(MAIN!C672, "0", ""), "1", ""), "2", ""), "3", ""), "4", ""), "5", ""), "6", ""), "7", ""), "8", ""), "9", ""))))</f>
        <v>--</v>
      </c>
      <c r="D672" t="str">
        <f>IF(ISBLANK(MAIN!D672), "--", IF(ISNUMBER(MATCH(SUBSTITUTE(LEFT(MAIN!D672, IFERROR(FIND(",", MAIN!D672)-1, LEN(MAIN!D672))), " ", ""), lookup_values!$B$2:$B$51, 0)), UPPER(SUBSTITUTE(LEFT(MAIN!D672, IFERROR(FIND(",", MAIN!D672)-1, LEN(MAIN!D672))), " ", "")), IF(ISNA(VLOOKUP(SUBSTITUTE(LEFT(MAIN!D672, IFERROR(FIND(",", MAIN!D672)-1, LEN(MAIN!D672))), " ", ""), lookup_values!$A$2:$B$51, 2, FALSE)), "--", VLOOKUP(SUBSTITUTE(LEFT(MAIN!D672, IFERROR(FIND(",", MAIN!D672)-1, LEN(MAIN!D672))), " ", ""), lookup_values!$A$2:$B$51, 2, FALSE))))</f>
        <v>--</v>
      </c>
      <c r="E672" t="str">
        <f>IF(CLEAN_DATA!D672&lt;&gt;"--","US",IF(ISBLANK(MAIN!E672), "--", IF(ISNUMBER(MATCH(SUBSTITUTE(LEFT(MAIN!E672, IFERROR(FIND(",", MAIN!E672)-1, LEN(MAIN!E672))), " ", ""), lookup_values!$E$2:$E$197, 0)), UPPER(SUBSTITUTE(LEFT(MAIN!E672, IFERROR(FIND(",", MAIN!E672)-1, LEN(MAIN!E672))), " ", "")), IF(ISNA(VLOOKUP(SUBSTITUTE(LEFT(MAIN!E672, IFERROR(FIND(",", MAIN!E672)-1, LEN(MAIN!E672))), " ", ""), lookup_values!$D$2:$E$197, 2, FALSE)), "--", VLOOKUP(SUBSTITUTE(LEFT(MAIN!E672, IFERROR(FIND(",", MAIN!E672)-1, LEN(MAIN!E672))), " ", ""), lookup_values!$D$2:$E$197, 2, FALSE)))))</f>
        <v>--</v>
      </c>
      <c r="F672" t="str">
        <f>IF(ISBLANK(MAIN!F672), "", IF(AND(ISNUMBER(VALUE(TRIM(MAIN!F672))), LEN(TRIM(MAIN!F672))=4), VALUE(TRIM(MAIN!F672)), ""))</f>
        <v/>
      </c>
      <c r="G672">
        <f>IF(ISBLANK(MAIN!G672), 0, IF(ISNUMBER(VALUE(TRIM(MAIN!G672))), VALUE(TRIM(MAIN!G672)), 0))</f>
        <v>0</v>
      </c>
      <c r="H672">
        <f>IF(ISBLANK(MAIN!H672), 0, IF(ISNUMBER(VALUE(TRIM(MAIN!H672))), VALUE(TRIM(MAIN!H672)), 0))</f>
        <v>0</v>
      </c>
      <c r="I672">
        <f>IF(ISBLANK(MAIN!I672), 0, IF(ISNUMBER(VALUE(TRIM(MAIN!I672))), VALUE(TRIM(MAIN!I672)), 0))</f>
        <v>0</v>
      </c>
      <c r="J672">
        <f>IF(ISBLANK(MAIN!J672), 0, IF(ISNUMBER(VALUE(TRIM(MAIN!J672))), VALUE(TRIM(MAIN!J672)), 0))</f>
        <v>0</v>
      </c>
      <c r="K672" cm="1">
        <f t="array" ref="K672">IFERROR(
    VALUE(
        IFERROR(
            UPPER(
                IF(MAX(IFERROR(SEARCH("WD",MAIN!G672:J672), 0))&gt;0, "WD",
                IF(MAX(IFERROR(SEARCH("NS",MAIN!G672:J672), 0))&gt;0, "NS",
                IF(MAX(IFERROR(SEARCH("NC",MAIN!G672:J672), 0))&gt;0, "NC",
                IF(MAX(IFERROR(SEARCH("DQ",MAIN!G672:J672), 0))&gt;0, "DQ",
                IF(ISNUMBER(SEARCH("WD",MAIN!K672)), "WD",
                IF(ISNUMBER(SEARCH("NS",MAIN!K672)), "NS",
                IF(ISNUMBER(SEARCH("NC",MAIN!K672)), "NC",
                IF(ISNUMBER(SEARCH("DQ",MAIN!K672)), "DQ",
                IF(ISNUMBER(SEARCH("A",MAIN!K672)), 0,
                IF(OR(MAIN!K672=0,MAIN!K672=""), 0, --TRIM(MAIN!K672)))))))))))),
            0
        )
    ),
    IFERROR(
        UPPER(
            IF(MAX(IFERROR(SEARCH("WD",MAIN!G672:J672), 0))&gt;0, "WD",
            IF(MAX(IFERROR(SEARCH("NS",MAIN!G672:J672), 0))&gt;0, "NS",
            IF(MAX(IFERROR(SEARCH("NC",MAIN!G672:J672), 0))&gt;0, "NC",
            IF(MAX(IFERROR(SEARCH("DQ",MAIN!G672:J672), 0))&gt;0, "DQ",
            IF(ISNUMBER(SEARCH("WD",MAIN!K672)), "WD",
            IF(ISNUMBER(SEARCH("NS",MAIN!K672)), "NS",
            IF(ISNUMBER(SEARCH("NC",MAIN!K672)), "NC",
            IF(ISNUMBER(SEARCH("DQ",MAIN!K672)), "DQ",
            IF(ISNUMBER(SEARCH("A",MAIN!K672)), 0,
            IF(OR(MAIN!K672=0,MAIN!K672=""), 0, --TRIM(MAIN!K672)))))))))))),
        0
    )
)</f>
        <v>0</v>
      </c>
    </row>
    <row r="673" spans="1:11" x14ac:dyDescent="0.25">
      <c r="A673" t="str">
        <f>IF(ISBLANK(MAIN!A673), "--", IFERROR(PROPER(SUBSTITUTE(SUBSTITUTE(SUBSTITUTE(SUBSTITUTE(SUBSTITUTE(SUBSTITUTE(SUBSTITUTE(SUBSTITUTE(SUBSTITUTE(SUBSTITUTE(LEFT(MAIN!A673, FIND(",",MAIN!A673) -1), "0", ""), "1", ""), "2", ""), "3", ""), "4", ""), "5", ""), "6", ""), "7", ""), "8", ""), "9", "")), PROPER(SUBSTITUTE(SUBSTITUTE(SUBSTITUTE(SUBSTITUTE(SUBSTITUTE(SUBSTITUTE(SUBSTITUTE(SUBSTITUTE(SUBSTITUTE(SUBSTITUTE(MAIN!A673, "0", ""), "1", ""), "2", ""), "3", ""), "4", ""), "5", ""), "6", ""), "7", ""), "8", ""), "9", ""))))</f>
        <v>--</v>
      </c>
      <c r="B673" t="str">
        <f>IF(ISBLANK(MAIN!B673), "--", IFERROR(PROPER(SUBSTITUTE(SUBSTITUTE(SUBSTITUTE(SUBSTITUTE(SUBSTITUTE(SUBSTITUTE(SUBSTITUTE(SUBSTITUTE(SUBSTITUTE(SUBSTITUTE(LEFT(MAIN!B673, FIND(",",MAIN!B673) -1), "0", ""), "1", ""), "2", ""), "3", ""), "4", ""), "5", ""), "6", ""), "7", ""), "8", ""), "9", "")), PROPER(SUBSTITUTE(SUBSTITUTE(SUBSTITUTE(SUBSTITUTE(SUBSTITUTE(SUBSTITUTE(SUBSTITUTE(SUBSTITUTE(SUBSTITUTE(SUBSTITUTE(MAIN!B673, "0", ""), "1", ""), "2", ""), "3", ""), "4", ""), "5", ""), "6", ""), "7", ""), "8", ""), "9", ""))))</f>
        <v>--</v>
      </c>
      <c r="C673" t="str">
        <f>IF(ISBLANK(MAIN!C673), "--", IFERROR(PROPER(SUBSTITUTE(SUBSTITUTE(SUBSTITUTE(SUBSTITUTE(SUBSTITUTE(SUBSTITUTE(SUBSTITUTE(SUBSTITUTE(SUBSTITUTE(SUBSTITUTE(LEFT(MAIN!C673, FIND(",",MAIN!C673) -1), "0", ""), "1", ""), "2", ""), "3", ""), "4", ""), "5", ""), "6", ""), "7", ""), "8", ""), "9", "")), PROPER(SUBSTITUTE(SUBSTITUTE(SUBSTITUTE(SUBSTITUTE(SUBSTITUTE(SUBSTITUTE(SUBSTITUTE(SUBSTITUTE(SUBSTITUTE(SUBSTITUTE(MAIN!C673, "0", ""), "1", ""), "2", ""), "3", ""), "4", ""), "5", ""), "6", ""), "7", ""), "8", ""), "9", ""))))</f>
        <v>--</v>
      </c>
      <c r="D673" t="str">
        <f>IF(ISBLANK(MAIN!D673), "--", IF(ISNUMBER(MATCH(SUBSTITUTE(LEFT(MAIN!D673, IFERROR(FIND(",", MAIN!D673)-1, LEN(MAIN!D673))), " ", ""), lookup_values!$B$2:$B$51, 0)), UPPER(SUBSTITUTE(LEFT(MAIN!D673, IFERROR(FIND(",", MAIN!D673)-1, LEN(MAIN!D673))), " ", "")), IF(ISNA(VLOOKUP(SUBSTITUTE(LEFT(MAIN!D673, IFERROR(FIND(",", MAIN!D673)-1, LEN(MAIN!D673))), " ", ""), lookup_values!$A$2:$B$51, 2, FALSE)), "--", VLOOKUP(SUBSTITUTE(LEFT(MAIN!D673, IFERROR(FIND(",", MAIN!D673)-1, LEN(MAIN!D673))), " ", ""), lookup_values!$A$2:$B$51, 2, FALSE))))</f>
        <v>--</v>
      </c>
      <c r="E673" t="str">
        <f>IF(CLEAN_DATA!D673&lt;&gt;"--","US",IF(ISBLANK(MAIN!E673), "--", IF(ISNUMBER(MATCH(SUBSTITUTE(LEFT(MAIN!E673, IFERROR(FIND(",", MAIN!E673)-1, LEN(MAIN!E673))), " ", ""), lookup_values!$E$2:$E$197, 0)), UPPER(SUBSTITUTE(LEFT(MAIN!E673, IFERROR(FIND(",", MAIN!E673)-1, LEN(MAIN!E673))), " ", "")), IF(ISNA(VLOOKUP(SUBSTITUTE(LEFT(MAIN!E673, IFERROR(FIND(",", MAIN!E673)-1, LEN(MAIN!E673))), " ", ""), lookup_values!$D$2:$E$197, 2, FALSE)), "--", VLOOKUP(SUBSTITUTE(LEFT(MAIN!E673, IFERROR(FIND(",", MAIN!E673)-1, LEN(MAIN!E673))), " ", ""), lookup_values!$D$2:$E$197, 2, FALSE)))))</f>
        <v>--</v>
      </c>
      <c r="F673" t="str">
        <f>IF(ISBLANK(MAIN!F673), "", IF(AND(ISNUMBER(VALUE(TRIM(MAIN!F673))), LEN(TRIM(MAIN!F673))=4), VALUE(TRIM(MAIN!F673)), ""))</f>
        <v/>
      </c>
      <c r="G673">
        <f>IF(ISBLANK(MAIN!G673), 0, IF(ISNUMBER(VALUE(TRIM(MAIN!G673))), VALUE(TRIM(MAIN!G673)), 0))</f>
        <v>0</v>
      </c>
      <c r="H673">
        <f>IF(ISBLANK(MAIN!H673), 0, IF(ISNUMBER(VALUE(TRIM(MAIN!H673))), VALUE(TRIM(MAIN!H673)), 0))</f>
        <v>0</v>
      </c>
      <c r="I673">
        <f>IF(ISBLANK(MAIN!I673), 0, IF(ISNUMBER(VALUE(TRIM(MAIN!I673))), VALUE(TRIM(MAIN!I673)), 0))</f>
        <v>0</v>
      </c>
      <c r="J673">
        <f>IF(ISBLANK(MAIN!J673), 0, IF(ISNUMBER(VALUE(TRIM(MAIN!J673))), VALUE(TRIM(MAIN!J673)), 0))</f>
        <v>0</v>
      </c>
      <c r="K673" cm="1">
        <f t="array" ref="K673">IFERROR(
    VALUE(
        IFERROR(
            UPPER(
                IF(MAX(IFERROR(SEARCH("WD",MAIN!G673:J673), 0))&gt;0, "WD",
                IF(MAX(IFERROR(SEARCH("NS",MAIN!G673:J673), 0))&gt;0, "NS",
                IF(MAX(IFERROR(SEARCH("NC",MAIN!G673:J673), 0))&gt;0, "NC",
                IF(MAX(IFERROR(SEARCH("DQ",MAIN!G673:J673), 0))&gt;0, "DQ",
                IF(ISNUMBER(SEARCH("WD",MAIN!K673)), "WD",
                IF(ISNUMBER(SEARCH("NS",MAIN!K673)), "NS",
                IF(ISNUMBER(SEARCH("NC",MAIN!K673)), "NC",
                IF(ISNUMBER(SEARCH("DQ",MAIN!K673)), "DQ",
                IF(ISNUMBER(SEARCH("A",MAIN!K673)), 0,
                IF(OR(MAIN!K673=0,MAIN!K673=""), 0, --TRIM(MAIN!K673)))))))))))),
            0
        )
    ),
    IFERROR(
        UPPER(
            IF(MAX(IFERROR(SEARCH("WD",MAIN!G673:J673), 0))&gt;0, "WD",
            IF(MAX(IFERROR(SEARCH("NS",MAIN!G673:J673), 0))&gt;0, "NS",
            IF(MAX(IFERROR(SEARCH("NC",MAIN!G673:J673), 0))&gt;0, "NC",
            IF(MAX(IFERROR(SEARCH("DQ",MAIN!G673:J673), 0))&gt;0, "DQ",
            IF(ISNUMBER(SEARCH("WD",MAIN!K673)), "WD",
            IF(ISNUMBER(SEARCH("NS",MAIN!K673)), "NS",
            IF(ISNUMBER(SEARCH("NC",MAIN!K673)), "NC",
            IF(ISNUMBER(SEARCH("DQ",MAIN!K673)), "DQ",
            IF(ISNUMBER(SEARCH("A",MAIN!K673)), 0,
            IF(OR(MAIN!K673=0,MAIN!K673=""), 0, --TRIM(MAIN!K673)))))))))))),
        0
    )
)</f>
        <v>0</v>
      </c>
    </row>
    <row r="674" spans="1:11" x14ac:dyDescent="0.25">
      <c r="A674" t="str">
        <f>IF(ISBLANK(MAIN!A674), "--", IFERROR(PROPER(SUBSTITUTE(SUBSTITUTE(SUBSTITUTE(SUBSTITUTE(SUBSTITUTE(SUBSTITUTE(SUBSTITUTE(SUBSTITUTE(SUBSTITUTE(SUBSTITUTE(LEFT(MAIN!A674, FIND(",",MAIN!A674) -1), "0", ""), "1", ""), "2", ""), "3", ""), "4", ""), "5", ""), "6", ""), "7", ""), "8", ""), "9", "")), PROPER(SUBSTITUTE(SUBSTITUTE(SUBSTITUTE(SUBSTITUTE(SUBSTITUTE(SUBSTITUTE(SUBSTITUTE(SUBSTITUTE(SUBSTITUTE(SUBSTITUTE(MAIN!A674, "0", ""), "1", ""), "2", ""), "3", ""), "4", ""), "5", ""), "6", ""), "7", ""), "8", ""), "9", ""))))</f>
        <v>--</v>
      </c>
      <c r="B674" t="str">
        <f>IF(ISBLANK(MAIN!B674), "--", IFERROR(PROPER(SUBSTITUTE(SUBSTITUTE(SUBSTITUTE(SUBSTITUTE(SUBSTITUTE(SUBSTITUTE(SUBSTITUTE(SUBSTITUTE(SUBSTITUTE(SUBSTITUTE(LEFT(MAIN!B674, FIND(",",MAIN!B674) -1), "0", ""), "1", ""), "2", ""), "3", ""), "4", ""), "5", ""), "6", ""), "7", ""), "8", ""), "9", "")), PROPER(SUBSTITUTE(SUBSTITUTE(SUBSTITUTE(SUBSTITUTE(SUBSTITUTE(SUBSTITUTE(SUBSTITUTE(SUBSTITUTE(SUBSTITUTE(SUBSTITUTE(MAIN!B674, "0", ""), "1", ""), "2", ""), "3", ""), "4", ""), "5", ""), "6", ""), "7", ""), "8", ""), "9", ""))))</f>
        <v>--</v>
      </c>
      <c r="C674" t="str">
        <f>IF(ISBLANK(MAIN!C674), "--", IFERROR(PROPER(SUBSTITUTE(SUBSTITUTE(SUBSTITUTE(SUBSTITUTE(SUBSTITUTE(SUBSTITUTE(SUBSTITUTE(SUBSTITUTE(SUBSTITUTE(SUBSTITUTE(LEFT(MAIN!C674, FIND(",",MAIN!C674) -1), "0", ""), "1", ""), "2", ""), "3", ""), "4", ""), "5", ""), "6", ""), "7", ""), "8", ""), "9", "")), PROPER(SUBSTITUTE(SUBSTITUTE(SUBSTITUTE(SUBSTITUTE(SUBSTITUTE(SUBSTITUTE(SUBSTITUTE(SUBSTITUTE(SUBSTITUTE(SUBSTITUTE(MAIN!C674, "0", ""), "1", ""), "2", ""), "3", ""), "4", ""), "5", ""), "6", ""), "7", ""), "8", ""), "9", ""))))</f>
        <v>--</v>
      </c>
      <c r="D674" t="str">
        <f>IF(ISBLANK(MAIN!D674), "--", IF(ISNUMBER(MATCH(SUBSTITUTE(LEFT(MAIN!D674, IFERROR(FIND(",", MAIN!D674)-1, LEN(MAIN!D674))), " ", ""), lookup_values!$B$2:$B$51, 0)), UPPER(SUBSTITUTE(LEFT(MAIN!D674, IFERROR(FIND(",", MAIN!D674)-1, LEN(MAIN!D674))), " ", "")), IF(ISNA(VLOOKUP(SUBSTITUTE(LEFT(MAIN!D674, IFERROR(FIND(",", MAIN!D674)-1, LEN(MAIN!D674))), " ", ""), lookup_values!$A$2:$B$51, 2, FALSE)), "--", VLOOKUP(SUBSTITUTE(LEFT(MAIN!D674, IFERROR(FIND(",", MAIN!D674)-1, LEN(MAIN!D674))), " ", ""), lookup_values!$A$2:$B$51, 2, FALSE))))</f>
        <v>--</v>
      </c>
      <c r="E674" t="str">
        <f>IF(CLEAN_DATA!D674&lt;&gt;"--","US",IF(ISBLANK(MAIN!E674), "--", IF(ISNUMBER(MATCH(SUBSTITUTE(LEFT(MAIN!E674, IFERROR(FIND(",", MAIN!E674)-1, LEN(MAIN!E674))), " ", ""), lookup_values!$E$2:$E$197, 0)), UPPER(SUBSTITUTE(LEFT(MAIN!E674, IFERROR(FIND(",", MAIN!E674)-1, LEN(MAIN!E674))), " ", "")), IF(ISNA(VLOOKUP(SUBSTITUTE(LEFT(MAIN!E674, IFERROR(FIND(",", MAIN!E674)-1, LEN(MAIN!E674))), " ", ""), lookup_values!$D$2:$E$197, 2, FALSE)), "--", VLOOKUP(SUBSTITUTE(LEFT(MAIN!E674, IFERROR(FIND(",", MAIN!E674)-1, LEN(MAIN!E674))), " ", ""), lookup_values!$D$2:$E$197, 2, FALSE)))))</f>
        <v>--</v>
      </c>
      <c r="F674" t="str">
        <f>IF(ISBLANK(MAIN!F674), "", IF(AND(ISNUMBER(VALUE(TRIM(MAIN!F674))), LEN(TRIM(MAIN!F674))=4), VALUE(TRIM(MAIN!F674)), ""))</f>
        <v/>
      </c>
      <c r="G674">
        <f>IF(ISBLANK(MAIN!G674), 0, IF(ISNUMBER(VALUE(TRIM(MAIN!G674))), VALUE(TRIM(MAIN!G674)), 0))</f>
        <v>0</v>
      </c>
      <c r="H674">
        <f>IF(ISBLANK(MAIN!H674), 0, IF(ISNUMBER(VALUE(TRIM(MAIN!H674))), VALUE(TRIM(MAIN!H674)), 0))</f>
        <v>0</v>
      </c>
      <c r="I674">
        <f>IF(ISBLANK(MAIN!I674), 0, IF(ISNUMBER(VALUE(TRIM(MAIN!I674))), VALUE(TRIM(MAIN!I674)), 0))</f>
        <v>0</v>
      </c>
      <c r="J674">
        <f>IF(ISBLANK(MAIN!J674), 0, IF(ISNUMBER(VALUE(TRIM(MAIN!J674))), VALUE(TRIM(MAIN!J674)), 0))</f>
        <v>0</v>
      </c>
      <c r="K674" cm="1">
        <f t="array" ref="K674">IFERROR(
    VALUE(
        IFERROR(
            UPPER(
                IF(MAX(IFERROR(SEARCH("WD",MAIN!G674:J674), 0))&gt;0, "WD",
                IF(MAX(IFERROR(SEARCH("NS",MAIN!G674:J674), 0))&gt;0, "NS",
                IF(MAX(IFERROR(SEARCH("NC",MAIN!G674:J674), 0))&gt;0, "NC",
                IF(MAX(IFERROR(SEARCH("DQ",MAIN!G674:J674), 0))&gt;0, "DQ",
                IF(ISNUMBER(SEARCH("WD",MAIN!K674)), "WD",
                IF(ISNUMBER(SEARCH("NS",MAIN!K674)), "NS",
                IF(ISNUMBER(SEARCH("NC",MAIN!K674)), "NC",
                IF(ISNUMBER(SEARCH("DQ",MAIN!K674)), "DQ",
                IF(ISNUMBER(SEARCH("A",MAIN!K674)), 0,
                IF(OR(MAIN!K674=0,MAIN!K674=""), 0, --TRIM(MAIN!K674)))))))))))),
            0
        )
    ),
    IFERROR(
        UPPER(
            IF(MAX(IFERROR(SEARCH("WD",MAIN!G674:J674), 0))&gt;0, "WD",
            IF(MAX(IFERROR(SEARCH("NS",MAIN!G674:J674), 0))&gt;0, "NS",
            IF(MAX(IFERROR(SEARCH("NC",MAIN!G674:J674), 0))&gt;0, "NC",
            IF(MAX(IFERROR(SEARCH("DQ",MAIN!G674:J674), 0))&gt;0, "DQ",
            IF(ISNUMBER(SEARCH("WD",MAIN!K674)), "WD",
            IF(ISNUMBER(SEARCH("NS",MAIN!K674)), "NS",
            IF(ISNUMBER(SEARCH("NC",MAIN!K674)), "NC",
            IF(ISNUMBER(SEARCH("DQ",MAIN!K674)), "DQ",
            IF(ISNUMBER(SEARCH("A",MAIN!K674)), 0,
            IF(OR(MAIN!K674=0,MAIN!K674=""), 0, --TRIM(MAIN!K674)))))))))))),
        0
    )
)</f>
        <v>0</v>
      </c>
    </row>
    <row r="675" spans="1:11" x14ac:dyDescent="0.25">
      <c r="A675" t="str">
        <f>IF(ISBLANK(MAIN!A675), "--", IFERROR(PROPER(SUBSTITUTE(SUBSTITUTE(SUBSTITUTE(SUBSTITUTE(SUBSTITUTE(SUBSTITUTE(SUBSTITUTE(SUBSTITUTE(SUBSTITUTE(SUBSTITUTE(LEFT(MAIN!A675, FIND(",",MAIN!A675) -1), "0", ""), "1", ""), "2", ""), "3", ""), "4", ""), "5", ""), "6", ""), "7", ""), "8", ""), "9", "")), PROPER(SUBSTITUTE(SUBSTITUTE(SUBSTITUTE(SUBSTITUTE(SUBSTITUTE(SUBSTITUTE(SUBSTITUTE(SUBSTITUTE(SUBSTITUTE(SUBSTITUTE(MAIN!A675, "0", ""), "1", ""), "2", ""), "3", ""), "4", ""), "5", ""), "6", ""), "7", ""), "8", ""), "9", ""))))</f>
        <v>--</v>
      </c>
      <c r="B675" t="str">
        <f>IF(ISBLANK(MAIN!B675), "--", IFERROR(PROPER(SUBSTITUTE(SUBSTITUTE(SUBSTITUTE(SUBSTITUTE(SUBSTITUTE(SUBSTITUTE(SUBSTITUTE(SUBSTITUTE(SUBSTITUTE(SUBSTITUTE(LEFT(MAIN!B675, FIND(",",MAIN!B675) -1), "0", ""), "1", ""), "2", ""), "3", ""), "4", ""), "5", ""), "6", ""), "7", ""), "8", ""), "9", "")), PROPER(SUBSTITUTE(SUBSTITUTE(SUBSTITUTE(SUBSTITUTE(SUBSTITUTE(SUBSTITUTE(SUBSTITUTE(SUBSTITUTE(SUBSTITUTE(SUBSTITUTE(MAIN!B675, "0", ""), "1", ""), "2", ""), "3", ""), "4", ""), "5", ""), "6", ""), "7", ""), "8", ""), "9", ""))))</f>
        <v>--</v>
      </c>
      <c r="C675" t="str">
        <f>IF(ISBLANK(MAIN!C675), "--", IFERROR(PROPER(SUBSTITUTE(SUBSTITUTE(SUBSTITUTE(SUBSTITUTE(SUBSTITUTE(SUBSTITUTE(SUBSTITUTE(SUBSTITUTE(SUBSTITUTE(SUBSTITUTE(LEFT(MAIN!C675, FIND(",",MAIN!C675) -1), "0", ""), "1", ""), "2", ""), "3", ""), "4", ""), "5", ""), "6", ""), "7", ""), "8", ""), "9", "")), PROPER(SUBSTITUTE(SUBSTITUTE(SUBSTITUTE(SUBSTITUTE(SUBSTITUTE(SUBSTITUTE(SUBSTITUTE(SUBSTITUTE(SUBSTITUTE(SUBSTITUTE(MAIN!C675, "0", ""), "1", ""), "2", ""), "3", ""), "4", ""), "5", ""), "6", ""), "7", ""), "8", ""), "9", ""))))</f>
        <v>--</v>
      </c>
      <c r="D675" t="str">
        <f>IF(ISBLANK(MAIN!D675), "--", IF(ISNUMBER(MATCH(SUBSTITUTE(LEFT(MAIN!D675, IFERROR(FIND(",", MAIN!D675)-1, LEN(MAIN!D675))), " ", ""), lookup_values!$B$2:$B$51, 0)), UPPER(SUBSTITUTE(LEFT(MAIN!D675, IFERROR(FIND(",", MAIN!D675)-1, LEN(MAIN!D675))), " ", "")), IF(ISNA(VLOOKUP(SUBSTITUTE(LEFT(MAIN!D675, IFERROR(FIND(",", MAIN!D675)-1, LEN(MAIN!D675))), " ", ""), lookup_values!$A$2:$B$51, 2, FALSE)), "--", VLOOKUP(SUBSTITUTE(LEFT(MAIN!D675, IFERROR(FIND(",", MAIN!D675)-1, LEN(MAIN!D675))), " ", ""), lookup_values!$A$2:$B$51, 2, FALSE))))</f>
        <v>--</v>
      </c>
      <c r="E675" t="str">
        <f>IF(CLEAN_DATA!D675&lt;&gt;"--","US",IF(ISBLANK(MAIN!E675), "--", IF(ISNUMBER(MATCH(SUBSTITUTE(LEFT(MAIN!E675, IFERROR(FIND(",", MAIN!E675)-1, LEN(MAIN!E675))), " ", ""), lookup_values!$E$2:$E$197, 0)), UPPER(SUBSTITUTE(LEFT(MAIN!E675, IFERROR(FIND(",", MAIN!E675)-1, LEN(MAIN!E675))), " ", "")), IF(ISNA(VLOOKUP(SUBSTITUTE(LEFT(MAIN!E675, IFERROR(FIND(",", MAIN!E675)-1, LEN(MAIN!E675))), " ", ""), lookup_values!$D$2:$E$197, 2, FALSE)), "--", VLOOKUP(SUBSTITUTE(LEFT(MAIN!E675, IFERROR(FIND(",", MAIN!E675)-1, LEN(MAIN!E675))), " ", ""), lookup_values!$D$2:$E$197, 2, FALSE)))))</f>
        <v>--</v>
      </c>
      <c r="F675" t="str">
        <f>IF(ISBLANK(MAIN!F675), "", IF(AND(ISNUMBER(VALUE(TRIM(MAIN!F675))), LEN(TRIM(MAIN!F675))=4), VALUE(TRIM(MAIN!F675)), ""))</f>
        <v/>
      </c>
      <c r="G675">
        <f>IF(ISBLANK(MAIN!G675), 0, IF(ISNUMBER(VALUE(TRIM(MAIN!G675))), VALUE(TRIM(MAIN!G675)), 0))</f>
        <v>0</v>
      </c>
      <c r="H675">
        <f>IF(ISBLANK(MAIN!H675), 0, IF(ISNUMBER(VALUE(TRIM(MAIN!H675))), VALUE(TRIM(MAIN!H675)), 0))</f>
        <v>0</v>
      </c>
      <c r="I675">
        <f>IF(ISBLANK(MAIN!I675), 0, IF(ISNUMBER(VALUE(TRIM(MAIN!I675))), VALUE(TRIM(MAIN!I675)), 0))</f>
        <v>0</v>
      </c>
      <c r="J675">
        <f>IF(ISBLANK(MAIN!J675), 0, IF(ISNUMBER(VALUE(TRIM(MAIN!J675))), VALUE(TRIM(MAIN!J675)), 0))</f>
        <v>0</v>
      </c>
      <c r="K675" cm="1">
        <f t="array" ref="K675">IFERROR(
    VALUE(
        IFERROR(
            UPPER(
                IF(MAX(IFERROR(SEARCH("WD",MAIN!G675:J675), 0))&gt;0, "WD",
                IF(MAX(IFERROR(SEARCH("NS",MAIN!G675:J675), 0))&gt;0, "NS",
                IF(MAX(IFERROR(SEARCH("NC",MAIN!G675:J675), 0))&gt;0, "NC",
                IF(MAX(IFERROR(SEARCH("DQ",MAIN!G675:J675), 0))&gt;0, "DQ",
                IF(ISNUMBER(SEARCH("WD",MAIN!K675)), "WD",
                IF(ISNUMBER(SEARCH("NS",MAIN!K675)), "NS",
                IF(ISNUMBER(SEARCH("NC",MAIN!K675)), "NC",
                IF(ISNUMBER(SEARCH("DQ",MAIN!K675)), "DQ",
                IF(ISNUMBER(SEARCH("A",MAIN!K675)), 0,
                IF(OR(MAIN!K675=0,MAIN!K675=""), 0, --TRIM(MAIN!K675)))))))))))),
            0
        )
    ),
    IFERROR(
        UPPER(
            IF(MAX(IFERROR(SEARCH("WD",MAIN!G675:J675), 0))&gt;0, "WD",
            IF(MAX(IFERROR(SEARCH("NS",MAIN!G675:J675), 0))&gt;0, "NS",
            IF(MAX(IFERROR(SEARCH("NC",MAIN!G675:J675), 0))&gt;0, "NC",
            IF(MAX(IFERROR(SEARCH("DQ",MAIN!G675:J675), 0))&gt;0, "DQ",
            IF(ISNUMBER(SEARCH("WD",MAIN!K675)), "WD",
            IF(ISNUMBER(SEARCH("NS",MAIN!K675)), "NS",
            IF(ISNUMBER(SEARCH("NC",MAIN!K675)), "NC",
            IF(ISNUMBER(SEARCH("DQ",MAIN!K675)), "DQ",
            IF(ISNUMBER(SEARCH("A",MAIN!K675)), 0,
            IF(OR(MAIN!K675=0,MAIN!K675=""), 0, --TRIM(MAIN!K675)))))))))))),
        0
    )
)</f>
        <v>0</v>
      </c>
    </row>
    <row r="676" spans="1:11" x14ac:dyDescent="0.25">
      <c r="A676" t="str">
        <f>IF(ISBLANK(MAIN!A676), "--", IFERROR(PROPER(SUBSTITUTE(SUBSTITUTE(SUBSTITUTE(SUBSTITUTE(SUBSTITUTE(SUBSTITUTE(SUBSTITUTE(SUBSTITUTE(SUBSTITUTE(SUBSTITUTE(LEFT(MAIN!A676, FIND(",",MAIN!A676) -1), "0", ""), "1", ""), "2", ""), "3", ""), "4", ""), "5", ""), "6", ""), "7", ""), "8", ""), "9", "")), PROPER(SUBSTITUTE(SUBSTITUTE(SUBSTITUTE(SUBSTITUTE(SUBSTITUTE(SUBSTITUTE(SUBSTITUTE(SUBSTITUTE(SUBSTITUTE(SUBSTITUTE(MAIN!A676, "0", ""), "1", ""), "2", ""), "3", ""), "4", ""), "5", ""), "6", ""), "7", ""), "8", ""), "9", ""))))</f>
        <v>--</v>
      </c>
      <c r="B676" t="str">
        <f>IF(ISBLANK(MAIN!B676), "--", IFERROR(PROPER(SUBSTITUTE(SUBSTITUTE(SUBSTITUTE(SUBSTITUTE(SUBSTITUTE(SUBSTITUTE(SUBSTITUTE(SUBSTITUTE(SUBSTITUTE(SUBSTITUTE(LEFT(MAIN!B676, FIND(",",MAIN!B676) -1), "0", ""), "1", ""), "2", ""), "3", ""), "4", ""), "5", ""), "6", ""), "7", ""), "8", ""), "9", "")), PROPER(SUBSTITUTE(SUBSTITUTE(SUBSTITUTE(SUBSTITUTE(SUBSTITUTE(SUBSTITUTE(SUBSTITUTE(SUBSTITUTE(SUBSTITUTE(SUBSTITUTE(MAIN!B676, "0", ""), "1", ""), "2", ""), "3", ""), "4", ""), "5", ""), "6", ""), "7", ""), "8", ""), "9", ""))))</f>
        <v>--</v>
      </c>
      <c r="C676" t="str">
        <f>IF(ISBLANK(MAIN!C676), "--", IFERROR(PROPER(SUBSTITUTE(SUBSTITUTE(SUBSTITUTE(SUBSTITUTE(SUBSTITUTE(SUBSTITUTE(SUBSTITUTE(SUBSTITUTE(SUBSTITUTE(SUBSTITUTE(LEFT(MAIN!C676, FIND(",",MAIN!C676) -1), "0", ""), "1", ""), "2", ""), "3", ""), "4", ""), "5", ""), "6", ""), "7", ""), "8", ""), "9", "")), PROPER(SUBSTITUTE(SUBSTITUTE(SUBSTITUTE(SUBSTITUTE(SUBSTITUTE(SUBSTITUTE(SUBSTITUTE(SUBSTITUTE(SUBSTITUTE(SUBSTITUTE(MAIN!C676, "0", ""), "1", ""), "2", ""), "3", ""), "4", ""), "5", ""), "6", ""), "7", ""), "8", ""), "9", ""))))</f>
        <v>--</v>
      </c>
      <c r="D676" t="str">
        <f>IF(ISBLANK(MAIN!D676), "--", IF(ISNUMBER(MATCH(SUBSTITUTE(LEFT(MAIN!D676, IFERROR(FIND(",", MAIN!D676)-1, LEN(MAIN!D676))), " ", ""), lookup_values!$B$2:$B$51, 0)), UPPER(SUBSTITUTE(LEFT(MAIN!D676, IFERROR(FIND(",", MAIN!D676)-1, LEN(MAIN!D676))), " ", "")), IF(ISNA(VLOOKUP(SUBSTITUTE(LEFT(MAIN!D676, IFERROR(FIND(",", MAIN!D676)-1, LEN(MAIN!D676))), " ", ""), lookup_values!$A$2:$B$51, 2, FALSE)), "--", VLOOKUP(SUBSTITUTE(LEFT(MAIN!D676, IFERROR(FIND(",", MAIN!D676)-1, LEN(MAIN!D676))), " ", ""), lookup_values!$A$2:$B$51, 2, FALSE))))</f>
        <v>--</v>
      </c>
      <c r="E676" t="str">
        <f>IF(CLEAN_DATA!D676&lt;&gt;"--","US",IF(ISBLANK(MAIN!E676), "--", IF(ISNUMBER(MATCH(SUBSTITUTE(LEFT(MAIN!E676, IFERROR(FIND(",", MAIN!E676)-1, LEN(MAIN!E676))), " ", ""), lookup_values!$E$2:$E$197, 0)), UPPER(SUBSTITUTE(LEFT(MAIN!E676, IFERROR(FIND(",", MAIN!E676)-1, LEN(MAIN!E676))), " ", "")), IF(ISNA(VLOOKUP(SUBSTITUTE(LEFT(MAIN!E676, IFERROR(FIND(",", MAIN!E676)-1, LEN(MAIN!E676))), " ", ""), lookup_values!$D$2:$E$197, 2, FALSE)), "--", VLOOKUP(SUBSTITUTE(LEFT(MAIN!E676, IFERROR(FIND(",", MAIN!E676)-1, LEN(MAIN!E676))), " ", ""), lookup_values!$D$2:$E$197, 2, FALSE)))))</f>
        <v>--</v>
      </c>
      <c r="F676" t="str">
        <f>IF(ISBLANK(MAIN!F676), "", IF(AND(ISNUMBER(VALUE(TRIM(MAIN!F676))), LEN(TRIM(MAIN!F676))=4), VALUE(TRIM(MAIN!F676)), ""))</f>
        <v/>
      </c>
      <c r="G676">
        <f>IF(ISBLANK(MAIN!G676), 0, IF(ISNUMBER(VALUE(TRIM(MAIN!G676))), VALUE(TRIM(MAIN!G676)), 0))</f>
        <v>0</v>
      </c>
      <c r="H676">
        <f>IF(ISBLANK(MAIN!H676), 0, IF(ISNUMBER(VALUE(TRIM(MAIN!H676))), VALUE(TRIM(MAIN!H676)), 0))</f>
        <v>0</v>
      </c>
      <c r="I676">
        <f>IF(ISBLANK(MAIN!I676), 0, IF(ISNUMBER(VALUE(TRIM(MAIN!I676))), VALUE(TRIM(MAIN!I676)), 0))</f>
        <v>0</v>
      </c>
      <c r="J676">
        <f>IF(ISBLANK(MAIN!J676), 0, IF(ISNUMBER(VALUE(TRIM(MAIN!J676))), VALUE(TRIM(MAIN!J676)), 0))</f>
        <v>0</v>
      </c>
      <c r="K676" cm="1">
        <f t="array" ref="K676">IFERROR(
    VALUE(
        IFERROR(
            UPPER(
                IF(MAX(IFERROR(SEARCH("WD",MAIN!G676:J676), 0))&gt;0, "WD",
                IF(MAX(IFERROR(SEARCH("NS",MAIN!G676:J676), 0))&gt;0, "NS",
                IF(MAX(IFERROR(SEARCH("NC",MAIN!G676:J676), 0))&gt;0, "NC",
                IF(MAX(IFERROR(SEARCH("DQ",MAIN!G676:J676), 0))&gt;0, "DQ",
                IF(ISNUMBER(SEARCH("WD",MAIN!K676)), "WD",
                IF(ISNUMBER(SEARCH("NS",MAIN!K676)), "NS",
                IF(ISNUMBER(SEARCH("NC",MAIN!K676)), "NC",
                IF(ISNUMBER(SEARCH("DQ",MAIN!K676)), "DQ",
                IF(ISNUMBER(SEARCH("A",MAIN!K676)), 0,
                IF(OR(MAIN!K676=0,MAIN!K676=""), 0, --TRIM(MAIN!K676)))))))))))),
            0
        )
    ),
    IFERROR(
        UPPER(
            IF(MAX(IFERROR(SEARCH("WD",MAIN!G676:J676), 0))&gt;0, "WD",
            IF(MAX(IFERROR(SEARCH("NS",MAIN!G676:J676), 0))&gt;0, "NS",
            IF(MAX(IFERROR(SEARCH("NC",MAIN!G676:J676), 0))&gt;0, "NC",
            IF(MAX(IFERROR(SEARCH("DQ",MAIN!G676:J676), 0))&gt;0, "DQ",
            IF(ISNUMBER(SEARCH("WD",MAIN!K676)), "WD",
            IF(ISNUMBER(SEARCH("NS",MAIN!K676)), "NS",
            IF(ISNUMBER(SEARCH("NC",MAIN!K676)), "NC",
            IF(ISNUMBER(SEARCH("DQ",MAIN!K676)), "DQ",
            IF(ISNUMBER(SEARCH("A",MAIN!K676)), 0,
            IF(OR(MAIN!K676=0,MAIN!K676=""), 0, --TRIM(MAIN!K676)))))))))))),
        0
    )
)</f>
        <v>0</v>
      </c>
    </row>
    <row r="677" spans="1:11" x14ac:dyDescent="0.25">
      <c r="A677" t="str">
        <f>IF(ISBLANK(MAIN!A677), "--", IFERROR(PROPER(SUBSTITUTE(SUBSTITUTE(SUBSTITUTE(SUBSTITUTE(SUBSTITUTE(SUBSTITUTE(SUBSTITUTE(SUBSTITUTE(SUBSTITUTE(SUBSTITUTE(LEFT(MAIN!A677, FIND(",",MAIN!A677) -1), "0", ""), "1", ""), "2", ""), "3", ""), "4", ""), "5", ""), "6", ""), "7", ""), "8", ""), "9", "")), PROPER(SUBSTITUTE(SUBSTITUTE(SUBSTITUTE(SUBSTITUTE(SUBSTITUTE(SUBSTITUTE(SUBSTITUTE(SUBSTITUTE(SUBSTITUTE(SUBSTITUTE(MAIN!A677, "0", ""), "1", ""), "2", ""), "3", ""), "4", ""), "5", ""), "6", ""), "7", ""), "8", ""), "9", ""))))</f>
        <v>--</v>
      </c>
      <c r="B677" t="str">
        <f>IF(ISBLANK(MAIN!B677), "--", IFERROR(PROPER(SUBSTITUTE(SUBSTITUTE(SUBSTITUTE(SUBSTITUTE(SUBSTITUTE(SUBSTITUTE(SUBSTITUTE(SUBSTITUTE(SUBSTITUTE(SUBSTITUTE(LEFT(MAIN!B677, FIND(",",MAIN!B677) -1), "0", ""), "1", ""), "2", ""), "3", ""), "4", ""), "5", ""), "6", ""), "7", ""), "8", ""), "9", "")), PROPER(SUBSTITUTE(SUBSTITUTE(SUBSTITUTE(SUBSTITUTE(SUBSTITUTE(SUBSTITUTE(SUBSTITUTE(SUBSTITUTE(SUBSTITUTE(SUBSTITUTE(MAIN!B677, "0", ""), "1", ""), "2", ""), "3", ""), "4", ""), "5", ""), "6", ""), "7", ""), "8", ""), "9", ""))))</f>
        <v>--</v>
      </c>
      <c r="C677" t="str">
        <f>IF(ISBLANK(MAIN!C677), "--", IFERROR(PROPER(SUBSTITUTE(SUBSTITUTE(SUBSTITUTE(SUBSTITUTE(SUBSTITUTE(SUBSTITUTE(SUBSTITUTE(SUBSTITUTE(SUBSTITUTE(SUBSTITUTE(LEFT(MAIN!C677, FIND(",",MAIN!C677) -1), "0", ""), "1", ""), "2", ""), "3", ""), "4", ""), "5", ""), "6", ""), "7", ""), "8", ""), "9", "")), PROPER(SUBSTITUTE(SUBSTITUTE(SUBSTITUTE(SUBSTITUTE(SUBSTITUTE(SUBSTITUTE(SUBSTITUTE(SUBSTITUTE(SUBSTITUTE(SUBSTITUTE(MAIN!C677, "0", ""), "1", ""), "2", ""), "3", ""), "4", ""), "5", ""), "6", ""), "7", ""), "8", ""), "9", ""))))</f>
        <v>--</v>
      </c>
      <c r="D677" t="str">
        <f>IF(ISBLANK(MAIN!D677), "--", IF(ISNUMBER(MATCH(SUBSTITUTE(LEFT(MAIN!D677, IFERROR(FIND(",", MAIN!D677)-1, LEN(MAIN!D677))), " ", ""), lookup_values!$B$2:$B$51, 0)), UPPER(SUBSTITUTE(LEFT(MAIN!D677, IFERROR(FIND(",", MAIN!D677)-1, LEN(MAIN!D677))), " ", "")), IF(ISNA(VLOOKUP(SUBSTITUTE(LEFT(MAIN!D677, IFERROR(FIND(",", MAIN!D677)-1, LEN(MAIN!D677))), " ", ""), lookup_values!$A$2:$B$51, 2, FALSE)), "--", VLOOKUP(SUBSTITUTE(LEFT(MAIN!D677, IFERROR(FIND(",", MAIN!D677)-1, LEN(MAIN!D677))), " ", ""), lookup_values!$A$2:$B$51, 2, FALSE))))</f>
        <v>--</v>
      </c>
      <c r="E677" t="str">
        <f>IF(CLEAN_DATA!D677&lt;&gt;"--","US",IF(ISBLANK(MAIN!E677), "--", IF(ISNUMBER(MATCH(SUBSTITUTE(LEFT(MAIN!E677, IFERROR(FIND(",", MAIN!E677)-1, LEN(MAIN!E677))), " ", ""), lookup_values!$E$2:$E$197, 0)), UPPER(SUBSTITUTE(LEFT(MAIN!E677, IFERROR(FIND(",", MAIN!E677)-1, LEN(MAIN!E677))), " ", "")), IF(ISNA(VLOOKUP(SUBSTITUTE(LEFT(MAIN!E677, IFERROR(FIND(",", MAIN!E677)-1, LEN(MAIN!E677))), " ", ""), lookup_values!$D$2:$E$197, 2, FALSE)), "--", VLOOKUP(SUBSTITUTE(LEFT(MAIN!E677, IFERROR(FIND(",", MAIN!E677)-1, LEN(MAIN!E677))), " ", ""), lookup_values!$D$2:$E$197, 2, FALSE)))))</f>
        <v>--</v>
      </c>
      <c r="F677" t="str">
        <f>IF(ISBLANK(MAIN!F677), "", IF(AND(ISNUMBER(VALUE(TRIM(MAIN!F677))), LEN(TRIM(MAIN!F677))=4), VALUE(TRIM(MAIN!F677)), ""))</f>
        <v/>
      </c>
      <c r="G677">
        <f>IF(ISBLANK(MAIN!G677), 0, IF(ISNUMBER(VALUE(TRIM(MAIN!G677))), VALUE(TRIM(MAIN!G677)), 0))</f>
        <v>0</v>
      </c>
      <c r="H677">
        <f>IF(ISBLANK(MAIN!H677), 0, IF(ISNUMBER(VALUE(TRIM(MAIN!H677))), VALUE(TRIM(MAIN!H677)), 0))</f>
        <v>0</v>
      </c>
      <c r="I677">
        <f>IF(ISBLANK(MAIN!I677), 0, IF(ISNUMBER(VALUE(TRIM(MAIN!I677))), VALUE(TRIM(MAIN!I677)), 0))</f>
        <v>0</v>
      </c>
      <c r="J677">
        <f>IF(ISBLANK(MAIN!J677), 0, IF(ISNUMBER(VALUE(TRIM(MAIN!J677))), VALUE(TRIM(MAIN!J677)), 0))</f>
        <v>0</v>
      </c>
      <c r="K677" cm="1">
        <f t="array" ref="K677">IFERROR(
    VALUE(
        IFERROR(
            UPPER(
                IF(MAX(IFERROR(SEARCH("WD",MAIN!G677:J677), 0))&gt;0, "WD",
                IF(MAX(IFERROR(SEARCH("NS",MAIN!G677:J677), 0))&gt;0, "NS",
                IF(MAX(IFERROR(SEARCH("NC",MAIN!G677:J677), 0))&gt;0, "NC",
                IF(MAX(IFERROR(SEARCH("DQ",MAIN!G677:J677), 0))&gt;0, "DQ",
                IF(ISNUMBER(SEARCH("WD",MAIN!K677)), "WD",
                IF(ISNUMBER(SEARCH("NS",MAIN!K677)), "NS",
                IF(ISNUMBER(SEARCH("NC",MAIN!K677)), "NC",
                IF(ISNUMBER(SEARCH("DQ",MAIN!K677)), "DQ",
                IF(ISNUMBER(SEARCH("A",MAIN!K677)), 0,
                IF(OR(MAIN!K677=0,MAIN!K677=""), 0, --TRIM(MAIN!K677)))))))))))),
            0
        )
    ),
    IFERROR(
        UPPER(
            IF(MAX(IFERROR(SEARCH("WD",MAIN!G677:J677), 0))&gt;0, "WD",
            IF(MAX(IFERROR(SEARCH("NS",MAIN!G677:J677), 0))&gt;0, "NS",
            IF(MAX(IFERROR(SEARCH("NC",MAIN!G677:J677), 0))&gt;0, "NC",
            IF(MAX(IFERROR(SEARCH("DQ",MAIN!G677:J677), 0))&gt;0, "DQ",
            IF(ISNUMBER(SEARCH("WD",MAIN!K677)), "WD",
            IF(ISNUMBER(SEARCH("NS",MAIN!K677)), "NS",
            IF(ISNUMBER(SEARCH("NC",MAIN!K677)), "NC",
            IF(ISNUMBER(SEARCH("DQ",MAIN!K677)), "DQ",
            IF(ISNUMBER(SEARCH("A",MAIN!K677)), 0,
            IF(OR(MAIN!K677=0,MAIN!K677=""), 0, --TRIM(MAIN!K677)))))))))))),
        0
    )
)</f>
        <v>0</v>
      </c>
    </row>
    <row r="678" spans="1:11" x14ac:dyDescent="0.25">
      <c r="A678" t="str">
        <f>IF(ISBLANK(MAIN!A678), "--", IFERROR(PROPER(SUBSTITUTE(SUBSTITUTE(SUBSTITUTE(SUBSTITUTE(SUBSTITUTE(SUBSTITUTE(SUBSTITUTE(SUBSTITUTE(SUBSTITUTE(SUBSTITUTE(LEFT(MAIN!A678, FIND(",",MAIN!A678) -1), "0", ""), "1", ""), "2", ""), "3", ""), "4", ""), "5", ""), "6", ""), "7", ""), "8", ""), "9", "")), PROPER(SUBSTITUTE(SUBSTITUTE(SUBSTITUTE(SUBSTITUTE(SUBSTITUTE(SUBSTITUTE(SUBSTITUTE(SUBSTITUTE(SUBSTITUTE(SUBSTITUTE(MAIN!A678, "0", ""), "1", ""), "2", ""), "3", ""), "4", ""), "5", ""), "6", ""), "7", ""), "8", ""), "9", ""))))</f>
        <v>--</v>
      </c>
      <c r="B678" t="str">
        <f>IF(ISBLANK(MAIN!B678), "--", IFERROR(PROPER(SUBSTITUTE(SUBSTITUTE(SUBSTITUTE(SUBSTITUTE(SUBSTITUTE(SUBSTITUTE(SUBSTITUTE(SUBSTITUTE(SUBSTITUTE(SUBSTITUTE(LEFT(MAIN!B678, FIND(",",MAIN!B678) -1), "0", ""), "1", ""), "2", ""), "3", ""), "4", ""), "5", ""), "6", ""), "7", ""), "8", ""), "9", "")), PROPER(SUBSTITUTE(SUBSTITUTE(SUBSTITUTE(SUBSTITUTE(SUBSTITUTE(SUBSTITUTE(SUBSTITUTE(SUBSTITUTE(SUBSTITUTE(SUBSTITUTE(MAIN!B678, "0", ""), "1", ""), "2", ""), "3", ""), "4", ""), "5", ""), "6", ""), "7", ""), "8", ""), "9", ""))))</f>
        <v>--</v>
      </c>
      <c r="C678" t="str">
        <f>IF(ISBLANK(MAIN!C678), "--", IFERROR(PROPER(SUBSTITUTE(SUBSTITUTE(SUBSTITUTE(SUBSTITUTE(SUBSTITUTE(SUBSTITUTE(SUBSTITUTE(SUBSTITUTE(SUBSTITUTE(SUBSTITUTE(LEFT(MAIN!C678, FIND(",",MAIN!C678) -1), "0", ""), "1", ""), "2", ""), "3", ""), "4", ""), "5", ""), "6", ""), "7", ""), "8", ""), "9", "")), PROPER(SUBSTITUTE(SUBSTITUTE(SUBSTITUTE(SUBSTITUTE(SUBSTITUTE(SUBSTITUTE(SUBSTITUTE(SUBSTITUTE(SUBSTITUTE(SUBSTITUTE(MAIN!C678, "0", ""), "1", ""), "2", ""), "3", ""), "4", ""), "5", ""), "6", ""), "7", ""), "8", ""), "9", ""))))</f>
        <v>--</v>
      </c>
      <c r="D678" t="str">
        <f>IF(ISBLANK(MAIN!D678), "--", IF(ISNUMBER(MATCH(SUBSTITUTE(LEFT(MAIN!D678, IFERROR(FIND(",", MAIN!D678)-1, LEN(MAIN!D678))), " ", ""), lookup_values!$B$2:$B$51, 0)), UPPER(SUBSTITUTE(LEFT(MAIN!D678, IFERROR(FIND(",", MAIN!D678)-1, LEN(MAIN!D678))), " ", "")), IF(ISNA(VLOOKUP(SUBSTITUTE(LEFT(MAIN!D678, IFERROR(FIND(",", MAIN!D678)-1, LEN(MAIN!D678))), " ", ""), lookup_values!$A$2:$B$51, 2, FALSE)), "--", VLOOKUP(SUBSTITUTE(LEFT(MAIN!D678, IFERROR(FIND(",", MAIN!D678)-1, LEN(MAIN!D678))), " ", ""), lookup_values!$A$2:$B$51, 2, FALSE))))</f>
        <v>--</v>
      </c>
      <c r="E678" t="str">
        <f>IF(CLEAN_DATA!D678&lt;&gt;"--","US",IF(ISBLANK(MAIN!E678), "--", IF(ISNUMBER(MATCH(SUBSTITUTE(LEFT(MAIN!E678, IFERROR(FIND(",", MAIN!E678)-1, LEN(MAIN!E678))), " ", ""), lookup_values!$E$2:$E$197, 0)), UPPER(SUBSTITUTE(LEFT(MAIN!E678, IFERROR(FIND(",", MAIN!E678)-1, LEN(MAIN!E678))), " ", "")), IF(ISNA(VLOOKUP(SUBSTITUTE(LEFT(MAIN!E678, IFERROR(FIND(",", MAIN!E678)-1, LEN(MAIN!E678))), " ", ""), lookup_values!$D$2:$E$197, 2, FALSE)), "--", VLOOKUP(SUBSTITUTE(LEFT(MAIN!E678, IFERROR(FIND(",", MAIN!E678)-1, LEN(MAIN!E678))), " ", ""), lookup_values!$D$2:$E$197, 2, FALSE)))))</f>
        <v>--</v>
      </c>
      <c r="F678" t="str">
        <f>IF(ISBLANK(MAIN!F678), "", IF(AND(ISNUMBER(VALUE(TRIM(MAIN!F678))), LEN(TRIM(MAIN!F678))=4), VALUE(TRIM(MAIN!F678)), ""))</f>
        <v/>
      </c>
      <c r="G678">
        <f>IF(ISBLANK(MAIN!G678), 0, IF(ISNUMBER(VALUE(TRIM(MAIN!G678))), VALUE(TRIM(MAIN!G678)), 0))</f>
        <v>0</v>
      </c>
      <c r="H678">
        <f>IF(ISBLANK(MAIN!H678), 0, IF(ISNUMBER(VALUE(TRIM(MAIN!H678))), VALUE(TRIM(MAIN!H678)), 0))</f>
        <v>0</v>
      </c>
      <c r="I678">
        <f>IF(ISBLANK(MAIN!I678), 0, IF(ISNUMBER(VALUE(TRIM(MAIN!I678))), VALUE(TRIM(MAIN!I678)), 0))</f>
        <v>0</v>
      </c>
      <c r="J678">
        <f>IF(ISBLANK(MAIN!J678), 0, IF(ISNUMBER(VALUE(TRIM(MAIN!J678))), VALUE(TRIM(MAIN!J678)), 0))</f>
        <v>0</v>
      </c>
      <c r="K678" cm="1">
        <f t="array" ref="K678">IFERROR(
    VALUE(
        IFERROR(
            UPPER(
                IF(MAX(IFERROR(SEARCH("WD",MAIN!G678:J678), 0))&gt;0, "WD",
                IF(MAX(IFERROR(SEARCH("NS",MAIN!G678:J678), 0))&gt;0, "NS",
                IF(MAX(IFERROR(SEARCH("NC",MAIN!G678:J678), 0))&gt;0, "NC",
                IF(MAX(IFERROR(SEARCH("DQ",MAIN!G678:J678), 0))&gt;0, "DQ",
                IF(ISNUMBER(SEARCH("WD",MAIN!K678)), "WD",
                IF(ISNUMBER(SEARCH("NS",MAIN!K678)), "NS",
                IF(ISNUMBER(SEARCH("NC",MAIN!K678)), "NC",
                IF(ISNUMBER(SEARCH("DQ",MAIN!K678)), "DQ",
                IF(ISNUMBER(SEARCH("A",MAIN!K678)), 0,
                IF(OR(MAIN!K678=0,MAIN!K678=""), 0, --TRIM(MAIN!K678)))))))))))),
            0
        )
    ),
    IFERROR(
        UPPER(
            IF(MAX(IFERROR(SEARCH("WD",MAIN!G678:J678), 0))&gt;0, "WD",
            IF(MAX(IFERROR(SEARCH("NS",MAIN!G678:J678), 0))&gt;0, "NS",
            IF(MAX(IFERROR(SEARCH("NC",MAIN!G678:J678), 0))&gt;0, "NC",
            IF(MAX(IFERROR(SEARCH("DQ",MAIN!G678:J678), 0))&gt;0, "DQ",
            IF(ISNUMBER(SEARCH("WD",MAIN!K678)), "WD",
            IF(ISNUMBER(SEARCH("NS",MAIN!K678)), "NS",
            IF(ISNUMBER(SEARCH("NC",MAIN!K678)), "NC",
            IF(ISNUMBER(SEARCH("DQ",MAIN!K678)), "DQ",
            IF(ISNUMBER(SEARCH("A",MAIN!K678)), 0,
            IF(OR(MAIN!K678=0,MAIN!K678=""), 0, --TRIM(MAIN!K678)))))))))))),
        0
    )
)</f>
        <v>0</v>
      </c>
    </row>
    <row r="679" spans="1:11" x14ac:dyDescent="0.25">
      <c r="A679" t="str">
        <f>IF(ISBLANK(MAIN!A679), "--", IFERROR(PROPER(SUBSTITUTE(SUBSTITUTE(SUBSTITUTE(SUBSTITUTE(SUBSTITUTE(SUBSTITUTE(SUBSTITUTE(SUBSTITUTE(SUBSTITUTE(SUBSTITUTE(LEFT(MAIN!A679, FIND(",",MAIN!A679) -1), "0", ""), "1", ""), "2", ""), "3", ""), "4", ""), "5", ""), "6", ""), "7", ""), "8", ""), "9", "")), PROPER(SUBSTITUTE(SUBSTITUTE(SUBSTITUTE(SUBSTITUTE(SUBSTITUTE(SUBSTITUTE(SUBSTITUTE(SUBSTITUTE(SUBSTITUTE(SUBSTITUTE(MAIN!A679, "0", ""), "1", ""), "2", ""), "3", ""), "4", ""), "5", ""), "6", ""), "7", ""), "8", ""), "9", ""))))</f>
        <v>--</v>
      </c>
      <c r="B679" t="str">
        <f>IF(ISBLANK(MAIN!B679), "--", IFERROR(PROPER(SUBSTITUTE(SUBSTITUTE(SUBSTITUTE(SUBSTITUTE(SUBSTITUTE(SUBSTITUTE(SUBSTITUTE(SUBSTITUTE(SUBSTITUTE(SUBSTITUTE(LEFT(MAIN!B679, FIND(",",MAIN!B679) -1), "0", ""), "1", ""), "2", ""), "3", ""), "4", ""), "5", ""), "6", ""), "7", ""), "8", ""), "9", "")), PROPER(SUBSTITUTE(SUBSTITUTE(SUBSTITUTE(SUBSTITUTE(SUBSTITUTE(SUBSTITUTE(SUBSTITUTE(SUBSTITUTE(SUBSTITUTE(SUBSTITUTE(MAIN!B679, "0", ""), "1", ""), "2", ""), "3", ""), "4", ""), "5", ""), "6", ""), "7", ""), "8", ""), "9", ""))))</f>
        <v>--</v>
      </c>
      <c r="C679" t="str">
        <f>IF(ISBLANK(MAIN!C679), "--", IFERROR(PROPER(SUBSTITUTE(SUBSTITUTE(SUBSTITUTE(SUBSTITUTE(SUBSTITUTE(SUBSTITUTE(SUBSTITUTE(SUBSTITUTE(SUBSTITUTE(SUBSTITUTE(LEFT(MAIN!C679, FIND(",",MAIN!C679) -1), "0", ""), "1", ""), "2", ""), "3", ""), "4", ""), "5", ""), "6", ""), "7", ""), "8", ""), "9", "")), PROPER(SUBSTITUTE(SUBSTITUTE(SUBSTITUTE(SUBSTITUTE(SUBSTITUTE(SUBSTITUTE(SUBSTITUTE(SUBSTITUTE(SUBSTITUTE(SUBSTITUTE(MAIN!C679, "0", ""), "1", ""), "2", ""), "3", ""), "4", ""), "5", ""), "6", ""), "7", ""), "8", ""), "9", ""))))</f>
        <v>--</v>
      </c>
      <c r="D679" t="str">
        <f>IF(ISBLANK(MAIN!D679), "--", IF(ISNUMBER(MATCH(SUBSTITUTE(LEFT(MAIN!D679, IFERROR(FIND(",", MAIN!D679)-1, LEN(MAIN!D679))), " ", ""), lookup_values!$B$2:$B$51, 0)), UPPER(SUBSTITUTE(LEFT(MAIN!D679, IFERROR(FIND(",", MAIN!D679)-1, LEN(MAIN!D679))), " ", "")), IF(ISNA(VLOOKUP(SUBSTITUTE(LEFT(MAIN!D679, IFERROR(FIND(",", MAIN!D679)-1, LEN(MAIN!D679))), " ", ""), lookup_values!$A$2:$B$51, 2, FALSE)), "--", VLOOKUP(SUBSTITUTE(LEFT(MAIN!D679, IFERROR(FIND(",", MAIN!D679)-1, LEN(MAIN!D679))), " ", ""), lookup_values!$A$2:$B$51, 2, FALSE))))</f>
        <v>--</v>
      </c>
      <c r="E679" t="str">
        <f>IF(CLEAN_DATA!D679&lt;&gt;"--","US",IF(ISBLANK(MAIN!E679), "--", IF(ISNUMBER(MATCH(SUBSTITUTE(LEFT(MAIN!E679, IFERROR(FIND(",", MAIN!E679)-1, LEN(MAIN!E679))), " ", ""), lookup_values!$E$2:$E$197, 0)), UPPER(SUBSTITUTE(LEFT(MAIN!E679, IFERROR(FIND(",", MAIN!E679)-1, LEN(MAIN!E679))), " ", "")), IF(ISNA(VLOOKUP(SUBSTITUTE(LEFT(MAIN!E679, IFERROR(FIND(",", MAIN!E679)-1, LEN(MAIN!E679))), " ", ""), lookup_values!$D$2:$E$197, 2, FALSE)), "--", VLOOKUP(SUBSTITUTE(LEFT(MAIN!E679, IFERROR(FIND(",", MAIN!E679)-1, LEN(MAIN!E679))), " ", ""), lookup_values!$D$2:$E$197, 2, FALSE)))))</f>
        <v>--</v>
      </c>
      <c r="F679" t="str">
        <f>IF(ISBLANK(MAIN!F679), "", IF(AND(ISNUMBER(VALUE(TRIM(MAIN!F679))), LEN(TRIM(MAIN!F679))=4), VALUE(TRIM(MAIN!F679)), ""))</f>
        <v/>
      </c>
      <c r="G679">
        <f>IF(ISBLANK(MAIN!G679), 0, IF(ISNUMBER(VALUE(TRIM(MAIN!G679))), VALUE(TRIM(MAIN!G679)), 0))</f>
        <v>0</v>
      </c>
      <c r="H679">
        <f>IF(ISBLANK(MAIN!H679), 0, IF(ISNUMBER(VALUE(TRIM(MAIN!H679))), VALUE(TRIM(MAIN!H679)), 0))</f>
        <v>0</v>
      </c>
      <c r="I679">
        <f>IF(ISBLANK(MAIN!I679), 0, IF(ISNUMBER(VALUE(TRIM(MAIN!I679))), VALUE(TRIM(MAIN!I679)), 0))</f>
        <v>0</v>
      </c>
      <c r="J679">
        <f>IF(ISBLANK(MAIN!J679), 0, IF(ISNUMBER(VALUE(TRIM(MAIN!J679))), VALUE(TRIM(MAIN!J679)), 0))</f>
        <v>0</v>
      </c>
      <c r="K679" cm="1">
        <f t="array" ref="K679">IFERROR(
    VALUE(
        IFERROR(
            UPPER(
                IF(MAX(IFERROR(SEARCH("WD",MAIN!G679:J679), 0))&gt;0, "WD",
                IF(MAX(IFERROR(SEARCH("NS",MAIN!G679:J679), 0))&gt;0, "NS",
                IF(MAX(IFERROR(SEARCH("NC",MAIN!G679:J679), 0))&gt;0, "NC",
                IF(MAX(IFERROR(SEARCH("DQ",MAIN!G679:J679), 0))&gt;0, "DQ",
                IF(ISNUMBER(SEARCH("WD",MAIN!K679)), "WD",
                IF(ISNUMBER(SEARCH("NS",MAIN!K679)), "NS",
                IF(ISNUMBER(SEARCH("NC",MAIN!K679)), "NC",
                IF(ISNUMBER(SEARCH("DQ",MAIN!K679)), "DQ",
                IF(ISNUMBER(SEARCH("A",MAIN!K679)), 0,
                IF(OR(MAIN!K679=0,MAIN!K679=""), 0, --TRIM(MAIN!K679)))))))))))),
            0
        )
    ),
    IFERROR(
        UPPER(
            IF(MAX(IFERROR(SEARCH("WD",MAIN!G679:J679), 0))&gt;0, "WD",
            IF(MAX(IFERROR(SEARCH("NS",MAIN!G679:J679), 0))&gt;0, "NS",
            IF(MAX(IFERROR(SEARCH("NC",MAIN!G679:J679), 0))&gt;0, "NC",
            IF(MAX(IFERROR(SEARCH("DQ",MAIN!G679:J679), 0))&gt;0, "DQ",
            IF(ISNUMBER(SEARCH("WD",MAIN!K679)), "WD",
            IF(ISNUMBER(SEARCH("NS",MAIN!K679)), "NS",
            IF(ISNUMBER(SEARCH("NC",MAIN!K679)), "NC",
            IF(ISNUMBER(SEARCH("DQ",MAIN!K679)), "DQ",
            IF(ISNUMBER(SEARCH("A",MAIN!K679)), 0,
            IF(OR(MAIN!K679=0,MAIN!K679=""), 0, --TRIM(MAIN!K679)))))))))))),
        0
    )
)</f>
        <v>0</v>
      </c>
    </row>
    <row r="680" spans="1:11" x14ac:dyDescent="0.25">
      <c r="A680" t="str">
        <f>IF(ISBLANK(MAIN!A680), "--", IFERROR(PROPER(SUBSTITUTE(SUBSTITUTE(SUBSTITUTE(SUBSTITUTE(SUBSTITUTE(SUBSTITUTE(SUBSTITUTE(SUBSTITUTE(SUBSTITUTE(SUBSTITUTE(LEFT(MAIN!A680, FIND(",",MAIN!A680) -1), "0", ""), "1", ""), "2", ""), "3", ""), "4", ""), "5", ""), "6", ""), "7", ""), "8", ""), "9", "")), PROPER(SUBSTITUTE(SUBSTITUTE(SUBSTITUTE(SUBSTITUTE(SUBSTITUTE(SUBSTITUTE(SUBSTITUTE(SUBSTITUTE(SUBSTITUTE(SUBSTITUTE(MAIN!A680, "0", ""), "1", ""), "2", ""), "3", ""), "4", ""), "5", ""), "6", ""), "7", ""), "8", ""), "9", ""))))</f>
        <v>--</v>
      </c>
      <c r="B680" t="str">
        <f>IF(ISBLANK(MAIN!B680), "--", IFERROR(PROPER(SUBSTITUTE(SUBSTITUTE(SUBSTITUTE(SUBSTITUTE(SUBSTITUTE(SUBSTITUTE(SUBSTITUTE(SUBSTITUTE(SUBSTITUTE(SUBSTITUTE(LEFT(MAIN!B680, FIND(",",MAIN!B680) -1), "0", ""), "1", ""), "2", ""), "3", ""), "4", ""), "5", ""), "6", ""), "7", ""), "8", ""), "9", "")), PROPER(SUBSTITUTE(SUBSTITUTE(SUBSTITUTE(SUBSTITUTE(SUBSTITUTE(SUBSTITUTE(SUBSTITUTE(SUBSTITUTE(SUBSTITUTE(SUBSTITUTE(MAIN!B680, "0", ""), "1", ""), "2", ""), "3", ""), "4", ""), "5", ""), "6", ""), "7", ""), "8", ""), "9", ""))))</f>
        <v>--</v>
      </c>
      <c r="C680" t="str">
        <f>IF(ISBLANK(MAIN!C680), "--", IFERROR(PROPER(SUBSTITUTE(SUBSTITUTE(SUBSTITUTE(SUBSTITUTE(SUBSTITUTE(SUBSTITUTE(SUBSTITUTE(SUBSTITUTE(SUBSTITUTE(SUBSTITUTE(LEFT(MAIN!C680, FIND(",",MAIN!C680) -1), "0", ""), "1", ""), "2", ""), "3", ""), "4", ""), "5", ""), "6", ""), "7", ""), "8", ""), "9", "")), PROPER(SUBSTITUTE(SUBSTITUTE(SUBSTITUTE(SUBSTITUTE(SUBSTITUTE(SUBSTITUTE(SUBSTITUTE(SUBSTITUTE(SUBSTITUTE(SUBSTITUTE(MAIN!C680, "0", ""), "1", ""), "2", ""), "3", ""), "4", ""), "5", ""), "6", ""), "7", ""), "8", ""), "9", ""))))</f>
        <v>--</v>
      </c>
      <c r="D680" t="str">
        <f>IF(ISBLANK(MAIN!D680), "--", IF(ISNUMBER(MATCH(SUBSTITUTE(LEFT(MAIN!D680, IFERROR(FIND(",", MAIN!D680)-1, LEN(MAIN!D680))), " ", ""), lookup_values!$B$2:$B$51, 0)), UPPER(SUBSTITUTE(LEFT(MAIN!D680, IFERROR(FIND(",", MAIN!D680)-1, LEN(MAIN!D680))), " ", "")), IF(ISNA(VLOOKUP(SUBSTITUTE(LEFT(MAIN!D680, IFERROR(FIND(",", MAIN!D680)-1, LEN(MAIN!D680))), " ", ""), lookup_values!$A$2:$B$51, 2, FALSE)), "--", VLOOKUP(SUBSTITUTE(LEFT(MAIN!D680, IFERROR(FIND(",", MAIN!D680)-1, LEN(MAIN!D680))), " ", ""), lookup_values!$A$2:$B$51, 2, FALSE))))</f>
        <v>--</v>
      </c>
      <c r="E680" t="str">
        <f>IF(CLEAN_DATA!D680&lt;&gt;"--","US",IF(ISBLANK(MAIN!E680), "--", IF(ISNUMBER(MATCH(SUBSTITUTE(LEFT(MAIN!E680, IFERROR(FIND(",", MAIN!E680)-1, LEN(MAIN!E680))), " ", ""), lookup_values!$E$2:$E$197, 0)), UPPER(SUBSTITUTE(LEFT(MAIN!E680, IFERROR(FIND(",", MAIN!E680)-1, LEN(MAIN!E680))), " ", "")), IF(ISNA(VLOOKUP(SUBSTITUTE(LEFT(MAIN!E680, IFERROR(FIND(",", MAIN!E680)-1, LEN(MAIN!E680))), " ", ""), lookup_values!$D$2:$E$197, 2, FALSE)), "--", VLOOKUP(SUBSTITUTE(LEFT(MAIN!E680, IFERROR(FIND(",", MAIN!E680)-1, LEN(MAIN!E680))), " ", ""), lookup_values!$D$2:$E$197, 2, FALSE)))))</f>
        <v>--</v>
      </c>
      <c r="F680" t="str">
        <f>IF(ISBLANK(MAIN!F680), "", IF(AND(ISNUMBER(VALUE(TRIM(MAIN!F680))), LEN(TRIM(MAIN!F680))=4), VALUE(TRIM(MAIN!F680)), ""))</f>
        <v/>
      </c>
      <c r="G680">
        <f>IF(ISBLANK(MAIN!G680), 0, IF(ISNUMBER(VALUE(TRIM(MAIN!G680))), VALUE(TRIM(MAIN!G680)), 0))</f>
        <v>0</v>
      </c>
      <c r="H680">
        <f>IF(ISBLANK(MAIN!H680), 0, IF(ISNUMBER(VALUE(TRIM(MAIN!H680))), VALUE(TRIM(MAIN!H680)), 0))</f>
        <v>0</v>
      </c>
      <c r="I680">
        <f>IF(ISBLANK(MAIN!I680), 0, IF(ISNUMBER(VALUE(TRIM(MAIN!I680))), VALUE(TRIM(MAIN!I680)), 0))</f>
        <v>0</v>
      </c>
      <c r="J680">
        <f>IF(ISBLANK(MAIN!J680), 0, IF(ISNUMBER(VALUE(TRIM(MAIN!J680))), VALUE(TRIM(MAIN!J680)), 0))</f>
        <v>0</v>
      </c>
      <c r="K680" cm="1">
        <f t="array" ref="K680">IFERROR(
    VALUE(
        IFERROR(
            UPPER(
                IF(MAX(IFERROR(SEARCH("WD",MAIN!G680:J680), 0))&gt;0, "WD",
                IF(MAX(IFERROR(SEARCH("NS",MAIN!G680:J680), 0))&gt;0, "NS",
                IF(MAX(IFERROR(SEARCH("NC",MAIN!G680:J680), 0))&gt;0, "NC",
                IF(MAX(IFERROR(SEARCH("DQ",MAIN!G680:J680), 0))&gt;0, "DQ",
                IF(ISNUMBER(SEARCH("WD",MAIN!K680)), "WD",
                IF(ISNUMBER(SEARCH("NS",MAIN!K680)), "NS",
                IF(ISNUMBER(SEARCH("NC",MAIN!K680)), "NC",
                IF(ISNUMBER(SEARCH("DQ",MAIN!K680)), "DQ",
                IF(ISNUMBER(SEARCH("A",MAIN!K680)), 0,
                IF(OR(MAIN!K680=0,MAIN!K680=""), 0, --TRIM(MAIN!K680)))))))))))),
            0
        )
    ),
    IFERROR(
        UPPER(
            IF(MAX(IFERROR(SEARCH("WD",MAIN!G680:J680), 0))&gt;0, "WD",
            IF(MAX(IFERROR(SEARCH("NS",MAIN!G680:J680), 0))&gt;0, "NS",
            IF(MAX(IFERROR(SEARCH("NC",MAIN!G680:J680), 0))&gt;0, "NC",
            IF(MAX(IFERROR(SEARCH("DQ",MAIN!G680:J680), 0))&gt;0, "DQ",
            IF(ISNUMBER(SEARCH("WD",MAIN!K680)), "WD",
            IF(ISNUMBER(SEARCH("NS",MAIN!K680)), "NS",
            IF(ISNUMBER(SEARCH("NC",MAIN!K680)), "NC",
            IF(ISNUMBER(SEARCH("DQ",MAIN!K680)), "DQ",
            IF(ISNUMBER(SEARCH("A",MAIN!K680)), 0,
            IF(OR(MAIN!K680=0,MAIN!K680=""), 0, --TRIM(MAIN!K680)))))))))))),
        0
    )
)</f>
        <v>0</v>
      </c>
    </row>
    <row r="681" spans="1:11" x14ac:dyDescent="0.25">
      <c r="A681" t="str">
        <f>IF(ISBLANK(MAIN!A681), "--", IFERROR(PROPER(SUBSTITUTE(SUBSTITUTE(SUBSTITUTE(SUBSTITUTE(SUBSTITUTE(SUBSTITUTE(SUBSTITUTE(SUBSTITUTE(SUBSTITUTE(SUBSTITUTE(LEFT(MAIN!A681, FIND(",",MAIN!A681) -1), "0", ""), "1", ""), "2", ""), "3", ""), "4", ""), "5", ""), "6", ""), "7", ""), "8", ""), "9", "")), PROPER(SUBSTITUTE(SUBSTITUTE(SUBSTITUTE(SUBSTITUTE(SUBSTITUTE(SUBSTITUTE(SUBSTITUTE(SUBSTITUTE(SUBSTITUTE(SUBSTITUTE(MAIN!A681, "0", ""), "1", ""), "2", ""), "3", ""), "4", ""), "5", ""), "6", ""), "7", ""), "8", ""), "9", ""))))</f>
        <v>--</v>
      </c>
      <c r="B681" t="str">
        <f>IF(ISBLANK(MAIN!B681), "--", IFERROR(PROPER(SUBSTITUTE(SUBSTITUTE(SUBSTITUTE(SUBSTITUTE(SUBSTITUTE(SUBSTITUTE(SUBSTITUTE(SUBSTITUTE(SUBSTITUTE(SUBSTITUTE(LEFT(MAIN!B681, FIND(",",MAIN!B681) -1), "0", ""), "1", ""), "2", ""), "3", ""), "4", ""), "5", ""), "6", ""), "7", ""), "8", ""), "9", "")), PROPER(SUBSTITUTE(SUBSTITUTE(SUBSTITUTE(SUBSTITUTE(SUBSTITUTE(SUBSTITUTE(SUBSTITUTE(SUBSTITUTE(SUBSTITUTE(SUBSTITUTE(MAIN!B681, "0", ""), "1", ""), "2", ""), "3", ""), "4", ""), "5", ""), "6", ""), "7", ""), "8", ""), "9", ""))))</f>
        <v>--</v>
      </c>
      <c r="C681" t="str">
        <f>IF(ISBLANK(MAIN!C681), "--", IFERROR(PROPER(SUBSTITUTE(SUBSTITUTE(SUBSTITUTE(SUBSTITUTE(SUBSTITUTE(SUBSTITUTE(SUBSTITUTE(SUBSTITUTE(SUBSTITUTE(SUBSTITUTE(LEFT(MAIN!C681, FIND(",",MAIN!C681) -1), "0", ""), "1", ""), "2", ""), "3", ""), "4", ""), "5", ""), "6", ""), "7", ""), "8", ""), "9", "")), PROPER(SUBSTITUTE(SUBSTITUTE(SUBSTITUTE(SUBSTITUTE(SUBSTITUTE(SUBSTITUTE(SUBSTITUTE(SUBSTITUTE(SUBSTITUTE(SUBSTITUTE(MAIN!C681, "0", ""), "1", ""), "2", ""), "3", ""), "4", ""), "5", ""), "6", ""), "7", ""), "8", ""), "9", ""))))</f>
        <v>--</v>
      </c>
      <c r="D681" t="str">
        <f>IF(ISBLANK(MAIN!D681), "--", IF(ISNUMBER(MATCH(SUBSTITUTE(LEFT(MAIN!D681, IFERROR(FIND(",", MAIN!D681)-1, LEN(MAIN!D681))), " ", ""), lookup_values!$B$2:$B$51, 0)), UPPER(SUBSTITUTE(LEFT(MAIN!D681, IFERROR(FIND(",", MAIN!D681)-1, LEN(MAIN!D681))), " ", "")), IF(ISNA(VLOOKUP(SUBSTITUTE(LEFT(MAIN!D681, IFERROR(FIND(",", MAIN!D681)-1, LEN(MAIN!D681))), " ", ""), lookup_values!$A$2:$B$51, 2, FALSE)), "--", VLOOKUP(SUBSTITUTE(LEFT(MAIN!D681, IFERROR(FIND(",", MAIN!D681)-1, LEN(MAIN!D681))), " ", ""), lookup_values!$A$2:$B$51, 2, FALSE))))</f>
        <v>--</v>
      </c>
      <c r="E681" t="str">
        <f>IF(CLEAN_DATA!D681&lt;&gt;"--","US",IF(ISBLANK(MAIN!E681), "--", IF(ISNUMBER(MATCH(SUBSTITUTE(LEFT(MAIN!E681, IFERROR(FIND(",", MAIN!E681)-1, LEN(MAIN!E681))), " ", ""), lookup_values!$E$2:$E$197, 0)), UPPER(SUBSTITUTE(LEFT(MAIN!E681, IFERROR(FIND(",", MAIN!E681)-1, LEN(MAIN!E681))), " ", "")), IF(ISNA(VLOOKUP(SUBSTITUTE(LEFT(MAIN!E681, IFERROR(FIND(",", MAIN!E681)-1, LEN(MAIN!E681))), " ", ""), lookup_values!$D$2:$E$197, 2, FALSE)), "--", VLOOKUP(SUBSTITUTE(LEFT(MAIN!E681, IFERROR(FIND(",", MAIN!E681)-1, LEN(MAIN!E681))), " ", ""), lookup_values!$D$2:$E$197, 2, FALSE)))))</f>
        <v>--</v>
      </c>
      <c r="F681" t="str">
        <f>IF(ISBLANK(MAIN!F681), "", IF(AND(ISNUMBER(VALUE(TRIM(MAIN!F681))), LEN(TRIM(MAIN!F681))=4), VALUE(TRIM(MAIN!F681)), ""))</f>
        <v/>
      </c>
      <c r="G681">
        <f>IF(ISBLANK(MAIN!G681), 0, IF(ISNUMBER(VALUE(TRIM(MAIN!G681))), VALUE(TRIM(MAIN!G681)), 0))</f>
        <v>0</v>
      </c>
      <c r="H681">
        <f>IF(ISBLANK(MAIN!H681), 0, IF(ISNUMBER(VALUE(TRIM(MAIN!H681))), VALUE(TRIM(MAIN!H681)), 0))</f>
        <v>0</v>
      </c>
      <c r="I681">
        <f>IF(ISBLANK(MAIN!I681), 0, IF(ISNUMBER(VALUE(TRIM(MAIN!I681))), VALUE(TRIM(MAIN!I681)), 0))</f>
        <v>0</v>
      </c>
      <c r="J681">
        <f>IF(ISBLANK(MAIN!J681), 0, IF(ISNUMBER(VALUE(TRIM(MAIN!J681))), VALUE(TRIM(MAIN!J681)), 0))</f>
        <v>0</v>
      </c>
      <c r="K681" cm="1">
        <f t="array" ref="K681">IFERROR(
    VALUE(
        IFERROR(
            UPPER(
                IF(MAX(IFERROR(SEARCH("WD",MAIN!G681:J681), 0))&gt;0, "WD",
                IF(MAX(IFERROR(SEARCH("NS",MAIN!G681:J681), 0))&gt;0, "NS",
                IF(MAX(IFERROR(SEARCH("NC",MAIN!G681:J681), 0))&gt;0, "NC",
                IF(MAX(IFERROR(SEARCH("DQ",MAIN!G681:J681), 0))&gt;0, "DQ",
                IF(ISNUMBER(SEARCH("WD",MAIN!K681)), "WD",
                IF(ISNUMBER(SEARCH("NS",MAIN!K681)), "NS",
                IF(ISNUMBER(SEARCH("NC",MAIN!K681)), "NC",
                IF(ISNUMBER(SEARCH("DQ",MAIN!K681)), "DQ",
                IF(ISNUMBER(SEARCH("A",MAIN!K681)), 0,
                IF(OR(MAIN!K681=0,MAIN!K681=""), 0, --TRIM(MAIN!K681)))))))))))),
            0
        )
    ),
    IFERROR(
        UPPER(
            IF(MAX(IFERROR(SEARCH("WD",MAIN!G681:J681), 0))&gt;0, "WD",
            IF(MAX(IFERROR(SEARCH("NS",MAIN!G681:J681), 0))&gt;0, "NS",
            IF(MAX(IFERROR(SEARCH("NC",MAIN!G681:J681), 0))&gt;0, "NC",
            IF(MAX(IFERROR(SEARCH("DQ",MAIN!G681:J681), 0))&gt;0, "DQ",
            IF(ISNUMBER(SEARCH("WD",MAIN!K681)), "WD",
            IF(ISNUMBER(SEARCH("NS",MAIN!K681)), "NS",
            IF(ISNUMBER(SEARCH("NC",MAIN!K681)), "NC",
            IF(ISNUMBER(SEARCH("DQ",MAIN!K681)), "DQ",
            IF(ISNUMBER(SEARCH("A",MAIN!K681)), 0,
            IF(OR(MAIN!K681=0,MAIN!K681=""), 0, --TRIM(MAIN!K681)))))))))))),
        0
    )
)</f>
        <v>0</v>
      </c>
    </row>
    <row r="682" spans="1:11" x14ac:dyDescent="0.25">
      <c r="A682" t="str">
        <f>IF(ISBLANK(MAIN!A682), "--", IFERROR(PROPER(SUBSTITUTE(SUBSTITUTE(SUBSTITUTE(SUBSTITUTE(SUBSTITUTE(SUBSTITUTE(SUBSTITUTE(SUBSTITUTE(SUBSTITUTE(SUBSTITUTE(LEFT(MAIN!A682, FIND(",",MAIN!A682) -1), "0", ""), "1", ""), "2", ""), "3", ""), "4", ""), "5", ""), "6", ""), "7", ""), "8", ""), "9", "")), PROPER(SUBSTITUTE(SUBSTITUTE(SUBSTITUTE(SUBSTITUTE(SUBSTITUTE(SUBSTITUTE(SUBSTITUTE(SUBSTITUTE(SUBSTITUTE(SUBSTITUTE(MAIN!A682, "0", ""), "1", ""), "2", ""), "3", ""), "4", ""), "5", ""), "6", ""), "7", ""), "8", ""), "9", ""))))</f>
        <v>--</v>
      </c>
      <c r="B682" t="str">
        <f>IF(ISBLANK(MAIN!B682), "--", IFERROR(PROPER(SUBSTITUTE(SUBSTITUTE(SUBSTITUTE(SUBSTITUTE(SUBSTITUTE(SUBSTITUTE(SUBSTITUTE(SUBSTITUTE(SUBSTITUTE(SUBSTITUTE(LEFT(MAIN!B682, FIND(",",MAIN!B682) -1), "0", ""), "1", ""), "2", ""), "3", ""), "4", ""), "5", ""), "6", ""), "7", ""), "8", ""), "9", "")), PROPER(SUBSTITUTE(SUBSTITUTE(SUBSTITUTE(SUBSTITUTE(SUBSTITUTE(SUBSTITUTE(SUBSTITUTE(SUBSTITUTE(SUBSTITUTE(SUBSTITUTE(MAIN!B682, "0", ""), "1", ""), "2", ""), "3", ""), "4", ""), "5", ""), "6", ""), "7", ""), "8", ""), "9", ""))))</f>
        <v>--</v>
      </c>
      <c r="C682" t="str">
        <f>IF(ISBLANK(MAIN!C682), "--", IFERROR(PROPER(SUBSTITUTE(SUBSTITUTE(SUBSTITUTE(SUBSTITUTE(SUBSTITUTE(SUBSTITUTE(SUBSTITUTE(SUBSTITUTE(SUBSTITUTE(SUBSTITUTE(LEFT(MAIN!C682, FIND(",",MAIN!C682) -1), "0", ""), "1", ""), "2", ""), "3", ""), "4", ""), "5", ""), "6", ""), "7", ""), "8", ""), "9", "")), PROPER(SUBSTITUTE(SUBSTITUTE(SUBSTITUTE(SUBSTITUTE(SUBSTITUTE(SUBSTITUTE(SUBSTITUTE(SUBSTITUTE(SUBSTITUTE(SUBSTITUTE(MAIN!C682, "0", ""), "1", ""), "2", ""), "3", ""), "4", ""), "5", ""), "6", ""), "7", ""), "8", ""), "9", ""))))</f>
        <v>--</v>
      </c>
      <c r="D682" t="str">
        <f>IF(ISBLANK(MAIN!D682), "--", IF(ISNUMBER(MATCH(SUBSTITUTE(LEFT(MAIN!D682, IFERROR(FIND(",", MAIN!D682)-1, LEN(MAIN!D682))), " ", ""), lookup_values!$B$2:$B$51, 0)), UPPER(SUBSTITUTE(LEFT(MAIN!D682, IFERROR(FIND(",", MAIN!D682)-1, LEN(MAIN!D682))), " ", "")), IF(ISNA(VLOOKUP(SUBSTITUTE(LEFT(MAIN!D682, IFERROR(FIND(",", MAIN!D682)-1, LEN(MAIN!D682))), " ", ""), lookup_values!$A$2:$B$51, 2, FALSE)), "--", VLOOKUP(SUBSTITUTE(LEFT(MAIN!D682, IFERROR(FIND(",", MAIN!D682)-1, LEN(MAIN!D682))), " ", ""), lookup_values!$A$2:$B$51, 2, FALSE))))</f>
        <v>--</v>
      </c>
      <c r="E682" t="str">
        <f>IF(CLEAN_DATA!D682&lt;&gt;"--","US",IF(ISBLANK(MAIN!E682), "--", IF(ISNUMBER(MATCH(SUBSTITUTE(LEFT(MAIN!E682, IFERROR(FIND(",", MAIN!E682)-1, LEN(MAIN!E682))), " ", ""), lookup_values!$E$2:$E$197, 0)), UPPER(SUBSTITUTE(LEFT(MAIN!E682, IFERROR(FIND(",", MAIN!E682)-1, LEN(MAIN!E682))), " ", "")), IF(ISNA(VLOOKUP(SUBSTITUTE(LEFT(MAIN!E682, IFERROR(FIND(",", MAIN!E682)-1, LEN(MAIN!E682))), " ", ""), lookup_values!$D$2:$E$197, 2, FALSE)), "--", VLOOKUP(SUBSTITUTE(LEFT(MAIN!E682, IFERROR(FIND(",", MAIN!E682)-1, LEN(MAIN!E682))), " ", ""), lookup_values!$D$2:$E$197, 2, FALSE)))))</f>
        <v>--</v>
      </c>
      <c r="F682" t="str">
        <f>IF(ISBLANK(MAIN!F682), "", IF(AND(ISNUMBER(VALUE(TRIM(MAIN!F682))), LEN(TRIM(MAIN!F682))=4), VALUE(TRIM(MAIN!F682)), ""))</f>
        <v/>
      </c>
      <c r="G682">
        <f>IF(ISBLANK(MAIN!G682), 0, IF(ISNUMBER(VALUE(TRIM(MAIN!G682))), VALUE(TRIM(MAIN!G682)), 0))</f>
        <v>0</v>
      </c>
      <c r="H682">
        <f>IF(ISBLANK(MAIN!H682), 0, IF(ISNUMBER(VALUE(TRIM(MAIN!H682))), VALUE(TRIM(MAIN!H682)), 0))</f>
        <v>0</v>
      </c>
      <c r="I682">
        <f>IF(ISBLANK(MAIN!I682), 0, IF(ISNUMBER(VALUE(TRIM(MAIN!I682))), VALUE(TRIM(MAIN!I682)), 0))</f>
        <v>0</v>
      </c>
      <c r="J682">
        <f>IF(ISBLANK(MAIN!J682), 0, IF(ISNUMBER(VALUE(TRIM(MAIN!J682))), VALUE(TRIM(MAIN!J682)), 0))</f>
        <v>0</v>
      </c>
      <c r="K682" cm="1">
        <f t="array" ref="K682">IFERROR(
    VALUE(
        IFERROR(
            UPPER(
                IF(MAX(IFERROR(SEARCH("WD",MAIN!G682:J682), 0))&gt;0, "WD",
                IF(MAX(IFERROR(SEARCH("NS",MAIN!G682:J682), 0))&gt;0, "NS",
                IF(MAX(IFERROR(SEARCH("NC",MAIN!G682:J682), 0))&gt;0, "NC",
                IF(MAX(IFERROR(SEARCH("DQ",MAIN!G682:J682), 0))&gt;0, "DQ",
                IF(ISNUMBER(SEARCH("WD",MAIN!K682)), "WD",
                IF(ISNUMBER(SEARCH("NS",MAIN!K682)), "NS",
                IF(ISNUMBER(SEARCH("NC",MAIN!K682)), "NC",
                IF(ISNUMBER(SEARCH("DQ",MAIN!K682)), "DQ",
                IF(ISNUMBER(SEARCH("A",MAIN!K682)), 0,
                IF(OR(MAIN!K682=0,MAIN!K682=""), 0, --TRIM(MAIN!K682)))))))))))),
            0
        )
    ),
    IFERROR(
        UPPER(
            IF(MAX(IFERROR(SEARCH("WD",MAIN!G682:J682), 0))&gt;0, "WD",
            IF(MAX(IFERROR(SEARCH("NS",MAIN!G682:J682), 0))&gt;0, "NS",
            IF(MAX(IFERROR(SEARCH("NC",MAIN!G682:J682), 0))&gt;0, "NC",
            IF(MAX(IFERROR(SEARCH("DQ",MAIN!G682:J682), 0))&gt;0, "DQ",
            IF(ISNUMBER(SEARCH("WD",MAIN!K682)), "WD",
            IF(ISNUMBER(SEARCH("NS",MAIN!K682)), "NS",
            IF(ISNUMBER(SEARCH("NC",MAIN!K682)), "NC",
            IF(ISNUMBER(SEARCH("DQ",MAIN!K682)), "DQ",
            IF(ISNUMBER(SEARCH("A",MAIN!K682)), 0,
            IF(OR(MAIN!K682=0,MAIN!K682=""), 0, --TRIM(MAIN!K682)))))))))))),
        0
    )
)</f>
        <v>0</v>
      </c>
    </row>
    <row r="683" spans="1:11" x14ac:dyDescent="0.25">
      <c r="A683" t="str">
        <f>IF(ISBLANK(MAIN!A683), "--", IFERROR(PROPER(SUBSTITUTE(SUBSTITUTE(SUBSTITUTE(SUBSTITUTE(SUBSTITUTE(SUBSTITUTE(SUBSTITUTE(SUBSTITUTE(SUBSTITUTE(SUBSTITUTE(LEFT(MAIN!A683, FIND(",",MAIN!A683) -1), "0", ""), "1", ""), "2", ""), "3", ""), "4", ""), "5", ""), "6", ""), "7", ""), "8", ""), "9", "")), PROPER(SUBSTITUTE(SUBSTITUTE(SUBSTITUTE(SUBSTITUTE(SUBSTITUTE(SUBSTITUTE(SUBSTITUTE(SUBSTITUTE(SUBSTITUTE(SUBSTITUTE(MAIN!A683, "0", ""), "1", ""), "2", ""), "3", ""), "4", ""), "5", ""), "6", ""), "7", ""), "8", ""), "9", ""))))</f>
        <v>--</v>
      </c>
      <c r="B683" t="str">
        <f>IF(ISBLANK(MAIN!B683), "--", IFERROR(PROPER(SUBSTITUTE(SUBSTITUTE(SUBSTITUTE(SUBSTITUTE(SUBSTITUTE(SUBSTITUTE(SUBSTITUTE(SUBSTITUTE(SUBSTITUTE(SUBSTITUTE(LEFT(MAIN!B683, FIND(",",MAIN!B683) -1), "0", ""), "1", ""), "2", ""), "3", ""), "4", ""), "5", ""), "6", ""), "7", ""), "8", ""), "9", "")), PROPER(SUBSTITUTE(SUBSTITUTE(SUBSTITUTE(SUBSTITUTE(SUBSTITUTE(SUBSTITUTE(SUBSTITUTE(SUBSTITUTE(SUBSTITUTE(SUBSTITUTE(MAIN!B683, "0", ""), "1", ""), "2", ""), "3", ""), "4", ""), "5", ""), "6", ""), "7", ""), "8", ""), "9", ""))))</f>
        <v>--</v>
      </c>
      <c r="C683" t="str">
        <f>IF(ISBLANK(MAIN!C683), "--", IFERROR(PROPER(SUBSTITUTE(SUBSTITUTE(SUBSTITUTE(SUBSTITUTE(SUBSTITUTE(SUBSTITUTE(SUBSTITUTE(SUBSTITUTE(SUBSTITUTE(SUBSTITUTE(LEFT(MAIN!C683, FIND(",",MAIN!C683) -1), "0", ""), "1", ""), "2", ""), "3", ""), "4", ""), "5", ""), "6", ""), "7", ""), "8", ""), "9", "")), PROPER(SUBSTITUTE(SUBSTITUTE(SUBSTITUTE(SUBSTITUTE(SUBSTITUTE(SUBSTITUTE(SUBSTITUTE(SUBSTITUTE(SUBSTITUTE(SUBSTITUTE(MAIN!C683, "0", ""), "1", ""), "2", ""), "3", ""), "4", ""), "5", ""), "6", ""), "7", ""), "8", ""), "9", ""))))</f>
        <v>--</v>
      </c>
      <c r="D683" t="str">
        <f>IF(ISBLANK(MAIN!D683), "--", IF(ISNUMBER(MATCH(SUBSTITUTE(LEFT(MAIN!D683, IFERROR(FIND(",", MAIN!D683)-1, LEN(MAIN!D683))), " ", ""), lookup_values!$B$2:$B$51, 0)), UPPER(SUBSTITUTE(LEFT(MAIN!D683, IFERROR(FIND(",", MAIN!D683)-1, LEN(MAIN!D683))), " ", "")), IF(ISNA(VLOOKUP(SUBSTITUTE(LEFT(MAIN!D683, IFERROR(FIND(",", MAIN!D683)-1, LEN(MAIN!D683))), " ", ""), lookup_values!$A$2:$B$51, 2, FALSE)), "--", VLOOKUP(SUBSTITUTE(LEFT(MAIN!D683, IFERROR(FIND(",", MAIN!D683)-1, LEN(MAIN!D683))), " ", ""), lookup_values!$A$2:$B$51, 2, FALSE))))</f>
        <v>--</v>
      </c>
      <c r="E683" t="str">
        <f>IF(CLEAN_DATA!D683&lt;&gt;"--","US",IF(ISBLANK(MAIN!E683), "--", IF(ISNUMBER(MATCH(SUBSTITUTE(LEFT(MAIN!E683, IFERROR(FIND(",", MAIN!E683)-1, LEN(MAIN!E683))), " ", ""), lookup_values!$E$2:$E$197, 0)), UPPER(SUBSTITUTE(LEFT(MAIN!E683, IFERROR(FIND(",", MAIN!E683)-1, LEN(MAIN!E683))), " ", "")), IF(ISNA(VLOOKUP(SUBSTITUTE(LEFT(MAIN!E683, IFERROR(FIND(",", MAIN!E683)-1, LEN(MAIN!E683))), " ", ""), lookup_values!$D$2:$E$197, 2, FALSE)), "--", VLOOKUP(SUBSTITUTE(LEFT(MAIN!E683, IFERROR(FIND(",", MAIN!E683)-1, LEN(MAIN!E683))), " ", ""), lookup_values!$D$2:$E$197, 2, FALSE)))))</f>
        <v>--</v>
      </c>
      <c r="F683" t="str">
        <f>IF(ISBLANK(MAIN!F683), "", IF(AND(ISNUMBER(VALUE(TRIM(MAIN!F683))), LEN(TRIM(MAIN!F683))=4), VALUE(TRIM(MAIN!F683)), ""))</f>
        <v/>
      </c>
      <c r="G683">
        <f>IF(ISBLANK(MAIN!G683), 0, IF(ISNUMBER(VALUE(TRIM(MAIN!G683))), VALUE(TRIM(MAIN!G683)), 0))</f>
        <v>0</v>
      </c>
      <c r="H683">
        <f>IF(ISBLANK(MAIN!H683), 0, IF(ISNUMBER(VALUE(TRIM(MAIN!H683))), VALUE(TRIM(MAIN!H683)), 0))</f>
        <v>0</v>
      </c>
      <c r="I683">
        <f>IF(ISBLANK(MAIN!I683), 0, IF(ISNUMBER(VALUE(TRIM(MAIN!I683))), VALUE(TRIM(MAIN!I683)), 0))</f>
        <v>0</v>
      </c>
      <c r="J683">
        <f>IF(ISBLANK(MAIN!J683), 0, IF(ISNUMBER(VALUE(TRIM(MAIN!J683))), VALUE(TRIM(MAIN!J683)), 0))</f>
        <v>0</v>
      </c>
      <c r="K683" cm="1">
        <f t="array" ref="K683">IFERROR(
    VALUE(
        IFERROR(
            UPPER(
                IF(MAX(IFERROR(SEARCH("WD",MAIN!G683:J683), 0))&gt;0, "WD",
                IF(MAX(IFERROR(SEARCH("NS",MAIN!G683:J683), 0))&gt;0, "NS",
                IF(MAX(IFERROR(SEARCH("NC",MAIN!G683:J683), 0))&gt;0, "NC",
                IF(MAX(IFERROR(SEARCH("DQ",MAIN!G683:J683), 0))&gt;0, "DQ",
                IF(ISNUMBER(SEARCH("WD",MAIN!K683)), "WD",
                IF(ISNUMBER(SEARCH("NS",MAIN!K683)), "NS",
                IF(ISNUMBER(SEARCH("NC",MAIN!K683)), "NC",
                IF(ISNUMBER(SEARCH("DQ",MAIN!K683)), "DQ",
                IF(ISNUMBER(SEARCH("A",MAIN!K683)), 0,
                IF(OR(MAIN!K683=0,MAIN!K683=""), 0, --TRIM(MAIN!K683)))))))))))),
            0
        )
    ),
    IFERROR(
        UPPER(
            IF(MAX(IFERROR(SEARCH("WD",MAIN!G683:J683), 0))&gt;0, "WD",
            IF(MAX(IFERROR(SEARCH("NS",MAIN!G683:J683), 0))&gt;0, "NS",
            IF(MAX(IFERROR(SEARCH("NC",MAIN!G683:J683), 0))&gt;0, "NC",
            IF(MAX(IFERROR(SEARCH("DQ",MAIN!G683:J683), 0))&gt;0, "DQ",
            IF(ISNUMBER(SEARCH("WD",MAIN!K683)), "WD",
            IF(ISNUMBER(SEARCH("NS",MAIN!K683)), "NS",
            IF(ISNUMBER(SEARCH("NC",MAIN!K683)), "NC",
            IF(ISNUMBER(SEARCH("DQ",MAIN!K683)), "DQ",
            IF(ISNUMBER(SEARCH("A",MAIN!K683)), 0,
            IF(OR(MAIN!K683=0,MAIN!K683=""), 0, --TRIM(MAIN!K683)))))))))))),
        0
    )
)</f>
        <v>0</v>
      </c>
    </row>
    <row r="684" spans="1:11" x14ac:dyDescent="0.25">
      <c r="A684" t="str">
        <f>IF(ISBLANK(MAIN!A684), "--", IFERROR(PROPER(SUBSTITUTE(SUBSTITUTE(SUBSTITUTE(SUBSTITUTE(SUBSTITUTE(SUBSTITUTE(SUBSTITUTE(SUBSTITUTE(SUBSTITUTE(SUBSTITUTE(LEFT(MAIN!A684, FIND(",",MAIN!A684) -1), "0", ""), "1", ""), "2", ""), "3", ""), "4", ""), "5", ""), "6", ""), "7", ""), "8", ""), "9", "")), PROPER(SUBSTITUTE(SUBSTITUTE(SUBSTITUTE(SUBSTITUTE(SUBSTITUTE(SUBSTITUTE(SUBSTITUTE(SUBSTITUTE(SUBSTITUTE(SUBSTITUTE(MAIN!A684, "0", ""), "1", ""), "2", ""), "3", ""), "4", ""), "5", ""), "6", ""), "7", ""), "8", ""), "9", ""))))</f>
        <v>--</v>
      </c>
      <c r="B684" t="str">
        <f>IF(ISBLANK(MAIN!B684), "--", IFERROR(PROPER(SUBSTITUTE(SUBSTITUTE(SUBSTITUTE(SUBSTITUTE(SUBSTITUTE(SUBSTITUTE(SUBSTITUTE(SUBSTITUTE(SUBSTITUTE(SUBSTITUTE(LEFT(MAIN!B684, FIND(",",MAIN!B684) -1), "0", ""), "1", ""), "2", ""), "3", ""), "4", ""), "5", ""), "6", ""), "7", ""), "8", ""), "9", "")), PROPER(SUBSTITUTE(SUBSTITUTE(SUBSTITUTE(SUBSTITUTE(SUBSTITUTE(SUBSTITUTE(SUBSTITUTE(SUBSTITUTE(SUBSTITUTE(SUBSTITUTE(MAIN!B684, "0", ""), "1", ""), "2", ""), "3", ""), "4", ""), "5", ""), "6", ""), "7", ""), "8", ""), "9", ""))))</f>
        <v>--</v>
      </c>
      <c r="C684" t="str">
        <f>IF(ISBLANK(MAIN!C684), "--", IFERROR(PROPER(SUBSTITUTE(SUBSTITUTE(SUBSTITUTE(SUBSTITUTE(SUBSTITUTE(SUBSTITUTE(SUBSTITUTE(SUBSTITUTE(SUBSTITUTE(SUBSTITUTE(LEFT(MAIN!C684, FIND(",",MAIN!C684) -1), "0", ""), "1", ""), "2", ""), "3", ""), "4", ""), "5", ""), "6", ""), "7", ""), "8", ""), "9", "")), PROPER(SUBSTITUTE(SUBSTITUTE(SUBSTITUTE(SUBSTITUTE(SUBSTITUTE(SUBSTITUTE(SUBSTITUTE(SUBSTITUTE(SUBSTITUTE(SUBSTITUTE(MAIN!C684, "0", ""), "1", ""), "2", ""), "3", ""), "4", ""), "5", ""), "6", ""), "7", ""), "8", ""), "9", ""))))</f>
        <v>--</v>
      </c>
      <c r="D684" t="str">
        <f>IF(ISBLANK(MAIN!D684), "--", IF(ISNUMBER(MATCH(SUBSTITUTE(LEFT(MAIN!D684, IFERROR(FIND(",", MAIN!D684)-1, LEN(MAIN!D684))), " ", ""), lookup_values!$B$2:$B$51, 0)), UPPER(SUBSTITUTE(LEFT(MAIN!D684, IFERROR(FIND(",", MAIN!D684)-1, LEN(MAIN!D684))), " ", "")), IF(ISNA(VLOOKUP(SUBSTITUTE(LEFT(MAIN!D684, IFERROR(FIND(",", MAIN!D684)-1, LEN(MAIN!D684))), " ", ""), lookup_values!$A$2:$B$51, 2, FALSE)), "--", VLOOKUP(SUBSTITUTE(LEFT(MAIN!D684, IFERROR(FIND(",", MAIN!D684)-1, LEN(MAIN!D684))), " ", ""), lookup_values!$A$2:$B$51, 2, FALSE))))</f>
        <v>--</v>
      </c>
      <c r="E684" t="str">
        <f>IF(CLEAN_DATA!D684&lt;&gt;"--","US",IF(ISBLANK(MAIN!E684), "--", IF(ISNUMBER(MATCH(SUBSTITUTE(LEFT(MAIN!E684, IFERROR(FIND(",", MAIN!E684)-1, LEN(MAIN!E684))), " ", ""), lookup_values!$E$2:$E$197, 0)), UPPER(SUBSTITUTE(LEFT(MAIN!E684, IFERROR(FIND(",", MAIN!E684)-1, LEN(MAIN!E684))), " ", "")), IF(ISNA(VLOOKUP(SUBSTITUTE(LEFT(MAIN!E684, IFERROR(FIND(",", MAIN!E684)-1, LEN(MAIN!E684))), " ", ""), lookup_values!$D$2:$E$197, 2, FALSE)), "--", VLOOKUP(SUBSTITUTE(LEFT(MAIN!E684, IFERROR(FIND(",", MAIN!E684)-1, LEN(MAIN!E684))), " ", ""), lookup_values!$D$2:$E$197, 2, FALSE)))))</f>
        <v>--</v>
      </c>
      <c r="F684" t="str">
        <f>IF(ISBLANK(MAIN!F684), "", IF(AND(ISNUMBER(VALUE(TRIM(MAIN!F684))), LEN(TRIM(MAIN!F684))=4), VALUE(TRIM(MAIN!F684)), ""))</f>
        <v/>
      </c>
      <c r="G684">
        <f>IF(ISBLANK(MAIN!G684), 0, IF(ISNUMBER(VALUE(TRIM(MAIN!G684))), VALUE(TRIM(MAIN!G684)), 0))</f>
        <v>0</v>
      </c>
      <c r="H684">
        <f>IF(ISBLANK(MAIN!H684), 0, IF(ISNUMBER(VALUE(TRIM(MAIN!H684))), VALUE(TRIM(MAIN!H684)), 0))</f>
        <v>0</v>
      </c>
      <c r="I684">
        <f>IF(ISBLANK(MAIN!I684), 0, IF(ISNUMBER(VALUE(TRIM(MAIN!I684))), VALUE(TRIM(MAIN!I684)), 0))</f>
        <v>0</v>
      </c>
      <c r="J684">
        <f>IF(ISBLANK(MAIN!J684), 0, IF(ISNUMBER(VALUE(TRIM(MAIN!J684))), VALUE(TRIM(MAIN!J684)), 0))</f>
        <v>0</v>
      </c>
      <c r="K684" cm="1">
        <f t="array" ref="K684">IFERROR(
    VALUE(
        IFERROR(
            UPPER(
                IF(MAX(IFERROR(SEARCH("WD",MAIN!G684:J684), 0))&gt;0, "WD",
                IF(MAX(IFERROR(SEARCH("NS",MAIN!G684:J684), 0))&gt;0, "NS",
                IF(MAX(IFERROR(SEARCH("NC",MAIN!G684:J684), 0))&gt;0, "NC",
                IF(MAX(IFERROR(SEARCH("DQ",MAIN!G684:J684), 0))&gt;0, "DQ",
                IF(ISNUMBER(SEARCH("WD",MAIN!K684)), "WD",
                IF(ISNUMBER(SEARCH("NS",MAIN!K684)), "NS",
                IF(ISNUMBER(SEARCH("NC",MAIN!K684)), "NC",
                IF(ISNUMBER(SEARCH("DQ",MAIN!K684)), "DQ",
                IF(ISNUMBER(SEARCH("A",MAIN!K684)), 0,
                IF(OR(MAIN!K684=0,MAIN!K684=""), 0, --TRIM(MAIN!K684)))))))))))),
            0
        )
    ),
    IFERROR(
        UPPER(
            IF(MAX(IFERROR(SEARCH("WD",MAIN!G684:J684), 0))&gt;0, "WD",
            IF(MAX(IFERROR(SEARCH("NS",MAIN!G684:J684), 0))&gt;0, "NS",
            IF(MAX(IFERROR(SEARCH("NC",MAIN!G684:J684), 0))&gt;0, "NC",
            IF(MAX(IFERROR(SEARCH("DQ",MAIN!G684:J684), 0))&gt;0, "DQ",
            IF(ISNUMBER(SEARCH("WD",MAIN!K684)), "WD",
            IF(ISNUMBER(SEARCH("NS",MAIN!K684)), "NS",
            IF(ISNUMBER(SEARCH("NC",MAIN!K684)), "NC",
            IF(ISNUMBER(SEARCH("DQ",MAIN!K684)), "DQ",
            IF(ISNUMBER(SEARCH("A",MAIN!K684)), 0,
            IF(OR(MAIN!K684=0,MAIN!K684=""), 0, --TRIM(MAIN!K684)))))))))))),
        0
    )
)</f>
        <v>0</v>
      </c>
    </row>
    <row r="685" spans="1:11" x14ac:dyDescent="0.25">
      <c r="A685" t="str">
        <f>IF(ISBLANK(MAIN!A685), "--", IFERROR(PROPER(SUBSTITUTE(SUBSTITUTE(SUBSTITUTE(SUBSTITUTE(SUBSTITUTE(SUBSTITUTE(SUBSTITUTE(SUBSTITUTE(SUBSTITUTE(SUBSTITUTE(LEFT(MAIN!A685, FIND(",",MAIN!A685) -1), "0", ""), "1", ""), "2", ""), "3", ""), "4", ""), "5", ""), "6", ""), "7", ""), "8", ""), "9", "")), PROPER(SUBSTITUTE(SUBSTITUTE(SUBSTITUTE(SUBSTITUTE(SUBSTITUTE(SUBSTITUTE(SUBSTITUTE(SUBSTITUTE(SUBSTITUTE(SUBSTITUTE(MAIN!A685, "0", ""), "1", ""), "2", ""), "3", ""), "4", ""), "5", ""), "6", ""), "7", ""), "8", ""), "9", ""))))</f>
        <v>--</v>
      </c>
      <c r="B685" t="str">
        <f>IF(ISBLANK(MAIN!B685), "--", IFERROR(PROPER(SUBSTITUTE(SUBSTITUTE(SUBSTITUTE(SUBSTITUTE(SUBSTITUTE(SUBSTITUTE(SUBSTITUTE(SUBSTITUTE(SUBSTITUTE(SUBSTITUTE(LEFT(MAIN!B685, FIND(",",MAIN!B685) -1), "0", ""), "1", ""), "2", ""), "3", ""), "4", ""), "5", ""), "6", ""), "7", ""), "8", ""), "9", "")), PROPER(SUBSTITUTE(SUBSTITUTE(SUBSTITUTE(SUBSTITUTE(SUBSTITUTE(SUBSTITUTE(SUBSTITUTE(SUBSTITUTE(SUBSTITUTE(SUBSTITUTE(MAIN!B685, "0", ""), "1", ""), "2", ""), "3", ""), "4", ""), "5", ""), "6", ""), "7", ""), "8", ""), "9", ""))))</f>
        <v>--</v>
      </c>
      <c r="C685" t="str">
        <f>IF(ISBLANK(MAIN!C685), "--", IFERROR(PROPER(SUBSTITUTE(SUBSTITUTE(SUBSTITUTE(SUBSTITUTE(SUBSTITUTE(SUBSTITUTE(SUBSTITUTE(SUBSTITUTE(SUBSTITUTE(SUBSTITUTE(LEFT(MAIN!C685, FIND(",",MAIN!C685) -1), "0", ""), "1", ""), "2", ""), "3", ""), "4", ""), "5", ""), "6", ""), "7", ""), "8", ""), "9", "")), PROPER(SUBSTITUTE(SUBSTITUTE(SUBSTITUTE(SUBSTITUTE(SUBSTITUTE(SUBSTITUTE(SUBSTITUTE(SUBSTITUTE(SUBSTITUTE(SUBSTITUTE(MAIN!C685, "0", ""), "1", ""), "2", ""), "3", ""), "4", ""), "5", ""), "6", ""), "7", ""), "8", ""), "9", ""))))</f>
        <v>--</v>
      </c>
      <c r="D685" t="str">
        <f>IF(ISBLANK(MAIN!D685), "--", IF(ISNUMBER(MATCH(SUBSTITUTE(LEFT(MAIN!D685, IFERROR(FIND(",", MAIN!D685)-1, LEN(MAIN!D685))), " ", ""), lookup_values!$B$2:$B$51, 0)), UPPER(SUBSTITUTE(LEFT(MAIN!D685, IFERROR(FIND(",", MAIN!D685)-1, LEN(MAIN!D685))), " ", "")), IF(ISNA(VLOOKUP(SUBSTITUTE(LEFT(MAIN!D685, IFERROR(FIND(",", MAIN!D685)-1, LEN(MAIN!D685))), " ", ""), lookup_values!$A$2:$B$51, 2, FALSE)), "--", VLOOKUP(SUBSTITUTE(LEFT(MAIN!D685, IFERROR(FIND(",", MAIN!D685)-1, LEN(MAIN!D685))), " ", ""), lookup_values!$A$2:$B$51, 2, FALSE))))</f>
        <v>--</v>
      </c>
      <c r="E685" t="str">
        <f>IF(CLEAN_DATA!D685&lt;&gt;"--","US",IF(ISBLANK(MAIN!E685), "--", IF(ISNUMBER(MATCH(SUBSTITUTE(LEFT(MAIN!E685, IFERROR(FIND(",", MAIN!E685)-1, LEN(MAIN!E685))), " ", ""), lookup_values!$E$2:$E$197, 0)), UPPER(SUBSTITUTE(LEFT(MAIN!E685, IFERROR(FIND(",", MAIN!E685)-1, LEN(MAIN!E685))), " ", "")), IF(ISNA(VLOOKUP(SUBSTITUTE(LEFT(MAIN!E685, IFERROR(FIND(",", MAIN!E685)-1, LEN(MAIN!E685))), " ", ""), lookup_values!$D$2:$E$197, 2, FALSE)), "--", VLOOKUP(SUBSTITUTE(LEFT(MAIN!E685, IFERROR(FIND(",", MAIN!E685)-1, LEN(MAIN!E685))), " ", ""), lookup_values!$D$2:$E$197, 2, FALSE)))))</f>
        <v>--</v>
      </c>
      <c r="F685" t="str">
        <f>IF(ISBLANK(MAIN!F685), "", IF(AND(ISNUMBER(VALUE(TRIM(MAIN!F685))), LEN(TRIM(MAIN!F685))=4), VALUE(TRIM(MAIN!F685)), ""))</f>
        <v/>
      </c>
      <c r="G685">
        <f>IF(ISBLANK(MAIN!G685), 0, IF(ISNUMBER(VALUE(TRIM(MAIN!G685))), VALUE(TRIM(MAIN!G685)), 0))</f>
        <v>0</v>
      </c>
      <c r="H685">
        <f>IF(ISBLANK(MAIN!H685), 0, IF(ISNUMBER(VALUE(TRIM(MAIN!H685))), VALUE(TRIM(MAIN!H685)), 0))</f>
        <v>0</v>
      </c>
      <c r="I685">
        <f>IF(ISBLANK(MAIN!I685), 0, IF(ISNUMBER(VALUE(TRIM(MAIN!I685))), VALUE(TRIM(MAIN!I685)), 0))</f>
        <v>0</v>
      </c>
      <c r="J685">
        <f>IF(ISBLANK(MAIN!J685), 0, IF(ISNUMBER(VALUE(TRIM(MAIN!J685))), VALUE(TRIM(MAIN!J685)), 0))</f>
        <v>0</v>
      </c>
      <c r="K685" cm="1">
        <f t="array" ref="K685">IFERROR(
    VALUE(
        IFERROR(
            UPPER(
                IF(MAX(IFERROR(SEARCH("WD",MAIN!G685:J685), 0))&gt;0, "WD",
                IF(MAX(IFERROR(SEARCH("NS",MAIN!G685:J685), 0))&gt;0, "NS",
                IF(MAX(IFERROR(SEARCH("NC",MAIN!G685:J685), 0))&gt;0, "NC",
                IF(MAX(IFERROR(SEARCH("DQ",MAIN!G685:J685), 0))&gt;0, "DQ",
                IF(ISNUMBER(SEARCH("WD",MAIN!K685)), "WD",
                IF(ISNUMBER(SEARCH("NS",MAIN!K685)), "NS",
                IF(ISNUMBER(SEARCH("NC",MAIN!K685)), "NC",
                IF(ISNUMBER(SEARCH("DQ",MAIN!K685)), "DQ",
                IF(ISNUMBER(SEARCH("A",MAIN!K685)), 0,
                IF(OR(MAIN!K685=0,MAIN!K685=""), 0, --TRIM(MAIN!K685)))))))))))),
            0
        )
    ),
    IFERROR(
        UPPER(
            IF(MAX(IFERROR(SEARCH("WD",MAIN!G685:J685), 0))&gt;0, "WD",
            IF(MAX(IFERROR(SEARCH("NS",MAIN!G685:J685), 0))&gt;0, "NS",
            IF(MAX(IFERROR(SEARCH("NC",MAIN!G685:J685), 0))&gt;0, "NC",
            IF(MAX(IFERROR(SEARCH("DQ",MAIN!G685:J685), 0))&gt;0, "DQ",
            IF(ISNUMBER(SEARCH("WD",MAIN!K685)), "WD",
            IF(ISNUMBER(SEARCH("NS",MAIN!K685)), "NS",
            IF(ISNUMBER(SEARCH("NC",MAIN!K685)), "NC",
            IF(ISNUMBER(SEARCH("DQ",MAIN!K685)), "DQ",
            IF(ISNUMBER(SEARCH("A",MAIN!K685)), 0,
            IF(OR(MAIN!K685=0,MAIN!K685=""), 0, --TRIM(MAIN!K685)))))))))))),
        0
    )
)</f>
        <v>0</v>
      </c>
    </row>
    <row r="686" spans="1:11" x14ac:dyDescent="0.25">
      <c r="A686" t="str">
        <f>IF(ISBLANK(MAIN!A686), "--", IFERROR(PROPER(SUBSTITUTE(SUBSTITUTE(SUBSTITUTE(SUBSTITUTE(SUBSTITUTE(SUBSTITUTE(SUBSTITUTE(SUBSTITUTE(SUBSTITUTE(SUBSTITUTE(LEFT(MAIN!A686, FIND(",",MAIN!A686) -1), "0", ""), "1", ""), "2", ""), "3", ""), "4", ""), "5", ""), "6", ""), "7", ""), "8", ""), "9", "")), PROPER(SUBSTITUTE(SUBSTITUTE(SUBSTITUTE(SUBSTITUTE(SUBSTITUTE(SUBSTITUTE(SUBSTITUTE(SUBSTITUTE(SUBSTITUTE(SUBSTITUTE(MAIN!A686, "0", ""), "1", ""), "2", ""), "3", ""), "4", ""), "5", ""), "6", ""), "7", ""), "8", ""), "9", ""))))</f>
        <v>--</v>
      </c>
      <c r="B686" t="str">
        <f>IF(ISBLANK(MAIN!B686), "--", IFERROR(PROPER(SUBSTITUTE(SUBSTITUTE(SUBSTITUTE(SUBSTITUTE(SUBSTITUTE(SUBSTITUTE(SUBSTITUTE(SUBSTITUTE(SUBSTITUTE(SUBSTITUTE(LEFT(MAIN!B686, FIND(",",MAIN!B686) -1), "0", ""), "1", ""), "2", ""), "3", ""), "4", ""), "5", ""), "6", ""), "7", ""), "8", ""), "9", "")), PROPER(SUBSTITUTE(SUBSTITUTE(SUBSTITUTE(SUBSTITUTE(SUBSTITUTE(SUBSTITUTE(SUBSTITUTE(SUBSTITUTE(SUBSTITUTE(SUBSTITUTE(MAIN!B686, "0", ""), "1", ""), "2", ""), "3", ""), "4", ""), "5", ""), "6", ""), "7", ""), "8", ""), "9", ""))))</f>
        <v>--</v>
      </c>
      <c r="C686" t="str">
        <f>IF(ISBLANK(MAIN!C686), "--", IFERROR(PROPER(SUBSTITUTE(SUBSTITUTE(SUBSTITUTE(SUBSTITUTE(SUBSTITUTE(SUBSTITUTE(SUBSTITUTE(SUBSTITUTE(SUBSTITUTE(SUBSTITUTE(LEFT(MAIN!C686, FIND(",",MAIN!C686) -1), "0", ""), "1", ""), "2", ""), "3", ""), "4", ""), "5", ""), "6", ""), "7", ""), "8", ""), "9", "")), PROPER(SUBSTITUTE(SUBSTITUTE(SUBSTITUTE(SUBSTITUTE(SUBSTITUTE(SUBSTITUTE(SUBSTITUTE(SUBSTITUTE(SUBSTITUTE(SUBSTITUTE(MAIN!C686, "0", ""), "1", ""), "2", ""), "3", ""), "4", ""), "5", ""), "6", ""), "7", ""), "8", ""), "9", ""))))</f>
        <v>--</v>
      </c>
      <c r="D686" t="str">
        <f>IF(ISBLANK(MAIN!D686), "--", IF(ISNUMBER(MATCH(SUBSTITUTE(LEFT(MAIN!D686, IFERROR(FIND(",", MAIN!D686)-1, LEN(MAIN!D686))), " ", ""), lookup_values!$B$2:$B$51, 0)), UPPER(SUBSTITUTE(LEFT(MAIN!D686, IFERROR(FIND(",", MAIN!D686)-1, LEN(MAIN!D686))), " ", "")), IF(ISNA(VLOOKUP(SUBSTITUTE(LEFT(MAIN!D686, IFERROR(FIND(",", MAIN!D686)-1, LEN(MAIN!D686))), " ", ""), lookup_values!$A$2:$B$51, 2, FALSE)), "--", VLOOKUP(SUBSTITUTE(LEFT(MAIN!D686, IFERROR(FIND(",", MAIN!D686)-1, LEN(MAIN!D686))), " ", ""), lookup_values!$A$2:$B$51, 2, FALSE))))</f>
        <v>--</v>
      </c>
      <c r="E686" t="str">
        <f>IF(CLEAN_DATA!D686&lt;&gt;"--","US",IF(ISBLANK(MAIN!E686), "--", IF(ISNUMBER(MATCH(SUBSTITUTE(LEFT(MAIN!E686, IFERROR(FIND(",", MAIN!E686)-1, LEN(MAIN!E686))), " ", ""), lookup_values!$E$2:$E$197, 0)), UPPER(SUBSTITUTE(LEFT(MAIN!E686, IFERROR(FIND(",", MAIN!E686)-1, LEN(MAIN!E686))), " ", "")), IF(ISNA(VLOOKUP(SUBSTITUTE(LEFT(MAIN!E686, IFERROR(FIND(",", MAIN!E686)-1, LEN(MAIN!E686))), " ", ""), lookup_values!$D$2:$E$197, 2, FALSE)), "--", VLOOKUP(SUBSTITUTE(LEFT(MAIN!E686, IFERROR(FIND(",", MAIN!E686)-1, LEN(MAIN!E686))), " ", ""), lookup_values!$D$2:$E$197, 2, FALSE)))))</f>
        <v>--</v>
      </c>
      <c r="F686" t="str">
        <f>IF(ISBLANK(MAIN!F686), "", IF(AND(ISNUMBER(VALUE(TRIM(MAIN!F686))), LEN(TRIM(MAIN!F686))=4), VALUE(TRIM(MAIN!F686)), ""))</f>
        <v/>
      </c>
      <c r="G686">
        <f>IF(ISBLANK(MAIN!G686), 0, IF(ISNUMBER(VALUE(TRIM(MAIN!G686))), VALUE(TRIM(MAIN!G686)), 0))</f>
        <v>0</v>
      </c>
      <c r="H686">
        <f>IF(ISBLANK(MAIN!H686), 0, IF(ISNUMBER(VALUE(TRIM(MAIN!H686))), VALUE(TRIM(MAIN!H686)), 0))</f>
        <v>0</v>
      </c>
      <c r="I686">
        <f>IF(ISBLANK(MAIN!I686), 0, IF(ISNUMBER(VALUE(TRIM(MAIN!I686))), VALUE(TRIM(MAIN!I686)), 0))</f>
        <v>0</v>
      </c>
      <c r="J686">
        <f>IF(ISBLANK(MAIN!J686), 0, IF(ISNUMBER(VALUE(TRIM(MAIN!J686))), VALUE(TRIM(MAIN!J686)), 0))</f>
        <v>0</v>
      </c>
      <c r="K686" cm="1">
        <f t="array" ref="K686">IFERROR(
    VALUE(
        IFERROR(
            UPPER(
                IF(MAX(IFERROR(SEARCH("WD",MAIN!G686:J686), 0))&gt;0, "WD",
                IF(MAX(IFERROR(SEARCH("NS",MAIN!G686:J686), 0))&gt;0, "NS",
                IF(MAX(IFERROR(SEARCH("NC",MAIN!G686:J686), 0))&gt;0, "NC",
                IF(MAX(IFERROR(SEARCH("DQ",MAIN!G686:J686), 0))&gt;0, "DQ",
                IF(ISNUMBER(SEARCH("WD",MAIN!K686)), "WD",
                IF(ISNUMBER(SEARCH("NS",MAIN!K686)), "NS",
                IF(ISNUMBER(SEARCH("NC",MAIN!K686)), "NC",
                IF(ISNUMBER(SEARCH("DQ",MAIN!K686)), "DQ",
                IF(ISNUMBER(SEARCH("A",MAIN!K686)), 0,
                IF(OR(MAIN!K686=0,MAIN!K686=""), 0, --TRIM(MAIN!K686)))))))))))),
            0
        )
    ),
    IFERROR(
        UPPER(
            IF(MAX(IFERROR(SEARCH("WD",MAIN!G686:J686), 0))&gt;0, "WD",
            IF(MAX(IFERROR(SEARCH("NS",MAIN!G686:J686), 0))&gt;0, "NS",
            IF(MAX(IFERROR(SEARCH("NC",MAIN!G686:J686), 0))&gt;0, "NC",
            IF(MAX(IFERROR(SEARCH("DQ",MAIN!G686:J686), 0))&gt;0, "DQ",
            IF(ISNUMBER(SEARCH("WD",MAIN!K686)), "WD",
            IF(ISNUMBER(SEARCH("NS",MAIN!K686)), "NS",
            IF(ISNUMBER(SEARCH("NC",MAIN!K686)), "NC",
            IF(ISNUMBER(SEARCH("DQ",MAIN!K686)), "DQ",
            IF(ISNUMBER(SEARCH("A",MAIN!K686)), 0,
            IF(OR(MAIN!K686=0,MAIN!K686=""), 0, --TRIM(MAIN!K686)))))))))))),
        0
    )
)</f>
        <v>0</v>
      </c>
    </row>
    <row r="687" spans="1:11" x14ac:dyDescent="0.25">
      <c r="A687" t="str">
        <f>IF(ISBLANK(MAIN!A687), "--", IFERROR(PROPER(SUBSTITUTE(SUBSTITUTE(SUBSTITUTE(SUBSTITUTE(SUBSTITUTE(SUBSTITUTE(SUBSTITUTE(SUBSTITUTE(SUBSTITUTE(SUBSTITUTE(LEFT(MAIN!A687, FIND(",",MAIN!A687) -1), "0", ""), "1", ""), "2", ""), "3", ""), "4", ""), "5", ""), "6", ""), "7", ""), "8", ""), "9", "")), PROPER(SUBSTITUTE(SUBSTITUTE(SUBSTITUTE(SUBSTITUTE(SUBSTITUTE(SUBSTITUTE(SUBSTITUTE(SUBSTITUTE(SUBSTITUTE(SUBSTITUTE(MAIN!A687, "0", ""), "1", ""), "2", ""), "3", ""), "4", ""), "5", ""), "6", ""), "7", ""), "8", ""), "9", ""))))</f>
        <v>--</v>
      </c>
      <c r="B687" t="str">
        <f>IF(ISBLANK(MAIN!B687), "--", IFERROR(PROPER(SUBSTITUTE(SUBSTITUTE(SUBSTITUTE(SUBSTITUTE(SUBSTITUTE(SUBSTITUTE(SUBSTITUTE(SUBSTITUTE(SUBSTITUTE(SUBSTITUTE(LEFT(MAIN!B687, FIND(",",MAIN!B687) -1), "0", ""), "1", ""), "2", ""), "3", ""), "4", ""), "5", ""), "6", ""), "7", ""), "8", ""), "9", "")), PROPER(SUBSTITUTE(SUBSTITUTE(SUBSTITUTE(SUBSTITUTE(SUBSTITUTE(SUBSTITUTE(SUBSTITUTE(SUBSTITUTE(SUBSTITUTE(SUBSTITUTE(MAIN!B687, "0", ""), "1", ""), "2", ""), "3", ""), "4", ""), "5", ""), "6", ""), "7", ""), "8", ""), "9", ""))))</f>
        <v>--</v>
      </c>
      <c r="C687" t="str">
        <f>IF(ISBLANK(MAIN!C687), "--", IFERROR(PROPER(SUBSTITUTE(SUBSTITUTE(SUBSTITUTE(SUBSTITUTE(SUBSTITUTE(SUBSTITUTE(SUBSTITUTE(SUBSTITUTE(SUBSTITUTE(SUBSTITUTE(LEFT(MAIN!C687, FIND(",",MAIN!C687) -1), "0", ""), "1", ""), "2", ""), "3", ""), "4", ""), "5", ""), "6", ""), "7", ""), "8", ""), "9", "")), PROPER(SUBSTITUTE(SUBSTITUTE(SUBSTITUTE(SUBSTITUTE(SUBSTITUTE(SUBSTITUTE(SUBSTITUTE(SUBSTITUTE(SUBSTITUTE(SUBSTITUTE(MAIN!C687, "0", ""), "1", ""), "2", ""), "3", ""), "4", ""), "5", ""), "6", ""), "7", ""), "8", ""), "9", ""))))</f>
        <v>--</v>
      </c>
      <c r="D687" t="str">
        <f>IF(ISBLANK(MAIN!D687), "--", IF(ISNUMBER(MATCH(SUBSTITUTE(LEFT(MAIN!D687, IFERROR(FIND(",", MAIN!D687)-1, LEN(MAIN!D687))), " ", ""), lookup_values!$B$2:$B$51, 0)), UPPER(SUBSTITUTE(LEFT(MAIN!D687, IFERROR(FIND(",", MAIN!D687)-1, LEN(MAIN!D687))), " ", "")), IF(ISNA(VLOOKUP(SUBSTITUTE(LEFT(MAIN!D687, IFERROR(FIND(",", MAIN!D687)-1, LEN(MAIN!D687))), " ", ""), lookup_values!$A$2:$B$51, 2, FALSE)), "--", VLOOKUP(SUBSTITUTE(LEFT(MAIN!D687, IFERROR(FIND(",", MAIN!D687)-1, LEN(MAIN!D687))), " ", ""), lookup_values!$A$2:$B$51, 2, FALSE))))</f>
        <v>--</v>
      </c>
      <c r="E687" t="str">
        <f>IF(CLEAN_DATA!D687&lt;&gt;"--","US",IF(ISBLANK(MAIN!E687), "--", IF(ISNUMBER(MATCH(SUBSTITUTE(LEFT(MAIN!E687, IFERROR(FIND(",", MAIN!E687)-1, LEN(MAIN!E687))), " ", ""), lookup_values!$E$2:$E$197, 0)), UPPER(SUBSTITUTE(LEFT(MAIN!E687, IFERROR(FIND(",", MAIN!E687)-1, LEN(MAIN!E687))), " ", "")), IF(ISNA(VLOOKUP(SUBSTITUTE(LEFT(MAIN!E687, IFERROR(FIND(",", MAIN!E687)-1, LEN(MAIN!E687))), " ", ""), lookup_values!$D$2:$E$197, 2, FALSE)), "--", VLOOKUP(SUBSTITUTE(LEFT(MAIN!E687, IFERROR(FIND(",", MAIN!E687)-1, LEN(MAIN!E687))), " ", ""), lookup_values!$D$2:$E$197, 2, FALSE)))))</f>
        <v>--</v>
      </c>
      <c r="F687" t="str">
        <f>IF(ISBLANK(MAIN!F687), "", IF(AND(ISNUMBER(VALUE(TRIM(MAIN!F687))), LEN(TRIM(MAIN!F687))=4), VALUE(TRIM(MAIN!F687)), ""))</f>
        <v/>
      </c>
      <c r="G687">
        <f>IF(ISBLANK(MAIN!G687), 0, IF(ISNUMBER(VALUE(TRIM(MAIN!G687))), VALUE(TRIM(MAIN!G687)), 0))</f>
        <v>0</v>
      </c>
      <c r="H687">
        <f>IF(ISBLANK(MAIN!H687), 0, IF(ISNUMBER(VALUE(TRIM(MAIN!H687))), VALUE(TRIM(MAIN!H687)), 0))</f>
        <v>0</v>
      </c>
      <c r="I687">
        <f>IF(ISBLANK(MAIN!I687), 0, IF(ISNUMBER(VALUE(TRIM(MAIN!I687))), VALUE(TRIM(MAIN!I687)), 0))</f>
        <v>0</v>
      </c>
      <c r="J687">
        <f>IF(ISBLANK(MAIN!J687), 0, IF(ISNUMBER(VALUE(TRIM(MAIN!J687))), VALUE(TRIM(MAIN!J687)), 0))</f>
        <v>0</v>
      </c>
      <c r="K687" cm="1">
        <f t="array" ref="K687">IFERROR(
    VALUE(
        IFERROR(
            UPPER(
                IF(MAX(IFERROR(SEARCH("WD",MAIN!G687:J687), 0))&gt;0, "WD",
                IF(MAX(IFERROR(SEARCH("NS",MAIN!G687:J687), 0))&gt;0, "NS",
                IF(MAX(IFERROR(SEARCH("NC",MAIN!G687:J687), 0))&gt;0, "NC",
                IF(MAX(IFERROR(SEARCH("DQ",MAIN!G687:J687), 0))&gt;0, "DQ",
                IF(ISNUMBER(SEARCH("WD",MAIN!K687)), "WD",
                IF(ISNUMBER(SEARCH("NS",MAIN!K687)), "NS",
                IF(ISNUMBER(SEARCH("NC",MAIN!K687)), "NC",
                IF(ISNUMBER(SEARCH("DQ",MAIN!K687)), "DQ",
                IF(ISNUMBER(SEARCH("A",MAIN!K687)), 0,
                IF(OR(MAIN!K687=0,MAIN!K687=""), 0, --TRIM(MAIN!K687)))))))))))),
            0
        )
    ),
    IFERROR(
        UPPER(
            IF(MAX(IFERROR(SEARCH("WD",MAIN!G687:J687), 0))&gt;0, "WD",
            IF(MAX(IFERROR(SEARCH("NS",MAIN!G687:J687), 0))&gt;0, "NS",
            IF(MAX(IFERROR(SEARCH("NC",MAIN!G687:J687), 0))&gt;0, "NC",
            IF(MAX(IFERROR(SEARCH("DQ",MAIN!G687:J687), 0))&gt;0, "DQ",
            IF(ISNUMBER(SEARCH("WD",MAIN!K687)), "WD",
            IF(ISNUMBER(SEARCH("NS",MAIN!K687)), "NS",
            IF(ISNUMBER(SEARCH("NC",MAIN!K687)), "NC",
            IF(ISNUMBER(SEARCH("DQ",MAIN!K687)), "DQ",
            IF(ISNUMBER(SEARCH("A",MAIN!K687)), 0,
            IF(OR(MAIN!K687=0,MAIN!K687=""), 0, --TRIM(MAIN!K687)))))))))))),
        0
    )
)</f>
        <v>0</v>
      </c>
    </row>
    <row r="688" spans="1:11" x14ac:dyDescent="0.25">
      <c r="A688" t="str">
        <f>IF(ISBLANK(MAIN!A688), "--", IFERROR(PROPER(SUBSTITUTE(SUBSTITUTE(SUBSTITUTE(SUBSTITUTE(SUBSTITUTE(SUBSTITUTE(SUBSTITUTE(SUBSTITUTE(SUBSTITUTE(SUBSTITUTE(LEFT(MAIN!A688, FIND(",",MAIN!A688) -1), "0", ""), "1", ""), "2", ""), "3", ""), "4", ""), "5", ""), "6", ""), "7", ""), "8", ""), "9", "")), PROPER(SUBSTITUTE(SUBSTITUTE(SUBSTITUTE(SUBSTITUTE(SUBSTITUTE(SUBSTITUTE(SUBSTITUTE(SUBSTITUTE(SUBSTITUTE(SUBSTITUTE(MAIN!A688, "0", ""), "1", ""), "2", ""), "3", ""), "4", ""), "5", ""), "6", ""), "7", ""), "8", ""), "9", ""))))</f>
        <v>--</v>
      </c>
      <c r="B688" t="str">
        <f>IF(ISBLANK(MAIN!B688), "--", IFERROR(PROPER(SUBSTITUTE(SUBSTITUTE(SUBSTITUTE(SUBSTITUTE(SUBSTITUTE(SUBSTITUTE(SUBSTITUTE(SUBSTITUTE(SUBSTITUTE(SUBSTITUTE(LEFT(MAIN!B688, FIND(",",MAIN!B688) -1), "0", ""), "1", ""), "2", ""), "3", ""), "4", ""), "5", ""), "6", ""), "7", ""), "8", ""), "9", "")), PROPER(SUBSTITUTE(SUBSTITUTE(SUBSTITUTE(SUBSTITUTE(SUBSTITUTE(SUBSTITUTE(SUBSTITUTE(SUBSTITUTE(SUBSTITUTE(SUBSTITUTE(MAIN!B688, "0", ""), "1", ""), "2", ""), "3", ""), "4", ""), "5", ""), "6", ""), "7", ""), "8", ""), "9", ""))))</f>
        <v>--</v>
      </c>
      <c r="C688" t="str">
        <f>IF(ISBLANK(MAIN!C688), "--", IFERROR(PROPER(SUBSTITUTE(SUBSTITUTE(SUBSTITUTE(SUBSTITUTE(SUBSTITUTE(SUBSTITUTE(SUBSTITUTE(SUBSTITUTE(SUBSTITUTE(SUBSTITUTE(LEFT(MAIN!C688, FIND(",",MAIN!C688) -1), "0", ""), "1", ""), "2", ""), "3", ""), "4", ""), "5", ""), "6", ""), "7", ""), "8", ""), "9", "")), PROPER(SUBSTITUTE(SUBSTITUTE(SUBSTITUTE(SUBSTITUTE(SUBSTITUTE(SUBSTITUTE(SUBSTITUTE(SUBSTITUTE(SUBSTITUTE(SUBSTITUTE(MAIN!C688, "0", ""), "1", ""), "2", ""), "3", ""), "4", ""), "5", ""), "6", ""), "7", ""), "8", ""), "9", ""))))</f>
        <v>--</v>
      </c>
      <c r="D688" t="str">
        <f>IF(ISBLANK(MAIN!D688), "--", IF(ISNUMBER(MATCH(SUBSTITUTE(LEFT(MAIN!D688, IFERROR(FIND(",", MAIN!D688)-1, LEN(MAIN!D688))), " ", ""), lookup_values!$B$2:$B$51, 0)), UPPER(SUBSTITUTE(LEFT(MAIN!D688, IFERROR(FIND(",", MAIN!D688)-1, LEN(MAIN!D688))), " ", "")), IF(ISNA(VLOOKUP(SUBSTITUTE(LEFT(MAIN!D688, IFERROR(FIND(",", MAIN!D688)-1, LEN(MAIN!D688))), " ", ""), lookup_values!$A$2:$B$51, 2, FALSE)), "--", VLOOKUP(SUBSTITUTE(LEFT(MAIN!D688, IFERROR(FIND(",", MAIN!D688)-1, LEN(MAIN!D688))), " ", ""), lookup_values!$A$2:$B$51, 2, FALSE))))</f>
        <v>--</v>
      </c>
      <c r="E688" t="str">
        <f>IF(CLEAN_DATA!D688&lt;&gt;"--","US",IF(ISBLANK(MAIN!E688), "--", IF(ISNUMBER(MATCH(SUBSTITUTE(LEFT(MAIN!E688, IFERROR(FIND(",", MAIN!E688)-1, LEN(MAIN!E688))), " ", ""), lookup_values!$E$2:$E$197, 0)), UPPER(SUBSTITUTE(LEFT(MAIN!E688, IFERROR(FIND(",", MAIN!E688)-1, LEN(MAIN!E688))), " ", "")), IF(ISNA(VLOOKUP(SUBSTITUTE(LEFT(MAIN!E688, IFERROR(FIND(",", MAIN!E688)-1, LEN(MAIN!E688))), " ", ""), lookup_values!$D$2:$E$197, 2, FALSE)), "--", VLOOKUP(SUBSTITUTE(LEFT(MAIN!E688, IFERROR(FIND(",", MAIN!E688)-1, LEN(MAIN!E688))), " ", ""), lookup_values!$D$2:$E$197, 2, FALSE)))))</f>
        <v>--</v>
      </c>
      <c r="F688" t="str">
        <f>IF(ISBLANK(MAIN!F688), "", IF(AND(ISNUMBER(VALUE(TRIM(MAIN!F688))), LEN(TRIM(MAIN!F688))=4), VALUE(TRIM(MAIN!F688)), ""))</f>
        <v/>
      </c>
      <c r="G688">
        <f>IF(ISBLANK(MAIN!G688), 0, IF(ISNUMBER(VALUE(TRIM(MAIN!G688))), VALUE(TRIM(MAIN!G688)), 0))</f>
        <v>0</v>
      </c>
      <c r="H688">
        <f>IF(ISBLANK(MAIN!H688), 0, IF(ISNUMBER(VALUE(TRIM(MAIN!H688))), VALUE(TRIM(MAIN!H688)), 0))</f>
        <v>0</v>
      </c>
      <c r="I688">
        <f>IF(ISBLANK(MAIN!I688), 0, IF(ISNUMBER(VALUE(TRIM(MAIN!I688))), VALUE(TRIM(MAIN!I688)), 0))</f>
        <v>0</v>
      </c>
      <c r="J688">
        <f>IF(ISBLANK(MAIN!J688), 0, IF(ISNUMBER(VALUE(TRIM(MAIN!J688))), VALUE(TRIM(MAIN!J688)), 0))</f>
        <v>0</v>
      </c>
      <c r="K688" cm="1">
        <f t="array" ref="K688">IFERROR(
    VALUE(
        IFERROR(
            UPPER(
                IF(MAX(IFERROR(SEARCH("WD",MAIN!G688:J688), 0))&gt;0, "WD",
                IF(MAX(IFERROR(SEARCH("NS",MAIN!G688:J688), 0))&gt;0, "NS",
                IF(MAX(IFERROR(SEARCH("NC",MAIN!G688:J688), 0))&gt;0, "NC",
                IF(MAX(IFERROR(SEARCH("DQ",MAIN!G688:J688), 0))&gt;0, "DQ",
                IF(ISNUMBER(SEARCH("WD",MAIN!K688)), "WD",
                IF(ISNUMBER(SEARCH("NS",MAIN!K688)), "NS",
                IF(ISNUMBER(SEARCH("NC",MAIN!K688)), "NC",
                IF(ISNUMBER(SEARCH("DQ",MAIN!K688)), "DQ",
                IF(ISNUMBER(SEARCH("A",MAIN!K688)), 0,
                IF(OR(MAIN!K688=0,MAIN!K688=""), 0, --TRIM(MAIN!K688)))))))))))),
            0
        )
    ),
    IFERROR(
        UPPER(
            IF(MAX(IFERROR(SEARCH("WD",MAIN!G688:J688), 0))&gt;0, "WD",
            IF(MAX(IFERROR(SEARCH("NS",MAIN!G688:J688), 0))&gt;0, "NS",
            IF(MAX(IFERROR(SEARCH("NC",MAIN!G688:J688), 0))&gt;0, "NC",
            IF(MAX(IFERROR(SEARCH("DQ",MAIN!G688:J688), 0))&gt;0, "DQ",
            IF(ISNUMBER(SEARCH("WD",MAIN!K688)), "WD",
            IF(ISNUMBER(SEARCH("NS",MAIN!K688)), "NS",
            IF(ISNUMBER(SEARCH("NC",MAIN!K688)), "NC",
            IF(ISNUMBER(SEARCH("DQ",MAIN!K688)), "DQ",
            IF(ISNUMBER(SEARCH("A",MAIN!K688)), 0,
            IF(OR(MAIN!K688=0,MAIN!K688=""), 0, --TRIM(MAIN!K688)))))))))))),
        0
    )
)</f>
        <v>0</v>
      </c>
    </row>
    <row r="689" spans="1:11" x14ac:dyDescent="0.25">
      <c r="A689" t="str">
        <f>IF(ISBLANK(MAIN!A689), "--", IFERROR(PROPER(SUBSTITUTE(SUBSTITUTE(SUBSTITUTE(SUBSTITUTE(SUBSTITUTE(SUBSTITUTE(SUBSTITUTE(SUBSTITUTE(SUBSTITUTE(SUBSTITUTE(LEFT(MAIN!A689, FIND(",",MAIN!A689) -1), "0", ""), "1", ""), "2", ""), "3", ""), "4", ""), "5", ""), "6", ""), "7", ""), "8", ""), "9", "")), PROPER(SUBSTITUTE(SUBSTITUTE(SUBSTITUTE(SUBSTITUTE(SUBSTITUTE(SUBSTITUTE(SUBSTITUTE(SUBSTITUTE(SUBSTITUTE(SUBSTITUTE(MAIN!A689, "0", ""), "1", ""), "2", ""), "3", ""), "4", ""), "5", ""), "6", ""), "7", ""), "8", ""), "9", ""))))</f>
        <v>--</v>
      </c>
      <c r="B689" t="str">
        <f>IF(ISBLANK(MAIN!B689), "--", IFERROR(PROPER(SUBSTITUTE(SUBSTITUTE(SUBSTITUTE(SUBSTITUTE(SUBSTITUTE(SUBSTITUTE(SUBSTITUTE(SUBSTITUTE(SUBSTITUTE(SUBSTITUTE(LEFT(MAIN!B689, FIND(",",MAIN!B689) -1), "0", ""), "1", ""), "2", ""), "3", ""), "4", ""), "5", ""), "6", ""), "7", ""), "8", ""), "9", "")), PROPER(SUBSTITUTE(SUBSTITUTE(SUBSTITUTE(SUBSTITUTE(SUBSTITUTE(SUBSTITUTE(SUBSTITUTE(SUBSTITUTE(SUBSTITUTE(SUBSTITUTE(MAIN!B689, "0", ""), "1", ""), "2", ""), "3", ""), "4", ""), "5", ""), "6", ""), "7", ""), "8", ""), "9", ""))))</f>
        <v>--</v>
      </c>
      <c r="C689" t="str">
        <f>IF(ISBLANK(MAIN!C689), "--", IFERROR(PROPER(SUBSTITUTE(SUBSTITUTE(SUBSTITUTE(SUBSTITUTE(SUBSTITUTE(SUBSTITUTE(SUBSTITUTE(SUBSTITUTE(SUBSTITUTE(SUBSTITUTE(LEFT(MAIN!C689, FIND(",",MAIN!C689) -1), "0", ""), "1", ""), "2", ""), "3", ""), "4", ""), "5", ""), "6", ""), "7", ""), "8", ""), "9", "")), PROPER(SUBSTITUTE(SUBSTITUTE(SUBSTITUTE(SUBSTITUTE(SUBSTITUTE(SUBSTITUTE(SUBSTITUTE(SUBSTITUTE(SUBSTITUTE(SUBSTITUTE(MAIN!C689, "0", ""), "1", ""), "2", ""), "3", ""), "4", ""), "5", ""), "6", ""), "7", ""), "8", ""), "9", ""))))</f>
        <v>--</v>
      </c>
      <c r="D689" t="str">
        <f>IF(ISBLANK(MAIN!D689), "--", IF(ISNUMBER(MATCH(SUBSTITUTE(LEFT(MAIN!D689, IFERROR(FIND(",", MAIN!D689)-1, LEN(MAIN!D689))), " ", ""), lookup_values!$B$2:$B$51, 0)), UPPER(SUBSTITUTE(LEFT(MAIN!D689, IFERROR(FIND(",", MAIN!D689)-1, LEN(MAIN!D689))), " ", "")), IF(ISNA(VLOOKUP(SUBSTITUTE(LEFT(MAIN!D689, IFERROR(FIND(",", MAIN!D689)-1, LEN(MAIN!D689))), " ", ""), lookup_values!$A$2:$B$51, 2, FALSE)), "--", VLOOKUP(SUBSTITUTE(LEFT(MAIN!D689, IFERROR(FIND(",", MAIN!D689)-1, LEN(MAIN!D689))), " ", ""), lookup_values!$A$2:$B$51, 2, FALSE))))</f>
        <v>--</v>
      </c>
      <c r="E689" t="str">
        <f>IF(CLEAN_DATA!D689&lt;&gt;"--","US",IF(ISBLANK(MAIN!E689), "--", IF(ISNUMBER(MATCH(SUBSTITUTE(LEFT(MAIN!E689, IFERROR(FIND(",", MAIN!E689)-1, LEN(MAIN!E689))), " ", ""), lookup_values!$E$2:$E$197, 0)), UPPER(SUBSTITUTE(LEFT(MAIN!E689, IFERROR(FIND(",", MAIN!E689)-1, LEN(MAIN!E689))), " ", "")), IF(ISNA(VLOOKUP(SUBSTITUTE(LEFT(MAIN!E689, IFERROR(FIND(",", MAIN!E689)-1, LEN(MAIN!E689))), " ", ""), lookup_values!$D$2:$E$197, 2, FALSE)), "--", VLOOKUP(SUBSTITUTE(LEFT(MAIN!E689, IFERROR(FIND(",", MAIN!E689)-1, LEN(MAIN!E689))), " ", ""), lookup_values!$D$2:$E$197, 2, FALSE)))))</f>
        <v>--</v>
      </c>
      <c r="F689" t="str">
        <f>IF(ISBLANK(MAIN!F689), "", IF(AND(ISNUMBER(VALUE(TRIM(MAIN!F689))), LEN(TRIM(MAIN!F689))=4), VALUE(TRIM(MAIN!F689)), ""))</f>
        <v/>
      </c>
      <c r="G689">
        <f>IF(ISBLANK(MAIN!G689), 0, IF(ISNUMBER(VALUE(TRIM(MAIN!G689))), VALUE(TRIM(MAIN!G689)), 0))</f>
        <v>0</v>
      </c>
      <c r="H689">
        <f>IF(ISBLANK(MAIN!H689), 0, IF(ISNUMBER(VALUE(TRIM(MAIN!H689))), VALUE(TRIM(MAIN!H689)), 0))</f>
        <v>0</v>
      </c>
      <c r="I689">
        <f>IF(ISBLANK(MAIN!I689), 0, IF(ISNUMBER(VALUE(TRIM(MAIN!I689))), VALUE(TRIM(MAIN!I689)), 0))</f>
        <v>0</v>
      </c>
      <c r="J689">
        <f>IF(ISBLANK(MAIN!J689), 0, IF(ISNUMBER(VALUE(TRIM(MAIN!J689))), VALUE(TRIM(MAIN!J689)), 0))</f>
        <v>0</v>
      </c>
      <c r="K689" cm="1">
        <f t="array" ref="K689">IFERROR(
    VALUE(
        IFERROR(
            UPPER(
                IF(MAX(IFERROR(SEARCH("WD",MAIN!G689:J689), 0))&gt;0, "WD",
                IF(MAX(IFERROR(SEARCH("NS",MAIN!G689:J689), 0))&gt;0, "NS",
                IF(MAX(IFERROR(SEARCH("NC",MAIN!G689:J689), 0))&gt;0, "NC",
                IF(MAX(IFERROR(SEARCH("DQ",MAIN!G689:J689), 0))&gt;0, "DQ",
                IF(ISNUMBER(SEARCH("WD",MAIN!K689)), "WD",
                IF(ISNUMBER(SEARCH("NS",MAIN!K689)), "NS",
                IF(ISNUMBER(SEARCH("NC",MAIN!K689)), "NC",
                IF(ISNUMBER(SEARCH("DQ",MAIN!K689)), "DQ",
                IF(ISNUMBER(SEARCH("A",MAIN!K689)), 0,
                IF(OR(MAIN!K689=0,MAIN!K689=""), 0, --TRIM(MAIN!K689)))))))))))),
            0
        )
    ),
    IFERROR(
        UPPER(
            IF(MAX(IFERROR(SEARCH("WD",MAIN!G689:J689), 0))&gt;0, "WD",
            IF(MAX(IFERROR(SEARCH("NS",MAIN!G689:J689), 0))&gt;0, "NS",
            IF(MAX(IFERROR(SEARCH("NC",MAIN!G689:J689), 0))&gt;0, "NC",
            IF(MAX(IFERROR(SEARCH("DQ",MAIN!G689:J689), 0))&gt;0, "DQ",
            IF(ISNUMBER(SEARCH("WD",MAIN!K689)), "WD",
            IF(ISNUMBER(SEARCH("NS",MAIN!K689)), "NS",
            IF(ISNUMBER(SEARCH("NC",MAIN!K689)), "NC",
            IF(ISNUMBER(SEARCH("DQ",MAIN!K689)), "DQ",
            IF(ISNUMBER(SEARCH("A",MAIN!K689)), 0,
            IF(OR(MAIN!K689=0,MAIN!K689=""), 0, --TRIM(MAIN!K689)))))))))))),
        0
    )
)</f>
        <v>0</v>
      </c>
    </row>
    <row r="690" spans="1:11" x14ac:dyDescent="0.25">
      <c r="A690" t="str">
        <f>IF(ISBLANK(MAIN!A690), "--", IFERROR(PROPER(SUBSTITUTE(SUBSTITUTE(SUBSTITUTE(SUBSTITUTE(SUBSTITUTE(SUBSTITUTE(SUBSTITUTE(SUBSTITUTE(SUBSTITUTE(SUBSTITUTE(LEFT(MAIN!A690, FIND(",",MAIN!A690) -1), "0", ""), "1", ""), "2", ""), "3", ""), "4", ""), "5", ""), "6", ""), "7", ""), "8", ""), "9", "")), PROPER(SUBSTITUTE(SUBSTITUTE(SUBSTITUTE(SUBSTITUTE(SUBSTITUTE(SUBSTITUTE(SUBSTITUTE(SUBSTITUTE(SUBSTITUTE(SUBSTITUTE(MAIN!A690, "0", ""), "1", ""), "2", ""), "3", ""), "4", ""), "5", ""), "6", ""), "7", ""), "8", ""), "9", ""))))</f>
        <v>--</v>
      </c>
      <c r="B690" t="str">
        <f>IF(ISBLANK(MAIN!B690), "--", IFERROR(PROPER(SUBSTITUTE(SUBSTITUTE(SUBSTITUTE(SUBSTITUTE(SUBSTITUTE(SUBSTITUTE(SUBSTITUTE(SUBSTITUTE(SUBSTITUTE(SUBSTITUTE(LEFT(MAIN!B690, FIND(",",MAIN!B690) -1), "0", ""), "1", ""), "2", ""), "3", ""), "4", ""), "5", ""), "6", ""), "7", ""), "8", ""), "9", "")), PROPER(SUBSTITUTE(SUBSTITUTE(SUBSTITUTE(SUBSTITUTE(SUBSTITUTE(SUBSTITUTE(SUBSTITUTE(SUBSTITUTE(SUBSTITUTE(SUBSTITUTE(MAIN!B690, "0", ""), "1", ""), "2", ""), "3", ""), "4", ""), "5", ""), "6", ""), "7", ""), "8", ""), "9", ""))))</f>
        <v>--</v>
      </c>
      <c r="C690" t="str">
        <f>IF(ISBLANK(MAIN!C690), "--", IFERROR(PROPER(SUBSTITUTE(SUBSTITUTE(SUBSTITUTE(SUBSTITUTE(SUBSTITUTE(SUBSTITUTE(SUBSTITUTE(SUBSTITUTE(SUBSTITUTE(SUBSTITUTE(LEFT(MAIN!C690, FIND(",",MAIN!C690) -1), "0", ""), "1", ""), "2", ""), "3", ""), "4", ""), "5", ""), "6", ""), "7", ""), "8", ""), "9", "")), PROPER(SUBSTITUTE(SUBSTITUTE(SUBSTITUTE(SUBSTITUTE(SUBSTITUTE(SUBSTITUTE(SUBSTITUTE(SUBSTITUTE(SUBSTITUTE(SUBSTITUTE(MAIN!C690, "0", ""), "1", ""), "2", ""), "3", ""), "4", ""), "5", ""), "6", ""), "7", ""), "8", ""), "9", ""))))</f>
        <v>--</v>
      </c>
      <c r="D690" t="str">
        <f>IF(ISBLANK(MAIN!D690), "--", IF(ISNUMBER(MATCH(SUBSTITUTE(LEFT(MAIN!D690, IFERROR(FIND(",", MAIN!D690)-1, LEN(MAIN!D690))), " ", ""), lookup_values!$B$2:$B$51, 0)), UPPER(SUBSTITUTE(LEFT(MAIN!D690, IFERROR(FIND(",", MAIN!D690)-1, LEN(MAIN!D690))), " ", "")), IF(ISNA(VLOOKUP(SUBSTITUTE(LEFT(MAIN!D690, IFERROR(FIND(",", MAIN!D690)-1, LEN(MAIN!D690))), " ", ""), lookup_values!$A$2:$B$51, 2, FALSE)), "--", VLOOKUP(SUBSTITUTE(LEFT(MAIN!D690, IFERROR(FIND(",", MAIN!D690)-1, LEN(MAIN!D690))), " ", ""), lookup_values!$A$2:$B$51, 2, FALSE))))</f>
        <v>--</v>
      </c>
      <c r="E690" t="str">
        <f>IF(CLEAN_DATA!D690&lt;&gt;"--","US",IF(ISBLANK(MAIN!E690), "--", IF(ISNUMBER(MATCH(SUBSTITUTE(LEFT(MAIN!E690, IFERROR(FIND(",", MAIN!E690)-1, LEN(MAIN!E690))), " ", ""), lookup_values!$E$2:$E$197, 0)), UPPER(SUBSTITUTE(LEFT(MAIN!E690, IFERROR(FIND(",", MAIN!E690)-1, LEN(MAIN!E690))), " ", "")), IF(ISNA(VLOOKUP(SUBSTITUTE(LEFT(MAIN!E690, IFERROR(FIND(",", MAIN!E690)-1, LEN(MAIN!E690))), " ", ""), lookup_values!$D$2:$E$197, 2, FALSE)), "--", VLOOKUP(SUBSTITUTE(LEFT(MAIN!E690, IFERROR(FIND(",", MAIN!E690)-1, LEN(MAIN!E690))), " ", ""), lookup_values!$D$2:$E$197, 2, FALSE)))))</f>
        <v>--</v>
      </c>
      <c r="F690" t="str">
        <f>IF(ISBLANK(MAIN!F690), "", IF(AND(ISNUMBER(VALUE(TRIM(MAIN!F690))), LEN(TRIM(MAIN!F690))=4), VALUE(TRIM(MAIN!F690)), ""))</f>
        <v/>
      </c>
      <c r="G690">
        <f>IF(ISBLANK(MAIN!G690), 0, IF(ISNUMBER(VALUE(TRIM(MAIN!G690))), VALUE(TRIM(MAIN!G690)), 0))</f>
        <v>0</v>
      </c>
      <c r="H690">
        <f>IF(ISBLANK(MAIN!H690), 0, IF(ISNUMBER(VALUE(TRIM(MAIN!H690))), VALUE(TRIM(MAIN!H690)), 0))</f>
        <v>0</v>
      </c>
      <c r="I690">
        <f>IF(ISBLANK(MAIN!I690), 0, IF(ISNUMBER(VALUE(TRIM(MAIN!I690))), VALUE(TRIM(MAIN!I690)), 0))</f>
        <v>0</v>
      </c>
      <c r="J690">
        <f>IF(ISBLANK(MAIN!J690), 0, IF(ISNUMBER(VALUE(TRIM(MAIN!J690))), VALUE(TRIM(MAIN!J690)), 0))</f>
        <v>0</v>
      </c>
      <c r="K690" cm="1">
        <f t="array" ref="K690">IFERROR(
    VALUE(
        IFERROR(
            UPPER(
                IF(MAX(IFERROR(SEARCH("WD",MAIN!G690:J690), 0))&gt;0, "WD",
                IF(MAX(IFERROR(SEARCH("NS",MAIN!G690:J690), 0))&gt;0, "NS",
                IF(MAX(IFERROR(SEARCH("NC",MAIN!G690:J690), 0))&gt;0, "NC",
                IF(MAX(IFERROR(SEARCH("DQ",MAIN!G690:J690), 0))&gt;0, "DQ",
                IF(ISNUMBER(SEARCH("WD",MAIN!K690)), "WD",
                IF(ISNUMBER(SEARCH("NS",MAIN!K690)), "NS",
                IF(ISNUMBER(SEARCH("NC",MAIN!K690)), "NC",
                IF(ISNUMBER(SEARCH("DQ",MAIN!K690)), "DQ",
                IF(ISNUMBER(SEARCH("A",MAIN!K690)), 0,
                IF(OR(MAIN!K690=0,MAIN!K690=""), 0, --TRIM(MAIN!K690)))))))))))),
            0
        )
    ),
    IFERROR(
        UPPER(
            IF(MAX(IFERROR(SEARCH("WD",MAIN!G690:J690), 0))&gt;0, "WD",
            IF(MAX(IFERROR(SEARCH("NS",MAIN!G690:J690), 0))&gt;0, "NS",
            IF(MAX(IFERROR(SEARCH("NC",MAIN!G690:J690), 0))&gt;0, "NC",
            IF(MAX(IFERROR(SEARCH("DQ",MAIN!G690:J690), 0))&gt;0, "DQ",
            IF(ISNUMBER(SEARCH("WD",MAIN!K690)), "WD",
            IF(ISNUMBER(SEARCH("NS",MAIN!K690)), "NS",
            IF(ISNUMBER(SEARCH("NC",MAIN!K690)), "NC",
            IF(ISNUMBER(SEARCH("DQ",MAIN!K690)), "DQ",
            IF(ISNUMBER(SEARCH("A",MAIN!K690)), 0,
            IF(OR(MAIN!K690=0,MAIN!K690=""), 0, --TRIM(MAIN!K690)))))))))))),
        0
    )
)</f>
        <v>0</v>
      </c>
    </row>
    <row r="691" spans="1:11" x14ac:dyDescent="0.25">
      <c r="A691" t="str">
        <f>IF(ISBLANK(MAIN!A691), "--", IFERROR(PROPER(SUBSTITUTE(SUBSTITUTE(SUBSTITUTE(SUBSTITUTE(SUBSTITUTE(SUBSTITUTE(SUBSTITUTE(SUBSTITUTE(SUBSTITUTE(SUBSTITUTE(LEFT(MAIN!A691, FIND(",",MAIN!A691) -1), "0", ""), "1", ""), "2", ""), "3", ""), "4", ""), "5", ""), "6", ""), "7", ""), "8", ""), "9", "")), PROPER(SUBSTITUTE(SUBSTITUTE(SUBSTITUTE(SUBSTITUTE(SUBSTITUTE(SUBSTITUTE(SUBSTITUTE(SUBSTITUTE(SUBSTITUTE(SUBSTITUTE(MAIN!A691, "0", ""), "1", ""), "2", ""), "3", ""), "4", ""), "5", ""), "6", ""), "7", ""), "8", ""), "9", ""))))</f>
        <v>--</v>
      </c>
      <c r="B691" t="str">
        <f>IF(ISBLANK(MAIN!B691), "--", IFERROR(PROPER(SUBSTITUTE(SUBSTITUTE(SUBSTITUTE(SUBSTITUTE(SUBSTITUTE(SUBSTITUTE(SUBSTITUTE(SUBSTITUTE(SUBSTITUTE(SUBSTITUTE(LEFT(MAIN!B691, FIND(",",MAIN!B691) -1), "0", ""), "1", ""), "2", ""), "3", ""), "4", ""), "5", ""), "6", ""), "7", ""), "8", ""), "9", "")), PROPER(SUBSTITUTE(SUBSTITUTE(SUBSTITUTE(SUBSTITUTE(SUBSTITUTE(SUBSTITUTE(SUBSTITUTE(SUBSTITUTE(SUBSTITUTE(SUBSTITUTE(MAIN!B691, "0", ""), "1", ""), "2", ""), "3", ""), "4", ""), "5", ""), "6", ""), "7", ""), "8", ""), "9", ""))))</f>
        <v>--</v>
      </c>
      <c r="C691" t="str">
        <f>IF(ISBLANK(MAIN!C691), "--", IFERROR(PROPER(SUBSTITUTE(SUBSTITUTE(SUBSTITUTE(SUBSTITUTE(SUBSTITUTE(SUBSTITUTE(SUBSTITUTE(SUBSTITUTE(SUBSTITUTE(SUBSTITUTE(LEFT(MAIN!C691, FIND(",",MAIN!C691) -1), "0", ""), "1", ""), "2", ""), "3", ""), "4", ""), "5", ""), "6", ""), "7", ""), "8", ""), "9", "")), PROPER(SUBSTITUTE(SUBSTITUTE(SUBSTITUTE(SUBSTITUTE(SUBSTITUTE(SUBSTITUTE(SUBSTITUTE(SUBSTITUTE(SUBSTITUTE(SUBSTITUTE(MAIN!C691, "0", ""), "1", ""), "2", ""), "3", ""), "4", ""), "5", ""), "6", ""), "7", ""), "8", ""), "9", ""))))</f>
        <v>--</v>
      </c>
      <c r="D691" t="str">
        <f>IF(ISBLANK(MAIN!D691), "--", IF(ISNUMBER(MATCH(SUBSTITUTE(LEFT(MAIN!D691, IFERROR(FIND(",", MAIN!D691)-1, LEN(MAIN!D691))), " ", ""), lookup_values!$B$2:$B$51, 0)), UPPER(SUBSTITUTE(LEFT(MAIN!D691, IFERROR(FIND(",", MAIN!D691)-1, LEN(MAIN!D691))), " ", "")), IF(ISNA(VLOOKUP(SUBSTITUTE(LEFT(MAIN!D691, IFERROR(FIND(",", MAIN!D691)-1, LEN(MAIN!D691))), " ", ""), lookup_values!$A$2:$B$51, 2, FALSE)), "--", VLOOKUP(SUBSTITUTE(LEFT(MAIN!D691, IFERROR(FIND(",", MAIN!D691)-1, LEN(MAIN!D691))), " ", ""), lookup_values!$A$2:$B$51, 2, FALSE))))</f>
        <v>--</v>
      </c>
      <c r="E691" t="str">
        <f>IF(CLEAN_DATA!D691&lt;&gt;"--","US",IF(ISBLANK(MAIN!E691), "--", IF(ISNUMBER(MATCH(SUBSTITUTE(LEFT(MAIN!E691, IFERROR(FIND(",", MAIN!E691)-1, LEN(MAIN!E691))), " ", ""), lookup_values!$E$2:$E$197, 0)), UPPER(SUBSTITUTE(LEFT(MAIN!E691, IFERROR(FIND(",", MAIN!E691)-1, LEN(MAIN!E691))), " ", "")), IF(ISNA(VLOOKUP(SUBSTITUTE(LEFT(MAIN!E691, IFERROR(FIND(",", MAIN!E691)-1, LEN(MAIN!E691))), " ", ""), lookup_values!$D$2:$E$197, 2, FALSE)), "--", VLOOKUP(SUBSTITUTE(LEFT(MAIN!E691, IFERROR(FIND(",", MAIN!E691)-1, LEN(MAIN!E691))), " ", ""), lookup_values!$D$2:$E$197, 2, FALSE)))))</f>
        <v>--</v>
      </c>
      <c r="F691" t="str">
        <f>IF(ISBLANK(MAIN!F691), "", IF(AND(ISNUMBER(VALUE(TRIM(MAIN!F691))), LEN(TRIM(MAIN!F691))=4), VALUE(TRIM(MAIN!F691)), ""))</f>
        <v/>
      </c>
      <c r="G691">
        <f>IF(ISBLANK(MAIN!G691), 0, IF(ISNUMBER(VALUE(TRIM(MAIN!G691))), VALUE(TRIM(MAIN!G691)), 0))</f>
        <v>0</v>
      </c>
      <c r="H691">
        <f>IF(ISBLANK(MAIN!H691), 0, IF(ISNUMBER(VALUE(TRIM(MAIN!H691))), VALUE(TRIM(MAIN!H691)), 0))</f>
        <v>0</v>
      </c>
      <c r="I691">
        <f>IF(ISBLANK(MAIN!I691), 0, IF(ISNUMBER(VALUE(TRIM(MAIN!I691))), VALUE(TRIM(MAIN!I691)), 0))</f>
        <v>0</v>
      </c>
      <c r="J691">
        <f>IF(ISBLANK(MAIN!J691), 0, IF(ISNUMBER(VALUE(TRIM(MAIN!J691))), VALUE(TRIM(MAIN!J691)), 0))</f>
        <v>0</v>
      </c>
      <c r="K691" cm="1">
        <f t="array" ref="K691">IFERROR(
    VALUE(
        IFERROR(
            UPPER(
                IF(MAX(IFERROR(SEARCH("WD",MAIN!G691:J691), 0))&gt;0, "WD",
                IF(MAX(IFERROR(SEARCH("NS",MAIN!G691:J691), 0))&gt;0, "NS",
                IF(MAX(IFERROR(SEARCH("NC",MAIN!G691:J691), 0))&gt;0, "NC",
                IF(MAX(IFERROR(SEARCH("DQ",MAIN!G691:J691), 0))&gt;0, "DQ",
                IF(ISNUMBER(SEARCH("WD",MAIN!K691)), "WD",
                IF(ISNUMBER(SEARCH("NS",MAIN!K691)), "NS",
                IF(ISNUMBER(SEARCH("NC",MAIN!K691)), "NC",
                IF(ISNUMBER(SEARCH("DQ",MAIN!K691)), "DQ",
                IF(ISNUMBER(SEARCH("A",MAIN!K691)), 0,
                IF(OR(MAIN!K691=0,MAIN!K691=""), 0, --TRIM(MAIN!K691)))))))))))),
            0
        )
    ),
    IFERROR(
        UPPER(
            IF(MAX(IFERROR(SEARCH("WD",MAIN!G691:J691), 0))&gt;0, "WD",
            IF(MAX(IFERROR(SEARCH("NS",MAIN!G691:J691), 0))&gt;0, "NS",
            IF(MAX(IFERROR(SEARCH("NC",MAIN!G691:J691), 0))&gt;0, "NC",
            IF(MAX(IFERROR(SEARCH("DQ",MAIN!G691:J691), 0))&gt;0, "DQ",
            IF(ISNUMBER(SEARCH("WD",MAIN!K691)), "WD",
            IF(ISNUMBER(SEARCH("NS",MAIN!K691)), "NS",
            IF(ISNUMBER(SEARCH("NC",MAIN!K691)), "NC",
            IF(ISNUMBER(SEARCH("DQ",MAIN!K691)), "DQ",
            IF(ISNUMBER(SEARCH("A",MAIN!K691)), 0,
            IF(OR(MAIN!K691=0,MAIN!K691=""), 0, --TRIM(MAIN!K691)))))))))))),
        0
    )
)</f>
        <v>0</v>
      </c>
    </row>
    <row r="692" spans="1:11" x14ac:dyDescent="0.25">
      <c r="A692" t="str">
        <f>IF(ISBLANK(MAIN!A692), "--", IFERROR(PROPER(SUBSTITUTE(SUBSTITUTE(SUBSTITUTE(SUBSTITUTE(SUBSTITUTE(SUBSTITUTE(SUBSTITUTE(SUBSTITUTE(SUBSTITUTE(SUBSTITUTE(LEFT(MAIN!A692, FIND(",",MAIN!A692) -1), "0", ""), "1", ""), "2", ""), "3", ""), "4", ""), "5", ""), "6", ""), "7", ""), "8", ""), "9", "")), PROPER(SUBSTITUTE(SUBSTITUTE(SUBSTITUTE(SUBSTITUTE(SUBSTITUTE(SUBSTITUTE(SUBSTITUTE(SUBSTITUTE(SUBSTITUTE(SUBSTITUTE(MAIN!A692, "0", ""), "1", ""), "2", ""), "3", ""), "4", ""), "5", ""), "6", ""), "7", ""), "8", ""), "9", ""))))</f>
        <v>--</v>
      </c>
      <c r="B692" t="str">
        <f>IF(ISBLANK(MAIN!B692), "--", IFERROR(PROPER(SUBSTITUTE(SUBSTITUTE(SUBSTITUTE(SUBSTITUTE(SUBSTITUTE(SUBSTITUTE(SUBSTITUTE(SUBSTITUTE(SUBSTITUTE(SUBSTITUTE(LEFT(MAIN!B692, FIND(",",MAIN!B692) -1), "0", ""), "1", ""), "2", ""), "3", ""), "4", ""), "5", ""), "6", ""), "7", ""), "8", ""), "9", "")), PROPER(SUBSTITUTE(SUBSTITUTE(SUBSTITUTE(SUBSTITUTE(SUBSTITUTE(SUBSTITUTE(SUBSTITUTE(SUBSTITUTE(SUBSTITUTE(SUBSTITUTE(MAIN!B692, "0", ""), "1", ""), "2", ""), "3", ""), "4", ""), "5", ""), "6", ""), "7", ""), "8", ""), "9", ""))))</f>
        <v>--</v>
      </c>
      <c r="C692" t="str">
        <f>IF(ISBLANK(MAIN!C692), "--", IFERROR(PROPER(SUBSTITUTE(SUBSTITUTE(SUBSTITUTE(SUBSTITUTE(SUBSTITUTE(SUBSTITUTE(SUBSTITUTE(SUBSTITUTE(SUBSTITUTE(SUBSTITUTE(LEFT(MAIN!C692, FIND(",",MAIN!C692) -1), "0", ""), "1", ""), "2", ""), "3", ""), "4", ""), "5", ""), "6", ""), "7", ""), "8", ""), "9", "")), PROPER(SUBSTITUTE(SUBSTITUTE(SUBSTITUTE(SUBSTITUTE(SUBSTITUTE(SUBSTITUTE(SUBSTITUTE(SUBSTITUTE(SUBSTITUTE(SUBSTITUTE(MAIN!C692, "0", ""), "1", ""), "2", ""), "3", ""), "4", ""), "5", ""), "6", ""), "7", ""), "8", ""), "9", ""))))</f>
        <v>--</v>
      </c>
      <c r="D692" t="str">
        <f>IF(ISBLANK(MAIN!D692), "--", IF(ISNUMBER(MATCH(SUBSTITUTE(LEFT(MAIN!D692, IFERROR(FIND(",", MAIN!D692)-1, LEN(MAIN!D692))), " ", ""), lookup_values!$B$2:$B$51, 0)), UPPER(SUBSTITUTE(LEFT(MAIN!D692, IFERROR(FIND(",", MAIN!D692)-1, LEN(MAIN!D692))), " ", "")), IF(ISNA(VLOOKUP(SUBSTITUTE(LEFT(MAIN!D692, IFERROR(FIND(",", MAIN!D692)-1, LEN(MAIN!D692))), " ", ""), lookup_values!$A$2:$B$51, 2, FALSE)), "--", VLOOKUP(SUBSTITUTE(LEFT(MAIN!D692, IFERROR(FIND(",", MAIN!D692)-1, LEN(MAIN!D692))), " ", ""), lookup_values!$A$2:$B$51, 2, FALSE))))</f>
        <v>--</v>
      </c>
      <c r="E692" t="str">
        <f>IF(CLEAN_DATA!D692&lt;&gt;"--","US",IF(ISBLANK(MAIN!E692), "--", IF(ISNUMBER(MATCH(SUBSTITUTE(LEFT(MAIN!E692, IFERROR(FIND(",", MAIN!E692)-1, LEN(MAIN!E692))), " ", ""), lookup_values!$E$2:$E$197, 0)), UPPER(SUBSTITUTE(LEFT(MAIN!E692, IFERROR(FIND(",", MAIN!E692)-1, LEN(MAIN!E692))), " ", "")), IF(ISNA(VLOOKUP(SUBSTITUTE(LEFT(MAIN!E692, IFERROR(FIND(",", MAIN!E692)-1, LEN(MAIN!E692))), " ", ""), lookup_values!$D$2:$E$197, 2, FALSE)), "--", VLOOKUP(SUBSTITUTE(LEFT(MAIN!E692, IFERROR(FIND(",", MAIN!E692)-1, LEN(MAIN!E692))), " ", ""), lookup_values!$D$2:$E$197, 2, FALSE)))))</f>
        <v>--</v>
      </c>
      <c r="F692" t="str">
        <f>IF(ISBLANK(MAIN!F692), "", IF(AND(ISNUMBER(VALUE(TRIM(MAIN!F692))), LEN(TRIM(MAIN!F692))=4), VALUE(TRIM(MAIN!F692)), ""))</f>
        <v/>
      </c>
      <c r="G692">
        <f>IF(ISBLANK(MAIN!G692), 0, IF(ISNUMBER(VALUE(TRIM(MAIN!G692))), VALUE(TRIM(MAIN!G692)), 0))</f>
        <v>0</v>
      </c>
      <c r="H692">
        <f>IF(ISBLANK(MAIN!H692), 0, IF(ISNUMBER(VALUE(TRIM(MAIN!H692))), VALUE(TRIM(MAIN!H692)), 0))</f>
        <v>0</v>
      </c>
      <c r="I692">
        <f>IF(ISBLANK(MAIN!I692), 0, IF(ISNUMBER(VALUE(TRIM(MAIN!I692))), VALUE(TRIM(MAIN!I692)), 0))</f>
        <v>0</v>
      </c>
      <c r="J692">
        <f>IF(ISBLANK(MAIN!J692), 0, IF(ISNUMBER(VALUE(TRIM(MAIN!J692))), VALUE(TRIM(MAIN!J692)), 0))</f>
        <v>0</v>
      </c>
      <c r="K692" cm="1">
        <f t="array" ref="K692">IFERROR(
    VALUE(
        IFERROR(
            UPPER(
                IF(MAX(IFERROR(SEARCH("WD",MAIN!G692:J692), 0))&gt;0, "WD",
                IF(MAX(IFERROR(SEARCH("NS",MAIN!G692:J692), 0))&gt;0, "NS",
                IF(MAX(IFERROR(SEARCH("NC",MAIN!G692:J692), 0))&gt;0, "NC",
                IF(MAX(IFERROR(SEARCH("DQ",MAIN!G692:J692), 0))&gt;0, "DQ",
                IF(ISNUMBER(SEARCH("WD",MAIN!K692)), "WD",
                IF(ISNUMBER(SEARCH("NS",MAIN!K692)), "NS",
                IF(ISNUMBER(SEARCH("NC",MAIN!K692)), "NC",
                IF(ISNUMBER(SEARCH("DQ",MAIN!K692)), "DQ",
                IF(ISNUMBER(SEARCH("A",MAIN!K692)), 0,
                IF(OR(MAIN!K692=0,MAIN!K692=""), 0, --TRIM(MAIN!K692)))))))))))),
            0
        )
    ),
    IFERROR(
        UPPER(
            IF(MAX(IFERROR(SEARCH("WD",MAIN!G692:J692), 0))&gt;0, "WD",
            IF(MAX(IFERROR(SEARCH("NS",MAIN!G692:J692), 0))&gt;0, "NS",
            IF(MAX(IFERROR(SEARCH("NC",MAIN!G692:J692), 0))&gt;0, "NC",
            IF(MAX(IFERROR(SEARCH("DQ",MAIN!G692:J692), 0))&gt;0, "DQ",
            IF(ISNUMBER(SEARCH("WD",MAIN!K692)), "WD",
            IF(ISNUMBER(SEARCH("NS",MAIN!K692)), "NS",
            IF(ISNUMBER(SEARCH("NC",MAIN!K692)), "NC",
            IF(ISNUMBER(SEARCH("DQ",MAIN!K692)), "DQ",
            IF(ISNUMBER(SEARCH("A",MAIN!K692)), 0,
            IF(OR(MAIN!K692=0,MAIN!K692=""), 0, --TRIM(MAIN!K692)))))))))))),
        0
    )
)</f>
        <v>0</v>
      </c>
    </row>
    <row r="693" spans="1:11" x14ac:dyDescent="0.25">
      <c r="A693" t="str">
        <f>IF(ISBLANK(MAIN!A693), "--", IFERROR(PROPER(SUBSTITUTE(SUBSTITUTE(SUBSTITUTE(SUBSTITUTE(SUBSTITUTE(SUBSTITUTE(SUBSTITUTE(SUBSTITUTE(SUBSTITUTE(SUBSTITUTE(LEFT(MAIN!A693, FIND(",",MAIN!A693) -1), "0", ""), "1", ""), "2", ""), "3", ""), "4", ""), "5", ""), "6", ""), "7", ""), "8", ""), "9", "")), PROPER(SUBSTITUTE(SUBSTITUTE(SUBSTITUTE(SUBSTITUTE(SUBSTITUTE(SUBSTITUTE(SUBSTITUTE(SUBSTITUTE(SUBSTITUTE(SUBSTITUTE(MAIN!A693, "0", ""), "1", ""), "2", ""), "3", ""), "4", ""), "5", ""), "6", ""), "7", ""), "8", ""), "9", ""))))</f>
        <v>--</v>
      </c>
      <c r="B693" t="str">
        <f>IF(ISBLANK(MAIN!B693), "--", IFERROR(PROPER(SUBSTITUTE(SUBSTITUTE(SUBSTITUTE(SUBSTITUTE(SUBSTITUTE(SUBSTITUTE(SUBSTITUTE(SUBSTITUTE(SUBSTITUTE(SUBSTITUTE(LEFT(MAIN!B693, FIND(",",MAIN!B693) -1), "0", ""), "1", ""), "2", ""), "3", ""), "4", ""), "5", ""), "6", ""), "7", ""), "8", ""), "9", "")), PROPER(SUBSTITUTE(SUBSTITUTE(SUBSTITUTE(SUBSTITUTE(SUBSTITUTE(SUBSTITUTE(SUBSTITUTE(SUBSTITUTE(SUBSTITUTE(SUBSTITUTE(MAIN!B693, "0", ""), "1", ""), "2", ""), "3", ""), "4", ""), "5", ""), "6", ""), "7", ""), "8", ""), "9", ""))))</f>
        <v>--</v>
      </c>
      <c r="C693" t="str">
        <f>IF(ISBLANK(MAIN!C693), "--", IFERROR(PROPER(SUBSTITUTE(SUBSTITUTE(SUBSTITUTE(SUBSTITUTE(SUBSTITUTE(SUBSTITUTE(SUBSTITUTE(SUBSTITUTE(SUBSTITUTE(SUBSTITUTE(LEFT(MAIN!C693, FIND(",",MAIN!C693) -1), "0", ""), "1", ""), "2", ""), "3", ""), "4", ""), "5", ""), "6", ""), "7", ""), "8", ""), "9", "")), PROPER(SUBSTITUTE(SUBSTITUTE(SUBSTITUTE(SUBSTITUTE(SUBSTITUTE(SUBSTITUTE(SUBSTITUTE(SUBSTITUTE(SUBSTITUTE(SUBSTITUTE(MAIN!C693, "0", ""), "1", ""), "2", ""), "3", ""), "4", ""), "5", ""), "6", ""), "7", ""), "8", ""), "9", ""))))</f>
        <v>--</v>
      </c>
      <c r="D693" t="str">
        <f>IF(ISBLANK(MAIN!D693), "--", IF(ISNUMBER(MATCH(SUBSTITUTE(LEFT(MAIN!D693, IFERROR(FIND(",", MAIN!D693)-1, LEN(MAIN!D693))), " ", ""), lookup_values!$B$2:$B$51, 0)), UPPER(SUBSTITUTE(LEFT(MAIN!D693, IFERROR(FIND(",", MAIN!D693)-1, LEN(MAIN!D693))), " ", "")), IF(ISNA(VLOOKUP(SUBSTITUTE(LEFT(MAIN!D693, IFERROR(FIND(",", MAIN!D693)-1, LEN(MAIN!D693))), " ", ""), lookup_values!$A$2:$B$51, 2, FALSE)), "--", VLOOKUP(SUBSTITUTE(LEFT(MAIN!D693, IFERROR(FIND(",", MAIN!D693)-1, LEN(MAIN!D693))), " ", ""), lookup_values!$A$2:$B$51, 2, FALSE))))</f>
        <v>--</v>
      </c>
      <c r="E693" t="str">
        <f>IF(CLEAN_DATA!D693&lt;&gt;"--","US",IF(ISBLANK(MAIN!E693), "--", IF(ISNUMBER(MATCH(SUBSTITUTE(LEFT(MAIN!E693, IFERROR(FIND(",", MAIN!E693)-1, LEN(MAIN!E693))), " ", ""), lookup_values!$E$2:$E$197, 0)), UPPER(SUBSTITUTE(LEFT(MAIN!E693, IFERROR(FIND(",", MAIN!E693)-1, LEN(MAIN!E693))), " ", "")), IF(ISNA(VLOOKUP(SUBSTITUTE(LEFT(MAIN!E693, IFERROR(FIND(",", MAIN!E693)-1, LEN(MAIN!E693))), " ", ""), lookup_values!$D$2:$E$197, 2, FALSE)), "--", VLOOKUP(SUBSTITUTE(LEFT(MAIN!E693, IFERROR(FIND(",", MAIN!E693)-1, LEN(MAIN!E693))), " ", ""), lookup_values!$D$2:$E$197, 2, FALSE)))))</f>
        <v>--</v>
      </c>
      <c r="F693" t="str">
        <f>IF(ISBLANK(MAIN!F693), "", IF(AND(ISNUMBER(VALUE(TRIM(MAIN!F693))), LEN(TRIM(MAIN!F693))=4), VALUE(TRIM(MAIN!F693)), ""))</f>
        <v/>
      </c>
      <c r="G693">
        <f>IF(ISBLANK(MAIN!G693), 0, IF(ISNUMBER(VALUE(TRIM(MAIN!G693))), VALUE(TRIM(MAIN!G693)), 0))</f>
        <v>0</v>
      </c>
      <c r="H693">
        <f>IF(ISBLANK(MAIN!H693), 0, IF(ISNUMBER(VALUE(TRIM(MAIN!H693))), VALUE(TRIM(MAIN!H693)), 0))</f>
        <v>0</v>
      </c>
      <c r="I693">
        <f>IF(ISBLANK(MAIN!I693), 0, IF(ISNUMBER(VALUE(TRIM(MAIN!I693))), VALUE(TRIM(MAIN!I693)), 0))</f>
        <v>0</v>
      </c>
      <c r="J693">
        <f>IF(ISBLANK(MAIN!J693), 0, IF(ISNUMBER(VALUE(TRIM(MAIN!J693))), VALUE(TRIM(MAIN!J693)), 0))</f>
        <v>0</v>
      </c>
      <c r="K693" cm="1">
        <f t="array" ref="K693">IFERROR(
    VALUE(
        IFERROR(
            UPPER(
                IF(MAX(IFERROR(SEARCH("WD",MAIN!G693:J693), 0))&gt;0, "WD",
                IF(MAX(IFERROR(SEARCH("NS",MAIN!G693:J693), 0))&gt;0, "NS",
                IF(MAX(IFERROR(SEARCH("NC",MAIN!G693:J693), 0))&gt;0, "NC",
                IF(MAX(IFERROR(SEARCH("DQ",MAIN!G693:J693), 0))&gt;0, "DQ",
                IF(ISNUMBER(SEARCH("WD",MAIN!K693)), "WD",
                IF(ISNUMBER(SEARCH("NS",MAIN!K693)), "NS",
                IF(ISNUMBER(SEARCH("NC",MAIN!K693)), "NC",
                IF(ISNUMBER(SEARCH("DQ",MAIN!K693)), "DQ",
                IF(ISNUMBER(SEARCH("A",MAIN!K693)), 0,
                IF(OR(MAIN!K693=0,MAIN!K693=""), 0, --TRIM(MAIN!K693)))))))))))),
            0
        )
    ),
    IFERROR(
        UPPER(
            IF(MAX(IFERROR(SEARCH("WD",MAIN!G693:J693), 0))&gt;0, "WD",
            IF(MAX(IFERROR(SEARCH("NS",MAIN!G693:J693), 0))&gt;0, "NS",
            IF(MAX(IFERROR(SEARCH("NC",MAIN!G693:J693), 0))&gt;0, "NC",
            IF(MAX(IFERROR(SEARCH("DQ",MAIN!G693:J693), 0))&gt;0, "DQ",
            IF(ISNUMBER(SEARCH("WD",MAIN!K693)), "WD",
            IF(ISNUMBER(SEARCH("NS",MAIN!K693)), "NS",
            IF(ISNUMBER(SEARCH("NC",MAIN!K693)), "NC",
            IF(ISNUMBER(SEARCH("DQ",MAIN!K693)), "DQ",
            IF(ISNUMBER(SEARCH("A",MAIN!K693)), 0,
            IF(OR(MAIN!K693=0,MAIN!K693=""), 0, --TRIM(MAIN!K693)))))))))))),
        0
    )
)</f>
        <v>0</v>
      </c>
    </row>
    <row r="694" spans="1:11" x14ac:dyDescent="0.25">
      <c r="A694" t="str">
        <f>IF(ISBLANK(MAIN!A694), "--", IFERROR(PROPER(SUBSTITUTE(SUBSTITUTE(SUBSTITUTE(SUBSTITUTE(SUBSTITUTE(SUBSTITUTE(SUBSTITUTE(SUBSTITUTE(SUBSTITUTE(SUBSTITUTE(LEFT(MAIN!A694, FIND(",",MAIN!A694) -1), "0", ""), "1", ""), "2", ""), "3", ""), "4", ""), "5", ""), "6", ""), "7", ""), "8", ""), "9", "")), PROPER(SUBSTITUTE(SUBSTITUTE(SUBSTITUTE(SUBSTITUTE(SUBSTITUTE(SUBSTITUTE(SUBSTITUTE(SUBSTITUTE(SUBSTITUTE(SUBSTITUTE(MAIN!A694, "0", ""), "1", ""), "2", ""), "3", ""), "4", ""), "5", ""), "6", ""), "7", ""), "8", ""), "9", ""))))</f>
        <v>--</v>
      </c>
      <c r="B694" t="str">
        <f>IF(ISBLANK(MAIN!B694), "--", IFERROR(PROPER(SUBSTITUTE(SUBSTITUTE(SUBSTITUTE(SUBSTITUTE(SUBSTITUTE(SUBSTITUTE(SUBSTITUTE(SUBSTITUTE(SUBSTITUTE(SUBSTITUTE(LEFT(MAIN!B694, FIND(",",MAIN!B694) -1), "0", ""), "1", ""), "2", ""), "3", ""), "4", ""), "5", ""), "6", ""), "7", ""), "8", ""), "9", "")), PROPER(SUBSTITUTE(SUBSTITUTE(SUBSTITUTE(SUBSTITUTE(SUBSTITUTE(SUBSTITUTE(SUBSTITUTE(SUBSTITUTE(SUBSTITUTE(SUBSTITUTE(MAIN!B694, "0", ""), "1", ""), "2", ""), "3", ""), "4", ""), "5", ""), "6", ""), "7", ""), "8", ""), "9", ""))))</f>
        <v>--</v>
      </c>
      <c r="C694" t="str">
        <f>IF(ISBLANK(MAIN!C694), "--", IFERROR(PROPER(SUBSTITUTE(SUBSTITUTE(SUBSTITUTE(SUBSTITUTE(SUBSTITUTE(SUBSTITUTE(SUBSTITUTE(SUBSTITUTE(SUBSTITUTE(SUBSTITUTE(LEFT(MAIN!C694, FIND(",",MAIN!C694) -1), "0", ""), "1", ""), "2", ""), "3", ""), "4", ""), "5", ""), "6", ""), "7", ""), "8", ""), "9", "")), PROPER(SUBSTITUTE(SUBSTITUTE(SUBSTITUTE(SUBSTITUTE(SUBSTITUTE(SUBSTITUTE(SUBSTITUTE(SUBSTITUTE(SUBSTITUTE(SUBSTITUTE(MAIN!C694, "0", ""), "1", ""), "2", ""), "3", ""), "4", ""), "5", ""), "6", ""), "7", ""), "8", ""), "9", ""))))</f>
        <v>--</v>
      </c>
      <c r="D694" t="str">
        <f>IF(ISBLANK(MAIN!D694), "--", IF(ISNUMBER(MATCH(SUBSTITUTE(LEFT(MAIN!D694, IFERROR(FIND(",", MAIN!D694)-1, LEN(MAIN!D694))), " ", ""), lookup_values!$B$2:$B$51, 0)), UPPER(SUBSTITUTE(LEFT(MAIN!D694, IFERROR(FIND(",", MAIN!D694)-1, LEN(MAIN!D694))), " ", "")), IF(ISNA(VLOOKUP(SUBSTITUTE(LEFT(MAIN!D694, IFERROR(FIND(",", MAIN!D694)-1, LEN(MAIN!D694))), " ", ""), lookup_values!$A$2:$B$51, 2, FALSE)), "--", VLOOKUP(SUBSTITUTE(LEFT(MAIN!D694, IFERROR(FIND(",", MAIN!D694)-1, LEN(MAIN!D694))), " ", ""), lookup_values!$A$2:$B$51, 2, FALSE))))</f>
        <v>--</v>
      </c>
      <c r="E694" t="str">
        <f>IF(CLEAN_DATA!D694&lt;&gt;"--","US",IF(ISBLANK(MAIN!E694), "--", IF(ISNUMBER(MATCH(SUBSTITUTE(LEFT(MAIN!E694, IFERROR(FIND(",", MAIN!E694)-1, LEN(MAIN!E694))), " ", ""), lookup_values!$E$2:$E$197, 0)), UPPER(SUBSTITUTE(LEFT(MAIN!E694, IFERROR(FIND(",", MAIN!E694)-1, LEN(MAIN!E694))), " ", "")), IF(ISNA(VLOOKUP(SUBSTITUTE(LEFT(MAIN!E694, IFERROR(FIND(",", MAIN!E694)-1, LEN(MAIN!E694))), " ", ""), lookup_values!$D$2:$E$197, 2, FALSE)), "--", VLOOKUP(SUBSTITUTE(LEFT(MAIN!E694, IFERROR(FIND(",", MAIN!E694)-1, LEN(MAIN!E694))), " ", ""), lookup_values!$D$2:$E$197, 2, FALSE)))))</f>
        <v>--</v>
      </c>
      <c r="F694" t="str">
        <f>IF(ISBLANK(MAIN!F694), "", IF(AND(ISNUMBER(VALUE(TRIM(MAIN!F694))), LEN(TRIM(MAIN!F694))=4), VALUE(TRIM(MAIN!F694)), ""))</f>
        <v/>
      </c>
      <c r="G694">
        <f>IF(ISBLANK(MAIN!G694), 0, IF(ISNUMBER(VALUE(TRIM(MAIN!G694))), VALUE(TRIM(MAIN!G694)), 0))</f>
        <v>0</v>
      </c>
      <c r="H694">
        <f>IF(ISBLANK(MAIN!H694), 0, IF(ISNUMBER(VALUE(TRIM(MAIN!H694))), VALUE(TRIM(MAIN!H694)), 0))</f>
        <v>0</v>
      </c>
      <c r="I694">
        <f>IF(ISBLANK(MAIN!I694), 0, IF(ISNUMBER(VALUE(TRIM(MAIN!I694))), VALUE(TRIM(MAIN!I694)), 0))</f>
        <v>0</v>
      </c>
      <c r="J694">
        <f>IF(ISBLANK(MAIN!J694), 0, IF(ISNUMBER(VALUE(TRIM(MAIN!J694))), VALUE(TRIM(MAIN!J694)), 0))</f>
        <v>0</v>
      </c>
      <c r="K694" cm="1">
        <f t="array" ref="K694">IFERROR(
    VALUE(
        IFERROR(
            UPPER(
                IF(MAX(IFERROR(SEARCH("WD",MAIN!G694:J694), 0))&gt;0, "WD",
                IF(MAX(IFERROR(SEARCH("NS",MAIN!G694:J694), 0))&gt;0, "NS",
                IF(MAX(IFERROR(SEARCH("NC",MAIN!G694:J694), 0))&gt;0, "NC",
                IF(MAX(IFERROR(SEARCH("DQ",MAIN!G694:J694), 0))&gt;0, "DQ",
                IF(ISNUMBER(SEARCH("WD",MAIN!K694)), "WD",
                IF(ISNUMBER(SEARCH("NS",MAIN!K694)), "NS",
                IF(ISNUMBER(SEARCH("NC",MAIN!K694)), "NC",
                IF(ISNUMBER(SEARCH("DQ",MAIN!K694)), "DQ",
                IF(ISNUMBER(SEARCH("A",MAIN!K694)), 0,
                IF(OR(MAIN!K694=0,MAIN!K694=""), 0, --TRIM(MAIN!K694)))))))))))),
            0
        )
    ),
    IFERROR(
        UPPER(
            IF(MAX(IFERROR(SEARCH("WD",MAIN!G694:J694), 0))&gt;0, "WD",
            IF(MAX(IFERROR(SEARCH("NS",MAIN!G694:J694), 0))&gt;0, "NS",
            IF(MAX(IFERROR(SEARCH("NC",MAIN!G694:J694), 0))&gt;0, "NC",
            IF(MAX(IFERROR(SEARCH("DQ",MAIN!G694:J694), 0))&gt;0, "DQ",
            IF(ISNUMBER(SEARCH("WD",MAIN!K694)), "WD",
            IF(ISNUMBER(SEARCH("NS",MAIN!K694)), "NS",
            IF(ISNUMBER(SEARCH("NC",MAIN!K694)), "NC",
            IF(ISNUMBER(SEARCH("DQ",MAIN!K694)), "DQ",
            IF(ISNUMBER(SEARCH("A",MAIN!K694)), 0,
            IF(OR(MAIN!K694=0,MAIN!K694=""), 0, --TRIM(MAIN!K694)))))))))))),
        0
    )
)</f>
        <v>0</v>
      </c>
    </row>
    <row r="695" spans="1:11" x14ac:dyDescent="0.25">
      <c r="A695" t="str">
        <f>IF(ISBLANK(MAIN!A695), "--", IFERROR(PROPER(SUBSTITUTE(SUBSTITUTE(SUBSTITUTE(SUBSTITUTE(SUBSTITUTE(SUBSTITUTE(SUBSTITUTE(SUBSTITUTE(SUBSTITUTE(SUBSTITUTE(LEFT(MAIN!A695, FIND(",",MAIN!A695) -1), "0", ""), "1", ""), "2", ""), "3", ""), "4", ""), "5", ""), "6", ""), "7", ""), "8", ""), "9", "")), PROPER(SUBSTITUTE(SUBSTITUTE(SUBSTITUTE(SUBSTITUTE(SUBSTITUTE(SUBSTITUTE(SUBSTITUTE(SUBSTITUTE(SUBSTITUTE(SUBSTITUTE(MAIN!A695, "0", ""), "1", ""), "2", ""), "3", ""), "4", ""), "5", ""), "6", ""), "7", ""), "8", ""), "9", ""))))</f>
        <v>--</v>
      </c>
      <c r="B695" t="str">
        <f>IF(ISBLANK(MAIN!B695), "--", IFERROR(PROPER(SUBSTITUTE(SUBSTITUTE(SUBSTITUTE(SUBSTITUTE(SUBSTITUTE(SUBSTITUTE(SUBSTITUTE(SUBSTITUTE(SUBSTITUTE(SUBSTITUTE(LEFT(MAIN!B695, FIND(",",MAIN!B695) -1), "0", ""), "1", ""), "2", ""), "3", ""), "4", ""), "5", ""), "6", ""), "7", ""), "8", ""), "9", "")), PROPER(SUBSTITUTE(SUBSTITUTE(SUBSTITUTE(SUBSTITUTE(SUBSTITUTE(SUBSTITUTE(SUBSTITUTE(SUBSTITUTE(SUBSTITUTE(SUBSTITUTE(MAIN!B695, "0", ""), "1", ""), "2", ""), "3", ""), "4", ""), "5", ""), "6", ""), "7", ""), "8", ""), "9", ""))))</f>
        <v>--</v>
      </c>
      <c r="C695" t="str">
        <f>IF(ISBLANK(MAIN!C695), "--", IFERROR(PROPER(SUBSTITUTE(SUBSTITUTE(SUBSTITUTE(SUBSTITUTE(SUBSTITUTE(SUBSTITUTE(SUBSTITUTE(SUBSTITUTE(SUBSTITUTE(SUBSTITUTE(LEFT(MAIN!C695, FIND(",",MAIN!C695) -1), "0", ""), "1", ""), "2", ""), "3", ""), "4", ""), "5", ""), "6", ""), "7", ""), "8", ""), "9", "")), PROPER(SUBSTITUTE(SUBSTITUTE(SUBSTITUTE(SUBSTITUTE(SUBSTITUTE(SUBSTITUTE(SUBSTITUTE(SUBSTITUTE(SUBSTITUTE(SUBSTITUTE(MAIN!C695, "0", ""), "1", ""), "2", ""), "3", ""), "4", ""), "5", ""), "6", ""), "7", ""), "8", ""), "9", ""))))</f>
        <v>--</v>
      </c>
      <c r="D695" t="str">
        <f>IF(ISBLANK(MAIN!D695), "--", IF(ISNUMBER(MATCH(SUBSTITUTE(LEFT(MAIN!D695, IFERROR(FIND(",", MAIN!D695)-1, LEN(MAIN!D695))), " ", ""), lookup_values!$B$2:$B$51, 0)), UPPER(SUBSTITUTE(LEFT(MAIN!D695, IFERROR(FIND(",", MAIN!D695)-1, LEN(MAIN!D695))), " ", "")), IF(ISNA(VLOOKUP(SUBSTITUTE(LEFT(MAIN!D695, IFERROR(FIND(",", MAIN!D695)-1, LEN(MAIN!D695))), " ", ""), lookup_values!$A$2:$B$51, 2, FALSE)), "--", VLOOKUP(SUBSTITUTE(LEFT(MAIN!D695, IFERROR(FIND(",", MAIN!D695)-1, LEN(MAIN!D695))), " ", ""), lookup_values!$A$2:$B$51, 2, FALSE))))</f>
        <v>--</v>
      </c>
      <c r="E695" t="str">
        <f>IF(CLEAN_DATA!D695&lt;&gt;"--","US",IF(ISBLANK(MAIN!E695), "--", IF(ISNUMBER(MATCH(SUBSTITUTE(LEFT(MAIN!E695, IFERROR(FIND(",", MAIN!E695)-1, LEN(MAIN!E695))), " ", ""), lookup_values!$E$2:$E$197, 0)), UPPER(SUBSTITUTE(LEFT(MAIN!E695, IFERROR(FIND(",", MAIN!E695)-1, LEN(MAIN!E695))), " ", "")), IF(ISNA(VLOOKUP(SUBSTITUTE(LEFT(MAIN!E695, IFERROR(FIND(",", MAIN!E695)-1, LEN(MAIN!E695))), " ", ""), lookup_values!$D$2:$E$197, 2, FALSE)), "--", VLOOKUP(SUBSTITUTE(LEFT(MAIN!E695, IFERROR(FIND(",", MAIN!E695)-1, LEN(MAIN!E695))), " ", ""), lookup_values!$D$2:$E$197, 2, FALSE)))))</f>
        <v>--</v>
      </c>
      <c r="F695" t="str">
        <f>IF(ISBLANK(MAIN!F695), "", IF(AND(ISNUMBER(VALUE(TRIM(MAIN!F695))), LEN(TRIM(MAIN!F695))=4), VALUE(TRIM(MAIN!F695)), ""))</f>
        <v/>
      </c>
      <c r="G695">
        <f>IF(ISBLANK(MAIN!G695), 0, IF(ISNUMBER(VALUE(TRIM(MAIN!G695))), VALUE(TRIM(MAIN!G695)), 0))</f>
        <v>0</v>
      </c>
      <c r="H695">
        <f>IF(ISBLANK(MAIN!H695), 0, IF(ISNUMBER(VALUE(TRIM(MAIN!H695))), VALUE(TRIM(MAIN!H695)), 0))</f>
        <v>0</v>
      </c>
      <c r="I695">
        <f>IF(ISBLANK(MAIN!I695), 0, IF(ISNUMBER(VALUE(TRIM(MAIN!I695))), VALUE(TRIM(MAIN!I695)), 0))</f>
        <v>0</v>
      </c>
      <c r="J695">
        <f>IF(ISBLANK(MAIN!J695), 0, IF(ISNUMBER(VALUE(TRIM(MAIN!J695))), VALUE(TRIM(MAIN!J695)), 0))</f>
        <v>0</v>
      </c>
      <c r="K695" cm="1">
        <f t="array" ref="K695">IFERROR(
    VALUE(
        IFERROR(
            UPPER(
                IF(MAX(IFERROR(SEARCH("WD",MAIN!G695:J695), 0))&gt;0, "WD",
                IF(MAX(IFERROR(SEARCH("NS",MAIN!G695:J695), 0))&gt;0, "NS",
                IF(MAX(IFERROR(SEARCH("NC",MAIN!G695:J695), 0))&gt;0, "NC",
                IF(MAX(IFERROR(SEARCH("DQ",MAIN!G695:J695), 0))&gt;0, "DQ",
                IF(ISNUMBER(SEARCH("WD",MAIN!K695)), "WD",
                IF(ISNUMBER(SEARCH("NS",MAIN!K695)), "NS",
                IF(ISNUMBER(SEARCH("NC",MAIN!K695)), "NC",
                IF(ISNUMBER(SEARCH("DQ",MAIN!K695)), "DQ",
                IF(ISNUMBER(SEARCH("A",MAIN!K695)), 0,
                IF(OR(MAIN!K695=0,MAIN!K695=""), 0, --TRIM(MAIN!K695)))))))))))),
            0
        )
    ),
    IFERROR(
        UPPER(
            IF(MAX(IFERROR(SEARCH("WD",MAIN!G695:J695), 0))&gt;0, "WD",
            IF(MAX(IFERROR(SEARCH("NS",MAIN!G695:J695), 0))&gt;0, "NS",
            IF(MAX(IFERROR(SEARCH("NC",MAIN!G695:J695), 0))&gt;0, "NC",
            IF(MAX(IFERROR(SEARCH("DQ",MAIN!G695:J695), 0))&gt;0, "DQ",
            IF(ISNUMBER(SEARCH("WD",MAIN!K695)), "WD",
            IF(ISNUMBER(SEARCH("NS",MAIN!K695)), "NS",
            IF(ISNUMBER(SEARCH("NC",MAIN!K695)), "NC",
            IF(ISNUMBER(SEARCH("DQ",MAIN!K695)), "DQ",
            IF(ISNUMBER(SEARCH("A",MAIN!K695)), 0,
            IF(OR(MAIN!K695=0,MAIN!K695=""), 0, --TRIM(MAIN!K695)))))))))))),
        0
    )
)</f>
        <v>0</v>
      </c>
    </row>
    <row r="696" spans="1:11" x14ac:dyDescent="0.25">
      <c r="A696" t="str">
        <f>IF(ISBLANK(MAIN!A696), "--", IFERROR(PROPER(SUBSTITUTE(SUBSTITUTE(SUBSTITUTE(SUBSTITUTE(SUBSTITUTE(SUBSTITUTE(SUBSTITUTE(SUBSTITUTE(SUBSTITUTE(SUBSTITUTE(LEFT(MAIN!A696, FIND(",",MAIN!A696) -1), "0", ""), "1", ""), "2", ""), "3", ""), "4", ""), "5", ""), "6", ""), "7", ""), "8", ""), "9", "")), PROPER(SUBSTITUTE(SUBSTITUTE(SUBSTITUTE(SUBSTITUTE(SUBSTITUTE(SUBSTITUTE(SUBSTITUTE(SUBSTITUTE(SUBSTITUTE(SUBSTITUTE(MAIN!A696, "0", ""), "1", ""), "2", ""), "3", ""), "4", ""), "5", ""), "6", ""), "7", ""), "8", ""), "9", ""))))</f>
        <v>--</v>
      </c>
      <c r="B696" t="str">
        <f>IF(ISBLANK(MAIN!B696), "--", IFERROR(PROPER(SUBSTITUTE(SUBSTITUTE(SUBSTITUTE(SUBSTITUTE(SUBSTITUTE(SUBSTITUTE(SUBSTITUTE(SUBSTITUTE(SUBSTITUTE(SUBSTITUTE(LEFT(MAIN!B696, FIND(",",MAIN!B696) -1), "0", ""), "1", ""), "2", ""), "3", ""), "4", ""), "5", ""), "6", ""), "7", ""), "8", ""), "9", "")), PROPER(SUBSTITUTE(SUBSTITUTE(SUBSTITUTE(SUBSTITUTE(SUBSTITUTE(SUBSTITUTE(SUBSTITUTE(SUBSTITUTE(SUBSTITUTE(SUBSTITUTE(MAIN!B696, "0", ""), "1", ""), "2", ""), "3", ""), "4", ""), "5", ""), "6", ""), "7", ""), "8", ""), "9", ""))))</f>
        <v>--</v>
      </c>
      <c r="C696" t="str">
        <f>IF(ISBLANK(MAIN!C696), "--", IFERROR(PROPER(SUBSTITUTE(SUBSTITUTE(SUBSTITUTE(SUBSTITUTE(SUBSTITUTE(SUBSTITUTE(SUBSTITUTE(SUBSTITUTE(SUBSTITUTE(SUBSTITUTE(LEFT(MAIN!C696, FIND(",",MAIN!C696) -1), "0", ""), "1", ""), "2", ""), "3", ""), "4", ""), "5", ""), "6", ""), "7", ""), "8", ""), "9", "")), PROPER(SUBSTITUTE(SUBSTITUTE(SUBSTITUTE(SUBSTITUTE(SUBSTITUTE(SUBSTITUTE(SUBSTITUTE(SUBSTITUTE(SUBSTITUTE(SUBSTITUTE(MAIN!C696, "0", ""), "1", ""), "2", ""), "3", ""), "4", ""), "5", ""), "6", ""), "7", ""), "8", ""), "9", ""))))</f>
        <v>--</v>
      </c>
      <c r="D696" t="str">
        <f>IF(ISBLANK(MAIN!D696), "--", IF(ISNUMBER(MATCH(SUBSTITUTE(LEFT(MAIN!D696, IFERROR(FIND(",", MAIN!D696)-1, LEN(MAIN!D696))), " ", ""), lookup_values!$B$2:$B$51, 0)), UPPER(SUBSTITUTE(LEFT(MAIN!D696, IFERROR(FIND(",", MAIN!D696)-1, LEN(MAIN!D696))), " ", "")), IF(ISNA(VLOOKUP(SUBSTITUTE(LEFT(MAIN!D696, IFERROR(FIND(",", MAIN!D696)-1, LEN(MAIN!D696))), " ", ""), lookup_values!$A$2:$B$51, 2, FALSE)), "--", VLOOKUP(SUBSTITUTE(LEFT(MAIN!D696, IFERROR(FIND(",", MAIN!D696)-1, LEN(MAIN!D696))), " ", ""), lookup_values!$A$2:$B$51, 2, FALSE))))</f>
        <v>--</v>
      </c>
      <c r="E696" t="str">
        <f>IF(CLEAN_DATA!D696&lt;&gt;"--","US",IF(ISBLANK(MAIN!E696), "--", IF(ISNUMBER(MATCH(SUBSTITUTE(LEFT(MAIN!E696, IFERROR(FIND(",", MAIN!E696)-1, LEN(MAIN!E696))), " ", ""), lookup_values!$E$2:$E$197, 0)), UPPER(SUBSTITUTE(LEFT(MAIN!E696, IFERROR(FIND(",", MAIN!E696)-1, LEN(MAIN!E696))), " ", "")), IF(ISNA(VLOOKUP(SUBSTITUTE(LEFT(MAIN!E696, IFERROR(FIND(",", MAIN!E696)-1, LEN(MAIN!E696))), " ", ""), lookup_values!$D$2:$E$197, 2, FALSE)), "--", VLOOKUP(SUBSTITUTE(LEFT(MAIN!E696, IFERROR(FIND(",", MAIN!E696)-1, LEN(MAIN!E696))), " ", ""), lookup_values!$D$2:$E$197, 2, FALSE)))))</f>
        <v>--</v>
      </c>
      <c r="F696" t="str">
        <f>IF(ISBLANK(MAIN!F696), "", IF(AND(ISNUMBER(VALUE(TRIM(MAIN!F696))), LEN(TRIM(MAIN!F696))=4), VALUE(TRIM(MAIN!F696)), ""))</f>
        <v/>
      </c>
      <c r="G696">
        <f>IF(ISBLANK(MAIN!G696), 0, IF(ISNUMBER(VALUE(TRIM(MAIN!G696))), VALUE(TRIM(MAIN!G696)), 0))</f>
        <v>0</v>
      </c>
      <c r="H696">
        <f>IF(ISBLANK(MAIN!H696), 0, IF(ISNUMBER(VALUE(TRIM(MAIN!H696))), VALUE(TRIM(MAIN!H696)), 0))</f>
        <v>0</v>
      </c>
      <c r="I696">
        <f>IF(ISBLANK(MAIN!I696), 0, IF(ISNUMBER(VALUE(TRIM(MAIN!I696))), VALUE(TRIM(MAIN!I696)), 0))</f>
        <v>0</v>
      </c>
      <c r="J696">
        <f>IF(ISBLANK(MAIN!J696), 0, IF(ISNUMBER(VALUE(TRIM(MAIN!J696))), VALUE(TRIM(MAIN!J696)), 0))</f>
        <v>0</v>
      </c>
      <c r="K696" cm="1">
        <f t="array" ref="K696">IFERROR(
    VALUE(
        IFERROR(
            UPPER(
                IF(MAX(IFERROR(SEARCH("WD",MAIN!G696:J696), 0))&gt;0, "WD",
                IF(MAX(IFERROR(SEARCH("NS",MAIN!G696:J696), 0))&gt;0, "NS",
                IF(MAX(IFERROR(SEARCH("NC",MAIN!G696:J696), 0))&gt;0, "NC",
                IF(MAX(IFERROR(SEARCH("DQ",MAIN!G696:J696), 0))&gt;0, "DQ",
                IF(ISNUMBER(SEARCH("WD",MAIN!K696)), "WD",
                IF(ISNUMBER(SEARCH("NS",MAIN!K696)), "NS",
                IF(ISNUMBER(SEARCH("NC",MAIN!K696)), "NC",
                IF(ISNUMBER(SEARCH("DQ",MAIN!K696)), "DQ",
                IF(ISNUMBER(SEARCH("A",MAIN!K696)), 0,
                IF(OR(MAIN!K696=0,MAIN!K696=""), 0, --TRIM(MAIN!K696)))))))))))),
            0
        )
    ),
    IFERROR(
        UPPER(
            IF(MAX(IFERROR(SEARCH("WD",MAIN!G696:J696), 0))&gt;0, "WD",
            IF(MAX(IFERROR(SEARCH("NS",MAIN!G696:J696), 0))&gt;0, "NS",
            IF(MAX(IFERROR(SEARCH("NC",MAIN!G696:J696), 0))&gt;0, "NC",
            IF(MAX(IFERROR(SEARCH("DQ",MAIN!G696:J696), 0))&gt;0, "DQ",
            IF(ISNUMBER(SEARCH("WD",MAIN!K696)), "WD",
            IF(ISNUMBER(SEARCH("NS",MAIN!K696)), "NS",
            IF(ISNUMBER(SEARCH("NC",MAIN!K696)), "NC",
            IF(ISNUMBER(SEARCH("DQ",MAIN!K696)), "DQ",
            IF(ISNUMBER(SEARCH("A",MAIN!K696)), 0,
            IF(OR(MAIN!K696=0,MAIN!K696=""), 0, --TRIM(MAIN!K696)))))))))))),
        0
    )
)</f>
        <v>0</v>
      </c>
    </row>
    <row r="697" spans="1:11" x14ac:dyDescent="0.25">
      <c r="A697" t="str">
        <f>IF(ISBLANK(MAIN!A697), "--", IFERROR(PROPER(SUBSTITUTE(SUBSTITUTE(SUBSTITUTE(SUBSTITUTE(SUBSTITUTE(SUBSTITUTE(SUBSTITUTE(SUBSTITUTE(SUBSTITUTE(SUBSTITUTE(LEFT(MAIN!A697, FIND(",",MAIN!A697) -1), "0", ""), "1", ""), "2", ""), "3", ""), "4", ""), "5", ""), "6", ""), "7", ""), "8", ""), "9", "")), PROPER(SUBSTITUTE(SUBSTITUTE(SUBSTITUTE(SUBSTITUTE(SUBSTITUTE(SUBSTITUTE(SUBSTITUTE(SUBSTITUTE(SUBSTITUTE(SUBSTITUTE(MAIN!A697, "0", ""), "1", ""), "2", ""), "3", ""), "4", ""), "5", ""), "6", ""), "7", ""), "8", ""), "9", ""))))</f>
        <v>--</v>
      </c>
      <c r="B697" t="str">
        <f>IF(ISBLANK(MAIN!B697), "--", IFERROR(PROPER(SUBSTITUTE(SUBSTITUTE(SUBSTITUTE(SUBSTITUTE(SUBSTITUTE(SUBSTITUTE(SUBSTITUTE(SUBSTITUTE(SUBSTITUTE(SUBSTITUTE(LEFT(MAIN!B697, FIND(",",MAIN!B697) -1), "0", ""), "1", ""), "2", ""), "3", ""), "4", ""), "5", ""), "6", ""), "7", ""), "8", ""), "9", "")), PROPER(SUBSTITUTE(SUBSTITUTE(SUBSTITUTE(SUBSTITUTE(SUBSTITUTE(SUBSTITUTE(SUBSTITUTE(SUBSTITUTE(SUBSTITUTE(SUBSTITUTE(MAIN!B697, "0", ""), "1", ""), "2", ""), "3", ""), "4", ""), "5", ""), "6", ""), "7", ""), "8", ""), "9", ""))))</f>
        <v>--</v>
      </c>
      <c r="C697" t="str">
        <f>IF(ISBLANK(MAIN!C697), "--", IFERROR(PROPER(SUBSTITUTE(SUBSTITUTE(SUBSTITUTE(SUBSTITUTE(SUBSTITUTE(SUBSTITUTE(SUBSTITUTE(SUBSTITUTE(SUBSTITUTE(SUBSTITUTE(LEFT(MAIN!C697, FIND(",",MAIN!C697) -1), "0", ""), "1", ""), "2", ""), "3", ""), "4", ""), "5", ""), "6", ""), "7", ""), "8", ""), "9", "")), PROPER(SUBSTITUTE(SUBSTITUTE(SUBSTITUTE(SUBSTITUTE(SUBSTITUTE(SUBSTITUTE(SUBSTITUTE(SUBSTITUTE(SUBSTITUTE(SUBSTITUTE(MAIN!C697, "0", ""), "1", ""), "2", ""), "3", ""), "4", ""), "5", ""), "6", ""), "7", ""), "8", ""), "9", ""))))</f>
        <v>--</v>
      </c>
      <c r="D697" t="str">
        <f>IF(ISBLANK(MAIN!D697), "--", IF(ISNUMBER(MATCH(SUBSTITUTE(LEFT(MAIN!D697, IFERROR(FIND(",", MAIN!D697)-1, LEN(MAIN!D697))), " ", ""), lookup_values!$B$2:$B$51, 0)), UPPER(SUBSTITUTE(LEFT(MAIN!D697, IFERROR(FIND(",", MAIN!D697)-1, LEN(MAIN!D697))), " ", "")), IF(ISNA(VLOOKUP(SUBSTITUTE(LEFT(MAIN!D697, IFERROR(FIND(",", MAIN!D697)-1, LEN(MAIN!D697))), " ", ""), lookup_values!$A$2:$B$51, 2, FALSE)), "--", VLOOKUP(SUBSTITUTE(LEFT(MAIN!D697, IFERROR(FIND(",", MAIN!D697)-1, LEN(MAIN!D697))), " ", ""), lookup_values!$A$2:$B$51, 2, FALSE))))</f>
        <v>--</v>
      </c>
      <c r="E697" t="str">
        <f>IF(CLEAN_DATA!D697&lt;&gt;"--","US",IF(ISBLANK(MAIN!E697), "--", IF(ISNUMBER(MATCH(SUBSTITUTE(LEFT(MAIN!E697, IFERROR(FIND(",", MAIN!E697)-1, LEN(MAIN!E697))), " ", ""), lookup_values!$E$2:$E$197, 0)), UPPER(SUBSTITUTE(LEFT(MAIN!E697, IFERROR(FIND(",", MAIN!E697)-1, LEN(MAIN!E697))), " ", "")), IF(ISNA(VLOOKUP(SUBSTITUTE(LEFT(MAIN!E697, IFERROR(FIND(",", MAIN!E697)-1, LEN(MAIN!E697))), " ", ""), lookup_values!$D$2:$E$197, 2, FALSE)), "--", VLOOKUP(SUBSTITUTE(LEFT(MAIN!E697, IFERROR(FIND(",", MAIN!E697)-1, LEN(MAIN!E697))), " ", ""), lookup_values!$D$2:$E$197, 2, FALSE)))))</f>
        <v>--</v>
      </c>
      <c r="F697" t="str">
        <f>IF(ISBLANK(MAIN!F697), "", IF(AND(ISNUMBER(VALUE(TRIM(MAIN!F697))), LEN(TRIM(MAIN!F697))=4), VALUE(TRIM(MAIN!F697)), ""))</f>
        <v/>
      </c>
      <c r="G697">
        <f>IF(ISBLANK(MAIN!G697), 0, IF(ISNUMBER(VALUE(TRIM(MAIN!G697))), VALUE(TRIM(MAIN!G697)), 0))</f>
        <v>0</v>
      </c>
      <c r="H697">
        <f>IF(ISBLANK(MAIN!H697), 0, IF(ISNUMBER(VALUE(TRIM(MAIN!H697))), VALUE(TRIM(MAIN!H697)), 0))</f>
        <v>0</v>
      </c>
      <c r="I697">
        <f>IF(ISBLANK(MAIN!I697), 0, IF(ISNUMBER(VALUE(TRIM(MAIN!I697))), VALUE(TRIM(MAIN!I697)), 0))</f>
        <v>0</v>
      </c>
      <c r="J697">
        <f>IF(ISBLANK(MAIN!J697), 0, IF(ISNUMBER(VALUE(TRIM(MAIN!J697))), VALUE(TRIM(MAIN!J697)), 0))</f>
        <v>0</v>
      </c>
      <c r="K697" cm="1">
        <f t="array" ref="K697">IFERROR(
    VALUE(
        IFERROR(
            UPPER(
                IF(MAX(IFERROR(SEARCH("WD",MAIN!G697:J697), 0))&gt;0, "WD",
                IF(MAX(IFERROR(SEARCH("NS",MAIN!G697:J697), 0))&gt;0, "NS",
                IF(MAX(IFERROR(SEARCH("NC",MAIN!G697:J697), 0))&gt;0, "NC",
                IF(MAX(IFERROR(SEARCH("DQ",MAIN!G697:J697), 0))&gt;0, "DQ",
                IF(ISNUMBER(SEARCH("WD",MAIN!K697)), "WD",
                IF(ISNUMBER(SEARCH("NS",MAIN!K697)), "NS",
                IF(ISNUMBER(SEARCH("NC",MAIN!K697)), "NC",
                IF(ISNUMBER(SEARCH("DQ",MAIN!K697)), "DQ",
                IF(ISNUMBER(SEARCH("A",MAIN!K697)), 0,
                IF(OR(MAIN!K697=0,MAIN!K697=""), 0, --TRIM(MAIN!K697)))))))))))),
            0
        )
    ),
    IFERROR(
        UPPER(
            IF(MAX(IFERROR(SEARCH("WD",MAIN!G697:J697), 0))&gt;0, "WD",
            IF(MAX(IFERROR(SEARCH("NS",MAIN!G697:J697), 0))&gt;0, "NS",
            IF(MAX(IFERROR(SEARCH("NC",MAIN!G697:J697), 0))&gt;0, "NC",
            IF(MAX(IFERROR(SEARCH("DQ",MAIN!G697:J697), 0))&gt;0, "DQ",
            IF(ISNUMBER(SEARCH("WD",MAIN!K697)), "WD",
            IF(ISNUMBER(SEARCH("NS",MAIN!K697)), "NS",
            IF(ISNUMBER(SEARCH("NC",MAIN!K697)), "NC",
            IF(ISNUMBER(SEARCH("DQ",MAIN!K697)), "DQ",
            IF(ISNUMBER(SEARCH("A",MAIN!K697)), 0,
            IF(OR(MAIN!K697=0,MAIN!K697=""), 0, --TRIM(MAIN!K697)))))))))))),
        0
    )
)</f>
        <v>0</v>
      </c>
    </row>
    <row r="698" spans="1:11" x14ac:dyDescent="0.25">
      <c r="A698" t="str">
        <f>IF(ISBLANK(MAIN!A698), "--", IFERROR(PROPER(SUBSTITUTE(SUBSTITUTE(SUBSTITUTE(SUBSTITUTE(SUBSTITUTE(SUBSTITUTE(SUBSTITUTE(SUBSTITUTE(SUBSTITUTE(SUBSTITUTE(LEFT(MAIN!A698, FIND(",",MAIN!A698) -1), "0", ""), "1", ""), "2", ""), "3", ""), "4", ""), "5", ""), "6", ""), "7", ""), "8", ""), "9", "")), PROPER(SUBSTITUTE(SUBSTITUTE(SUBSTITUTE(SUBSTITUTE(SUBSTITUTE(SUBSTITUTE(SUBSTITUTE(SUBSTITUTE(SUBSTITUTE(SUBSTITUTE(MAIN!A698, "0", ""), "1", ""), "2", ""), "3", ""), "4", ""), "5", ""), "6", ""), "7", ""), "8", ""), "9", ""))))</f>
        <v>--</v>
      </c>
      <c r="B698" t="str">
        <f>IF(ISBLANK(MAIN!B698), "--", IFERROR(PROPER(SUBSTITUTE(SUBSTITUTE(SUBSTITUTE(SUBSTITUTE(SUBSTITUTE(SUBSTITUTE(SUBSTITUTE(SUBSTITUTE(SUBSTITUTE(SUBSTITUTE(LEFT(MAIN!B698, FIND(",",MAIN!B698) -1), "0", ""), "1", ""), "2", ""), "3", ""), "4", ""), "5", ""), "6", ""), "7", ""), "8", ""), "9", "")), PROPER(SUBSTITUTE(SUBSTITUTE(SUBSTITUTE(SUBSTITUTE(SUBSTITUTE(SUBSTITUTE(SUBSTITUTE(SUBSTITUTE(SUBSTITUTE(SUBSTITUTE(MAIN!B698, "0", ""), "1", ""), "2", ""), "3", ""), "4", ""), "5", ""), "6", ""), "7", ""), "8", ""), "9", ""))))</f>
        <v>--</v>
      </c>
      <c r="C698" t="str">
        <f>IF(ISBLANK(MAIN!C698), "--", IFERROR(PROPER(SUBSTITUTE(SUBSTITUTE(SUBSTITUTE(SUBSTITUTE(SUBSTITUTE(SUBSTITUTE(SUBSTITUTE(SUBSTITUTE(SUBSTITUTE(SUBSTITUTE(LEFT(MAIN!C698, FIND(",",MAIN!C698) -1), "0", ""), "1", ""), "2", ""), "3", ""), "4", ""), "5", ""), "6", ""), "7", ""), "8", ""), "9", "")), PROPER(SUBSTITUTE(SUBSTITUTE(SUBSTITUTE(SUBSTITUTE(SUBSTITUTE(SUBSTITUTE(SUBSTITUTE(SUBSTITUTE(SUBSTITUTE(SUBSTITUTE(MAIN!C698, "0", ""), "1", ""), "2", ""), "3", ""), "4", ""), "5", ""), "6", ""), "7", ""), "8", ""), "9", ""))))</f>
        <v>--</v>
      </c>
      <c r="D698" t="str">
        <f>IF(ISBLANK(MAIN!D698), "--", IF(ISNUMBER(MATCH(SUBSTITUTE(LEFT(MAIN!D698, IFERROR(FIND(",", MAIN!D698)-1, LEN(MAIN!D698))), " ", ""), lookup_values!$B$2:$B$51, 0)), UPPER(SUBSTITUTE(LEFT(MAIN!D698, IFERROR(FIND(",", MAIN!D698)-1, LEN(MAIN!D698))), " ", "")), IF(ISNA(VLOOKUP(SUBSTITUTE(LEFT(MAIN!D698, IFERROR(FIND(",", MAIN!D698)-1, LEN(MAIN!D698))), " ", ""), lookup_values!$A$2:$B$51, 2, FALSE)), "--", VLOOKUP(SUBSTITUTE(LEFT(MAIN!D698, IFERROR(FIND(",", MAIN!D698)-1, LEN(MAIN!D698))), " ", ""), lookup_values!$A$2:$B$51, 2, FALSE))))</f>
        <v>--</v>
      </c>
      <c r="E698" t="str">
        <f>IF(CLEAN_DATA!D698&lt;&gt;"--","US",IF(ISBLANK(MAIN!E698), "--", IF(ISNUMBER(MATCH(SUBSTITUTE(LEFT(MAIN!E698, IFERROR(FIND(",", MAIN!E698)-1, LEN(MAIN!E698))), " ", ""), lookup_values!$E$2:$E$197, 0)), UPPER(SUBSTITUTE(LEFT(MAIN!E698, IFERROR(FIND(",", MAIN!E698)-1, LEN(MAIN!E698))), " ", "")), IF(ISNA(VLOOKUP(SUBSTITUTE(LEFT(MAIN!E698, IFERROR(FIND(",", MAIN!E698)-1, LEN(MAIN!E698))), " ", ""), lookup_values!$D$2:$E$197, 2, FALSE)), "--", VLOOKUP(SUBSTITUTE(LEFT(MAIN!E698, IFERROR(FIND(",", MAIN!E698)-1, LEN(MAIN!E698))), " ", ""), lookup_values!$D$2:$E$197, 2, FALSE)))))</f>
        <v>--</v>
      </c>
      <c r="F698" t="str">
        <f>IF(ISBLANK(MAIN!F698), "", IF(AND(ISNUMBER(VALUE(TRIM(MAIN!F698))), LEN(TRIM(MAIN!F698))=4), VALUE(TRIM(MAIN!F698)), ""))</f>
        <v/>
      </c>
      <c r="G698">
        <f>IF(ISBLANK(MAIN!G698), 0, IF(ISNUMBER(VALUE(TRIM(MAIN!G698))), VALUE(TRIM(MAIN!G698)), 0))</f>
        <v>0</v>
      </c>
      <c r="H698">
        <f>IF(ISBLANK(MAIN!H698), 0, IF(ISNUMBER(VALUE(TRIM(MAIN!H698))), VALUE(TRIM(MAIN!H698)), 0))</f>
        <v>0</v>
      </c>
      <c r="I698">
        <f>IF(ISBLANK(MAIN!I698), 0, IF(ISNUMBER(VALUE(TRIM(MAIN!I698))), VALUE(TRIM(MAIN!I698)), 0))</f>
        <v>0</v>
      </c>
      <c r="J698">
        <f>IF(ISBLANK(MAIN!J698), 0, IF(ISNUMBER(VALUE(TRIM(MAIN!J698))), VALUE(TRIM(MAIN!J698)), 0))</f>
        <v>0</v>
      </c>
      <c r="K698" cm="1">
        <f t="array" ref="K698">IFERROR(
    VALUE(
        IFERROR(
            UPPER(
                IF(MAX(IFERROR(SEARCH("WD",MAIN!G698:J698), 0))&gt;0, "WD",
                IF(MAX(IFERROR(SEARCH("NS",MAIN!G698:J698), 0))&gt;0, "NS",
                IF(MAX(IFERROR(SEARCH("NC",MAIN!G698:J698), 0))&gt;0, "NC",
                IF(MAX(IFERROR(SEARCH("DQ",MAIN!G698:J698), 0))&gt;0, "DQ",
                IF(ISNUMBER(SEARCH("WD",MAIN!K698)), "WD",
                IF(ISNUMBER(SEARCH("NS",MAIN!K698)), "NS",
                IF(ISNUMBER(SEARCH("NC",MAIN!K698)), "NC",
                IF(ISNUMBER(SEARCH("DQ",MAIN!K698)), "DQ",
                IF(ISNUMBER(SEARCH("A",MAIN!K698)), 0,
                IF(OR(MAIN!K698=0,MAIN!K698=""), 0, --TRIM(MAIN!K698)))))))))))),
            0
        )
    ),
    IFERROR(
        UPPER(
            IF(MAX(IFERROR(SEARCH("WD",MAIN!G698:J698), 0))&gt;0, "WD",
            IF(MAX(IFERROR(SEARCH("NS",MAIN!G698:J698), 0))&gt;0, "NS",
            IF(MAX(IFERROR(SEARCH("NC",MAIN!G698:J698), 0))&gt;0, "NC",
            IF(MAX(IFERROR(SEARCH("DQ",MAIN!G698:J698), 0))&gt;0, "DQ",
            IF(ISNUMBER(SEARCH("WD",MAIN!K698)), "WD",
            IF(ISNUMBER(SEARCH("NS",MAIN!K698)), "NS",
            IF(ISNUMBER(SEARCH("NC",MAIN!K698)), "NC",
            IF(ISNUMBER(SEARCH("DQ",MAIN!K698)), "DQ",
            IF(ISNUMBER(SEARCH("A",MAIN!K698)), 0,
            IF(OR(MAIN!K698=0,MAIN!K698=""), 0, --TRIM(MAIN!K698)))))))))))),
        0
    )
)</f>
        <v>0</v>
      </c>
    </row>
    <row r="699" spans="1:11" x14ac:dyDescent="0.25">
      <c r="A699" t="str">
        <f>IF(ISBLANK(MAIN!A699), "--", IFERROR(PROPER(SUBSTITUTE(SUBSTITUTE(SUBSTITUTE(SUBSTITUTE(SUBSTITUTE(SUBSTITUTE(SUBSTITUTE(SUBSTITUTE(SUBSTITUTE(SUBSTITUTE(LEFT(MAIN!A699, FIND(",",MAIN!A699) -1), "0", ""), "1", ""), "2", ""), "3", ""), "4", ""), "5", ""), "6", ""), "7", ""), "8", ""), "9", "")), PROPER(SUBSTITUTE(SUBSTITUTE(SUBSTITUTE(SUBSTITUTE(SUBSTITUTE(SUBSTITUTE(SUBSTITUTE(SUBSTITUTE(SUBSTITUTE(SUBSTITUTE(MAIN!A699, "0", ""), "1", ""), "2", ""), "3", ""), "4", ""), "5", ""), "6", ""), "7", ""), "8", ""), "9", ""))))</f>
        <v>--</v>
      </c>
      <c r="B699" t="str">
        <f>IF(ISBLANK(MAIN!B699), "--", IFERROR(PROPER(SUBSTITUTE(SUBSTITUTE(SUBSTITUTE(SUBSTITUTE(SUBSTITUTE(SUBSTITUTE(SUBSTITUTE(SUBSTITUTE(SUBSTITUTE(SUBSTITUTE(LEFT(MAIN!B699, FIND(",",MAIN!B699) -1), "0", ""), "1", ""), "2", ""), "3", ""), "4", ""), "5", ""), "6", ""), "7", ""), "8", ""), "9", "")), PROPER(SUBSTITUTE(SUBSTITUTE(SUBSTITUTE(SUBSTITUTE(SUBSTITUTE(SUBSTITUTE(SUBSTITUTE(SUBSTITUTE(SUBSTITUTE(SUBSTITUTE(MAIN!B699, "0", ""), "1", ""), "2", ""), "3", ""), "4", ""), "5", ""), "6", ""), "7", ""), "8", ""), "9", ""))))</f>
        <v>--</v>
      </c>
      <c r="C699" t="str">
        <f>IF(ISBLANK(MAIN!C699), "--", IFERROR(PROPER(SUBSTITUTE(SUBSTITUTE(SUBSTITUTE(SUBSTITUTE(SUBSTITUTE(SUBSTITUTE(SUBSTITUTE(SUBSTITUTE(SUBSTITUTE(SUBSTITUTE(LEFT(MAIN!C699, FIND(",",MAIN!C699) -1), "0", ""), "1", ""), "2", ""), "3", ""), "4", ""), "5", ""), "6", ""), "7", ""), "8", ""), "9", "")), PROPER(SUBSTITUTE(SUBSTITUTE(SUBSTITUTE(SUBSTITUTE(SUBSTITUTE(SUBSTITUTE(SUBSTITUTE(SUBSTITUTE(SUBSTITUTE(SUBSTITUTE(MAIN!C699, "0", ""), "1", ""), "2", ""), "3", ""), "4", ""), "5", ""), "6", ""), "7", ""), "8", ""), "9", ""))))</f>
        <v>--</v>
      </c>
      <c r="D699" t="str">
        <f>IF(ISBLANK(MAIN!D699), "--", IF(ISNUMBER(MATCH(SUBSTITUTE(LEFT(MAIN!D699, IFERROR(FIND(",", MAIN!D699)-1, LEN(MAIN!D699))), " ", ""), lookup_values!$B$2:$B$51, 0)), UPPER(SUBSTITUTE(LEFT(MAIN!D699, IFERROR(FIND(",", MAIN!D699)-1, LEN(MAIN!D699))), " ", "")), IF(ISNA(VLOOKUP(SUBSTITUTE(LEFT(MAIN!D699, IFERROR(FIND(",", MAIN!D699)-1, LEN(MAIN!D699))), " ", ""), lookup_values!$A$2:$B$51, 2, FALSE)), "--", VLOOKUP(SUBSTITUTE(LEFT(MAIN!D699, IFERROR(FIND(",", MAIN!D699)-1, LEN(MAIN!D699))), " ", ""), lookup_values!$A$2:$B$51, 2, FALSE))))</f>
        <v>--</v>
      </c>
      <c r="E699" t="str">
        <f>IF(CLEAN_DATA!D699&lt;&gt;"--","US",IF(ISBLANK(MAIN!E699), "--", IF(ISNUMBER(MATCH(SUBSTITUTE(LEFT(MAIN!E699, IFERROR(FIND(",", MAIN!E699)-1, LEN(MAIN!E699))), " ", ""), lookup_values!$E$2:$E$197, 0)), UPPER(SUBSTITUTE(LEFT(MAIN!E699, IFERROR(FIND(",", MAIN!E699)-1, LEN(MAIN!E699))), " ", "")), IF(ISNA(VLOOKUP(SUBSTITUTE(LEFT(MAIN!E699, IFERROR(FIND(",", MAIN!E699)-1, LEN(MAIN!E699))), " ", ""), lookup_values!$D$2:$E$197, 2, FALSE)), "--", VLOOKUP(SUBSTITUTE(LEFT(MAIN!E699, IFERROR(FIND(",", MAIN!E699)-1, LEN(MAIN!E699))), " ", ""), lookup_values!$D$2:$E$197, 2, FALSE)))))</f>
        <v>--</v>
      </c>
      <c r="F699" t="str">
        <f>IF(ISBLANK(MAIN!F699), "", IF(AND(ISNUMBER(VALUE(TRIM(MAIN!F699))), LEN(TRIM(MAIN!F699))=4), VALUE(TRIM(MAIN!F699)), ""))</f>
        <v/>
      </c>
      <c r="G699">
        <f>IF(ISBLANK(MAIN!G699), 0, IF(ISNUMBER(VALUE(TRIM(MAIN!G699))), VALUE(TRIM(MAIN!G699)), 0))</f>
        <v>0</v>
      </c>
      <c r="H699">
        <f>IF(ISBLANK(MAIN!H699), 0, IF(ISNUMBER(VALUE(TRIM(MAIN!H699))), VALUE(TRIM(MAIN!H699)), 0))</f>
        <v>0</v>
      </c>
      <c r="I699">
        <f>IF(ISBLANK(MAIN!I699), 0, IF(ISNUMBER(VALUE(TRIM(MAIN!I699))), VALUE(TRIM(MAIN!I699)), 0))</f>
        <v>0</v>
      </c>
      <c r="J699">
        <f>IF(ISBLANK(MAIN!J699), 0, IF(ISNUMBER(VALUE(TRIM(MAIN!J699))), VALUE(TRIM(MAIN!J699)), 0))</f>
        <v>0</v>
      </c>
      <c r="K699" cm="1">
        <f t="array" ref="K699">IFERROR(
    VALUE(
        IFERROR(
            UPPER(
                IF(MAX(IFERROR(SEARCH("WD",MAIN!G699:J699), 0))&gt;0, "WD",
                IF(MAX(IFERROR(SEARCH("NS",MAIN!G699:J699), 0))&gt;0, "NS",
                IF(MAX(IFERROR(SEARCH("NC",MAIN!G699:J699), 0))&gt;0, "NC",
                IF(MAX(IFERROR(SEARCH("DQ",MAIN!G699:J699), 0))&gt;0, "DQ",
                IF(ISNUMBER(SEARCH("WD",MAIN!K699)), "WD",
                IF(ISNUMBER(SEARCH("NS",MAIN!K699)), "NS",
                IF(ISNUMBER(SEARCH("NC",MAIN!K699)), "NC",
                IF(ISNUMBER(SEARCH("DQ",MAIN!K699)), "DQ",
                IF(ISNUMBER(SEARCH("A",MAIN!K699)), 0,
                IF(OR(MAIN!K699=0,MAIN!K699=""), 0, --TRIM(MAIN!K699)))))))))))),
            0
        )
    ),
    IFERROR(
        UPPER(
            IF(MAX(IFERROR(SEARCH("WD",MAIN!G699:J699), 0))&gt;0, "WD",
            IF(MAX(IFERROR(SEARCH("NS",MAIN!G699:J699), 0))&gt;0, "NS",
            IF(MAX(IFERROR(SEARCH("NC",MAIN!G699:J699), 0))&gt;0, "NC",
            IF(MAX(IFERROR(SEARCH("DQ",MAIN!G699:J699), 0))&gt;0, "DQ",
            IF(ISNUMBER(SEARCH("WD",MAIN!K699)), "WD",
            IF(ISNUMBER(SEARCH("NS",MAIN!K699)), "NS",
            IF(ISNUMBER(SEARCH("NC",MAIN!K699)), "NC",
            IF(ISNUMBER(SEARCH("DQ",MAIN!K699)), "DQ",
            IF(ISNUMBER(SEARCH("A",MAIN!K699)), 0,
            IF(OR(MAIN!K699=0,MAIN!K699=""), 0, --TRIM(MAIN!K699)))))))))))),
        0
    )
)</f>
        <v>0</v>
      </c>
    </row>
    <row r="700" spans="1:11" x14ac:dyDescent="0.25">
      <c r="A700" t="str">
        <f>IF(ISBLANK(MAIN!A700), "--", IFERROR(PROPER(SUBSTITUTE(SUBSTITUTE(SUBSTITUTE(SUBSTITUTE(SUBSTITUTE(SUBSTITUTE(SUBSTITUTE(SUBSTITUTE(SUBSTITUTE(SUBSTITUTE(LEFT(MAIN!A700, FIND(",",MAIN!A700) -1), "0", ""), "1", ""), "2", ""), "3", ""), "4", ""), "5", ""), "6", ""), "7", ""), "8", ""), "9", "")), PROPER(SUBSTITUTE(SUBSTITUTE(SUBSTITUTE(SUBSTITUTE(SUBSTITUTE(SUBSTITUTE(SUBSTITUTE(SUBSTITUTE(SUBSTITUTE(SUBSTITUTE(MAIN!A700, "0", ""), "1", ""), "2", ""), "3", ""), "4", ""), "5", ""), "6", ""), "7", ""), "8", ""), "9", ""))))</f>
        <v>--</v>
      </c>
      <c r="B700" t="str">
        <f>IF(ISBLANK(MAIN!B700), "--", IFERROR(PROPER(SUBSTITUTE(SUBSTITUTE(SUBSTITUTE(SUBSTITUTE(SUBSTITUTE(SUBSTITUTE(SUBSTITUTE(SUBSTITUTE(SUBSTITUTE(SUBSTITUTE(LEFT(MAIN!B700, FIND(",",MAIN!B700) -1), "0", ""), "1", ""), "2", ""), "3", ""), "4", ""), "5", ""), "6", ""), "7", ""), "8", ""), "9", "")), PROPER(SUBSTITUTE(SUBSTITUTE(SUBSTITUTE(SUBSTITUTE(SUBSTITUTE(SUBSTITUTE(SUBSTITUTE(SUBSTITUTE(SUBSTITUTE(SUBSTITUTE(MAIN!B700, "0", ""), "1", ""), "2", ""), "3", ""), "4", ""), "5", ""), "6", ""), "7", ""), "8", ""), "9", ""))))</f>
        <v>--</v>
      </c>
      <c r="C700" t="str">
        <f>IF(ISBLANK(MAIN!C700), "--", IFERROR(PROPER(SUBSTITUTE(SUBSTITUTE(SUBSTITUTE(SUBSTITUTE(SUBSTITUTE(SUBSTITUTE(SUBSTITUTE(SUBSTITUTE(SUBSTITUTE(SUBSTITUTE(LEFT(MAIN!C700, FIND(",",MAIN!C700) -1), "0", ""), "1", ""), "2", ""), "3", ""), "4", ""), "5", ""), "6", ""), "7", ""), "8", ""), "9", "")), PROPER(SUBSTITUTE(SUBSTITUTE(SUBSTITUTE(SUBSTITUTE(SUBSTITUTE(SUBSTITUTE(SUBSTITUTE(SUBSTITUTE(SUBSTITUTE(SUBSTITUTE(MAIN!C700, "0", ""), "1", ""), "2", ""), "3", ""), "4", ""), "5", ""), "6", ""), "7", ""), "8", ""), "9", ""))))</f>
        <v>--</v>
      </c>
      <c r="D700" t="str">
        <f>IF(ISBLANK(MAIN!D700), "--", IF(ISNUMBER(MATCH(SUBSTITUTE(LEFT(MAIN!D700, IFERROR(FIND(",", MAIN!D700)-1, LEN(MAIN!D700))), " ", ""), lookup_values!$B$2:$B$51, 0)), UPPER(SUBSTITUTE(LEFT(MAIN!D700, IFERROR(FIND(",", MAIN!D700)-1, LEN(MAIN!D700))), " ", "")), IF(ISNA(VLOOKUP(SUBSTITUTE(LEFT(MAIN!D700, IFERROR(FIND(",", MAIN!D700)-1, LEN(MAIN!D700))), " ", ""), lookup_values!$A$2:$B$51, 2, FALSE)), "--", VLOOKUP(SUBSTITUTE(LEFT(MAIN!D700, IFERROR(FIND(",", MAIN!D700)-1, LEN(MAIN!D700))), " ", ""), lookup_values!$A$2:$B$51, 2, FALSE))))</f>
        <v>--</v>
      </c>
      <c r="E700" t="str">
        <f>IF(CLEAN_DATA!D700&lt;&gt;"--","US",IF(ISBLANK(MAIN!E700), "--", IF(ISNUMBER(MATCH(SUBSTITUTE(LEFT(MAIN!E700, IFERROR(FIND(",", MAIN!E700)-1, LEN(MAIN!E700))), " ", ""), lookup_values!$E$2:$E$197, 0)), UPPER(SUBSTITUTE(LEFT(MAIN!E700, IFERROR(FIND(",", MAIN!E700)-1, LEN(MAIN!E700))), " ", "")), IF(ISNA(VLOOKUP(SUBSTITUTE(LEFT(MAIN!E700, IFERROR(FIND(",", MAIN!E700)-1, LEN(MAIN!E700))), " ", ""), lookup_values!$D$2:$E$197, 2, FALSE)), "--", VLOOKUP(SUBSTITUTE(LEFT(MAIN!E700, IFERROR(FIND(",", MAIN!E700)-1, LEN(MAIN!E700))), " ", ""), lookup_values!$D$2:$E$197, 2, FALSE)))))</f>
        <v>--</v>
      </c>
      <c r="F700" t="str">
        <f>IF(ISBLANK(MAIN!F700), "", IF(AND(ISNUMBER(VALUE(TRIM(MAIN!F700))), LEN(TRIM(MAIN!F700))=4), VALUE(TRIM(MAIN!F700)), ""))</f>
        <v/>
      </c>
      <c r="G700">
        <f>IF(ISBLANK(MAIN!G700), 0, IF(ISNUMBER(VALUE(TRIM(MAIN!G700))), VALUE(TRIM(MAIN!G700)), 0))</f>
        <v>0</v>
      </c>
      <c r="H700">
        <f>IF(ISBLANK(MAIN!H700), 0, IF(ISNUMBER(VALUE(TRIM(MAIN!H700))), VALUE(TRIM(MAIN!H700)), 0))</f>
        <v>0</v>
      </c>
      <c r="I700">
        <f>IF(ISBLANK(MAIN!I700), 0, IF(ISNUMBER(VALUE(TRIM(MAIN!I700))), VALUE(TRIM(MAIN!I700)), 0))</f>
        <v>0</v>
      </c>
      <c r="J700">
        <f>IF(ISBLANK(MAIN!J700), 0, IF(ISNUMBER(VALUE(TRIM(MAIN!J700))), VALUE(TRIM(MAIN!J700)), 0))</f>
        <v>0</v>
      </c>
      <c r="K700" cm="1">
        <f t="array" ref="K700">IFERROR(
    VALUE(
        IFERROR(
            UPPER(
                IF(MAX(IFERROR(SEARCH("WD",MAIN!G700:J700), 0))&gt;0, "WD",
                IF(MAX(IFERROR(SEARCH("NS",MAIN!G700:J700), 0))&gt;0, "NS",
                IF(MAX(IFERROR(SEARCH("NC",MAIN!G700:J700), 0))&gt;0, "NC",
                IF(MAX(IFERROR(SEARCH("DQ",MAIN!G700:J700), 0))&gt;0, "DQ",
                IF(ISNUMBER(SEARCH("WD",MAIN!K700)), "WD",
                IF(ISNUMBER(SEARCH("NS",MAIN!K700)), "NS",
                IF(ISNUMBER(SEARCH("NC",MAIN!K700)), "NC",
                IF(ISNUMBER(SEARCH("DQ",MAIN!K700)), "DQ",
                IF(ISNUMBER(SEARCH("A",MAIN!K700)), 0,
                IF(OR(MAIN!K700=0,MAIN!K700=""), 0, --TRIM(MAIN!K700)))))))))))),
            0
        )
    ),
    IFERROR(
        UPPER(
            IF(MAX(IFERROR(SEARCH("WD",MAIN!G700:J700), 0))&gt;0, "WD",
            IF(MAX(IFERROR(SEARCH("NS",MAIN!G700:J700), 0))&gt;0, "NS",
            IF(MAX(IFERROR(SEARCH("NC",MAIN!G700:J700), 0))&gt;0, "NC",
            IF(MAX(IFERROR(SEARCH("DQ",MAIN!G700:J700), 0))&gt;0, "DQ",
            IF(ISNUMBER(SEARCH("WD",MAIN!K700)), "WD",
            IF(ISNUMBER(SEARCH("NS",MAIN!K700)), "NS",
            IF(ISNUMBER(SEARCH("NC",MAIN!K700)), "NC",
            IF(ISNUMBER(SEARCH("DQ",MAIN!K700)), "DQ",
            IF(ISNUMBER(SEARCH("A",MAIN!K700)), 0,
            IF(OR(MAIN!K700=0,MAIN!K700=""), 0, --TRIM(MAIN!K700)))))))))))),
        0
    )
)</f>
        <v>0</v>
      </c>
    </row>
    <row r="701" spans="1:11" x14ac:dyDescent="0.25">
      <c r="A701" t="str">
        <f>IF(ISBLANK(MAIN!A701), "--", IFERROR(PROPER(SUBSTITUTE(SUBSTITUTE(SUBSTITUTE(SUBSTITUTE(SUBSTITUTE(SUBSTITUTE(SUBSTITUTE(SUBSTITUTE(SUBSTITUTE(SUBSTITUTE(LEFT(MAIN!A701, FIND(",",MAIN!A701) -1), "0", ""), "1", ""), "2", ""), "3", ""), "4", ""), "5", ""), "6", ""), "7", ""), "8", ""), "9", "")), PROPER(SUBSTITUTE(SUBSTITUTE(SUBSTITUTE(SUBSTITUTE(SUBSTITUTE(SUBSTITUTE(SUBSTITUTE(SUBSTITUTE(SUBSTITUTE(SUBSTITUTE(MAIN!A701, "0", ""), "1", ""), "2", ""), "3", ""), "4", ""), "5", ""), "6", ""), "7", ""), "8", ""), "9", ""))))</f>
        <v>--</v>
      </c>
      <c r="B701" t="str">
        <f>IF(ISBLANK(MAIN!B701), "--", IFERROR(PROPER(SUBSTITUTE(SUBSTITUTE(SUBSTITUTE(SUBSTITUTE(SUBSTITUTE(SUBSTITUTE(SUBSTITUTE(SUBSTITUTE(SUBSTITUTE(SUBSTITUTE(LEFT(MAIN!B701, FIND(",",MAIN!B701) -1), "0", ""), "1", ""), "2", ""), "3", ""), "4", ""), "5", ""), "6", ""), "7", ""), "8", ""), "9", "")), PROPER(SUBSTITUTE(SUBSTITUTE(SUBSTITUTE(SUBSTITUTE(SUBSTITUTE(SUBSTITUTE(SUBSTITUTE(SUBSTITUTE(SUBSTITUTE(SUBSTITUTE(MAIN!B701, "0", ""), "1", ""), "2", ""), "3", ""), "4", ""), "5", ""), "6", ""), "7", ""), "8", ""), "9", ""))))</f>
        <v>--</v>
      </c>
      <c r="C701" t="str">
        <f>IF(ISBLANK(MAIN!C701), "--", IFERROR(PROPER(SUBSTITUTE(SUBSTITUTE(SUBSTITUTE(SUBSTITUTE(SUBSTITUTE(SUBSTITUTE(SUBSTITUTE(SUBSTITUTE(SUBSTITUTE(SUBSTITUTE(LEFT(MAIN!C701, FIND(",",MAIN!C701) -1), "0", ""), "1", ""), "2", ""), "3", ""), "4", ""), "5", ""), "6", ""), "7", ""), "8", ""), "9", "")), PROPER(SUBSTITUTE(SUBSTITUTE(SUBSTITUTE(SUBSTITUTE(SUBSTITUTE(SUBSTITUTE(SUBSTITUTE(SUBSTITUTE(SUBSTITUTE(SUBSTITUTE(MAIN!C701, "0", ""), "1", ""), "2", ""), "3", ""), "4", ""), "5", ""), "6", ""), "7", ""), "8", ""), "9", ""))))</f>
        <v>--</v>
      </c>
      <c r="D701" t="str">
        <f>IF(ISBLANK(MAIN!D701), "--", IF(ISNUMBER(MATCH(SUBSTITUTE(LEFT(MAIN!D701, IFERROR(FIND(",", MAIN!D701)-1, LEN(MAIN!D701))), " ", ""), lookup_values!$B$2:$B$51, 0)), UPPER(SUBSTITUTE(LEFT(MAIN!D701, IFERROR(FIND(",", MAIN!D701)-1, LEN(MAIN!D701))), " ", "")), IF(ISNA(VLOOKUP(SUBSTITUTE(LEFT(MAIN!D701, IFERROR(FIND(",", MAIN!D701)-1, LEN(MAIN!D701))), " ", ""), lookup_values!$A$2:$B$51, 2, FALSE)), "--", VLOOKUP(SUBSTITUTE(LEFT(MAIN!D701, IFERROR(FIND(",", MAIN!D701)-1, LEN(MAIN!D701))), " ", ""), lookup_values!$A$2:$B$51, 2, FALSE))))</f>
        <v>--</v>
      </c>
      <c r="E701" t="str">
        <f>IF(CLEAN_DATA!D701&lt;&gt;"--","US",IF(ISBLANK(MAIN!E701), "--", IF(ISNUMBER(MATCH(SUBSTITUTE(LEFT(MAIN!E701, IFERROR(FIND(",", MAIN!E701)-1, LEN(MAIN!E701))), " ", ""), lookup_values!$E$2:$E$197, 0)), UPPER(SUBSTITUTE(LEFT(MAIN!E701, IFERROR(FIND(",", MAIN!E701)-1, LEN(MAIN!E701))), " ", "")), IF(ISNA(VLOOKUP(SUBSTITUTE(LEFT(MAIN!E701, IFERROR(FIND(",", MAIN!E701)-1, LEN(MAIN!E701))), " ", ""), lookup_values!$D$2:$E$197, 2, FALSE)), "--", VLOOKUP(SUBSTITUTE(LEFT(MAIN!E701, IFERROR(FIND(",", MAIN!E701)-1, LEN(MAIN!E701))), " ", ""), lookup_values!$D$2:$E$197, 2, FALSE)))))</f>
        <v>--</v>
      </c>
      <c r="F701" t="str">
        <f>IF(ISBLANK(MAIN!F701), "", IF(AND(ISNUMBER(VALUE(TRIM(MAIN!F701))), LEN(TRIM(MAIN!F701))=4), VALUE(TRIM(MAIN!F701)), ""))</f>
        <v/>
      </c>
      <c r="G701">
        <f>IF(ISBLANK(MAIN!G701), 0, IF(ISNUMBER(VALUE(TRIM(MAIN!G701))), VALUE(TRIM(MAIN!G701)), 0))</f>
        <v>0</v>
      </c>
      <c r="H701">
        <f>IF(ISBLANK(MAIN!H701), 0, IF(ISNUMBER(VALUE(TRIM(MAIN!H701))), VALUE(TRIM(MAIN!H701)), 0))</f>
        <v>0</v>
      </c>
      <c r="I701">
        <f>IF(ISBLANK(MAIN!I701), 0, IF(ISNUMBER(VALUE(TRIM(MAIN!I701))), VALUE(TRIM(MAIN!I701)), 0))</f>
        <v>0</v>
      </c>
      <c r="J701">
        <f>IF(ISBLANK(MAIN!J701), 0, IF(ISNUMBER(VALUE(TRIM(MAIN!J701))), VALUE(TRIM(MAIN!J701)), 0))</f>
        <v>0</v>
      </c>
      <c r="K701" cm="1">
        <f t="array" ref="K701">IFERROR(
    VALUE(
        IFERROR(
            UPPER(
                IF(MAX(IFERROR(SEARCH("WD",MAIN!G701:J701), 0))&gt;0, "WD",
                IF(MAX(IFERROR(SEARCH("NS",MAIN!G701:J701), 0))&gt;0, "NS",
                IF(MAX(IFERROR(SEARCH("NC",MAIN!G701:J701), 0))&gt;0, "NC",
                IF(MAX(IFERROR(SEARCH("DQ",MAIN!G701:J701), 0))&gt;0, "DQ",
                IF(ISNUMBER(SEARCH("WD",MAIN!K701)), "WD",
                IF(ISNUMBER(SEARCH("NS",MAIN!K701)), "NS",
                IF(ISNUMBER(SEARCH("NC",MAIN!K701)), "NC",
                IF(ISNUMBER(SEARCH("DQ",MAIN!K701)), "DQ",
                IF(ISNUMBER(SEARCH("A",MAIN!K701)), 0,
                IF(OR(MAIN!K701=0,MAIN!K701=""), 0, --TRIM(MAIN!K701)))))))))))),
            0
        )
    ),
    IFERROR(
        UPPER(
            IF(MAX(IFERROR(SEARCH("WD",MAIN!G701:J701), 0))&gt;0, "WD",
            IF(MAX(IFERROR(SEARCH("NS",MAIN!G701:J701), 0))&gt;0, "NS",
            IF(MAX(IFERROR(SEARCH("NC",MAIN!G701:J701), 0))&gt;0, "NC",
            IF(MAX(IFERROR(SEARCH("DQ",MAIN!G701:J701), 0))&gt;0, "DQ",
            IF(ISNUMBER(SEARCH("WD",MAIN!K701)), "WD",
            IF(ISNUMBER(SEARCH("NS",MAIN!K701)), "NS",
            IF(ISNUMBER(SEARCH("NC",MAIN!K701)), "NC",
            IF(ISNUMBER(SEARCH("DQ",MAIN!K701)), "DQ",
            IF(ISNUMBER(SEARCH("A",MAIN!K701)), 0,
            IF(OR(MAIN!K701=0,MAIN!K701=""), 0, --TRIM(MAIN!K701)))))))))))),
        0
    )
)</f>
        <v>0</v>
      </c>
    </row>
    <row r="702" spans="1:11" x14ac:dyDescent="0.25">
      <c r="A702" t="str">
        <f>IF(ISBLANK(MAIN!A702), "--", IFERROR(PROPER(SUBSTITUTE(SUBSTITUTE(SUBSTITUTE(SUBSTITUTE(SUBSTITUTE(SUBSTITUTE(SUBSTITUTE(SUBSTITUTE(SUBSTITUTE(SUBSTITUTE(LEFT(MAIN!A702, FIND(",",MAIN!A702) -1), "0", ""), "1", ""), "2", ""), "3", ""), "4", ""), "5", ""), "6", ""), "7", ""), "8", ""), "9", "")), PROPER(SUBSTITUTE(SUBSTITUTE(SUBSTITUTE(SUBSTITUTE(SUBSTITUTE(SUBSTITUTE(SUBSTITUTE(SUBSTITUTE(SUBSTITUTE(SUBSTITUTE(MAIN!A702, "0", ""), "1", ""), "2", ""), "3", ""), "4", ""), "5", ""), "6", ""), "7", ""), "8", ""), "9", ""))))</f>
        <v>--</v>
      </c>
      <c r="B702" t="str">
        <f>IF(ISBLANK(MAIN!B702), "--", IFERROR(PROPER(SUBSTITUTE(SUBSTITUTE(SUBSTITUTE(SUBSTITUTE(SUBSTITUTE(SUBSTITUTE(SUBSTITUTE(SUBSTITUTE(SUBSTITUTE(SUBSTITUTE(LEFT(MAIN!B702, FIND(",",MAIN!B702) -1), "0", ""), "1", ""), "2", ""), "3", ""), "4", ""), "5", ""), "6", ""), "7", ""), "8", ""), "9", "")), PROPER(SUBSTITUTE(SUBSTITUTE(SUBSTITUTE(SUBSTITUTE(SUBSTITUTE(SUBSTITUTE(SUBSTITUTE(SUBSTITUTE(SUBSTITUTE(SUBSTITUTE(MAIN!B702, "0", ""), "1", ""), "2", ""), "3", ""), "4", ""), "5", ""), "6", ""), "7", ""), "8", ""), "9", ""))))</f>
        <v>--</v>
      </c>
      <c r="C702" t="str">
        <f>IF(ISBLANK(MAIN!C702), "--", IFERROR(PROPER(SUBSTITUTE(SUBSTITUTE(SUBSTITUTE(SUBSTITUTE(SUBSTITUTE(SUBSTITUTE(SUBSTITUTE(SUBSTITUTE(SUBSTITUTE(SUBSTITUTE(LEFT(MAIN!C702, FIND(",",MAIN!C702) -1), "0", ""), "1", ""), "2", ""), "3", ""), "4", ""), "5", ""), "6", ""), "7", ""), "8", ""), "9", "")), PROPER(SUBSTITUTE(SUBSTITUTE(SUBSTITUTE(SUBSTITUTE(SUBSTITUTE(SUBSTITUTE(SUBSTITUTE(SUBSTITUTE(SUBSTITUTE(SUBSTITUTE(MAIN!C702, "0", ""), "1", ""), "2", ""), "3", ""), "4", ""), "5", ""), "6", ""), "7", ""), "8", ""), "9", ""))))</f>
        <v>--</v>
      </c>
      <c r="D702" t="str">
        <f>IF(ISBLANK(MAIN!D702), "--", IF(ISNUMBER(MATCH(SUBSTITUTE(LEFT(MAIN!D702, IFERROR(FIND(",", MAIN!D702)-1, LEN(MAIN!D702))), " ", ""), lookup_values!$B$2:$B$51, 0)), UPPER(SUBSTITUTE(LEFT(MAIN!D702, IFERROR(FIND(",", MAIN!D702)-1, LEN(MAIN!D702))), " ", "")), IF(ISNA(VLOOKUP(SUBSTITUTE(LEFT(MAIN!D702, IFERROR(FIND(",", MAIN!D702)-1, LEN(MAIN!D702))), " ", ""), lookup_values!$A$2:$B$51, 2, FALSE)), "--", VLOOKUP(SUBSTITUTE(LEFT(MAIN!D702, IFERROR(FIND(",", MAIN!D702)-1, LEN(MAIN!D702))), " ", ""), lookup_values!$A$2:$B$51, 2, FALSE))))</f>
        <v>--</v>
      </c>
      <c r="E702" t="str">
        <f>IF(CLEAN_DATA!D702&lt;&gt;"--","US",IF(ISBLANK(MAIN!E702), "--", IF(ISNUMBER(MATCH(SUBSTITUTE(LEFT(MAIN!E702, IFERROR(FIND(",", MAIN!E702)-1, LEN(MAIN!E702))), " ", ""), lookup_values!$E$2:$E$197, 0)), UPPER(SUBSTITUTE(LEFT(MAIN!E702, IFERROR(FIND(",", MAIN!E702)-1, LEN(MAIN!E702))), " ", "")), IF(ISNA(VLOOKUP(SUBSTITUTE(LEFT(MAIN!E702, IFERROR(FIND(",", MAIN!E702)-1, LEN(MAIN!E702))), " ", ""), lookup_values!$D$2:$E$197, 2, FALSE)), "--", VLOOKUP(SUBSTITUTE(LEFT(MAIN!E702, IFERROR(FIND(",", MAIN!E702)-1, LEN(MAIN!E702))), " ", ""), lookup_values!$D$2:$E$197, 2, FALSE)))))</f>
        <v>--</v>
      </c>
      <c r="F702" t="str">
        <f>IF(ISBLANK(MAIN!F702), "", IF(AND(ISNUMBER(VALUE(TRIM(MAIN!F702))), LEN(TRIM(MAIN!F702))=4), VALUE(TRIM(MAIN!F702)), ""))</f>
        <v/>
      </c>
      <c r="G702">
        <f>IF(ISBLANK(MAIN!G702), 0, IF(ISNUMBER(VALUE(TRIM(MAIN!G702))), VALUE(TRIM(MAIN!G702)), 0))</f>
        <v>0</v>
      </c>
      <c r="H702">
        <f>IF(ISBLANK(MAIN!H702), 0, IF(ISNUMBER(VALUE(TRIM(MAIN!H702))), VALUE(TRIM(MAIN!H702)), 0))</f>
        <v>0</v>
      </c>
      <c r="I702">
        <f>IF(ISBLANK(MAIN!I702), 0, IF(ISNUMBER(VALUE(TRIM(MAIN!I702))), VALUE(TRIM(MAIN!I702)), 0))</f>
        <v>0</v>
      </c>
      <c r="J702">
        <f>IF(ISBLANK(MAIN!J702), 0, IF(ISNUMBER(VALUE(TRIM(MAIN!J702))), VALUE(TRIM(MAIN!J702)), 0))</f>
        <v>0</v>
      </c>
      <c r="K702" cm="1">
        <f t="array" ref="K702">IFERROR(
    VALUE(
        IFERROR(
            UPPER(
                IF(MAX(IFERROR(SEARCH("WD",MAIN!G702:J702), 0))&gt;0, "WD",
                IF(MAX(IFERROR(SEARCH("NS",MAIN!G702:J702), 0))&gt;0, "NS",
                IF(MAX(IFERROR(SEARCH("NC",MAIN!G702:J702), 0))&gt;0, "NC",
                IF(MAX(IFERROR(SEARCH("DQ",MAIN!G702:J702), 0))&gt;0, "DQ",
                IF(ISNUMBER(SEARCH("WD",MAIN!K702)), "WD",
                IF(ISNUMBER(SEARCH("NS",MAIN!K702)), "NS",
                IF(ISNUMBER(SEARCH("NC",MAIN!K702)), "NC",
                IF(ISNUMBER(SEARCH("DQ",MAIN!K702)), "DQ",
                IF(ISNUMBER(SEARCH("A",MAIN!K702)), 0,
                IF(OR(MAIN!K702=0,MAIN!K702=""), 0, --TRIM(MAIN!K702)))))))))))),
            0
        )
    ),
    IFERROR(
        UPPER(
            IF(MAX(IFERROR(SEARCH("WD",MAIN!G702:J702), 0))&gt;0, "WD",
            IF(MAX(IFERROR(SEARCH("NS",MAIN!G702:J702), 0))&gt;0, "NS",
            IF(MAX(IFERROR(SEARCH("NC",MAIN!G702:J702), 0))&gt;0, "NC",
            IF(MAX(IFERROR(SEARCH("DQ",MAIN!G702:J702), 0))&gt;0, "DQ",
            IF(ISNUMBER(SEARCH("WD",MAIN!K702)), "WD",
            IF(ISNUMBER(SEARCH("NS",MAIN!K702)), "NS",
            IF(ISNUMBER(SEARCH("NC",MAIN!K702)), "NC",
            IF(ISNUMBER(SEARCH("DQ",MAIN!K702)), "DQ",
            IF(ISNUMBER(SEARCH("A",MAIN!K702)), 0,
            IF(OR(MAIN!K702=0,MAIN!K702=""), 0, --TRIM(MAIN!K702)))))))))))),
        0
    )
)</f>
        <v>0</v>
      </c>
    </row>
    <row r="703" spans="1:11" x14ac:dyDescent="0.25">
      <c r="A703" t="str">
        <f>IF(ISBLANK(MAIN!A703), "--", IFERROR(PROPER(SUBSTITUTE(SUBSTITUTE(SUBSTITUTE(SUBSTITUTE(SUBSTITUTE(SUBSTITUTE(SUBSTITUTE(SUBSTITUTE(SUBSTITUTE(SUBSTITUTE(LEFT(MAIN!A703, FIND(",",MAIN!A703) -1), "0", ""), "1", ""), "2", ""), "3", ""), "4", ""), "5", ""), "6", ""), "7", ""), "8", ""), "9", "")), PROPER(SUBSTITUTE(SUBSTITUTE(SUBSTITUTE(SUBSTITUTE(SUBSTITUTE(SUBSTITUTE(SUBSTITUTE(SUBSTITUTE(SUBSTITUTE(SUBSTITUTE(MAIN!A703, "0", ""), "1", ""), "2", ""), "3", ""), "4", ""), "5", ""), "6", ""), "7", ""), "8", ""), "9", ""))))</f>
        <v>--</v>
      </c>
      <c r="B703" t="str">
        <f>IF(ISBLANK(MAIN!B703), "--", IFERROR(PROPER(SUBSTITUTE(SUBSTITUTE(SUBSTITUTE(SUBSTITUTE(SUBSTITUTE(SUBSTITUTE(SUBSTITUTE(SUBSTITUTE(SUBSTITUTE(SUBSTITUTE(LEFT(MAIN!B703, FIND(",",MAIN!B703) -1), "0", ""), "1", ""), "2", ""), "3", ""), "4", ""), "5", ""), "6", ""), "7", ""), "8", ""), "9", "")), PROPER(SUBSTITUTE(SUBSTITUTE(SUBSTITUTE(SUBSTITUTE(SUBSTITUTE(SUBSTITUTE(SUBSTITUTE(SUBSTITUTE(SUBSTITUTE(SUBSTITUTE(MAIN!B703, "0", ""), "1", ""), "2", ""), "3", ""), "4", ""), "5", ""), "6", ""), "7", ""), "8", ""), "9", ""))))</f>
        <v>--</v>
      </c>
      <c r="C703" t="str">
        <f>IF(ISBLANK(MAIN!C703), "--", IFERROR(PROPER(SUBSTITUTE(SUBSTITUTE(SUBSTITUTE(SUBSTITUTE(SUBSTITUTE(SUBSTITUTE(SUBSTITUTE(SUBSTITUTE(SUBSTITUTE(SUBSTITUTE(LEFT(MAIN!C703, FIND(",",MAIN!C703) -1), "0", ""), "1", ""), "2", ""), "3", ""), "4", ""), "5", ""), "6", ""), "7", ""), "8", ""), "9", "")), PROPER(SUBSTITUTE(SUBSTITUTE(SUBSTITUTE(SUBSTITUTE(SUBSTITUTE(SUBSTITUTE(SUBSTITUTE(SUBSTITUTE(SUBSTITUTE(SUBSTITUTE(MAIN!C703, "0", ""), "1", ""), "2", ""), "3", ""), "4", ""), "5", ""), "6", ""), "7", ""), "8", ""), "9", ""))))</f>
        <v>--</v>
      </c>
      <c r="D703" t="str">
        <f>IF(ISBLANK(MAIN!D703), "--", IF(ISNUMBER(MATCH(SUBSTITUTE(LEFT(MAIN!D703, IFERROR(FIND(",", MAIN!D703)-1, LEN(MAIN!D703))), " ", ""), lookup_values!$B$2:$B$51, 0)), UPPER(SUBSTITUTE(LEFT(MAIN!D703, IFERROR(FIND(",", MAIN!D703)-1, LEN(MAIN!D703))), " ", "")), IF(ISNA(VLOOKUP(SUBSTITUTE(LEFT(MAIN!D703, IFERROR(FIND(",", MAIN!D703)-1, LEN(MAIN!D703))), " ", ""), lookup_values!$A$2:$B$51, 2, FALSE)), "--", VLOOKUP(SUBSTITUTE(LEFT(MAIN!D703, IFERROR(FIND(",", MAIN!D703)-1, LEN(MAIN!D703))), " ", ""), lookup_values!$A$2:$B$51, 2, FALSE))))</f>
        <v>--</v>
      </c>
      <c r="E703" t="str">
        <f>IF(CLEAN_DATA!D703&lt;&gt;"--","US",IF(ISBLANK(MAIN!E703), "--", IF(ISNUMBER(MATCH(SUBSTITUTE(LEFT(MAIN!E703, IFERROR(FIND(",", MAIN!E703)-1, LEN(MAIN!E703))), " ", ""), lookup_values!$E$2:$E$197, 0)), UPPER(SUBSTITUTE(LEFT(MAIN!E703, IFERROR(FIND(",", MAIN!E703)-1, LEN(MAIN!E703))), " ", "")), IF(ISNA(VLOOKUP(SUBSTITUTE(LEFT(MAIN!E703, IFERROR(FIND(",", MAIN!E703)-1, LEN(MAIN!E703))), " ", ""), lookup_values!$D$2:$E$197, 2, FALSE)), "--", VLOOKUP(SUBSTITUTE(LEFT(MAIN!E703, IFERROR(FIND(",", MAIN!E703)-1, LEN(MAIN!E703))), " ", ""), lookup_values!$D$2:$E$197, 2, FALSE)))))</f>
        <v>--</v>
      </c>
      <c r="F703" t="str">
        <f>IF(ISBLANK(MAIN!F703), "", IF(AND(ISNUMBER(VALUE(TRIM(MAIN!F703))), LEN(TRIM(MAIN!F703))=4), VALUE(TRIM(MAIN!F703)), ""))</f>
        <v/>
      </c>
      <c r="G703">
        <f>IF(ISBLANK(MAIN!G703), 0, IF(ISNUMBER(VALUE(TRIM(MAIN!G703))), VALUE(TRIM(MAIN!G703)), 0))</f>
        <v>0</v>
      </c>
      <c r="H703">
        <f>IF(ISBLANK(MAIN!H703), 0, IF(ISNUMBER(VALUE(TRIM(MAIN!H703))), VALUE(TRIM(MAIN!H703)), 0))</f>
        <v>0</v>
      </c>
      <c r="I703">
        <f>IF(ISBLANK(MAIN!I703), 0, IF(ISNUMBER(VALUE(TRIM(MAIN!I703))), VALUE(TRIM(MAIN!I703)), 0))</f>
        <v>0</v>
      </c>
      <c r="J703">
        <f>IF(ISBLANK(MAIN!J703), 0, IF(ISNUMBER(VALUE(TRIM(MAIN!J703))), VALUE(TRIM(MAIN!J703)), 0))</f>
        <v>0</v>
      </c>
      <c r="K703" cm="1">
        <f t="array" ref="K703">IFERROR(
    VALUE(
        IFERROR(
            UPPER(
                IF(MAX(IFERROR(SEARCH("WD",MAIN!G703:J703), 0))&gt;0, "WD",
                IF(MAX(IFERROR(SEARCH("NS",MAIN!G703:J703), 0))&gt;0, "NS",
                IF(MAX(IFERROR(SEARCH("NC",MAIN!G703:J703), 0))&gt;0, "NC",
                IF(MAX(IFERROR(SEARCH("DQ",MAIN!G703:J703), 0))&gt;0, "DQ",
                IF(ISNUMBER(SEARCH("WD",MAIN!K703)), "WD",
                IF(ISNUMBER(SEARCH("NS",MAIN!K703)), "NS",
                IF(ISNUMBER(SEARCH("NC",MAIN!K703)), "NC",
                IF(ISNUMBER(SEARCH("DQ",MAIN!K703)), "DQ",
                IF(ISNUMBER(SEARCH("A",MAIN!K703)), 0,
                IF(OR(MAIN!K703=0,MAIN!K703=""), 0, --TRIM(MAIN!K703)))))))))))),
            0
        )
    ),
    IFERROR(
        UPPER(
            IF(MAX(IFERROR(SEARCH("WD",MAIN!G703:J703), 0))&gt;0, "WD",
            IF(MAX(IFERROR(SEARCH("NS",MAIN!G703:J703), 0))&gt;0, "NS",
            IF(MAX(IFERROR(SEARCH("NC",MAIN!G703:J703), 0))&gt;0, "NC",
            IF(MAX(IFERROR(SEARCH("DQ",MAIN!G703:J703), 0))&gt;0, "DQ",
            IF(ISNUMBER(SEARCH("WD",MAIN!K703)), "WD",
            IF(ISNUMBER(SEARCH("NS",MAIN!K703)), "NS",
            IF(ISNUMBER(SEARCH("NC",MAIN!K703)), "NC",
            IF(ISNUMBER(SEARCH("DQ",MAIN!K703)), "DQ",
            IF(ISNUMBER(SEARCH("A",MAIN!K703)), 0,
            IF(OR(MAIN!K703=0,MAIN!K703=""), 0, --TRIM(MAIN!K703)))))))))))),
        0
    )
)</f>
        <v>0</v>
      </c>
    </row>
    <row r="704" spans="1:11" x14ac:dyDescent="0.25">
      <c r="A704" t="str">
        <f>IF(ISBLANK(MAIN!A704), "--", IFERROR(PROPER(SUBSTITUTE(SUBSTITUTE(SUBSTITUTE(SUBSTITUTE(SUBSTITUTE(SUBSTITUTE(SUBSTITUTE(SUBSTITUTE(SUBSTITUTE(SUBSTITUTE(LEFT(MAIN!A704, FIND(",",MAIN!A704) -1), "0", ""), "1", ""), "2", ""), "3", ""), "4", ""), "5", ""), "6", ""), "7", ""), "8", ""), "9", "")), PROPER(SUBSTITUTE(SUBSTITUTE(SUBSTITUTE(SUBSTITUTE(SUBSTITUTE(SUBSTITUTE(SUBSTITUTE(SUBSTITUTE(SUBSTITUTE(SUBSTITUTE(MAIN!A704, "0", ""), "1", ""), "2", ""), "3", ""), "4", ""), "5", ""), "6", ""), "7", ""), "8", ""), "9", ""))))</f>
        <v>--</v>
      </c>
      <c r="B704" t="str">
        <f>IF(ISBLANK(MAIN!B704), "--", IFERROR(PROPER(SUBSTITUTE(SUBSTITUTE(SUBSTITUTE(SUBSTITUTE(SUBSTITUTE(SUBSTITUTE(SUBSTITUTE(SUBSTITUTE(SUBSTITUTE(SUBSTITUTE(LEFT(MAIN!B704, FIND(",",MAIN!B704) -1), "0", ""), "1", ""), "2", ""), "3", ""), "4", ""), "5", ""), "6", ""), "7", ""), "8", ""), "9", "")), PROPER(SUBSTITUTE(SUBSTITUTE(SUBSTITUTE(SUBSTITUTE(SUBSTITUTE(SUBSTITUTE(SUBSTITUTE(SUBSTITUTE(SUBSTITUTE(SUBSTITUTE(MAIN!B704, "0", ""), "1", ""), "2", ""), "3", ""), "4", ""), "5", ""), "6", ""), "7", ""), "8", ""), "9", ""))))</f>
        <v>--</v>
      </c>
      <c r="C704" t="str">
        <f>IF(ISBLANK(MAIN!C704), "--", IFERROR(PROPER(SUBSTITUTE(SUBSTITUTE(SUBSTITUTE(SUBSTITUTE(SUBSTITUTE(SUBSTITUTE(SUBSTITUTE(SUBSTITUTE(SUBSTITUTE(SUBSTITUTE(LEFT(MAIN!C704, FIND(",",MAIN!C704) -1), "0", ""), "1", ""), "2", ""), "3", ""), "4", ""), "5", ""), "6", ""), "7", ""), "8", ""), "9", "")), PROPER(SUBSTITUTE(SUBSTITUTE(SUBSTITUTE(SUBSTITUTE(SUBSTITUTE(SUBSTITUTE(SUBSTITUTE(SUBSTITUTE(SUBSTITUTE(SUBSTITUTE(MAIN!C704, "0", ""), "1", ""), "2", ""), "3", ""), "4", ""), "5", ""), "6", ""), "7", ""), "8", ""), "9", ""))))</f>
        <v>--</v>
      </c>
      <c r="D704" t="str">
        <f>IF(ISBLANK(MAIN!D704), "--", IF(ISNUMBER(MATCH(SUBSTITUTE(LEFT(MAIN!D704, IFERROR(FIND(",", MAIN!D704)-1, LEN(MAIN!D704))), " ", ""), lookup_values!$B$2:$B$51, 0)), UPPER(SUBSTITUTE(LEFT(MAIN!D704, IFERROR(FIND(",", MAIN!D704)-1, LEN(MAIN!D704))), " ", "")), IF(ISNA(VLOOKUP(SUBSTITUTE(LEFT(MAIN!D704, IFERROR(FIND(",", MAIN!D704)-1, LEN(MAIN!D704))), " ", ""), lookup_values!$A$2:$B$51, 2, FALSE)), "--", VLOOKUP(SUBSTITUTE(LEFT(MAIN!D704, IFERROR(FIND(",", MAIN!D704)-1, LEN(MAIN!D704))), " ", ""), lookup_values!$A$2:$B$51, 2, FALSE))))</f>
        <v>--</v>
      </c>
      <c r="E704" t="str">
        <f>IF(CLEAN_DATA!D704&lt;&gt;"--","US",IF(ISBLANK(MAIN!E704), "--", IF(ISNUMBER(MATCH(SUBSTITUTE(LEFT(MAIN!E704, IFERROR(FIND(",", MAIN!E704)-1, LEN(MAIN!E704))), " ", ""), lookup_values!$E$2:$E$197, 0)), UPPER(SUBSTITUTE(LEFT(MAIN!E704, IFERROR(FIND(",", MAIN!E704)-1, LEN(MAIN!E704))), " ", "")), IF(ISNA(VLOOKUP(SUBSTITUTE(LEFT(MAIN!E704, IFERROR(FIND(",", MAIN!E704)-1, LEN(MAIN!E704))), " ", ""), lookup_values!$D$2:$E$197, 2, FALSE)), "--", VLOOKUP(SUBSTITUTE(LEFT(MAIN!E704, IFERROR(FIND(",", MAIN!E704)-1, LEN(MAIN!E704))), " ", ""), lookup_values!$D$2:$E$197, 2, FALSE)))))</f>
        <v>--</v>
      </c>
      <c r="F704" t="str">
        <f>IF(ISBLANK(MAIN!F704), "", IF(AND(ISNUMBER(VALUE(TRIM(MAIN!F704))), LEN(TRIM(MAIN!F704))=4), VALUE(TRIM(MAIN!F704)), ""))</f>
        <v/>
      </c>
      <c r="G704">
        <f>IF(ISBLANK(MAIN!G704), 0, IF(ISNUMBER(VALUE(TRIM(MAIN!G704))), VALUE(TRIM(MAIN!G704)), 0))</f>
        <v>0</v>
      </c>
      <c r="H704">
        <f>IF(ISBLANK(MAIN!H704), 0, IF(ISNUMBER(VALUE(TRIM(MAIN!H704))), VALUE(TRIM(MAIN!H704)), 0))</f>
        <v>0</v>
      </c>
      <c r="I704">
        <f>IF(ISBLANK(MAIN!I704), 0, IF(ISNUMBER(VALUE(TRIM(MAIN!I704))), VALUE(TRIM(MAIN!I704)), 0))</f>
        <v>0</v>
      </c>
      <c r="J704">
        <f>IF(ISBLANK(MAIN!J704), 0, IF(ISNUMBER(VALUE(TRIM(MAIN!J704))), VALUE(TRIM(MAIN!J704)), 0))</f>
        <v>0</v>
      </c>
      <c r="K704" cm="1">
        <f t="array" ref="K704">IFERROR(
    VALUE(
        IFERROR(
            UPPER(
                IF(MAX(IFERROR(SEARCH("WD",MAIN!G704:J704), 0))&gt;0, "WD",
                IF(MAX(IFERROR(SEARCH("NS",MAIN!G704:J704), 0))&gt;0, "NS",
                IF(MAX(IFERROR(SEARCH("NC",MAIN!G704:J704), 0))&gt;0, "NC",
                IF(MAX(IFERROR(SEARCH("DQ",MAIN!G704:J704), 0))&gt;0, "DQ",
                IF(ISNUMBER(SEARCH("WD",MAIN!K704)), "WD",
                IF(ISNUMBER(SEARCH("NS",MAIN!K704)), "NS",
                IF(ISNUMBER(SEARCH("NC",MAIN!K704)), "NC",
                IF(ISNUMBER(SEARCH("DQ",MAIN!K704)), "DQ",
                IF(ISNUMBER(SEARCH("A",MAIN!K704)), 0,
                IF(OR(MAIN!K704=0,MAIN!K704=""), 0, --TRIM(MAIN!K704)))))))))))),
            0
        )
    ),
    IFERROR(
        UPPER(
            IF(MAX(IFERROR(SEARCH("WD",MAIN!G704:J704), 0))&gt;0, "WD",
            IF(MAX(IFERROR(SEARCH("NS",MAIN!G704:J704), 0))&gt;0, "NS",
            IF(MAX(IFERROR(SEARCH("NC",MAIN!G704:J704), 0))&gt;0, "NC",
            IF(MAX(IFERROR(SEARCH("DQ",MAIN!G704:J704), 0))&gt;0, "DQ",
            IF(ISNUMBER(SEARCH("WD",MAIN!K704)), "WD",
            IF(ISNUMBER(SEARCH("NS",MAIN!K704)), "NS",
            IF(ISNUMBER(SEARCH("NC",MAIN!K704)), "NC",
            IF(ISNUMBER(SEARCH("DQ",MAIN!K704)), "DQ",
            IF(ISNUMBER(SEARCH("A",MAIN!K704)), 0,
            IF(OR(MAIN!K704=0,MAIN!K704=""), 0, --TRIM(MAIN!K704)))))))))))),
        0
    )
)</f>
        <v>0</v>
      </c>
    </row>
    <row r="705" spans="1:11" x14ac:dyDescent="0.25">
      <c r="A705" t="str">
        <f>IF(ISBLANK(MAIN!A705), "--", IFERROR(PROPER(SUBSTITUTE(SUBSTITUTE(SUBSTITUTE(SUBSTITUTE(SUBSTITUTE(SUBSTITUTE(SUBSTITUTE(SUBSTITUTE(SUBSTITUTE(SUBSTITUTE(LEFT(MAIN!A705, FIND(",",MAIN!A705) -1), "0", ""), "1", ""), "2", ""), "3", ""), "4", ""), "5", ""), "6", ""), "7", ""), "8", ""), "9", "")), PROPER(SUBSTITUTE(SUBSTITUTE(SUBSTITUTE(SUBSTITUTE(SUBSTITUTE(SUBSTITUTE(SUBSTITUTE(SUBSTITUTE(SUBSTITUTE(SUBSTITUTE(MAIN!A705, "0", ""), "1", ""), "2", ""), "3", ""), "4", ""), "5", ""), "6", ""), "7", ""), "8", ""), "9", ""))))</f>
        <v>--</v>
      </c>
      <c r="B705" t="str">
        <f>IF(ISBLANK(MAIN!B705), "--", IFERROR(PROPER(SUBSTITUTE(SUBSTITUTE(SUBSTITUTE(SUBSTITUTE(SUBSTITUTE(SUBSTITUTE(SUBSTITUTE(SUBSTITUTE(SUBSTITUTE(SUBSTITUTE(LEFT(MAIN!B705, FIND(",",MAIN!B705) -1), "0", ""), "1", ""), "2", ""), "3", ""), "4", ""), "5", ""), "6", ""), "7", ""), "8", ""), "9", "")), PROPER(SUBSTITUTE(SUBSTITUTE(SUBSTITUTE(SUBSTITUTE(SUBSTITUTE(SUBSTITUTE(SUBSTITUTE(SUBSTITUTE(SUBSTITUTE(SUBSTITUTE(MAIN!B705, "0", ""), "1", ""), "2", ""), "3", ""), "4", ""), "5", ""), "6", ""), "7", ""), "8", ""), "9", ""))))</f>
        <v>--</v>
      </c>
      <c r="C705" t="str">
        <f>IF(ISBLANK(MAIN!C705), "--", IFERROR(PROPER(SUBSTITUTE(SUBSTITUTE(SUBSTITUTE(SUBSTITUTE(SUBSTITUTE(SUBSTITUTE(SUBSTITUTE(SUBSTITUTE(SUBSTITUTE(SUBSTITUTE(LEFT(MAIN!C705, FIND(",",MAIN!C705) -1), "0", ""), "1", ""), "2", ""), "3", ""), "4", ""), "5", ""), "6", ""), "7", ""), "8", ""), "9", "")), PROPER(SUBSTITUTE(SUBSTITUTE(SUBSTITUTE(SUBSTITUTE(SUBSTITUTE(SUBSTITUTE(SUBSTITUTE(SUBSTITUTE(SUBSTITUTE(SUBSTITUTE(MAIN!C705, "0", ""), "1", ""), "2", ""), "3", ""), "4", ""), "5", ""), "6", ""), "7", ""), "8", ""), "9", ""))))</f>
        <v>--</v>
      </c>
      <c r="D705" t="str">
        <f>IF(ISBLANK(MAIN!D705), "--", IF(ISNUMBER(MATCH(SUBSTITUTE(LEFT(MAIN!D705, IFERROR(FIND(",", MAIN!D705)-1, LEN(MAIN!D705))), " ", ""), lookup_values!$B$2:$B$51, 0)), UPPER(SUBSTITUTE(LEFT(MAIN!D705, IFERROR(FIND(",", MAIN!D705)-1, LEN(MAIN!D705))), " ", "")), IF(ISNA(VLOOKUP(SUBSTITUTE(LEFT(MAIN!D705, IFERROR(FIND(",", MAIN!D705)-1, LEN(MAIN!D705))), " ", ""), lookup_values!$A$2:$B$51, 2, FALSE)), "--", VLOOKUP(SUBSTITUTE(LEFT(MAIN!D705, IFERROR(FIND(",", MAIN!D705)-1, LEN(MAIN!D705))), " ", ""), lookup_values!$A$2:$B$51, 2, FALSE))))</f>
        <v>--</v>
      </c>
      <c r="E705" t="str">
        <f>IF(CLEAN_DATA!D705&lt;&gt;"--","US",IF(ISBLANK(MAIN!E705), "--", IF(ISNUMBER(MATCH(SUBSTITUTE(LEFT(MAIN!E705, IFERROR(FIND(",", MAIN!E705)-1, LEN(MAIN!E705))), " ", ""), lookup_values!$E$2:$E$197, 0)), UPPER(SUBSTITUTE(LEFT(MAIN!E705, IFERROR(FIND(",", MAIN!E705)-1, LEN(MAIN!E705))), " ", "")), IF(ISNA(VLOOKUP(SUBSTITUTE(LEFT(MAIN!E705, IFERROR(FIND(",", MAIN!E705)-1, LEN(MAIN!E705))), " ", ""), lookup_values!$D$2:$E$197, 2, FALSE)), "--", VLOOKUP(SUBSTITUTE(LEFT(MAIN!E705, IFERROR(FIND(",", MAIN!E705)-1, LEN(MAIN!E705))), " ", ""), lookup_values!$D$2:$E$197, 2, FALSE)))))</f>
        <v>--</v>
      </c>
      <c r="F705" t="str">
        <f>IF(ISBLANK(MAIN!F705), "", IF(AND(ISNUMBER(VALUE(TRIM(MAIN!F705))), LEN(TRIM(MAIN!F705))=4), VALUE(TRIM(MAIN!F705)), ""))</f>
        <v/>
      </c>
      <c r="G705">
        <f>IF(ISBLANK(MAIN!G705), 0, IF(ISNUMBER(VALUE(TRIM(MAIN!G705))), VALUE(TRIM(MAIN!G705)), 0))</f>
        <v>0</v>
      </c>
      <c r="H705">
        <f>IF(ISBLANK(MAIN!H705), 0, IF(ISNUMBER(VALUE(TRIM(MAIN!H705))), VALUE(TRIM(MAIN!H705)), 0))</f>
        <v>0</v>
      </c>
      <c r="I705">
        <f>IF(ISBLANK(MAIN!I705), 0, IF(ISNUMBER(VALUE(TRIM(MAIN!I705))), VALUE(TRIM(MAIN!I705)), 0))</f>
        <v>0</v>
      </c>
      <c r="J705">
        <f>IF(ISBLANK(MAIN!J705), 0, IF(ISNUMBER(VALUE(TRIM(MAIN!J705))), VALUE(TRIM(MAIN!J705)), 0))</f>
        <v>0</v>
      </c>
      <c r="K705" cm="1">
        <f t="array" ref="K705">IFERROR(
    VALUE(
        IFERROR(
            UPPER(
                IF(MAX(IFERROR(SEARCH("WD",MAIN!G705:J705), 0))&gt;0, "WD",
                IF(MAX(IFERROR(SEARCH("NS",MAIN!G705:J705), 0))&gt;0, "NS",
                IF(MAX(IFERROR(SEARCH("NC",MAIN!G705:J705), 0))&gt;0, "NC",
                IF(MAX(IFERROR(SEARCH("DQ",MAIN!G705:J705), 0))&gt;0, "DQ",
                IF(ISNUMBER(SEARCH("WD",MAIN!K705)), "WD",
                IF(ISNUMBER(SEARCH("NS",MAIN!K705)), "NS",
                IF(ISNUMBER(SEARCH("NC",MAIN!K705)), "NC",
                IF(ISNUMBER(SEARCH("DQ",MAIN!K705)), "DQ",
                IF(ISNUMBER(SEARCH("A",MAIN!K705)), 0,
                IF(OR(MAIN!K705=0,MAIN!K705=""), 0, --TRIM(MAIN!K705)))))))))))),
            0
        )
    ),
    IFERROR(
        UPPER(
            IF(MAX(IFERROR(SEARCH("WD",MAIN!G705:J705), 0))&gt;0, "WD",
            IF(MAX(IFERROR(SEARCH("NS",MAIN!G705:J705), 0))&gt;0, "NS",
            IF(MAX(IFERROR(SEARCH("NC",MAIN!G705:J705), 0))&gt;0, "NC",
            IF(MAX(IFERROR(SEARCH("DQ",MAIN!G705:J705), 0))&gt;0, "DQ",
            IF(ISNUMBER(SEARCH("WD",MAIN!K705)), "WD",
            IF(ISNUMBER(SEARCH("NS",MAIN!K705)), "NS",
            IF(ISNUMBER(SEARCH("NC",MAIN!K705)), "NC",
            IF(ISNUMBER(SEARCH("DQ",MAIN!K705)), "DQ",
            IF(ISNUMBER(SEARCH("A",MAIN!K705)), 0,
            IF(OR(MAIN!K705=0,MAIN!K705=""), 0, --TRIM(MAIN!K705)))))))))))),
        0
    )
)</f>
        <v>0</v>
      </c>
    </row>
    <row r="706" spans="1:11" x14ac:dyDescent="0.25">
      <c r="A706" t="str">
        <f>IF(ISBLANK(MAIN!A706), "--", IFERROR(PROPER(SUBSTITUTE(SUBSTITUTE(SUBSTITUTE(SUBSTITUTE(SUBSTITUTE(SUBSTITUTE(SUBSTITUTE(SUBSTITUTE(SUBSTITUTE(SUBSTITUTE(LEFT(MAIN!A706, FIND(",",MAIN!A706) -1), "0", ""), "1", ""), "2", ""), "3", ""), "4", ""), "5", ""), "6", ""), "7", ""), "8", ""), "9", "")), PROPER(SUBSTITUTE(SUBSTITUTE(SUBSTITUTE(SUBSTITUTE(SUBSTITUTE(SUBSTITUTE(SUBSTITUTE(SUBSTITUTE(SUBSTITUTE(SUBSTITUTE(MAIN!A706, "0", ""), "1", ""), "2", ""), "3", ""), "4", ""), "5", ""), "6", ""), "7", ""), "8", ""), "9", ""))))</f>
        <v>--</v>
      </c>
      <c r="B706" t="str">
        <f>IF(ISBLANK(MAIN!B706), "--", IFERROR(PROPER(SUBSTITUTE(SUBSTITUTE(SUBSTITUTE(SUBSTITUTE(SUBSTITUTE(SUBSTITUTE(SUBSTITUTE(SUBSTITUTE(SUBSTITUTE(SUBSTITUTE(LEFT(MAIN!B706, FIND(",",MAIN!B706) -1), "0", ""), "1", ""), "2", ""), "3", ""), "4", ""), "5", ""), "6", ""), "7", ""), "8", ""), "9", "")), PROPER(SUBSTITUTE(SUBSTITUTE(SUBSTITUTE(SUBSTITUTE(SUBSTITUTE(SUBSTITUTE(SUBSTITUTE(SUBSTITUTE(SUBSTITUTE(SUBSTITUTE(MAIN!B706, "0", ""), "1", ""), "2", ""), "3", ""), "4", ""), "5", ""), "6", ""), "7", ""), "8", ""), "9", ""))))</f>
        <v>--</v>
      </c>
      <c r="C706" t="str">
        <f>IF(ISBLANK(MAIN!C706), "--", IFERROR(PROPER(SUBSTITUTE(SUBSTITUTE(SUBSTITUTE(SUBSTITUTE(SUBSTITUTE(SUBSTITUTE(SUBSTITUTE(SUBSTITUTE(SUBSTITUTE(SUBSTITUTE(LEFT(MAIN!C706, FIND(",",MAIN!C706) -1), "0", ""), "1", ""), "2", ""), "3", ""), "4", ""), "5", ""), "6", ""), "7", ""), "8", ""), "9", "")), PROPER(SUBSTITUTE(SUBSTITUTE(SUBSTITUTE(SUBSTITUTE(SUBSTITUTE(SUBSTITUTE(SUBSTITUTE(SUBSTITUTE(SUBSTITUTE(SUBSTITUTE(MAIN!C706, "0", ""), "1", ""), "2", ""), "3", ""), "4", ""), "5", ""), "6", ""), "7", ""), "8", ""), "9", ""))))</f>
        <v>--</v>
      </c>
      <c r="D706" t="str">
        <f>IF(ISBLANK(MAIN!D706), "--", IF(ISNUMBER(MATCH(SUBSTITUTE(LEFT(MAIN!D706, IFERROR(FIND(",", MAIN!D706)-1, LEN(MAIN!D706))), " ", ""), lookup_values!$B$2:$B$51, 0)), UPPER(SUBSTITUTE(LEFT(MAIN!D706, IFERROR(FIND(",", MAIN!D706)-1, LEN(MAIN!D706))), " ", "")), IF(ISNA(VLOOKUP(SUBSTITUTE(LEFT(MAIN!D706, IFERROR(FIND(",", MAIN!D706)-1, LEN(MAIN!D706))), " ", ""), lookup_values!$A$2:$B$51, 2, FALSE)), "--", VLOOKUP(SUBSTITUTE(LEFT(MAIN!D706, IFERROR(FIND(",", MAIN!D706)-1, LEN(MAIN!D706))), " ", ""), lookup_values!$A$2:$B$51, 2, FALSE))))</f>
        <v>--</v>
      </c>
      <c r="E706" t="str">
        <f>IF(CLEAN_DATA!D706&lt;&gt;"--","US",IF(ISBLANK(MAIN!E706), "--", IF(ISNUMBER(MATCH(SUBSTITUTE(LEFT(MAIN!E706, IFERROR(FIND(",", MAIN!E706)-1, LEN(MAIN!E706))), " ", ""), lookup_values!$E$2:$E$197, 0)), UPPER(SUBSTITUTE(LEFT(MAIN!E706, IFERROR(FIND(",", MAIN!E706)-1, LEN(MAIN!E706))), " ", "")), IF(ISNA(VLOOKUP(SUBSTITUTE(LEFT(MAIN!E706, IFERROR(FIND(",", MAIN!E706)-1, LEN(MAIN!E706))), " ", ""), lookup_values!$D$2:$E$197, 2, FALSE)), "--", VLOOKUP(SUBSTITUTE(LEFT(MAIN!E706, IFERROR(FIND(",", MAIN!E706)-1, LEN(MAIN!E706))), " ", ""), lookup_values!$D$2:$E$197, 2, FALSE)))))</f>
        <v>--</v>
      </c>
      <c r="F706" t="str">
        <f>IF(ISBLANK(MAIN!F706), "", IF(AND(ISNUMBER(VALUE(TRIM(MAIN!F706))), LEN(TRIM(MAIN!F706))=4), VALUE(TRIM(MAIN!F706)), ""))</f>
        <v/>
      </c>
      <c r="G706">
        <f>IF(ISBLANK(MAIN!G706), 0, IF(ISNUMBER(VALUE(TRIM(MAIN!G706))), VALUE(TRIM(MAIN!G706)), 0))</f>
        <v>0</v>
      </c>
      <c r="H706">
        <f>IF(ISBLANK(MAIN!H706), 0, IF(ISNUMBER(VALUE(TRIM(MAIN!H706))), VALUE(TRIM(MAIN!H706)), 0))</f>
        <v>0</v>
      </c>
      <c r="I706">
        <f>IF(ISBLANK(MAIN!I706), 0, IF(ISNUMBER(VALUE(TRIM(MAIN!I706))), VALUE(TRIM(MAIN!I706)), 0))</f>
        <v>0</v>
      </c>
      <c r="J706">
        <f>IF(ISBLANK(MAIN!J706), 0, IF(ISNUMBER(VALUE(TRIM(MAIN!J706))), VALUE(TRIM(MAIN!J706)), 0))</f>
        <v>0</v>
      </c>
      <c r="K706" cm="1">
        <f t="array" ref="K706">IFERROR(
    VALUE(
        IFERROR(
            UPPER(
                IF(MAX(IFERROR(SEARCH("WD",MAIN!G706:J706), 0))&gt;0, "WD",
                IF(MAX(IFERROR(SEARCH("NS",MAIN!G706:J706), 0))&gt;0, "NS",
                IF(MAX(IFERROR(SEARCH("NC",MAIN!G706:J706), 0))&gt;0, "NC",
                IF(MAX(IFERROR(SEARCH("DQ",MAIN!G706:J706), 0))&gt;0, "DQ",
                IF(ISNUMBER(SEARCH("WD",MAIN!K706)), "WD",
                IF(ISNUMBER(SEARCH("NS",MAIN!K706)), "NS",
                IF(ISNUMBER(SEARCH("NC",MAIN!K706)), "NC",
                IF(ISNUMBER(SEARCH("DQ",MAIN!K706)), "DQ",
                IF(ISNUMBER(SEARCH("A",MAIN!K706)), 0,
                IF(OR(MAIN!K706=0,MAIN!K706=""), 0, --TRIM(MAIN!K706)))))))))))),
            0
        )
    ),
    IFERROR(
        UPPER(
            IF(MAX(IFERROR(SEARCH("WD",MAIN!G706:J706), 0))&gt;0, "WD",
            IF(MAX(IFERROR(SEARCH("NS",MAIN!G706:J706), 0))&gt;0, "NS",
            IF(MAX(IFERROR(SEARCH("NC",MAIN!G706:J706), 0))&gt;0, "NC",
            IF(MAX(IFERROR(SEARCH("DQ",MAIN!G706:J706), 0))&gt;0, "DQ",
            IF(ISNUMBER(SEARCH("WD",MAIN!K706)), "WD",
            IF(ISNUMBER(SEARCH("NS",MAIN!K706)), "NS",
            IF(ISNUMBER(SEARCH("NC",MAIN!K706)), "NC",
            IF(ISNUMBER(SEARCH("DQ",MAIN!K706)), "DQ",
            IF(ISNUMBER(SEARCH("A",MAIN!K706)), 0,
            IF(OR(MAIN!K706=0,MAIN!K706=""), 0, --TRIM(MAIN!K706)))))))))))),
        0
    )
)</f>
        <v>0</v>
      </c>
    </row>
    <row r="707" spans="1:11" x14ac:dyDescent="0.25">
      <c r="A707" t="str">
        <f>IF(ISBLANK(MAIN!A707), "--", IFERROR(PROPER(SUBSTITUTE(SUBSTITUTE(SUBSTITUTE(SUBSTITUTE(SUBSTITUTE(SUBSTITUTE(SUBSTITUTE(SUBSTITUTE(SUBSTITUTE(SUBSTITUTE(LEFT(MAIN!A707, FIND(",",MAIN!A707) -1), "0", ""), "1", ""), "2", ""), "3", ""), "4", ""), "5", ""), "6", ""), "7", ""), "8", ""), "9", "")), PROPER(SUBSTITUTE(SUBSTITUTE(SUBSTITUTE(SUBSTITUTE(SUBSTITUTE(SUBSTITUTE(SUBSTITUTE(SUBSTITUTE(SUBSTITUTE(SUBSTITUTE(MAIN!A707, "0", ""), "1", ""), "2", ""), "3", ""), "4", ""), "5", ""), "6", ""), "7", ""), "8", ""), "9", ""))))</f>
        <v>--</v>
      </c>
      <c r="B707" t="str">
        <f>IF(ISBLANK(MAIN!B707), "--", IFERROR(PROPER(SUBSTITUTE(SUBSTITUTE(SUBSTITUTE(SUBSTITUTE(SUBSTITUTE(SUBSTITUTE(SUBSTITUTE(SUBSTITUTE(SUBSTITUTE(SUBSTITUTE(LEFT(MAIN!B707, FIND(",",MAIN!B707) -1), "0", ""), "1", ""), "2", ""), "3", ""), "4", ""), "5", ""), "6", ""), "7", ""), "8", ""), "9", "")), PROPER(SUBSTITUTE(SUBSTITUTE(SUBSTITUTE(SUBSTITUTE(SUBSTITUTE(SUBSTITUTE(SUBSTITUTE(SUBSTITUTE(SUBSTITUTE(SUBSTITUTE(MAIN!B707, "0", ""), "1", ""), "2", ""), "3", ""), "4", ""), "5", ""), "6", ""), "7", ""), "8", ""), "9", ""))))</f>
        <v>--</v>
      </c>
      <c r="C707" t="str">
        <f>IF(ISBLANK(MAIN!C707), "--", IFERROR(PROPER(SUBSTITUTE(SUBSTITUTE(SUBSTITUTE(SUBSTITUTE(SUBSTITUTE(SUBSTITUTE(SUBSTITUTE(SUBSTITUTE(SUBSTITUTE(SUBSTITUTE(LEFT(MAIN!C707, FIND(",",MAIN!C707) -1), "0", ""), "1", ""), "2", ""), "3", ""), "4", ""), "5", ""), "6", ""), "7", ""), "8", ""), "9", "")), PROPER(SUBSTITUTE(SUBSTITUTE(SUBSTITUTE(SUBSTITUTE(SUBSTITUTE(SUBSTITUTE(SUBSTITUTE(SUBSTITUTE(SUBSTITUTE(SUBSTITUTE(MAIN!C707, "0", ""), "1", ""), "2", ""), "3", ""), "4", ""), "5", ""), "6", ""), "7", ""), "8", ""), "9", ""))))</f>
        <v>--</v>
      </c>
      <c r="D707" t="str">
        <f>IF(ISBLANK(MAIN!D707), "--", IF(ISNUMBER(MATCH(SUBSTITUTE(LEFT(MAIN!D707, IFERROR(FIND(",", MAIN!D707)-1, LEN(MAIN!D707))), " ", ""), lookup_values!$B$2:$B$51, 0)), UPPER(SUBSTITUTE(LEFT(MAIN!D707, IFERROR(FIND(",", MAIN!D707)-1, LEN(MAIN!D707))), " ", "")), IF(ISNA(VLOOKUP(SUBSTITUTE(LEFT(MAIN!D707, IFERROR(FIND(",", MAIN!D707)-1, LEN(MAIN!D707))), " ", ""), lookup_values!$A$2:$B$51, 2, FALSE)), "--", VLOOKUP(SUBSTITUTE(LEFT(MAIN!D707, IFERROR(FIND(",", MAIN!D707)-1, LEN(MAIN!D707))), " ", ""), lookup_values!$A$2:$B$51, 2, FALSE))))</f>
        <v>--</v>
      </c>
      <c r="E707" t="str">
        <f>IF(CLEAN_DATA!D707&lt;&gt;"--","US",IF(ISBLANK(MAIN!E707), "--", IF(ISNUMBER(MATCH(SUBSTITUTE(LEFT(MAIN!E707, IFERROR(FIND(",", MAIN!E707)-1, LEN(MAIN!E707))), " ", ""), lookup_values!$E$2:$E$197, 0)), UPPER(SUBSTITUTE(LEFT(MAIN!E707, IFERROR(FIND(",", MAIN!E707)-1, LEN(MAIN!E707))), " ", "")), IF(ISNA(VLOOKUP(SUBSTITUTE(LEFT(MAIN!E707, IFERROR(FIND(",", MAIN!E707)-1, LEN(MAIN!E707))), " ", ""), lookup_values!$D$2:$E$197, 2, FALSE)), "--", VLOOKUP(SUBSTITUTE(LEFT(MAIN!E707, IFERROR(FIND(",", MAIN!E707)-1, LEN(MAIN!E707))), " ", ""), lookup_values!$D$2:$E$197, 2, FALSE)))))</f>
        <v>--</v>
      </c>
      <c r="F707" t="str">
        <f>IF(ISBLANK(MAIN!F707), "", IF(AND(ISNUMBER(VALUE(TRIM(MAIN!F707))), LEN(TRIM(MAIN!F707))=4), VALUE(TRIM(MAIN!F707)), ""))</f>
        <v/>
      </c>
      <c r="G707">
        <f>IF(ISBLANK(MAIN!G707), 0, IF(ISNUMBER(VALUE(TRIM(MAIN!G707))), VALUE(TRIM(MAIN!G707)), 0))</f>
        <v>0</v>
      </c>
      <c r="H707">
        <f>IF(ISBLANK(MAIN!H707), 0, IF(ISNUMBER(VALUE(TRIM(MAIN!H707))), VALUE(TRIM(MAIN!H707)), 0))</f>
        <v>0</v>
      </c>
      <c r="I707">
        <f>IF(ISBLANK(MAIN!I707), 0, IF(ISNUMBER(VALUE(TRIM(MAIN!I707))), VALUE(TRIM(MAIN!I707)), 0))</f>
        <v>0</v>
      </c>
      <c r="J707">
        <f>IF(ISBLANK(MAIN!J707), 0, IF(ISNUMBER(VALUE(TRIM(MAIN!J707))), VALUE(TRIM(MAIN!J707)), 0))</f>
        <v>0</v>
      </c>
      <c r="K707" cm="1">
        <f t="array" ref="K707">IFERROR(
    VALUE(
        IFERROR(
            UPPER(
                IF(MAX(IFERROR(SEARCH("WD",MAIN!G707:J707), 0))&gt;0, "WD",
                IF(MAX(IFERROR(SEARCH("NS",MAIN!G707:J707), 0))&gt;0, "NS",
                IF(MAX(IFERROR(SEARCH("NC",MAIN!G707:J707), 0))&gt;0, "NC",
                IF(MAX(IFERROR(SEARCH("DQ",MAIN!G707:J707), 0))&gt;0, "DQ",
                IF(ISNUMBER(SEARCH("WD",MAIN!K707)), "WD",
                IF(ISNUMBER(SEARCH("NS",MAIN!K707)), "NS",
                IF(ISNUMBER(SEARCH("NC",MAIN!K707)), "NC",
                IF(ISNUMBER(SEARCH("DQ",MAIN!K707)), "DQ",
                IF(ISNUMBER(SEARCH("A",MAIN!K707)), 0,
                IF(OR(MAIN!K707=0,MAIN!K707=""), 0, --TRIM(MAIN!K707)))))))))))),
            0
        )
    ),
    IFERROR(
        UPPER(
            IF(MAX(IFERROR(SEARCH("WD",MAIN!G707:J707), 0))&gt;0, "WD",
            IF(MAX(IFERROR(SEARCH("NS",MAIN!G707:J707), 0))&gt;0, "NS",
            IF(MAX(IFERROR(SEARCH("NC",MAIN!G707:J707), 0))&gt;0, "NC",
            IF(MAX(IFERROR(SEARCH("DQ",MAIN!G707:J707), 0))&gt;0, "DQ",
            IF(ISNUMBER(SEARCH("WD",MAIN!K707)), "WD",
            IF(ISNUMBER(SEARCH("NS",MAIN!K707)), "NS",
            IF(ISNUMBER(SEARCH("NC",MAIN!K707)), "NC",
            IF(ISNUMBER(SEARCH("DQ",MAIN!K707)), "DQ",
            IF(ISNUMBER(SEARCH("A",MAIN!K707)), 0,
            IF(OR(MAIN!K707=0,MAIN!K707=""), 0, --TRIM(MAIN!K707)))))))))))),
        0
    )
)</f>
        <v>0</v>
      </c>
    </row>
    <row r="708" spans="1:11" x14ac:dyDescent="0.25">
      <c r="A708" t="str">
        <f>IF(ISBLANK(MAIN!A708), "--", IFERROR(PROPER(SUBSTITUTE(SUBSTITUTE(SUBSTITUTE(SUBSTITUTE(SUBSTITUTE(SUBSTITUTE(SUBSTITUTE(SUBSTITUTE(SUBSTITUTE(SUBSTITUTE(LEFT(MAIN!A708, FIND(",",MAIN!A708) -1), "0", ""), "1", ""), "2", ""), "3", ""), "4", ""), "5", ""), "6", ""), "7", ""), "8", ""), "9", "")), PROPER(SUBSTITUTE(SUBSTITUTE(SUBSTITUTE(SUBSTITUTE(SUBSTITUTE(SUBSTITUTE(SUBSTITUTE(SUBSTITUTE(SUBSTITUTE(SUBSTITUTE(MAIN!A708, "0", ""), "1", ""), "2", ""), "3", ""), "4", ""), "5", ""), "6", ""), "7", ""), "8", ""), "9", ""))))</f>
        <v>--</v>
      </c>
      <c r="B708" t="str">
        <f>IF(ISBLANK(MAIN!B708), "--", IFERROR(PROPER(SUBSTITUTE(SUBSTITUTE(SUBSTITUTE(SUBSTITUTE(SUBSTITUTE(SUBSTITUTE(SUBSTITUTE(SUBSTITUTE(SUBSTITUTE(SUBSTITUTE(LEFT(MAIN!B708, FIND(",",MAIN!B708) -1), "0", ""), "1", ""), "2", ""), "3", ""), "4", ""), "5", ""), "6", ""), "7", ""), "8", ""), "9", "")), PROPER(SUBSTITUTE(SUBSTITUTE(SUBSTITUTE(SUBSTITUTE(SUBSTITUTE(SUBSTITUTE(SUBSTITUTE(SUBSTITUTE(SUBSTITUTE(SUBSTITUTE(MAIN!B708, "0", ""), "1", ""), "2", ""), "3", ""), "4", ""), "5", ""), "6", ""), "7", ""), "8", ""), "9", ""))))</f>
        <v>--</v>
      </c>
      <c r="C708" t="str">
        <f>IF(ISBLANK(MAIN!C708), "--", IFERROR(PROPER(SUBSTITUTE(SUBSTITUTE(SUBSTITUTE(SUBSTITUTE(SUBSTITUTE(SUBSTITUTE(SUBSTITUTE(SUBSTITUTE(SUBSTITUTE(SUBSTITUTE(LEFT(MAIN!C708, FIND(",",MAIN!C708) -1), "0", ""), "1", ""), "2", ""), "3", ""), "4", ""), "5", ""), "6", ""), "7", ""), "8", ""), "9", "")), PROPER(SUBSTITUTE(SUBSTITUTE(SUBSTITUTE(SUBSTITUTE(SUBSTITUTE(SUBSTITUTE(SUBSTITUTE(SUBSTITUTE(SUBSTITUTE(SUBSTITUTE(MAIN!C708, "0", ""), "1", ""), "2", ""), "3", ""), "4", ""), "5", ""), "6", ""), "7", ""), "8", ""), "9", ""))))</f>
        <v>--</v>
      </c>
      <c r="D708" t="str">
        <f>IF(ISBLANK(MAIN!D708), "--", IF(ISNUMBER(MATCH(SUBSTITUTE(LEFT(MAIN!D708, IFERROR(FIND(",", MAIN!D708)-1, LEN(MAIN!D708))), " ", ""), lookup_values!$B$2:$B$51, 0)), UPPER(SUBSTITUTE(LEFT(MAIN!D708, IFERROR(FIND(",", MAIN!D708)-1, LEN(MAIN!D708))), " ", "")), IF(ISNA(VLOOKUP(SUBSTITUTE(LEFT(MAIN!D708, IFERROR(FIND(",", MAIN!D708)-1, LEN(MAIN!D708))), " ", ""), lookup_values!$A$2:$B$51, 2, FALSE)), "--", VLOOKUP(SUBSTITUTE(LEFT(MAIN!D708, IFERROR(FIND(",", MAIN!D708)-1, LEN(MAIN!D708))), " ", ""), lookup_values!$A$2:$B$51, 2, FALSE))))</f>
        <v>--</v>
      </c>
      <c r="E708" t="str">
        <f>IF(CLEAN_DATA!D708&lt;&gt;"--","US",IF(ISBLANK(MAIN!E708), "--", IF(ISNUMBER(MATCH(SUBSTITUTE(LEFT(MAIN!E708, IFERROR(FIND(",", MAIN!E708)-1, LEN(MAIN!E708))), " ", ""), lookup_values!$E$2:$E$197, 0)), UPPER(SUBSTITUTE(LEFT(MAIN!E708, IFERROR(FIND(",", MAIN!E708)-1, LEN(MAIN!E708))), " ", "")), IF(ISNA(VLOOKUP(SUBSTITUTE(LEFT(MAIN!E708, IFERROR(FIND(",", MAIN!E708)-1, LEN(MAIN!E708))), " ", ""), lookup_values!$D$2:$E$197, 2, FALSE)), "--", VLOOKUP(SUBSTITUTE(LEFT(MAIN!E708, IFERROR(FIND(",", MAIN!E708)-1, LEN(MAIN!E708))), " ", ""), lookup_values!$D$2:$E$197, 2, FALSE)))))</f>
        <v>--</v>
      </c>
      <c r="F708" t="str">
        <f>IF(ISBLANK(MAIN!F708), "", IF(AND(ISNUMBER(VALUE(TRIM(MAIN!F708))), LEN(TRIM(MAIN!F708))=4), VALUE(TRIM(MAIN!F708)), ""))</f>
        <v/>
      </c>
      <c r="G708">
        <f>IF(ISBLANK(MAIN!G708), 0, IF(ISNUMBER(VALUE(TRIM(MAIN!G708))), VALUE(TRIM(MAIN!G708)), 0))</f>
        <v>0</v>
      </c>
      <c r="H708">
        <f>IF(ISBLANK(MAIN!H708), 0, IF(ISNUMBER(VALUE(TRIM(MAIN!H708))), VALUE(TRIM(MAIN!H708)), 0))</f>
        <v>0</v>
      </c>
      <c r="I708">
        <f>IF(ISBLANK(MAIN!I708), 0, IF(ISNUMBER(VALUE(TRIM(MAIN!I708))), VALUE(TRIM(MAIN!I708)), 0))</f>
        <v>0</v>
      </c>
      <c r="J708">
        <f>IF(ISBLANK(MAIN!J708), 0, IF(ISNUMBER(VALUE(TRIM(MAIN!J708))), VALUE(TRIM(MAIN!J708)), 0))</f>
        <v>0</v>
      </c>
      <c r="K708" cm="1">
        <f t="array" ref="K708">IFERROR(
    VALUE(
        IFERROR(
            UPPER(
                IF(MAX(IFERROR(SEARCH("WD",MAIN!G708:J708), 0))&gt;0, "WD",
                IF(MAX(IFERROR(SEARCH("NS",MAIN!G708:J708), 0))&gt;0, "NS",
                IF(MAX(IFERROR(SEARCH("NC",MAIN!G708:J708), 0))&gt;0, "NC",
                IF(MAX(IFERROR(SEARCH("DQ",MAIN!G708:J708), 0))&gt;0, "DQ",
                IF(ISNUMBER(SEARCH("WD",MAIN!K708)), "WD",
                IF(ISNUMBER(SEARCH("NS",MAIN!K708)), "NS",
                IF(ISNUMBER(SEARCH("NC",MAIN!K708)), "NC",
                IF(ISNUMBER(SEARCH("DQ",MAIN!K708)), "DQ",
                IF(ISNUMBER(SEARCH("A",MAIN!K708)), 0,
                IF(OR(MAIN!K708=0,MAIN!K708=""), 0, --TRIM(MAIN!K708)))))))))))),
            0
        )
    ),
    IFERROR(
        UPPER(
            IF(MAX(IFERROR(SEARCH("WD",MAIN!G708:J708), 0))&gt;0, "WD",
            IF(MAX(IFERROR(SEARCH("NS",MAIN!G708:J708), 0))&gt;0, "NS",
            IF(MAX(IFERROR(SEARCH("NC",MAIN!G708:J708), 0))&gt;0, "NC",
            IF(MAX(IFERROR(SEARCH("DQ",MAIN!G708:J708), 0))&gt;0, "DQ",
            IF(ISNUMBER(SEARCH("WD",MAIN!K708)), "WD",
            IF(ISNUMBER(SEARCH("NS",MAIN!K708)), "NS",
            IF(ISNUMBER(SEARCH("NC",MAIN!K708)), "NC",
            IF(ISNUMBER(SEARCH("DQ",MAIN!K708)), "DQ",
            IF(ISNUMBER(SEARCH("A",MAIN!K708)), 0,
            IF(OR(MAIN!K708=0,MAIN!K708=""), 0, --TRIM(MAIN!K708)))))))))))),
        0
    )
)</f>
        <v>0</v>
      </c>
    </row>
    <row r="709" spans="1:11" x14ac:dyDescent="0.25">
      <c r="A709" t="str">
        <f>IF(ISBLANK(MAIN!A709), "--", IFERROR(PROPER(SUBSTITUTE(SUBSTITUTE(SUBSTITUTE(SUBSTITUTE(SUBSTITUTE(SUBSTITUTE(SUBSTITUTE(SUBSTITUTE(SUBSTITUTE(SUBSTITUTE(LEFT(MAIN!A709, FIND(",",MAIN!A709) -1), "0", ""), "1", ""), "2", ""), "3", ""), "4", ""), "5", ""), "6", ""), "7", ""), "8", ""), "9", "")), PROPER(SUBSTITUTE(SUBSTITUTE(SUBSTITUTE(SUBSTITUTE(SUBSTITUTE(SUBSTITUTE(SUBSTITUTE(SUBSTITUTE(SUBSTITUTE(SUBSTITUTE(MAIN!A709, "0", ""), "1", ""), "2", ""), "3", ""), "4", ""), "5", ""), "6", ""), "7", ""), "8", ""), "9", ""))))</f>
        <v>--</v>
      </c>
      <c r="B709" t="str">
        <f>IF(ISBLANK(MAIN!B709), "--", IFERROR(PROPER(SUBSTITUTE(SUBSTITUTE(SUBSTITUTE(SUBSTITUTE(SUBSTITUTE(SUBSTITUTE(SUBSTITUTE(SUBSTITUTE(SUBSTITUTE(SUBSTITUTE(LEFT(MAIN!B709, FIND(",",MAIN!B709) -1), "0", ""), "1", ""), "2", ""), "3", ""), "4", ""), "5", ""), "6", ""), "7", ""), "8", ""), "9", "")), PROPER(SUBSTITUTE(SUBSTITUTE(SUBSTITUTE(SUBSTITUTE(SUBSTITUTE(SUBSTITUTE(SUBSTITUTE(SUBSTITUTE(SUBSTITUTE(SUBSTITUTE(MAIN!B709, "0", ""), "1", ""), "2", ""), "3", ""), "4", ""), "5", ""), "6", ""), "7", ""), "8", ""), "9", ""))))</f>
        <v>--</v>
      </c>
      <c r="C709" t="str">
        <f>IF(ISBLANK(MAIN!C709), "--", IFERROR(PROPER(SUBSTITUTE(SUBSTITUTE(SUBSTITUTE(SUBSTITUTE(SUBSTITUTE(SUBSTITUTE(SUBSTITUTE(SUBSTITUTE(SUBSTITUTE(SUBSTITUTE(LEFT(MAIN!C709, FIND(",",MAIN!C709) -1), "0", ""), "1", ""), "2", ""), "3", ""), "4", ""), "5", ""), "6", ""), "7", ""), "8", ""), "9", "")), PROPER(SUBSTITUTE(SUBSTITUTE(SUBSTITUTE(SUBSTITUTE(SUBSTITUTE(SUBSTITUTE(SUBSTITUTE(SUBSTITUTE(SUBSTITUTE(SUBSTITUTE(MAIN!C709, "0", ""), "1", ""), "2", ""), "3", ""), "4", ""), "5", ""), "6", ""), "7", ""), "8", ""), "9", ""))))</f>
        <v>--</v>
      </c>
      <c r="D709" t="str">
        <f>IF(ISBLANK(MAIN!D709), "--", IF(ISNUMBER(MATCH(SUBSTITUTE(LEFT(MAIN!D709, IFERROR(FIND(",", MAIN!D709)-1, LEN(MAIN!D709))), " ", ""), lookup_values!$B$2:$B$51, 0)), UPPER(SUBSTITUTE(LEFT(MAIN!D709, IFERROR(FIND(",", MAIN!D709)-1, LEN(MAIN!D709))), " ", "")), IF(ISNA(VLOOKUP(SUBSTITUTE(LEFT(MAIN!D709, IFERROR(FIND(",", MAIN!D709)-1, LEN(MAIN!D709))), " ", ""), lookup_values!$A$2:$B$51, 2, FALSE)), "--", VLOOKUP(SUBSTITUTE(LEFT(MAIN!D709, IFERROR(FIND(",", MAIN!D709)-1, LEN(MAIN!D709))), " ", ""), lookup_values!$A$2:$B$51, 2, FALSE))))</f>
        <v>--</v>
      </c>
      <c r="E709" t="str">
        <f>IF(CLEAN_DATA!D709&lt;&gt;"--","US",IF(ISBLANK(MAIN!E709), "--", IF(ISNUMBER(MATCH(SUBSTITUTE(LEFT(MAIN!E709, IFERROR(FIND(",", MAIN!E709)-1, LEN(MAIN!E709))), " ", ""), lookup_values!$E$2:$E$197, 0)), UPPER(SUBSTITUTE(LEFT(MAIN!E709, IFERROR(FIND(",", MAIN!E709)-1, LEN(MAIN!E709))), " ", "")), IF(ISNA(VLOOKUP(SUBSTITUTE(LEFT(MAIN!E709, IFERROR(FIND(",", MAIN!E709)-1, LEN(MAIN!E709))), " ", ""), lookup_values!$D$2:$E$197, 2, FALSE)), "--", VLOOKUP(SUBSTITUTE(LEFT(MAIN!E709, IFERROR(FIND(",", MAIN!E709)-1, LEN(MAIN!E709))), " ", ""), lookup_values!$D$2:$E$197, 2, FALSE)))))</f>
        <v>--</v>
      </c>
      <c r="F709" t="str">
        <f>IF(ISBLANK(MAIN!F709), "", IF(AND(ISNUMBER(VALUE(TRIM(MAIN!F709))), LEN(TRIM(MAIN!F709))=4), VALUE(TRIM(MAIN!F709)), ""))</f>
        <v/>
      </c>
      <c r="G709">
        <f>IF(ISBLANK(MAIN!G709), 0, IF(ISNUMBER(VALUE(TRIM(MAIN!G709))), VALUE(TRIM(MAIN!G709)), 0))</f>
        <v>0</v>
      </c>
      <c r="H709">
        <f>IF(ISBLANK(MAIN!H709), 0, IF(ISNUMBER(VALUE(TRIM(MAIN!H709))), VALUE(TRIM(MAIN!H709)), 0))</f>
        <v>0</v>
      </c>
      <c r="I709">
        <f>IF(ISBLANK(MAIN!I709), 0, IF(ISNUMBER(VALUE(TRIM(MAIN!I709))), VALUE(TRIM(MAIN!I709)), 0))</f>
        <v>0</v>
      </c>
      <c r="J709">
        <f>IF(ISBLANK(MAIN!J709), 0, IF(ISNUMBER(VALUE(TRIM(MAIN!J709))), VALUE(TRIM(MAIN!J709)), 0))</f>
        <v>0</v>
      </c>
      <c r="K709" cm="1">
        <f t="array" ref="K709">IFERROR(
    VALUE(
        IFERROR(
            UPPER(
                IF(MAX(IFERROR(SEARCH("WD",MAIN!G709:J709), 0))&gt;0, "WD",
                IF(MAX(IFERROR(SEARCH("NS",MAIN!G709:J709), 0))&gt;0, "NS",
                IF(MAX(IFERROR(SEARCH("NC",MAIN!G709:J709), 0))&gt;0, "NC",
                IF(MAX(IFERROR(SEARCH("DQ",MAIN!G709:J709), 0))&gt;0, "DQ",
                IF(ISNUMBER(SEARCH("WD",MAIN!K709)), "WD",
                IF(ISNUMBER(SEARCH("NS",MAIN!K709)), "NS",
                IF(ISNUMBER(SEARCH("NC",MAIN!K709)), "NC",
                IF(ISNUMBER(SEARCH("DQ",MAIN!K709)), "DQ",
                IF(ISNUMBER(SEARCH("A",MAIN!K709)), 0,
                IF(OR(MAIN!K709=0,MAIN!K709=""), 0, --TRIM(MAIN!K709)))))))))))),
            0
        )
    ),
    IFERROR(
        UPPER(
            IF(MAX(IFERROR(SEARCH("WD",MAIN!G709:J709), 0))&gt;0, "WD",
            IF(MAX(IFERROR(SEARCH("NS",MAIN!G709:J709), 0))&gt;0, "NS",
            IF(MAX(IFERROR(SEARCH("NC",MAIN!G709:J709), 0))&gt;0, "NC",
            IF(MAX(IFERROR(SEARCH("DQ",MAIN!G709:J709), 0))&gt;0, "DQ",
            IF(ISNUMBER(SEARCH("WD",MAIN!K709)), "WD",
            IF(ISNUMBER(SEARCH("NS",MAIN!K709)), "NS",
            IF(ISNUMBER(SEARCH("NC",MAIN!K709)), "NC",
            IF(ISNUMBER(SEARCH("DQ",MAIN!K709)), "DQ",
            IF(ISNUMBER(SEARCH("A",MAIN!K709)), 0,
            IF(OR(MAIN!K709=0,MAIN!K709=""), 0, --TRIM(MAIN!K709)))))))))))),
        0
    )
)</f>
        <v>0</v>
      </c>
    </row>
    <row r="710" spans="1:11" x14ac:dyDescent="0.25">
      <c r="A710" t="str">
        <f>IF(ISBLANK(MAIN!A710), "--", IFERROR(PROPER(SUBSTITUTE(SUBSTITUTE(SUBSTITUTE(SUBSTITUTE(SUBSTITUTE(SUBSTITUTE(SUBSTITUTE(SUBSTITUTE(SUBSTITUTE(SUBSTITUTE(LEFT(MAIN!A710, FIND(",",MAIN!A710) -1), "0", ""), "1", ""), "2", ""), "3", ""), "4", ""), "5", ""), "6", ""), "7", ""), "8", ""), "9", "")), PROPER(SUBSTITUTE(SUBSTITUTE(SUBSTITUTE(SUBSTITUTE(SUBSTITUTE(SUBSTITUTE(SUBSTITUTE(SUBSTITUTE(SUBSTITUTE(SUBSTITUTE(MAIN!A710, "0", ""), "1", ""), "2", ""), "3", ""), "4", ""), "5", ""), "6", ""), "7", ""), "8", ""), "9", ""))))</f>
        <v>--</v>
      </c>
      <c r="B710" t="str">
        <f>IF(ISBLANK(MAIN!B710), "--", IFERROR(PROPER(SUBSTITUTE(SUBSTITUTE(SUBSTITUTE(SUBSTITUTE(SUBSTITUTE(SUBSTITUTE(SUBSTITUTE(SUBSTITUTE(SUBSTITUTE(SUBSTITUTE(LEFT(MAIN!B710, FIND(",",MAIN!B710) -1), "0", ""), "1", ""), "2", ""), "3", ""), "4", ""), "5", ""), "6", ""), "7", ""), "8", ""), "9", "")), PROPER(SUBSTITUTE(SUBSTITUTE(SUBSTITUTE(SUBSTITUTE(SUBSTITUTE(SUBSTITUTE(SUBSTITUTE(SUBSTITUTE(SUBSTITUTE(SUBSTITUTE(MAIN!B710, "0", ""), "1", ""), "2", ""), "3", ""), "4", ""), "5", ""), "6", ""), "7", ""), "8", ""), "9", ""))))</f>
        <v>--</v>
      </c>
      <c r="C710" t="str">
        <f>IF(ISBLANK(MAIN!C710), "--", IFERROR(PROPER(SUBSTITUTE(SUBSTITUTE(SUBSTITUTE(SUBSTITUTE(SUBSTITUTE(SUBSTITUTE(SUBSTITUTE(SUBSTITUTE(SUBSTITUTE(SUBSTITUTE(LEFT(MAIN!C710, FIND(",",MAIN!C710) -1), "0", ""), "1", ""), "2", ""), "3", ""), "4", ""), "5", ""), "6", ""), "7", ""), "8", ""), "9", "")), PROPER(SUBSTITUTE(SUBSTITUTE(SUBSTITUTE(SUBSTITUTE(SUBSTITUTE(SUBSTITUTE(SUBSTITUTE(SUBSTITUTE(SUBSTITUTE(SUBSTITUTE(MAIN!C710, "0", ""), "1", ""), "2", ""), "3", ""), "4", ""), "5", ""), "6", ""), "7", ""), "8", ""), "9", ""))))</f>
        <v>--</v>
      </c>
      <c r="D710" t="str">
        <f>IF(ISBLANK(MAIN!D710), "--", IF(ISNUMBER(MATCH(SUBSTITUTE(LEFT(MAIN!D710, IFERROR(FIND(",", MAIN!D710)-1, LEN(MAIN!D710))), " ", ""), lookup_values!$B$2:$B$51, 0)), UPPER(SUBSTITUTE(LEFT(MAIN!D710, IFERROR(FIND(",", MAIN!D710)-1, LEN(MAIN!D710))), " ", "")), IF(ISNA(VLOOKUP(SUBSTITUTE(LEFT(MAIN!D710, IFERROR(FIND(",", MAIN!D710)-1, LEN(MAIN!D710))), " ", ""), lookup_values!$A$2:$B$51, 2, FALSE)), "--", VLOOKUP(SUBSTITUTE(LEFT(MAIN!D710, IFERROR(FIND(",", MAIN!D710)-1, LEN(MAIN!D710))), " ", ""), lookup_values!$A$2:$B$51, 2, FALSE))))</f>
        <v>--</v>
      </c>
      <c r="E710" t="str">
        <f>IF(CLEAN_DATA!D710&lt;&gt;"--","US",IF(ISBLANK(MAIN!E710), "--", IF(ISNUMBER(MATCH(SUBSTITUTE(LEFT(MAIN!E710, IFERROR(FIND(",", MAIN!E710)-1, LEN(MAIN!E710))), " ", ""), lookup_values!$E$2:$E$197, 0)), UPPER(SUBSTITUTE(LEFT(MAIN!E710, IFERROR(FIND(",", MAIN!E710)-1, LEN(MAIN!E710))), " ", "")), IF(ISNA(VLOOKUP(SUBSTITUTE(LEFT(MAIN!E710, IFERROR(FIND(",", MAIN!E710)-1, LEN(MAIN!E710))), " ", ""), lookup_values!$D$2:$E$197, 2, FALSE)), "--", VLOOKUP(SUBSTITUTE(LEFT(MAIN!E710, IFERROR(FIND(",", MAIN!E710)-1, LEN(MAIN!E710))), " ", ""), lookup_values!$D$2:$E$197, 2, FALSE)))))</f>
        <v>--</v>
      </c>
      <c r="F710" t="str">
        <f>IF(ISBLANK(MAIN!F710), "", IF(AND(ISNUMBER(VALUE(TRIM(MAIN!F710))), LEN(TRIM(MAIN!F710))=4), VALUE(TRIM(MAIN!F710)), ""))</f>
        <v/>
      </c>
      <c r="G710">
        <f>IF(ISBLANK(MAIN!G710), 0, IF(ISNUMBER(VALUE(TRIM(MAIN!G710))), VALUE(TRIM(MAIN!G710)), 0))</f>
        <v>0</v>
      </c>
      <c r="H710">
        <f>IF(ISBLANK(MAIN!H710), 0, IF(ISNUMBER(VALUE(TRIM(MAIN!H710))), VALUE(TRIM(MAIN!H710)), 0))</f>
        <v>0</v>
      </c>
      <c r="I710">
        <f>IF(ISBLANK(MAIN!I710), 0, IF(ISNUMBER(VALUE(TRIM(MAIN!I710))), VALUE(TRIM(MAIN!I710)), 0))</f>
        <v>0</v>
      </c>
      <c r="J710">
        <f>IF(ISBLANK(MAIN!J710), 0, IF(ISNUMBER(VALUE(TRIM(MAIN!J710))), VALUE(TRIM(MAIN!J710)), 0))</f>
        <v>0</v>
      </c>
      <c r="K710" cm="1">
        <f t="array" ref="K710">IFERROR(
    VALUE(
        IFERROR(
            UPPER(
                IF(MAX(IFERROR(SEARCH("WD",MAIN!G710:J710), 0))&gt;0, "WD",
                IF(MAX(IFERROR(SEARCH("NS",MAIN!G710:J710), 0))&gt;0, "NS",
                IF(MAX(IFERROR(SEARCH("NC",MAIN!G710:J710), 0))&gt;0, "NC",
                IF(MAX(IFERROR(SEARCH("DQ",MAIN!G710:J710), 0))&gt;0, "DQ",
                IF(ISNUMBER(SEARCH("WD",MAIN!K710)), "WD",
                IF(ISNUMBER(SEARCH("NS",MAIN!K710)), "NS",
                IF(ISNUMBER(SEARCH("NC",MAIN!K710)), "NC",
                IF(ISNUMBER(SEARCH("DQ",MAIN!K710)), "DQ",
                IF(ISNUMBER(SEARCH("A",MAIN!K710)), 0,
                IF(OR(MAIN!K710=0,MAIN!K710=""), 0, --TRIM(MAIN!K710)))))))))))),
            0
        )
    ),
    IFERROR(
        UPPER(
            IF(MAX(IFERROR(SEARCH("WD",MAIN!G710:J710), 0))&gt;0, "WD",
            IF(MAX(IFERROR(SEARCH("NS",MAIN!G710:J710), 0))&gt;0, "NS",
            IF(MAX(IFERROR(SEARCH("NC",MAIN!G710:J710), 0))&gt;0, "NC",
            IF(MAX(IFERROR(SEARCH("DQ",MAIN!G710:J710), 0))&gt;0, "DQ",
            IF(ISNUMBER(SEARCH("WD",MAIN!K710)), "WD",
            IF(ISNUMBER(SEARCH("NS",MAIN!K710)), "NS",
            IF(ISNUMBER(SEARCH("NC",MAIN!K710)), "NC",
            IF(ISNUMBER(SEARCH("DQ",MAIN!K710)), "DQ",
            IF(ISNUMBER(SEARCH("A",MAIN!K710)), 0,
            IF(OR(MAIN!K710=0,MAIN!K710=""), 0, --TRIM(MAIN!K710)))))))))))),
        0
    )
)</f>
        <v>0</v>
      </c>
    </row>
    <row r="711" spans="1:11" x14ac:dyDescent="0.25">
      <c r="A711" t="str">
        <f>IF(ISBLANK(MAIN!A711), "--", IFERROR(PROPER(SUBSTITUTE(SUBSTITUTE(SUBSTITUTE(SUBSTITUTE(SUBSTITUTE(SUBSTITUTE(SUBSTITUTE(SUBSTITUTE(SUBSTITUTE(SUBSTITUTE(LEFT(MAIN!A711, FIND(",",MAIN!A711) -1), "0", ""), "1", ""), "2", ""), "3", ""), "4", ""), "5", ""), "6", ""), "7", ""), "8", ""), "9", "")), PROPER(SUBSTITUTE(SUBSTITUTE(SUBSTITUTE(SUBSTITUTE(SUBSTITUTE(SUBSTITUTE(SUBSTITUTE(SUBSTITUTE(SUBSTITUTE(SUBSTITUTE(MAIN!A711, "0", ""), "1", ""), "2", ""), "3", ""), "4", ""), "5", ""), "6", ""), "7", ""), "8", ""), "9", ""))))</f>
        <v>--</v>
      </c>
      <c r="B711" t="str">
        <f>IF(ISBLANK(MAIN!B711), "--", IFERROR(PROPER(SUBSTITUTE(SUBSTITUTE(SUBSTITUTE(SUBSTITUTE(SUBSTITUTE(SUBSTITUTE(SUBSTITUTE(SUBSTITUTE(SUBSTITUTE(SUBSTITUTE(LEFT(MAIN!B711, FIND(",",MAIN!B711) -1), "0", ""), "1", ""), "2", ""), "3", ""), "4", ""), "5", ""), "6", ""), "7", ""), "8", ""), "9", "")), PROPER(SUBSTITUTE(SUBSTITUTE(SUBSTITUTE(SUBSTITUTE(SUBSTITUTE(SUBSTITUTE(SUBSTITUTE(SUBSTITUTE(SUBSTITUTE(SUBSTITUTE(MAIN!B711, "0", ""), "1", ""), "2", ""), "3", ""), "4", ""), "5", ""), "6", ""), "7", ""), "8", ""), "9", ""))))</f>
        <v>--</v>
      </c>
      <c r="C711" t="str">
        <f>IF(ISBLANK(MAIN!C711), "--", IFERROR(PROPER(SUBSTITUTE(SUBSTITUTE(SUBSTITUTE(SUBSTITUTE(SUBSTITUTE(SUBSTITUTE(SUBSTITUTE(SUBSTITUTE(SUBSTITUTE(SUBSTITUTE(LEFT(MAIN!C711, FIND(",",MAIN!C711) -1), "0", ""), "1", ""), "2", ""), "3", ""), "4", ""), "5", ""), "6", ""), "7", ""), "8", ""), "9", "")), PROPER(SUBSTITUTE(SUBSTITUTE(SUBSTITUTE(SUBSTITUTE(SUBSTITUTE(SUBSTITUTE(SUBSTITUTE(SUBSTITUTE(SUBSTITUTE(SUBSTITUTE(MAIN!C711, "0", ""), "1", ""), "2", ""), "3", ""), "4", ""), "5", ""), "6", ""), "7", ""), "8", ""), "9", ""))))</f>
        <v>--</v>
      </c>
      <c r="D711" t="str">
        <f>IF(ISBLANK(MAIN!D711), "--", IF(ISNUMBER(MATCH(SUBSTITUTE(LEFT(MAIN!D711, IFERROR(FIND(",", MAIN!D711)-1, LEN(MAIN!D711))), " ", ""), lookup_values!$B$2:$B$51, 0)), UPPER(SUBSTITUTE(LEFT(MAIN!D711, IFERROR(FIND(",", MAIN!D711)-1, LEN(MAIN!D711))), " ", "")), IF(ISNA(VLOOKUP(SUBSTITUTE(LEFT(MAIN!D711, IFERROR(FIND(",", MAIN!D711)-1, LEN(MAIN!D711))), " ", ""), lookup_values!$A$2:$B$51, 2, FALSE)), "--", VLOOKUP(SUBSTITUTE(LEFT(MAIN!D711, IFERROR(FIND(",", MAIN!D711)-1, LEN(MAIN!D711))), " ", ""), lookup_values!$A$2:$B$51, 2, FALSE))))</f>
        <v>--</v>
      </c>
      <c r="E711" t="str">
        <f>IF(CLEAN_DATA!D711&lt;&gt;"--","US",IF(ISBLANK(MAIN!E711), "--", IF(ISNUMBER(MATCH(SUBSTITUTE(LEFT(MAIN!E711, IFERROR(FIND(",", MAIN!E711)-1, LEN(MAIN!E711))), " ", ""), lookup_values!$E$2:$E$197, 0)), UPPER(SUBSTITUTE(LEFT(MAIN!E711, IFERROR(FIND(",", MAIN!E711)-1, LEN(MAIN!E711))), " ", "")), IF(ISNA(VLOOKUP(SUBSTITUTE(LEFT(MAIN!E711, IFERROR(FIND(",", MAIN!E711)-1, LEN(MAIN!E711))), " ", ""), lookup_values!$D$2:$E$197, 2, FALSE)), "--", VLOOKUP(SUBSTITUTE(LEFT(MAIN!E711, IFERROR(FIND(",", MAIN!E711)-1, LEN(MAIN!E711))), " ", ""), lookup_values!$D$2:$E$197, 2, FALSE)))))</f>
        <v>--</v>
      </c>
      <c r="F711" t="str">
        <f>IF(ISBLANK(MAIN!F711), "", IF(AND(ISNUMBER(VALUE(TRIM(MAIN!F711))), LEN(TRIM(MAIN!F711))=4), VALUE(TRIM(MAIN!F711)), ""))</f>
        <v/>
      </c>
      <c r="G711">
        <f>IF(ISBLANK(MAIN!G711), 0, IF(ISNUMBER(VALUE(TRIM(MAIN!G711))), VALUE(TRIM(MAIN!G711)), 0))</f>
        <v>0</v>
      </c>
      <c r="H711">
        <f>IF(ISBLANK(MAIN!H711), 0, IF(ISNUMBER(VALUE(TRIM(MAIN!H711))), VALUE(TRIM(MAIN!H711)), 0))</f>
        <v>0</v>
      </c>
      <c r="I711">
        <f>IF(ISBLANK(MAIN!I711), 0, IF(ISNUMBER(VALUE(TRIM(MAIN!I711))), VALUE(TRIM(MAIN!I711)), 0))</f>
        <v>0</v>
      </c>
      <c r="J711">
        <f>IF(ISBLANK(MAIN!J711), 0, IF(ISNUMBER(VALUE(TRIM(MAIN!J711))), VALUE(TRIM(MAIN!J711)), 0))</f>
        <v>0</v>
      </c>
      <c r="K711" cm="1">
        <f t="array" ref="K711">IFERROR(
    VALUE(
        IFERROR(
            UPPER(
                IF(MAX(IFERROR(SEARCH("WD",MAIN!G711:J711), 0))&gt;0, "WD",
                IF(MAX(IFERROR(SEARCH("NS",MAIN!G711:J711), 0))&gt;0, "NS",
                IF(MAX(IFERROR(SEARCH("NC",MAIN!G711:J711), 0))&gt;0, "NC",
                IF(MAX(IFERROR(SEARCH("DQ",MAIN!G711:J711), 0))&gt;0, "DQ",
                IF(ISNUMBER(SEARCH("WD",MAIN!K711)), "WD",
                IF(ISNUMBER(SEARCH("NS",MAIN!K711)), "NS",
                IF(ISNUMBER(SEARCH("NC",MAIN!K711)), "NC",
                IF(ISNUMBER(SEARCH("DQ",MAIN!K711)), "DQ",
                IF(ISNUMBER(SEARCH("A",MAIN!K711)), 0,
                IF(OR(MAIN!K711=0,MAIN!K711=""), 0, --TRIM(MAIN!K711)))))))))))),
            0
        )
    ),
    IFERROR(
        UPPER(
            IF(MAX(IFERROR(SEARCH("WD",MAIN!G711:J711), 0))&gt;0, "WD",
            IF(MAX(IFERROR(SEARCH("NS",MAIN!G711:J711), 0))&gt;0, "NS",
            IF(MAX(IFERROR(SEARCH("NC",MAIN!G711:J711), 0))&gt;0, "NC",
            IF(MAX(IFERROR(SEARCH("DQ",MAIN!G711:J711), 0))&gt;0, "DQ",
            IF(ISNUMBER(SEARCH("WD",MAIN!K711)), "WD",
            IF(ISNUMBER(SEARCH("NS",MAIN!K711)), "NS",
            IF(ISNUMBER(SEARCH("NC",MAIN!K711)), "NC",
            IF(ISNUMBER(SEARCH("DQ",MAIN!K711)), "DQ",
            IF(ISNUMBER(SEARCH("A",MAIN!K711)), 0,
            IF(OR(MAIN!K711=0,MAIN!K711=""), 0, --TRIM(MAIN!K711)))))))))))),
        0
    )
)</f>
        <v>0</v>
      </c>
    </row>
    <row r="712" spans="1:11" x14ac:dyDescent="0.25">
      <c r="A712" t="str">
        <f>IF(ISBLANK(MAIN!A712), "--", IFERROR(PROPER(SUBSTITUTE(SUBSTITUTE(SUBSTITUTE(SUBSTITUTE(SUBSTITUTE(SUBSTITUTE(SUBSTITUTE(SUBSTITUTE(SUBSTITUTE(SUBSTITUTE(LEFT(MAIN!A712, FIND(",",MAIN!A712) -1), "0", ""), "1", ""), "2", ""), "3", ""), "4", ""), "5", ""), "6", ""), "7", ""), "8", ""), "9", "")), PROPER(SUBSTITUTE(SUBSTITUTE(SUBSTITUTE(SUBSTITUTE(SUBSTITUTE(SUBSTITUTE(SUBSTITUTE(SUBSTITUTE(SUBSTITUTE(SUBSTITUTE(MAIN!A712, "0", ""), "1", ""), "2", ""), "3", ""), "4", ""), "5", ""), "6", ""), "7", ""), "8", ""), "9", ""))))</f>
        <v>--</v>
      </c>
      <c r="B712" t="str">
        <f>IF(ISBLANK(MAIN!B712), "--", IFERROR(PROPER(SUBSTITUTE(SUBSTITUTE(SUBSTITUTE(SUBSTITUTE(SUBSTITUTE(SUBSTITUTE(SUBSTITUTE(SUBSTITUTE(SUBSTITUTE(SUBSTITUTE(LEFT(MAIN!B712, FIND(",",MAIN!B712) -1), "0", ""), "1", ""), "2", ""), "3", ""), "4", ""), "5", ""), "6", ""), "7", ""), "8", ""), "9", "")), PROPER(SUBSTITUTE(SUBSTITUTE(SUBSTITUTE(SUBSTITUTE(SUBSTITUTE(SUBSTITUTE(SUBSTITUTE(SUBSTITUTE(SUBSTITUTE(SUBSTITUTE(MAIN!B712, "0", ""), "1", ""), "2", ""), "3", ""), "4", ""), "5", ""), "6", ""), "7", ""), "8", ""), "9", ""))))</f>
        <v>--</v>
      </c>
      <c r="C712" t="str">
        <f>IF(ISBLANK(MAIN!C712), "--", IFERROR(PROPER(SUBSTITUTE(SUBSTITUTE(SUBSTITUTE(SUBSTITUTE(SUBSTITUTE(SUBSTITUTE(SUBSTITUTE(SUBSTITUTE(SUBSTITUTE(SUBSTITUTE(LEFT(MAIN!C712, FIND(",",MAIN!C712) -1), "0", ""), "1", ""), "2", ""), "3", ""), "4", ""), "5", ""), "6", ""), "7", ""), "8", ""), "9", "")), PROPER(SUBSTITUTE(SUBSTITUTE(SUBSTITUTE(SUBSTITUTE(SUBSTITUTE(SUBSTITUTE(SUBSTITUTE(SUBSTITUTE(SUBSTITUTE(SUBSTITUTE(MAIN!C712, "0", ""), "1", ""), "2", ""), "3", ""), "4", ""), "5", ""), "6", ""), "7", ""), "8", ""), "9", ""))))</f>
        <v>--</v>
      </c>
      <c r="D712" t="str">
        <f>IF(ISBLANK(MAIN!D712), "--", IF(ISNUMBER(MATCH(SUBSTITUTE(LEFT(MAIN!D712, IFERROR(FIND(",", MAIN!D712)-1, LEN(MAIN!D712))), " ", ""), lookup_values!$B$2:$B$51, 0)), UPPER(SUBSTITUTE(LEFT(MAIN!D712, IFERROR(FIND(",", MAIN!D712)-1, LEN(MAIN!D712))), " ", "")), IF(ISNA(VLOOKUP(SUBSTITUTE(LEFT(MAIN!D712, IFERROR(FIND(",", MAIN!D712)-1, LEN(MAIN!D712))), " ", ""), lookup_values!$A$2:$B$51, 2, FALSE)), "--", VLOOKUP(SUBSTITUTE(LEFT(MAIN!D712, IFERROR(FIND(",", MAIN!D712)-1, LEN(MAIN!D712))), " ", ""), lookup_values!$A$2:$B$51, 2, FALSE))))</f>
        <v>--</v>
      </c>
      <c r="E712" t="str">
        <f>IF(CLEAN_DATA!D712&lt;&gt;"--","US",IF(ISBLANK(MAIN!E712), "--", IF(ISNUMBER(MATCH(SUBSTITUTE(LEFT(MAIN!E712, IFERROR(FIND(",", MAIN!E712)-1, LEN(MAIN!E712))), " ", ""), lookup_values!$E$2:$E$197, 0)), UPPER(SUBSTITUTE(LEFT(MAIN!E712, IFERROR(FIND(",", MAIN!E712)-1, LEN(MAIN!E712))), " ", "")), IF(ISNA(VLOOKUP(SUBSTITUTE(LEFT(MAIN!E712, IFERROR(FIND(",", MAIN!E712)-1, LEN(MAIN!E712))), " ", ""), lookup_values!$D$2:$E$197, 2, FALSE)), "--", VLOOKUP(SUBSTITUTE(LEFT(MAIN!E712, IFERROR(FIND(",", MAIN!E712)-1, LEN(MAIN!E712))), " ", ""), lookup_values!$D$2:$E$197, 2, FALSE)))))</f>
        <v>--</v>
      </c>
      <c r="F712" t="str">
        <f>IF(ISBLANK(MAIN!F712), "", IF(AND(ISNUMBER(VALUE(TRIM(MAIN!F712))), LEN(TRIM(MAIN!F712))=4), VALUE(TRIM(MAIN!F712)), ""))</f>
        <v/>
      </c>
      <c r="G712">
        <f>IF(ISBLANK(MAIN!G712), 0, IF(ISNUMBER(VALUE(TRIM(MAIN!G712))), VALUE(TRIM(MAIN!G712)), 0))</f>
        <v>0</v>
      </c>
      <c r="H712">
        <f>IF(ISBLANK(MAIN!H712), 0, IF(ISNUMBER(VALUE(TRIM(MAIN!H712))), VALUE(TRIM(MAIN!H712)), 0))</f>
        <v>0</v>
      </c>
      <c r="I712">
        <f>IF(ISBLANK(MAIN!I712), 0, IF(ISNUMBER(VALUE(TRIM(MAIN!I712))), VALUE(TRIM(MAIN!I712)), 0))</f>
        <v>0</v>
      </c>
      <c r="J712">
        <f>IF(ISBLANK(MAIN!J712), 0, IF(ISNUMBER(VALUE(TRIM(MAIN!J712))), VALUE(TRIM(MAIN!J712)), 0))</f>
        <v>0</v>
      </c>
      <c r="K712" cm="1">
        <f t="array" ref="K712">IFERROR(
    VALUE(
        IFERROR(
            UPPER(
                IF(MAX(IFERROR(SEARCH("WD",MAIN!G712:J712), 0))&gt;0, "WD",
                IF(MAX(IFERROR(SEARCH("NS",MAIN!G712:J712), 0))&gt;0, "NS",
                IF(MAX(IFERROR(SEARCH("NC",MAIN!G712:J712), 0))&gt;0, "NC",
                IF(MAX(IFERROR(SEARCH("DQ",MAIN!G712:J712), 0))&gt;0, "DQ",
                IF(ISNUMBER(SEARCH("WD",MAIN!K712)), "WD",
                IF(ISNUMBER(SEARCH("NS",MAIN!K712)), "NS",
                IF(ISNUMBER(SEARCH("NC",MAIN!K712)), "NC",
                IF(ISNUMBER(SEARCH("DQ",MAIN!K712)), "DQ",
                IF(ISNUMBER(SEARCH("A",MAIN!K712)), 0,
                IF(OR(MAIN!K712=0,MAIN!K712=""), 0, --TRIM(MAIN!K712)))))))))))),
            0
        )
    ),
    IFERROR(
        UPPER(
            IF(MAX(IFERROR(SEARCH("WD",MAIN!G712:J712), 0))&gt;0, "WD",
            IF(MAX(IFERROR(SEARCH("NS",MAIN!G712:J712), 0))&gt;0, "NS",
            IF(MAX(IFERROR(SEARCH("NC",MAIN!G712:J712), 0))&gt;0, "NC",
            IF(MAX(IFERROR(SEARCH("DQ",MAIN!G712:J712), 0))&gt;0, "DQ",
            IF(ISNUMBER(SEARCH("WD",MAIN!K712)), "WD",
            IF(ISNUMBER(SEARCH("NS",MAIN!K712)), "NS",
            IF(ISNUMBER(SEARCH("NC",MAIN!K712)), "NC",
            IF(ISNUMBER(SEARCH("DQ",MAIN!K712)), "DQ",
            IF(ISNUMBER(SEARCH("A",MAIN!K712)), 0,
            IF(OR(MAIN!K712=0,MAIN!K712=""), 0, --TRIM(MAIN!K712)))))))))))),
        0
    )
)</f>
        <v>0</v>
      </c>
    </row>
    <row r="713" spans="1:11" x14ac:dyDescent="0.25">
      <c r="A713" t="str">
        <f>IF(ISBLANK(MAIN!A713), "--", IFERROR(PROPER(SUBSTITUTE(SUBSTITUTE(SUBSTITUTE(SUBSTITUTE(SUBSTITUTE(SUBSTITUTE(SUBSTITUTE(SUBSTITUTE(SUBSTITUTE(SUBSTITUTE(LEFT(MAIN!A713, FIND(",",MAIN!A713) -1), "0", ""), "1", ""), "2", ""), "3", ""), "4", ""), "5", ""), "6", ""), "7", ""), "8", ""), "9", "")), PROPER(SUBSTITUTE(SUBSTITUTE(SUBSTITUTE(SUBSTITUTE(SUBSTITUTE(SUBSTITUTE(SUBSTITUTE(SUBSTITUTE(SUBSTITUTE(SUBSTITUTE(MAIN!A713, "0", ""), "1", ""), "2", ""), "3", ""), "4", ""), "5", ""), "6", ""), "7", ""), "8", ""), "9", ""))))</f>
        <v>--</v>
      </c>
      <c r="B713" t="str">
        <f>IF(ISBLANK(MAIN!B713), "--", IFERROR(PROPER(SUBSTITUTE(SUBSTITUTE(SUBSTITUTE(SUBSTITUTE(SUBSTITUTE(SUBSTITUTE(SUBSTITUTE(SUBSTITUTE(SUBSTITUTE(SUBSTITUTE(LEFT(MAIN!B713, FIND(",",MAIN!B713) -1), "0", ""), "1", ""), "2", ""), "3", ""), "4", ""), "5", ""), "6", ""), "7", ""), "8", ""), "9", "")), PROPER(SUBSTITUTE(SUBSTITUTE(SUBSTITUTE(SUBSTITUTE(SUBSTITUTE(SUBSTITUTE(SUBSTITUTE(SUBSTITUTE(SUBSTITUTE(SUBSTITUTE(MAIN!B713, "0", ""), "1", ""), "2", ""), "3", ""), "4", ""), "5", ""), "6", ""), "7", ""), "8", ""), "9", ""))))</f>
        <v>--</v>
      </c>
      <c r="C713" t="str">
        <f>IF(ISBLANK(MAIN!C713), "--", IFERROR(PROPER(SUBSTITUTE(SUBSTITUTE(SUBSTITUTE(SUBSTITUTE(SUBSTITUTE(SUBSTITUTE(SUBSTITUTE(SUBSTITUTE(SUBSTITUTE(SUBSTITUTE(LEFT(MAIN!C713, FIND(",",MAIN!C713) -1), "0", ""), "1", ""), "2", ""), "3", ""), "4", ""), "5", ""), "6", ""), "7", ""), "8", ""), "9", "")), PROPER(SUBSTITUTE(SUBSTITUTE(SUBSTITUTE(SUBSTITUTE(SUBSTITUTE(SUBSTITUTE(SUBSTITUTE(SUBSTITUTE(SUBSTITUTE(SUBSTITUTE(MAIN!C713, "0", ""), "1", ""), "2", ""), "3", ""), "4", ""), "5", ""), "6", ""), "7", ""), "8", ""), "9", ""))))</f>
        <v>--</v>
      </c>
      <c r="D713" t="str">
        <f>IF(ISBLANK(MAIN!D713), "--", IF(ISNUMBER(MATCH(SUBSTITUTE(LEFT(MAIN!D713, IFERROR(FIND(",", MAIN!D713)-1, LEN(MAIN!D713))), " ", ""), lookup_values!$B$2:$B$51, 0)), UPPER(SUBSTITUTE(LEFT(MAIN!D713, IFERROR(FIND(",", MAIN!D713)-1, LEN(MAIN!D713))), " ", "")), IF(ISNA(VLOOKUP(SUBSTITUTE(LEFT(MAIN!D713, IFERROR(FIND(",", MAIN!D713)-1, LEN(MAIN!D713))), " ", ""), lookup_values!$A$2:$B$51, 2, FALSE)), "--", VLOOKUP(SUBSTITUTE(LEFT(MAIN!D713, IFERROR(FIND(",", MAIN!D713)-1, LEN(MAIN!D713))), " ", ""), lookup_values!$A$2:$B$51, 2, FALSE))))</f>
        <v>--</v>
      </c>
      <c r="E713" t="str">
        <f>IF(CLEAN_DATA!D713&lt;&gt;"--","US",IF(ISBLANK(MAIN!E713), "--", IF(ISNUMBER(MATCH(SUBSTITUTE(LEFT(MAIN!E713, IFERROR(FIND(",", MAIN!E713)-1, LEN(MAIN!E713))), " ", ""), lookup_values!$E$2:$E$197, 0)), UPPER(SUBSTITUTE(LEFT(MAIN!E713, IFERROR(FIND(",", MAIN!E713)-1, LEN(MAIN!E713))), " ", "")), IF(ISNA(VLOOKUP(SUBSTITUTE(LEFT(MAIN!E713, IFERROR(FIND(",", MAIN!E713)-1, LEN(MAIN!E713))), " ", ""), lookup_values!$D$2:$E$197, 2, FALSE)), "--", VLOOKUP(SUBSTITUTE(LEFT(MAIN!E713, IFERROR(FIND(",", MAIN!E713)-1, LEN(MAIN!E713))), " ", ""), lookup_values!$D$2:$E$197, 2, FALSE)))))</f>
        <v>--</v>
      </c>
      <c r="F713" t="str">
        <f>IF(ISBLANK(MAIN!F713), "", IF(AND(ISNUMBER(VALUE(TRIM(MAIN!F713))), LEN(TRIM(MAIN!F713))=4), VALUE(TRIM(MAIN!F713)), ""))</f>
        <v/>
      </c>
      <c r="G713">
        <f>IF(ISBLANK(MAIN!G713), 0, IF(ISNUMBER(VALUE(TRIM(MAIN!G713))), VALUE(TRIM(MAIN!G713)), 0))</f>
        <v>0</v>
      </c>
      <c r="H713">
        <f>IF(ISBLANK(MAIN!H713), 0, IF(ISNUMBER(VALUE(TRIM(MAIN!H713))), VALUE(TRIM(MAIN!H713)), 0))</f>
        <v>0</v>
      </c>
      <c r="I713">
        <f>IF(ISBLANK(MAIN!I713), 0, IF(ISNUMBER(VALUE(TRIM(MAIN!I713))), VALUE(TRIM(MAIN!I713)), 0))</f>
        <v>0</v>
      </c>
      <c r="J713">
        <f>IF(ISBLANK(MAIN!J713), 0, IF(ISNUMBER(VALUE(TRIM(MAIN!J713))), VALUE(TRIM(MAIN!J713)), 0))</f>
        <v>0</v>
      </c>
      <c r="K713" cm="1">
        <f t="array" ref="K713">IFERROR(
    VALUE(
        IFERROR(
            UPPER(
                IF(MAX(IFERROR(SEARCH("WD",MAIN!G713:J713), 0))&gt;0, "WD",
                IF(MAX(IFERROR(SEARCH("NS",MAIN!G713:J713), 0))&gt;0, "NS",
                IF(MAX(IFERROR(SEARCH("NC",MAIN!G713:J713), 0))&gt;0, "NC",
                IF(MAX(IFERROR(SEARCH("DQ",MAIN!G713:J713), 0))&gt;0, "DQ",
                IF(ISNUMBER(SEARCH("WD",MAIN!K713)), "WD",
                IF(ISNUMBER(SEARCH("NS",MAIN!K713)), "NS",
                IF(ISNUMBER(SEARCH("NC",MAIN!K713)), "NC",
                IF(ISNUMBER(SEARCH("DQ",MAIN!K713)), "DQ",
                IF(ISNUMBER(SEARCH("A",MAIN!K713)), 0,
                IF(OR(MAIN!K713=0,MAIN!K713=""), 0, --TRIM(MAIN!K713)))))))))))),
            0
        )
    ),
    IFERROR(
        UPPER(
            IF(MAX(IFERROR(SEARCH("WD",MAIN!G713:J713), 0))&gt;0, "WD",
            IF(MAX(IFERROR(SEARCH("NS",MAIN!G713:J713), 0))&gt;0, "NS",
            IF(MAX(IFERROR(SEARCH("NC",MAIN!G713:J713), 0))&gt;0, "NC",
            IF(MAX(IFERROR(SEARCH("DQ",MAIN!G713:J713), 0))&gt;0, "DQ",
            IF(ISNUMBER(SEARCH("WD",MAIN!K713)), "WD",
            IF(ISNUMBER(SEARCH("NS",MAIN!K713)), "NS",
            IF(ISNUMBER(SEARCH("NC",MAIN!K713)), "NC",
            IF(ISNUMBER(SEARCH("DQ",MAIN!K713)), "DQ",
            IF(ISNUMBER(SEARCH("A",MAIN!K713)), 0,
            IF(OR(MAIN!K713=0,MAIN!K713=""), 0, --TRIM(MAIN!K713)))))))))))),
        0
    )
)</f>
        <v>0</v>
      </c>
    </row>
    <row r="714" spans="1:11" x14ac:dyDescent="0.25">
      <c r="A714" t="str">
        <f>IF(ISBLANK(MAIN!A714), "--", IFERROR(PROPER(SUBSTITUTE(SUBSTITUTE(SUBSTITUTE(SUBSTITUTE(SUBSTITUTE(SUBSTITUTE(SUBSTITUTE(SUBSTITUTE(SUBSTITUTE(SUBSTITUTE(LEFT(MAIN!A714, FIND(",",MAIN!A714) -1), "0", ""), "1", ""), "2", ""), "3", ""), "4", ""), "5", ""), "6", ""), "7", ""), "8", ""), "9", "")), PROPER(SUBSTITUTE(SUBSTITUTE(SUBSTITUTE(SUBSTITUTE(SUBSTITUTE(SUBSTITUTE(SUBSTITUTE(SUBSTITUTE(SUBSTITUTE(SUBSTITUTE(MAIN!A714, "0", ""), "1", ""), "2", ""), "3", ""), "4", ""), "5", ""), "6", ""), "7", ""), "8", ""), "9", ""))))</f>
        <v>--</v>
      </c>
      <c r="B714" t="str">
        <f>IF(ISBLANK(MAIN!B714), "--", IFERROR(PROPER(SUBSTITUTE(SUBSTITUTE(SUBSTITUTE(SUBSTITUTE(SUBSTITUTE(SUBSTITUTE(SUBSTITUTE(SUBSTITUTE(SUBSTITUTE(SUBSTITUTE(LEFT(MAIN!B714, FIND(",",MAIN!B714) -1), "0", ""), "1", ""), "2", ""), "3", ""), "4", ""), "5", ""), "6", ""), "7", ""), "8", ""), "9", "")), PROPER(SUBSTITUTE(SUBSTITUTE(SUBSTITUTE(SUBSTITUTE(SUBSTITUTE(SUBSTITUTE(SUBSTITUTE(SUBSTITUTE(SUBSTITUTE(SUBSTITUTE(MAIN!B714, "0", ""), "1", ""), "2", ""), "3", ""), "4", ""), "5", ""), "6", ""), "7", ""), "8", ""), "9", ""))))</f>
        <v>--</v>
      </c>
      <c r="C714" t="str">
        <f>IF(ISBLANK(MAIN!C714), "--", IFERROR(PROPER(SUBSTITUTE(SUBSTITUTE(SUBSTITUTE(SUBSTITUTE(SUBSTITUTE(SUBSTITUTE(SUBSTITUTE(SUBSTITUTE(SUBSTITUTE(SUBSTITUTE(LEFT(MAIN!C714, FIND(",",MAIN!C714) -1), "0", ""), "1", ""), "2", ""), "3", ""), "4", ""), "5", ""), "6", ""), "7", ""), "8", ""), "9", "")), PROPER(SUBSTITUTE(SUBSTITUTE(SUBSTITUTE(SUBSTITUTE(SUBSTITUTE(SUBSTITUTE(SUBSTITUTE(SUBSTITUTE(SUBSTITUTE(SUBSTITUTE(MAIN!C714, "0", ""), "1", ""), "2", ""), "3", ""), "4", ""), "5", ""), "6", ""), "7", ""), "8", ""), "9", ""))))</f>
        <v>--</v>
      </c>
      <c r="D714" t="str">
        <f>IF(ISBLANK(MAIN!D714), "--", IF(ISNUMBER(MATCH(SUBSTITUTE(LEFT(MAIN!D714, IFERROR(FIND(",", MAIN!D714)-1, LEN(MAIN!D714))), " ", ""), lookup_values!$B$2:$B$51, 0)), UPPER(SUBSTITUTE(LEFT(MAIN!D714, IFERROR(FIND(",", MAIN!D714)-1, LEN(MAIN!D714))), " ", "")), IF(ISNA(VLOOKUP(SUBSTITUTE(LEFT(MAIN!D714, IFERROR(FIND(",", MAIN!D714)-1, LEN(MAIN!D714))), " ", ""), lookup_values!$A$2:$B$51, 2, FALSE)), "--", VLOOKUP(SUBSTITUTE(LEFT(MAIN!D714, IFERROR(FIND(",", MAIN!D714)-1, LEN(MAIN!D714))), " ", ""), lookup_values!$A$2:$B$51, 2, FALSE))))</f>
        <v>--</v>
      </c>
      <c r="E714" t="str">
        <f>IF(CLEAN_DATA!D714&lt;&gt;"--","US",IF(ISBLANK(MAIN!E714), "--", IF(ISNUMBER(MATCH(SUBSTITUTE(LEFT(MAIN!E714, IFERROR(FIND(",", MAIN!E714)-1, LEN(MAIN!E714))), " ", ""), lookup_values!$E$2:$E$197, 0)), UPPER(SUBSTITUTE(LEFT(MAIN!E714, IFERROR(FIND(",", MAIN!E714)-1, LEN(MAIN!E714))), " ", "")), IF(ISNA(VLOOKUP(SUBSTITUTE(LEFT(MAIN!E714, IFERROR(FIND(",", MAIN!E714)-1, LEN(MAIN!E714))), " ", ""), lookup_values!$D$2:$E$197, 2, FALSE)), "--", VLOOKUP(SUBSTITUTE(LEFT(MAIN!E714, IFERROR(FIND(",", MAIN!E714)-1, LEN(MAIN!E714))), " ", ""), lookup_values!$D$2:$E$197, 2, FALSE)))))</f>
        <v>--</v>
      </c>
      <c r="F714" t="str">
        <f>IF(ISBLANK(MAIN!F714), "", IF(AND(ISNUMBER(VALUE(TRIM(MAIN!F714))), LEN(TRIM(MAIN!F714))=4), VALUE(TRIM(MAIN!F714)), ""))</f>
        <v/>
      </c>
      <c r="G714">
        <f>IF(ISBLANK(MAIN!G714), 0, IF(ISNUMBER(VALUE(TRIM(MAIN!G714))), VALUE(TRIM(MAIN!G714)), 0))</f>
        <v>0</v>
      </c>
      <c r="H714">
        <f>IF(ISBLANK(MAIN!H714), 0, IF(ISNUMBER(VALUE(TRIM(MAIN!H714))), VALUE(TRIM(MAIN!H714)), 0))</f>
        <v>0</v>
      </c>
      <c r="I714">
        <f>IF(ISBLANK(MAIN!I714), 0, IF(ISNUMBER(VALUE(TRIM(MAIN!I714))), VALUE(TRIM(MAIN!I714)), 0))</f>
        <v>0</v>
      </c>
      <c r="J714">
        <f>IF(ISBLANK(MAIN!J714), 0, IF(ISNUMBER(VALUE(TRIM(MAIN!J714))), VALUE(TRIM(MAIN!J714)), 0))</f>
        <v>0</v>
      </c>
      <c r="K714" cm="1">
        <f t="array" ref="K714">IFERROR(
    VALUE(
        IFERROR(
            UPPER(
                IF(MAX(IFERROR(SEARCH("WD",MAIN!G714:J714), 0))&gt;0, "WD",
                IF(MAX(IFERROR(SEARCH("NS",MAIN!G714:J714), 0))&gt;0, "NS",
                IF(MAX(IFERROR(SEARCH("NC",MAIN!G714:J714), 0))&gt;0, "NC",
                IF(MAX(IFERROR(SEARCH("DQ",MAIN!G714:J714), 0))&gt;0, "DQ",
                IF(ISNUMBER(SEARCH("WD",MAIN!K714)), "WD",
                IF(ISNUMBER(SEARCH("NS",MAIN!K714)), "NS",
                IF(ISNUMBER(SEARCH("NC",MAIN!K714)), "NC",
                IF(ISNUMBER(SEARCH("DQ",MAIN!K714)), "DQ",
                IF(ISNUMBER(SEARCH("A",MAIN!K714)), 0,
                IF(OR(MAIN!K714=0,MAIN!K714=""), 0, --TRIM(MAIN!K714)))))))))))),
            0
        )
    ),
    IFERROR(
        UPPER(
            IF(MAX(IFERROR(SEARCH("WD",MAIN!G714:J714), 0))&gt;0, "WD",
            IF(MAX(IFERROR(SEARCH("NS",MAIN!G714:J714), 0))&gt;0, "NS",
            IF(MAX(IFERROR(SEARCH("NC",MAIN!G714:J714), 0))&gt;0, "NC",
            IF(MAX(IFERROR(SEARCH("DQ",MAIN!G714:J714), 0))&gt;0, "DQ",
            IF(ISNUMBER(SEARCH("WD",MAIN!K714)), "WD",
            IF(ISNUMBER(SEARCH("NS",MAIN!K714)), "NS",
            IF(ISNUMBER(SEARCH("NC",MAIN!K714)), "NC",
            IF(ISNUMBER(SEARCH("DQ",MAIN!K714)), "DQ",
            IF(ISNUMBER(SEARCH("A",MAIN!K714)), 0,
            IF(OR(MAIN!K714=0,MAIN!K714=""), 0, --TRIM(MAIN!K714)))))))))))),
        0
    )
)</f>
        <v>0</v>
      </c>
    </row>
    <row r="715" spans="1:11" x14ac:dyDescent="0.25">
      <c r="A715" t="str">
        <f>IF(ISBLANK(MAIN!A715), "--", IFERROR(PROPER(SUBSTITUTE(SUBSTITUTE(SUBSTITUTE(SUBSTITUTE(SUBSTITUTE(SUBSTITUTE(SUBSTITUTE(SUBSTITUTE(SUBSTITUTE(SUBSTITUTE(LEFT(MAIN!A715, FIND(",",MAIN!A715) -1), "0", ""), "1", ""), "2", ""), "3", ""), "4", ""), "5", ""), "6", ""), "7", ""), "8", ""), "9", "")), PROPER(SUBSTITUTE(SUBSTITUTE(SUBSTITUTE(SUBSTITUTE(SUBSTITUTE(SUBSTITUTE(SUBSTITUTE(SUBSTITUTE(SUBSTITUTE(SUBSTITUTE(MAIN!A715, "0", ""), "1", ""), "2", ""), "3", ""), "4", ""), "5", ""), "6", ""), "7", ""), "8", ""), "9", ""))))</f>
        <v>--</v>
      </c>
      <c r="B715" t="str">
        <f>IF(ISBLANK(MAIN!B715), "--", IFERROR(PROPER(SUBSTITUTE(SUBSTITUTE(SUBSTITUTE(SUBSTITUTE(SUBSTITUTE(SUBSTITUTE(SUBSTITUTE(SUBSTITUTE(SUBSTITUTE(SUBSTITUTE(LEFT(MAIN!B715, FIND(",",MAIN!B715) -1), "0", ""), "1", ""), "2", ""), "3", ""), "4", ""), "5", ""), "6", ""), "7", ""), "8", ""), "9", "")), PROPER(SUBSTITUTE(SUBSTITUTE(SUBSTITUTE(SUBSTITUTE(SUBSTITUTE(SUBSTITUTE(SUBSTITUTE(SUBSTITUTE(SUBSTITUTE(SUBSTITUTE(MAIN!B715, "0", ""), "1", ""), "2", ""), "3", ""), "4", ""), "5", ""), "6", ""), "7", ""), "8", ""), "9", ""))))</f>
        <v>--</v>
      </c>
      <c r="C715" t="str">
        <f>IF(ISBLANK(MAIN!C715), "--", IFERROR(PROPER(SUBSTITUTE(SUBSTITUTE(SUBSTITUTE(SUBSTITUTE(SUBSTITUTE(SUBSTITUTE(SUBSTITUTE(SUBSTITUTE(SUBSTITUTE(SUBSTITUTE(LEFT(MAIN!C715, FIND(",",MAIN!C715) -1), "0", ""), "1", ""), "2", ""), "3", ""), "4", ""), "5", ""), "6", ""), "7", ""), "8", ""), "9", "")), PROPER(SUBSTITUTE(SUBSTITUTE(SUBSTITUTE(SUBSTITUTE(SUBSTITUTE(SUBSTITUTE(SUBSTITUTE(SUBSTITUTE(SUBSTITUTE(SUBSTITUTE(MAIN!C715, "0", ""), "1", ""), "2", ""), "3", ""), "4", ""), "5", ""), "6", ""), "7", ""), "8", ""), "9", ""))))</f>
        <v>--</v>
      </c>
      <c r="D715" t="str">
        <f>IF(ISBLANK(MAIN!D715), "--", IF(ISNUMBER(MATCH(SUBSTITUTE(LEFT(MAIN!D715, IFERROR(FIND(",", MAIN!D715)-1, LEN(MAIN!D715))), " ", ""), lookup_values!$B$2:$B$51, 0)), UPPER(SUBSTITUTE(LEFT(MAIN!D715, IFERROR(FIND(",", MAIN!D715)-1, LEN(MAIN!D715))), " ", "")), IF(ISNA(VLOOKUP(SUBSTITUTE(LEFT(MAIN!D715, IFERROR(FIND(",", MAIN!D715)-1, LEN(MAIN!D715))), " ", ""), lookup_values!$A$2:$B$51, 2, FALSE)), "--", VLOOKUP(SUBSTITUTE(LEFT(MAIN!D715, IFERROR(FIND(",", MAIN!D715)-1, LEN(MAIN!D715))), " ", ""), lookup_values!$A$2:$B$51, 2, FALSE))))</f>
        <v>--</v>
      </c>
      <c r="E715" t="str">
        <f>IF(CLEAN_DATA!D715&lt;&gt;"--","US",IF(ISBLANK(MAIN!E715), "--", IF(ISNUMBER(MATCH(SUBSTITUTE(LEFT(MAIN!E715, IFERROR(FIND(",", MAIN!E715)-1, LEN(MAIN!E715))), " ", ""), lookup_values!$E$2:$E$197, 0)), UPPER(SUBSTITUTE(LEFT(MAIN!E715, IFERROR(FIND(",", MAIN!E715)-1, LEN(MAIN!E715))), " ", "")), IF(ISNA(VLOOKUP(SUBSTITUTE(LEFT(MAIN!E715, IFERROR(FIND(",", MAIN!E715)-1, LEN(MAIN!E715))), " ", ""), lookup_values!$D$2:$E$197, 2, FALSE)), "--", VLOOKUP(SUBSTITUTE(LEFT(MAIN!E715, IFERROR(FIND(",", MAIN!E715)-1, LEN(MAIN!E715))), " ", ""), lookup_values!$D$2:$E$197, 2, FALSE)))))</f>
        <v>--</v>
      </c>
      <c r="F715" t="str">
        <f>IF(ISBLANK(MAIN!F715), "", IF(AND(ISNUMBER(VALUE(TRIM(MAIN!F715))), LEN(TRIM(MAIN!F715))=4), VALUE(TRIM(MAIN!F715)), ""))</f>
        <v/>
      </c>
      <c r="G715">
        <f>IF(ISBLANK(MAIN!G715), 0, IF(ISNUMBER(VALUE(TRIM(MAIN!G715))), VALUE(TRIM(MAIN!G715)), 0))</f>
        <v>0</v>
      </c>
      <c r="H715">
        <f>IF(ISBLANK(MAIN!H715), 0, IF(ISNUMBER(VALUE(TRIM(MAIN!H715))), VALUE(TRIM(MAIN!H715)), 0))</f>
        <v>0</v>
      </c>
      <c r="I715">
        <f>IF(ISBLANK(MAIN!I715), 0, IF(ISNUMBER(VALUE(TRIM(MAIN!I715))), VALUE(TRIM(MAIN!I715)), 0))</f>
        <v>0</v>
      </c>
      <c r="J715">
        <f>IF(ISBLANK(MAIN!J715), 0, IF(ISNUMBER(VALUE(TRIM(MAIN!J715))), VALUE(TRIM(MAIN!J715)), 0))</f>
        <v>0</v>
      </c>
      <c r="K715" cm="1">
        <f t="array" ref="K715">IFERROR(
    VALUE(
        IFERROR(
            UPPER(
                IF(MAX(IFERROR(SEARCH("WD",MAIN!G715:J715), 0))&gt;0, "WD",
                IF(MAX(IFERROR(SEARCH("NS",MAIN!G715:J715), 0))&gt;0, "NS",
                IF(MAX(IFERROR(SEARCH("NC",MAIN!G715:J715), 0))&gt;0, "NC",
                IF(MAX(IFERROR(SEARCH("DQ",MAIN!G715:J715), 0))&gt;0, "DQ",
                IF(ISNUMBER(SEARCH("WD",MAIN!K715)), "WD",
                IF(ISNUMBER(SEARCH("NS",MAIN!K715)), "NS",
                IF(ISNUMBER(SEARCH("NC",MAIN!K715)), "NC",
                IF(ISNUMBER(SEARCH("DQ",MAIN!K715)), "DQ",
                IF(ISNUMBER(SEARCH("A",MAIN!K715)), 0,
                IF(OR(MAIN!K715=0,MAIN!K715=""), 0, --TRIM(MAIN!K715)))))))))))),
            0
        )
    ),
    IFERROR(
        UPPER(
            IF(MAX(IFERROR(SEARCH("WD",MAIN!G715:J715), 0))&gt;0, "WD",
            IF(MAX(IFERROR(SEARCH("NS",MAIN!G715:J715), 0))&gt;0, "NS",
            IF(MAX(IFERROR(SEARCH("NC",MAIN!G715:J715), 0))&gt;0, "NC",
            IF(MAX(IFERROR(SEARCH("DQ",MAIN!G715:J715), 0))&gt;0, "DQ",
            IF(ISNUMBER(SEARCH("WD",MAIN!K715)), "WD",
            IF(ISNUMBER(SEARCH("NS",MAIN!K715)), "NS",
            IF(ISNUMBER(SEARCH("NC",MAIN!K715)), "NC",
            IF(ISNUMBER(SEARCH("DQ",MAIN!K715)), "DQ",
            IF(ISNUMBER(SEARCH("A",MAIN!K715)), 0,
            IF(OR(MAIN!K715=0,MAIN!K715=""), 0, --TRIM(MAIN!K715)))))))))))),
        0
    )
)</f>
        <v>0</v>
      </c>
    </row>
    <row r="716" spans="1:11" x14ac:dyDescent="0.25">
      <c r="A716" t="str">
        <f>IF(ISBLANK(MAIN!A716), "--", IFERROR(PROPER(SUBSTITUTE(SUBSTITUTE(SUBSTITUTE(SUBSTITUTE(SUBSTITUTE(SUBSTITUTE(SUBSTITUTE(SUBSTITUTE(SUBSTITUTE(SUBSTITUTE(LEFT(MAIN!A716, FIND(",",MAIN!A716) -1), "0", ""), "1", ""), "2", ""), "3", ""), "4", ""), "5", ""), "6", ""), "7", ""), "8", ""), "9", "")), PROPER(SUBSTITUTE(SUBSTITUTE(SUBSTITUTE(SUBSTITUTE(SUBSTITUTE(SUBSTITUTE(SUBSTITUTE(SUBSTITUTE(SUBSTITUTE(SUBSTITUTE(MAIN!A716, "0", ""), "1", ""), "2", ""), "3", ""), "4", ""), "5", ""), "6", ""), "7", ""), "8", ""), "9", ""))))</f>
        <v>--</v>
      </c>
      <c r="B716" t="str">
        <f>IF(ISBLANK(MAIN!B716), "--", IFERROR(PROPER(SUBSTITUTE(SUBSTITUTE(SUBSTITUTE(SUBSTITUTE(SUBSTITUTE(SUBSTITUTE(SUBSTITUTE(SUBSTITUTE(SUBSTITUTE(SUBSTITUTE(LEFT(MAIN!B716, FIND(",",MAIN!B716) -1), "0", ""), "1", ""), "2", ""), "3", ""), "4", ""), "5", ""), "6", ""), "7", ""), "8", ""), "9", "")), PROPER(SUBSTITUTE(SUBSTITUTE(SUBSTITUTE(SUBSTITUTE(SUBSTITUTE(SUBSTITUTE(SUBSTITUTE(SUBSTITUTE(SUBSTITUTE(SUBSTITUTE(MAIN!B716, "0", ""), "1", ""), "2", ""), "3", ""), "4", ""), "5", ""), "6", ""), "7", ""), "8", ""), "9", ""))))</f>
        <v>--</v>
      </c>
      <c r="C716" t="str">
        <f>IF(ISBLANK(MAIN!C716), "--", IFERROR(PROPER(SUBSTITUTE(SUBSTITUTE(SUBSTITUTE(SUBSTITUTE(SUBSTITUTE(SUBSTITUTE(SUBSTITUTE(SUBSTITUTE(SUBSTITUTE(SUBSTITUTE(LEFT(MAIN!C716, FIND(",",MAIN!C716) -1), "0", ""), "1", ""), "2", ""), "3", ""), "4", ""), "5", ""), "6", ""), "7", ""), "8", ""), "9", "")), PROPER(SUBSTITUTE(SUBSTITUTE(SUBSTITUTE(SUBSTITUTE(SUBSTITUTE(SUBSTITUTE(SUBSTITUTE(SUBSTITUTE(SUBSTITUTE(SUBSTITUTE(MAIN!C716, "0", ""), "1", ""), "2", ""), "3", ""), "4", ""), "5", ""), "6", ""), "7", ""), "8", ""), "9", ""))))</f>
        <v>--</v>
      </c>
      <c r="D716" t="str">
        <f>IF(ISBLANK(MAIN!D716), "--", IF(ISNUMBER(MATCH(SUBSTITUTE(LEFT(MAIN!D716, IFERROR(FIND(",", MAIN!D716)-1, LEN(MAIN!D716))), " ", ""), lookup_values!$B$2:$B$51, 0)), UPPER(SUBSTITUTE(LEFT(MAIN!D716, IFERROR(FIND(",", MAIN!D716)-1, LEN(MAIN!D716))), " ", "")), IF(ISNA(VLOOKUP(SUBSTITUTE(LEFT(MAIN!D716, IFERROR(FIND(",", MAIN!D716)-1, LEN(MAIN!D716))), " ", ""), lookup_values!$A$2:$B$51, 2, FALSE)), "--", VLOOKUP(SUBSTITUTE(LEFT(MAIN!D716, IFERROR(FIND(",", MAIN!D716)-1, LEN(MAIN!D716))), " ", ""), lookup_values!$A$2:$B$51, 2, FALSE))))</f>
        <v>--</v>
      </c>
      <c r="E716" t="str">
        <f>IF(CLEAN_DATA!D716&lt;&gt;"--","US",IF(ISBLANK(MAIN!E716), "--", IF(ISNUMBER(MATCH(SUBSTITUTE(LEFT(MAIN!E716, IFERROR(FIND(",", MAIN!E716)-1, LEN(MAIN!E716))), " ", ""), lookup_values!$E$2:$E$197, 0)), UPPER(SUBSTITUTE(LEFT(MAIN!E716, IFERROR(FIND(",", MAIN!E716)-1, LEN(MAIN!E716))), " ", "")), IF(ISNA(VLOOKUP(SUBSTITUTE(LEFT(MAIN!E716, IFERROR(FIND(",", MAIN!E716)-1, LEN(MAIN!E716))), " ", ""), lookup_values!$D$2:$E$197, 2, FALSE)), "--", VLOOKUP(SUBSTITUTE(LEFT(MAIN!E716, IFERROR(FIND(",", MAIN!E716)-1, LEN(MAIN!E716))), " ", ""), lookup_values!$D$2:$E$197, 2, FALSE)))))</f>
        <v>--</v>
      </c>
      <c r="F716" t="str">
        <f>IF(ISBLANK(MAIN!F716), "", IF(AND(ISNUMBER(VALUE(TRIM(MAIN!F716))), LEN(TRIM(MAIN!F716))=4), VALUE(TRIM(MAIN!F716)), ""))</f>
        <v/>
      </c>
      <c r="G716">
        <f>IF(ISBLANK(MAIN!G716), 0, IF(ISNUMBER(VALUE(TRIM(MAIN!G716))), VALUE(TRIM(MAIN!G716)), 0))</f>
        <v>0</v>
      </c>
      <c r="H716">
        <f>IF(ISBLANK(MAIN!H716), 0, IF(ISNUMBER(VALUE(TRIM(MAIN!H716))), VALUE(TRIM(MAIN!H716)), 0))</f>
        <v>0</v>
      </c>
      <c r="I716">
        <f>IF(ISBLANK(MAIN!I716), 0, IF(ISNUMBER(VALUE(TRIM(MAIN!I716))), VALUE(TRIM(MAIN!I716)), 0))</f>
        <v>0</v>
      </c>
      <c r="J716">
        <f>IF(ISBLANK(MAIN!J716), 0, IF(ISNUMBER(VALUE(TRIM(MAIN!J716))), VALUE(TRIM(MAIN!J716)), 0))</f>
        <v>0</v>
      </c>
      <c r="K716" cm="1">
        <f t="array" ref="K716">IFERROR(
    VALUE(
        IFERROR(
            UPPER(
                IF(MAX(IFERROR(SEARCH("WD",MAIN!G716:J716), 0))&gt;0, "WD",
                IF(MAX(IFERROR(SEARCH("NS",MAIN!G716:J716), 0))&gt;0, "NS",
                IF(MAX(IFERROR(SEARCH("NC",MAIN!G716:J716), 0))&gt;0, "NC",
                IF(MAX(IFERROR(SEARCH("DQ",MAIN!G716:J716), 0))&gt;0, "DQ",
                IF(ISNUMBER(SEARCH("WD",MAIN!K716)), "WD",
                IF(ISNUMBER(SEARCH("NS",MAIN!K716)), "NS",
                IF(ISNUMBER(SEARCH("NC",MAIN!K716)), "NC",
                IF(ISNUMBER(SEARCH("DQ",MAIN!K716)), "DQ",
                IF(ISNUMBER(SEARCH("A",MAIN!K716)), 0,
                IF(OR(MAIN!K716=0,MAIN!K716=""), 0, --TRIM(MAIN!K716)))))))))))),
            0
        )
    ),
    IFERROR(
        UPPER(
            IF(MAX(IFERROR(SEARCH("WD",MAIN!G716:J716), 0))&gt;0, "WD",
            IF(MAX(IFERROR(SEARCH("NS",MAIN!G716:J716), 0))&gt;0, "NS",
            IF(MAX(IFERROR(SEARCH("NC",MAIN!G716:J716), 0))&gt;0, "NC",
            IF(MAX(IFERROR(SEARCH("DQ",MAIN!G716:J716), 0))&gt;0, "DQ",
            IF(ISNUMBER(SEARCH("WD",MAIN!K716)), "WD",
            IF(ISNUMBER(SEARCH("NS",MAIN!K716)), "NS",
            IF(ISNUMBER(SEARCH("NC",MAIN!K716)), "NC",
            IF(ISNUMBER(SEARCH("DQ",MAIN!K716)), "DQ",
            IF(ISNUMBER(SEARCH("A",MAIN!K716)), 0,
            IF(OR(MAIN!K716=0,MAIN!K716=""), 0, --TRIM(MAIN!K716)))))))))))),
        0
    )
)</f>
        <v>0</v>
      </c>
    </row>
    <row r="717" spans="1:11" x14ac:dyDescent="0.25">
      <c r="A717" t="str">
        <f>IF(ISBLANK(MAIN!A717), "--", IFERROR(PROPER(SUBSTITUTE(SUBSTITUTE(SUBSTITUTE(SUBSTITUTE(SUBSTITUTE(SUBSTITUTE(SUBSTITUTE(SUBSTITUTE(SUBSTITUTE(SUBSTITUTE(LEFT(MAIN!A717, FIND(",",MAIN!A717) -1), "0", ""), "1", ""), "2", ""), "3", ""), "4", ""), "5", ""), "6", ""), "7", ""), "8", ""), "9", "")), PROPER(SUBSTITUTE(SUBSTITUTE(SUBSTITUTE(SUBSTITUTE(SUBSTITUTE(SUBSTITUTE(SUBSTITUTE(SUBSTITUTE(SUBSTITUTE(SUBSTITUTE(MAIN!A717, "0", ""), "1", ""), "2", ""), "3", ""), "4", ""), "5", ""), "6", ""), "7", ""), "8", ""), "9", ""))))</f>
        <v>--</v>
      </c>
      <c r="B717" t="str">
        <f>IF(ISBLANK(MAIN!B717), "--", IFERROR(PROPER(SUBSTITUTE(SUBSTITUTE(SUBSTITUTE(SUBSTITUTE(SUBSTITUTE(SUBSTITUTE(SUBSTITUTE(SUBSTITUTE(SUBSTITUTE(SUBSTITUTE(LEFT(MAIN!B717, FIND(",",MAIN!B717) -1), "0", ""), "1", ""), "2", ""), "3", ""), "4", ""), "5", ""), "6", ""), "7", ""), "8", ""), "9", "")), PROPER(SUBSTITUTE(SUBSTITUTE(SUBSTITUTE(SUBSTITUTE(SUBSTITUTE(SUBSTITUTE(SUBSTITUTE(SUBSTITUTE(SUBSTITUTE(SUBSTITUTE(MAIN!B717, "0", ""), "1", ""), "2", ""), "3", ""), "4", ""), "5", ""), "6", ""), "7", ""), "8", ""), "9", ""))))</f>
        <v>--</v>
      </c>
      <c r="C717" t="str">
        <f>IF(ISBLANK(MAIN!C717), "--", IFERROR(PROPER(SUBSTITUTE(SUBSTITUTE(SUBSTITUTE(SUBSTITUTE(SUBSTITUTE(SUBSTITUTE(SUBSTITUTE(SUBSTITUTE(SUBSTITUTE(SUBSTITUTE(LEFT(MAIN!C717, FIND(",",MAIN!C717) -1), "0", ""), "1", ""), "2", ""), "3", ""), "4", ""), "5", ""), "6", ""), "7", ""), "8", ""), "9", "")), PROPER(SUBSTITUTE(SUBSTITUTE(SUBSTITUTE(SUBSTITUTE(SUBSTITUTE(SUBSTITUTE(SUBSTITUTE(SUBSTITUTE(SUBSTITUTE(SUBSTITUTE(MAIN!C717, "0", ""), "1", ""), "2", ""), "3", ""), "4", ""), "5", ""), "6", ""), "7", ""), "8", ""), "9", ""))))</f>
        <v>--</v>
      </c>
      <c r="D717" t="str">
        <f>IF(ISBLANK(MAIN!D717), "--", IF(ISNUMBER(MATCH(SUBSTITUTE(LEFT(MAIN!D717, IFERROR(FIND(",", MAIN!D717)-1, LEN(MAIN!D717))), " ", ""), lookup_values!$B$2:$B$51, 0)), UPPER(SUBSTITUTE(LEFT(MAIN!D717, IFERROR(FIND(",", MAIN!D717)-1, LEN(MAIN!D717))), " ", "")), IF(ISNA(VLOOKUP(SUBSTITUTE(LEFT(MAIN!D717, IFERROR(FIND(",", MAIN!D717)-1, LEN(MAIN!D717))), " ", ""), lookup_values!$A$2:$B$51, 2, FALSE)), "--", VLOOKUP(SUBSTITUTE(LEFT(MAIN!D717, IFERROR(FIND(",", MAIN!D717)-1, LEN(MAIN!D717))), " ", ""), lookup_values!$A$2:$B$51, 2, FALSE))))</f>
        <v>--</v>
      </c>
      <c r="E717" t="str">
        <f>IF(CLEAN_DATA!D717&lt;&gt;"--","US",IF(ISBLANK(MAIN!E717), "--", IF(ISNUMBER(MATCH(SUBSTITUTE(LEFT(MAIN!E717, IFERROR(FIND(",", MAIN!E717)-1, LEN(MAIN!E717))), " ", ""), lookup_values!$E$2:$E$197, 0)), UPPER(SUBSTITUTE(LEFT(MAIN!E717, IFERROR(FIND(",", MAIN!E717)-1, LEN(MAIN!E717))), " ", "")), IF(ISNA(VLOOKUP(SUBSTITUTE(LEFT(MAIN!E717, IFERROR(FIND(",", MAIN!E717)-1, LEN(MAIN!E717))), " ", ""), lookup_values!$D$2:$E$197, 2, FALSE)), "--", VLOOKUP(SUBSTITUTE(LEFT(MAIN!E717, IFERROR(FIND(",", MAIN!E717)-1, LEN(MAIN!E717))), " ", ""), lookup_values!$D$2:$E$197, 2, FALSE)))))</f>
        <v>--</v>
      </c>
      <c r="F717" t="str">
        <f>IF(ISBLANK(MAIN!F717), "", IF(AND(ISNUMBER(VALUE(TRIM(MAIN!F717))), LEN(TRIM(MAIN!F717))=4), VALUE(TRIM(MAIN!F717)), ""))</f>
        <v/>
      </c>
      <c r="G717">
        <f>IF(ISBLANK(MAIN!G717), 0, IF(ISNUMBER(VALUE(TRIM(MAIN!G717))), VALUE(TRIM(MAIN!G717)), 0))</f>
        <v>0</v>
      </c>
      <c r="H717">
        <f>IF(ISBLANK(MAIN!H717), 0, IF(ISNUMBER(VALUE(TRIM(MAIN!H717))), VALUE(TRIM(MAIN!H717)), 0))</f>
        <v>0</v>
      </c>
      <c r="I717">
        <f>IF(ISBLANK(MAIN!I717), 0, IF(ISNUMBER(VALUE(TRIM(MAIN!I717))), VALUE(TRIM(MAIN!I717)), 0))</f>
        <v>0</v>
      </c>
      <c r="J717">
        <f>IF(ISBLANK(MAIN!J717), 0, IF(ISNUMBER(VALUE(TRIM(MAIN!J717))), VALUE(TRIM(MAIN!J717)), 0))</f>
        <v>0</v>
      </c>
      <c r="K717" cm="1">
        <f t="array" ref="K717">IFERROR(
    VALUE(
        IFERROR(
            UPPER(
                IF(MAX(IFERROR(SEARCH("WD",MAIN!G717:J717), 0))&gt;0, "WD",
                IF(MAX(IFERROR(SEARCH("NS",MAIN!G717:J717), 0))&gt;0, "NS",
                IF(MAX(IFERROR(SEARCH("NC",MAIN!G717:J717), 0))&gt;0, "NC",
                IF(MAX(IFERROR(SEARCH("DQ",MAIN!G717:J717), 0))&gt;0, "DQ",
                IF(ISNUMBER(SEARCH("WD",MAIN!K717)), "WD",
                IF(ISNUMBER(SEARCH("NS",MAIN!K717)), "NS",
                IF(ISNUMBER(SEARCH("NC",MAIN!K717)), "NC",
                IF(ISNUMBER(SEARCH("DQ",MAIN!K717)), "DQ",
                IF(ISNUMBER(SEARCH("A",MAIN!K717)), 0,
                IF(OR(MAIN!K717=0,MAIN!K717=""), 0, --TRIM(MAIN!K717)))))))))))),
            0
        )
    ),
    IFERROR(
        UPPER(
            IF(MAX(IFERROR(SEARCH("WD",MAIN!G717:J717), 0))&gt;0, "WD",
            IF(MAX(IFERROR(SEARCH("NS",MAIN!G717:J717), 0))&gt;0, "NS",
            IF(MAX(IFERROR(SEARCH("NC",MAIN!G717:J717), 0))&gt;0, "NC",
            IF(MAX(IFERROR(SEARCH("DQ",MAIN!G717:J717), 0))&gt;0, "DQ",
            IF(ISNUMBER(SEARCH("WD",MAIN!K717)), "WD",
            IF(ISNUMBER(SEARCH("NS",MAIN!K717)), "NS",
            IF(ISNUMBER(SEARCH("NC",MAIN!K717)), "NC",
            IF(ISNUMBER(SEARCH("DQ",MAIN!K717)), "DQ",
            IF(ISNUMBER(SEARCH("A",MAIN!K717)), 0,
            IF(OR(MAIN!K717=0,MAIN!K717=""), 0, --TRIM(MAIN!K717)))))))))))),
        0
    )
)</f>
        <v>0</v>
      </c>
    </row>
    <row r="718" spans="1:11" x14ac:dyDescent="0.25">
      <c r="A718" t="str">
        <f>IF(ISBLANK(MAIN!A718), "--", IFERROR(PROPER(SUBSTITUTE(SUBSTITUTE(SUBSTITUTE(SUBSTITUTE(SUBSTITUTE(SUBSTITUTE(SUBSTITUTE(SUBSTITUTE(SUBSTITUTE(SUBSTITUTE(LEFT(MAIN!A718, FIND(",",MAIN!A718) -1), "0", ""), "1", ""), "2", ""), "3", ""), "4", ""), "5", ""), "6", ""), "7", ""), "8", ""), "9", "")), PROPER(SUBSTITUTE(SUBSTITUTE(SUBSTITUTE(SUBSTITUTE(SUBSTITUTE(SUBSTITUTE(SUBSTITUTE(SUBSTITUTE(SUBSTITUTE(SUBSTITUTE(MAIN!A718, "0", ""), "1", ""), "2", ""), "3", ""), "4", ""), "5", ""), "6", ""), "7", ""), "8", ""), "9", ""))))</f>
        <v>--</v>
      </c>
      <c r="B718" t="str">
        <f>IF(ISBLANK(MAIN!B718), "--", IFERROR(PROPER(SUBSTITUTE(SUBSTITUTE(SUBSTITUTE(SUBSTITUTE(SUBSTITUTE(SUBSTITUTE(SUBSTITUTE(SUBSTITUTE(SUBSTITUTE(SUBSTITUTE(LEFT(MAIN!B718, FIND(",",MAIN!B718) -1), "0", ""), "1", ""), "2", ""), "3", ""), "4", ""), "5", ""), "6", ""), "7", ""), "8", ""), "9", "")), PROPER(SUBSTITUTE(SUBSTITUTE(SUBSTITUTE(SUBSTITUTE(SUBSTITUTE(SUBSTITUTE(SUBSTITUTE(SUBSTITUTE(SUBSTITUTE(SUBSTITUTE(MAIN!B718, "0", ""), "1", ""), "2", ""), "3", ""), "4", ""), "5", ""), "6", ""), "7", ""), "8", ""), "9", ""))))</f>
        <v>--</v>
      </c>
      <c r="C718" t="str">
        <f>IF(ISBLANK(MAIN!C718), "--", IFERROR(PROPER(SUBSTITUTE(SUBSTITUTE(SUBSTITUTE(SUBSTITUTE(SUBSTITUTE(SUBSTITUTE(SUBSTITUTE(SUBSTITUTE(SUBSTITUTE(SUBSTITUTE(LEFT(MAIN!C718, FIND(",",MAIN!C718) -1), "0", ""), "1", ""), "2", ""), "3", ""), "4", ""), "5", ""), "6", ""), "7", ""), "8", ""), "9", "")), PROPER(SUBSTITUTE(SUBSTITUTE(SUBSTITUTE(SUBSTITUTE(SUBSTITUTE(SUBSTITUTE(SUBSTITUTE(SUBSTITUTE(SUBSTITUTE(SUBSTITUTE(MAIN!C718, "0", ""), "1", ""), "2", ""), "3", ""), "4", ""), "5", ""), "6", ""), "7", ""), "8", ""), "9", ""))))</f>
        <v>--</v>
      </c>
      <c r="D718" t="str">
        <f>IF(ISBLANK(MAIN!D718), "--", IF(ISNUMBER(MATCH(SUBSTITUTE(LEFT(MAIN!D718, IFERROR(FIND(",", MAIN!D718)-1, LEN(MAIN!D718))), " ", ""), lookup_values!$B$2:$B$51, 0)), UPPER(SUBSTITUTE(LEFT(MAIN!D718, IFERROR(FIND(",", MAIN!D718)-1, LEN(MAIN!D718))), " ", "")), IF(ISNA(VLOOKUP(SUBSTITUTE(LEFT(MAIN!D718, IFERROR(FIND(",", MAIN!D718)-1, LEN(MAIN!D718))), " ", ""), lookup_values!$A$2:$B$51, 2, FALSE)), "--", VLOOKUP(SUBSTITUTE(LEFT(MAIN!D718, IFERROR(FIND(",", MAIN!D718)-1, LEN(MAIN!D718))), " ", ""), lookup_values!$A$2:$B$51, 2, FALSE))))</f>
        <v>--</v>
      </c>
      <c r="E718" t="str">
        <f>IF(CLEAN_DATA!D718&lt;&gt;"--","US",IF(ISBLANK(MAIN!E718), "--", IF(ISNUMBER(MATCH(SUBSTITUTE(LEFT(MAIN!E718, IFERROR(FIND(",", MAIN!E718)-1, LEN(MAIN!E718))), " ", ""), lookup_values!$E$2:$E$197, 0)), UPPER(SUBSTITUTE(LEFT(MAIN!E718, IFERROR(FIND(",", MAIN!E718)-1, LEN(MAIN!E718))), " ", "")), IF(ISNA(VLOOKUP(SUBSTITUTE(LEFT(MAIN!E718, IFERROR(FIND(",", MAIN!E718)-1, LEN(MAIN!E718))), " ", ""), lookup_values!$D$2:$E$197, 2, FALSE)), "--", VLOOKUP(SUBSTITUTE(LEFT(MAIN!E718, IFERROR(FIND(",", MAIN!E718)-1, LEN(MAIN!E718))), " ", ""), lookup_values!$D$2:$E$197, 2, FALSE)))))</f>
        <v>--</v>
      </c>
      <c r="F718" t="str">
        <f>IF(ISBLANK(MAIN!F718), "", IF(AND(ISNUMBER(VALUE(TRIM(MAIN!F718))), LEN(TRIM(MAIN!F718))=4), VALUE(TRIM(MAIN!F718)), ""))</f>
        <v/>
      </c>
      <c r="G718">
        <f>IF(ISBLANK(MAIN!G718), 0, IF(ISNUMBER(VALUE(TRIM(MAIN!G718))), VALUE(TRIM(MAIN!G718)), 0))</f>
        <v>0</v>
      </c>
      <c r="H718">
        <f>IF(ISBLANK(MAIN!H718), 0, IF(ISNUMBER(VALUE(TRIM(MAIN!H718))), VALUE(TRIM(MAIN!H718)), 0))</f>
        <v>0</v>
      </c>
      <c r="I718">
        <f>IF(ISBLANK(MAIN!I718), 0, IF(ISNUMBER(VALUE(TRIM(MAIN!I718))), VALUE(TRIM(MAIN!I718)), 0))</f>
        <v>0</v>
      </c>
      <c r="J718">
        <f>IF(ISBLANK(MAIN!J718), 0, IF(ISNUMBER(VALUE(TRIM(MAIN!J718))), VALUE(TRIM(MAIN!J718)), 0))</f>
        <v>0</v>
      </c>
      <c r="K718" cm="1">
        <f t="array" ref="K718">IFERROR(
    VALUE(
        IFERROR(
            UPPER(
                IF(MAX(IFERROR(SEARCH("WD",MAIN!G718:J718), 0))&gt;0, "WD",
                IF(MAX(IFERROR(SEARCH("NS",MAIN!G718:J718), 0))&gt;0, "NS",
                IF(MAX(IFERROR(SEARCH("NC",MAIN!G718:J718), 0))&gt;0, "NC",
                IF(MAX(IFERROR(SEARCH("DQ",MAIN!G718:J718), 0))&gt;0, "DQ",
                IF(ISNUMBER(SEARCH("WD",MAIN!K718)), "WD",
                IF(ISNUMBER(SEARCH("NS",MAIN!K718)), "NS",
                IF(ISNUMBER(SEARCH("NC",MAIN!K718)), "NC",
                IF(ISNUMBER(SEARCH("DQ",MAIN!K718)), "DQ",
                IF(ISNUMBER(SEARCH("A",MAIN!K718)), 0,
                IF(OR(MAIN!K718=0,MAIN!K718=""), 0, --TRIM(MAIN!K718)))))))))))),
            0
        )
    ),
    IFERROR(
        UPPER(
            IF(MAX(IFERROR(SEARCH("WD",MAIN!G718:J718), 0))&gt;0, "WD",
            IF(MAX(IFERROR(SEARCH("NS",MAIN!G718:J718), 0))&gt;0, "NS",
            IF(MAX(IFERROR(SEARCH("NC",MAIN!G718:J718), 0))&gt;0, "NC",
            IF(MAX(IFERROR(SEARCH("DQ",MAIN!G718:J718), 0))&gt;0, "DQ",
            IF(ISNUMBER(SEARCH("WD",MAIN!K718)), "WD",
            IF(ISNUMBER(SEARCH("NS",MAIN!K718)), "NS",
            IF(ISNUMBER(SEARCH("NC",MAIN!K718)), "NC",
            IF(ISNUMBER(SEARCH("DQ",MAIN!K718)), "DQ",
            IF(ISNUMBER(SEARCH("A",MAIN!K718)), 0,
            IF(OR(MAIN!K718=0,MAIN!K718=""), 0, --TRIM(MAIN!K718)))))))))))),
        0
    )
)</f>
        <v>0</v>
      </c>
    </row>
    <row r="719" spans="1:11" x14ac:dyDescent="0.25">
      <c r="A719" t="str">
        <f>IF(ISBLANK(MAIN!A719), "--", IFERROR(PROPER(SUBSTITUTE(SUBSTITUTE(SUBSTITUTE(SUBSTITUTE(SUBSTITUTE(SUBSTITUTE(SUBSTITUTE(SUBSTITUTE(SUBSTITUTE(SUBSTITUTE(LEFT(MAIN!A719, FIND(",",MAIN!A719) -1), "0", ""), "1", ""), "2", ""), "3", ""), "4", ""), "5", ""), "6", ""), "7", ""), "8", ""), "9", "")), PROPER(SUBSTITUTE(SUBSTITUTE(SUBSTITUTE(SUBSTITUTE(SUBSTITUTE(SUBSTITUTE(SUBSTITUTE(SUBSTITUTE(SUBSTITUTE(SUBSTITUTE(MAIN!A719, "0", ""), "1", ""), "2", ""), "3", ""), "4", ""), "5", ""), "6", ""), "7", ""), "8", ""), "9", ""))))</f>
        <v>--</v>
      </c>
      <c r="B719" t="str">
        <f>IF(ISBLANK(MAIN!B719), "--", IFERROR(PROPER(SUBSTITUTE(SUBSTITUTE(SUBSTITUTE(SUBSTITUTE(SUBSTITUTE(SUBSTITUTE(SUBSTITUTE(SUBSTITUTE(SUBSTITUTE(SUBSTITUTE(LEFT(MAIN!B719, FIND(",",MAIN!B719) -1), "0", ""), "1", ""), "2", ""), "3", ""), "4", ""), "5", ""), "6", ""), "7", ""), "8", ""), "9", "")), PROPER(SUBSTITUTE(SUBSTITUTE(SUBSTITUTE(SUBSTITUTE(SUBSTITUTE(SUBSTITUTE(SUBSTITUTE(SUBSTITUTE(SUBSTITUTE(SUBSTITUTE(MAIN!B719, "0", ""), "1", ""), "2", ""), "3", ""), "4", ""), "5", ""), "6", ""), "7", ""), "8", ""), "9", ""))))</f>
        <v>--</v>
      </c>
      <c r="C719" t="str">
        <f>IF(ISBLANK(MAIN!C719), "--", IFERROR(PROPER(SUBSTITUTE(SUBSTITUTE(SUBSTITUTE(SUBSTITUTE(SUBSTITUTE(SUBSTITUTE(SUBSTITUTE(SUBSTITUTE(SUBSTITUTE(SUBSTITUTE(LEFT(MAIN!C719, FIND(",",MAIN!C719) -1), "0", ""), "1", ""), "2", ""), "3", ""), "4", ""), "5", ""), "6", ""), "7", ""), "8", ""), "9", "")), PROPER(SUBSTITUTE(SUBSTITUTE(SUBSTITUTE(SUBSTITUTE(SUBSTITUTE(SUBSTITUTE(SUBSTITUTE(SUBSTITUTE(SUBSTITUTE(SUBSTITUTE(MAIN!C719, "0", ""), "1", ""), "2", ""), "3", ""), "4", ""), "5", ""), "6", ""), "7", ""), "8", ""), "9", ""))))</f>
        <v>--</v>
      </c>
      <c r="D719" t="str">
        <f>IF(ISBLANK(MAIN!D719), "--", IF(ISNUMBER(MATCH(SUBSTITUTE(LEFT(MAIN!D719, IFERROR(FIND(",", MAIN!D719)-1, LEN(MAIN!D719))), " ", ""), lookup_values!$B$2:$B$51, 0)), UPPER(SUBSTITUTE(LEFT(MAIN!D719, IFERROR(FIND(",", MAIN!D719)-1, LEN(MAIN!D719))), " ", "")), IF(ISNA(VLOOKUP(SUBSTITUTE(LEFT(MAIN!D719, IFERROR(FIND(",", MAIN!D719)-1, LEN(MAIN!D719))), " ", ""), lookup_values!$A$2:$B$51, 2, FALSE)), "--", VLOOKUP(SUBSTITUTE(LEFT(MAIN!D719, IFERROR(FIND(",", MAIN!D719)-1, LEN(MAIN!D719))), " ", ""), lookup_values!$A$2:$B$51, 2, FALSE))))</f>
        <v>--</v>
      </c>
      <c r="E719" t="str">
        <f>IF(CLEAN_DATA!D719&lt;&gt;"--","US",IF(ISBLANK(MAIN!E719), "--", IF(ISNUMBER(MATCH(SUBSTITUTE(LEFT(MAIN!E719, IFERROR(FIND(",", MAIN!E719)-1, LEN(MAIN!E719))), " ", ""), lookup_values!$E$2:$E$197, 0)), UPPER(SUBSTITUTE(LEFT(MAIN!E719, IFERROR(FIND(",", MAIN!E719)-1, LEN(MAIN!E719))), " ", "")), IF(ISNA(VLOOKUP(SUBSTITUTE(LEFT(MAIN!E719, IFERROR(FIND(",", MAIN!E719)-1, LEN(MAIN!E719))), " ", ""), lookup_values!$D$2:$E$197, 2, FALSE)), "--", VLOOKUP(SUBSTITUTE(LEFT(MAIN!E719, IFERROR(FIND(",", MAIN!E719)-1, LEN(MAIN!E719))), " ", ""), lookup_values!$D$2:$E$197, 2, FALSE)))))</f>
        <v>--</v>
      </c>
      <c r="F719" t="str">
        <f>IF(ISBLANK(MAIN!F719), "", IF(AND(ISNUMBER(VALUE(TRIM(MAIN!F719))), LEN(TRIM(MAIN!F719))=4), VALUE(TRIM(MAIN!F719)), ""))</f>
        <v/>
      </c>
      <c r="G719">
        <f>IF(ISBLANK(MAIN!G719), 0, IF(ISNUMBER(VALUE(TRIM(MAIN!G719))), VALUE(TRIM(MAIN!G719)), 0))</f>
        <v>0</v>
      </c>
      <c r="H719">
        <f>IF(ISBLANK(MAIN!H719), 0, IF(ISNUMBER(VALUE(TRIM(MAIN!H719))), VALUE(TRIM(MAIN!H719)), 0))</f>
        <v>0</v>
      </c>
      <c r="I719">
        <f>IF(ISBLANK(MAIN!I719), 0, IF(ISNUMBER(VALUE(TRIM(MAIN!I719))), VALUE(TRIM(MAIN!I719)), 0))</f>
        <v>0</v>
      </c>
      <c r="J719">
        <f>IF(ISBLANK(MAIN!J719), 0, IF(ISNUMBER(VALUE(TRIM(MAIN!J719))), VALUE(TRIM(MAIN!J719)), 0))</f>
        <v>0</v>
      </c>
      <c r="K719" cm="1">
        <f t="array" ref="K719">IFERROR(
    VALUE(
        IFERROR(
            UPPER(
                IF(MAX(IFERROR(SEARCH("WD",MAIN!G719:J719), 0))&gt;0, "WD",
                IF(MAX(IFERROR(SEARCH("NS",MAIN!G719:J719), 0))&gt;0, "NS",
                IF(MAX(IFERROR(SEARCH("NC",MAIN!G719:J719), 0))&gt;0, "NC",
                IF(MAX(IFERROR(SEARCH("DQ",MAIN!G719:J719), 0))&gt;0, "DQ",
                IF(ISNUMBER(SEARCH("WD",MAIN!K719)), "WD",
                IF(ISNUMBER(SEARCH("NS",MAIN!K719)), "NS",
                IF(ISNUMBER(SEARCH("NC",MAIN!K719)), "NC",
                IF(ISNUMBER(SEARCH("DQ",MAIN!K719)), "DQ",
                IF(ISNUMBER(SEARCH("A",MAIN!K719)), 0,
                IF(OR(MAIN!K719=0,MAIN!K719=""), 0, --TRIM(MAIN!K719)))))))))))),
            0
        )
    ),
    IFERROR(
        UPPER(
            IF(MAX(IFERROR(SEARCH("WD",MAIN!G719:J719), 0))&gt;0, "WD",
            IF(MAX(IFERROR(SEARCH("NS",MAIN!G719:J719), 0))&gt;0, "NS",
            IF(MAX(IFERROR(SEARCH("NC",MAIN!G719:J719), 0))&gt;0, "NC",
            IF(MAX(IFERROR(SEARCH("DQ",MAIN!G719:J719), 0))&gt;0, "DQ",
            IF(ISNUMBER(SEARCH("WD",MAIN!K719)), "WD",
            IF(ISNUMBER(SEARCH("NS",MAIN!K719)), "NS",
            IF(ISNUMBER(SEARCH("NC",MAIN!K719)), "NC",
            IF(ISNUMBER(SEARCH("DQ",MAIN!K719)), "DQ",
            IF(ISNUMBER(SEARCH("A",MAIN!K719)), 0,
            IF(OR(MAIN!K719=0,MAIN!K719=""), 0, --TRIM(MAIN!K719)))))))))))),
        0
    )
)</f>
        <v>0</v>
      </c>
    </row>
    <row r="720" spans="1:11" x14ac:dyDescent="0.25">
      <c r="A720" t="str">
        <f>IF(ISBLANK(MAIN!A720), "--", IFERROR(PROPER(SUBSTITUTE(SUBSTITUTE(SUBSTITUTE(SUBSTITUTE(SUBSTITUTE(SUBSTITUTE(SUBSTITUTE(SUBSTITUTE(SUBSTITUTE(SUBSTITUTE(LEFT(MAIN!A720, FIND(",",MAIN!A720) -1), "0", ""), "1", ""), "2", ""), "3", ""), "4", ""), "5", ""), "6", ""), "7", ""), "8", ""), "9", "")), PROPER(SUBSTITUTE(SUBSTITUTE(SUBSTITUTE(SUBSTITUTE(SUBSTITUTE(SUBSTITUTE(SUBSTITUTE(SUBSTITUTE(SUBSTITUTE(SUBSTITUTE(MAIN!A720, "0", ""), "1", ""), "2", ""), "3", ""), "4", ""), "5", ""), "6", ""), "7", ""), "8", ""), "9", ""))))</f>
        <v>--</v>
      </c>
      <c r="B720" t="str">
        <f>IF(ISBLANK(MAIN!B720), "--", IFERROR(PROPER(SUBSTITUTE(SUBSTITUTE(SUBSTITUTE(SUBSTITUTE(SUBSTITUTE(SUBSTITUTE(SUBSTITUTE(SUBSTITUTE(SUBSTITUTE(SUBSTITUTE(LEFT(MAIN!B720, FIND(",",MAIN!B720) -1), "0", ""), "1", ""), "2", ""), "3", ""), "4", ""), "5", ""), "6", ""), "7", ""), "8", ""), "9", "")), PROPER(SUBSTITUTE(SUBSTITUTE(SUBSTITUTE(SUBSTITUTE(SUBSTITUTE(SUBSTITUTE(SUBSTITUTE(SUBSTITUTE(SUBSTITUTE(SUBSTITUTE(MAIN!B720, "0", ""), "1", ""), "2", ""), "3", ""), "4", ""), "5", ""), "6", ""), "7", ""), "8", ""), "9", ""))))</f>
        <v>--</v>
      </c>
      <c r="C720" t="str">
        <f>IF(ISBLANK(MAIN!C720), "--", IFERROR(PROPER(SUBSTITUTE(SUBSTITUTE(SUBSTITUTE(SUBSTITUTE(SUBSTITUTE(SUBSTITUTE(SUBSTITUTE(SUBSTITUTE(SUBSTITUTE(SUBSTITUTE(LEFT(MAIN!C720, FIND(",",MAIN!C720) -1), "0", ""), "1", ""), "2", ""), "3", ""), "4", ""), "5", ""), "6", ""), "7", ""), "8", ""), "9", "")), PROPER(SUBSTITUTE(SUBSTITUTE(SUBSTITUTE(SUBSTITUTE(SUBSTITUTE(SUBSTITUTE(SUBSTITUTE(SUBSTITUTE(SUBSTITUTE(SUBSTITUTE(MAIN!C720, "0", ""), "1", ""), "2", ""), "3", ""), "4", ""), "5", ""), "6", ""), "7", ""), "8", ""), "9", ""))))</f>
        <v>--</v>
      </c>
      <c r="D720" t="str">
        <f>IF(ISBLANK(MAIN!D720), "--", IF(ISNUMBER(MATCH(SUBSTITUTE(LEFT(MAIN!D720, IFERROR(FIND(",", MAIN!D720)-1, LEN(MAIN!D720))), " ", ""), lookup_values!$B$2:$B$51, 0)), UPPER(SUBSTITUTE(LEFT(MAIN!D720, IFERROR(FIND(",", MAIN!D720)-1, LEN(MAIN!D720))), " ", "")), IF(ISNA(VLOOKUP(SUBSTITUTE(LEFT(MAIN!D720, IFERROR(FIND(",", MAIN!D720)-1, LEN(MAIN!D720))), " ", ""), lookup_values!$A$2:$B$51, 2, FALSE)), "--", VLOOKUP(SUBSTITUTE(LEFT(MAIN!D720, IFERROR(FIND(",", MAIN!D720)-1, LEN(MAIN!D720))), " ", ""), lookup_values!$A$2:$B$51, 2, FALSE))))</f>
        <v>--</v>
      </c>
      <c r="E720" t="str">
        <f>IF(CLEAN_DATA!D720&lt;&gt;"--","US",IF(ISBLANK(MAIN!E720), "--", IF(ISNUMBER(MATCH(SUBSTITUTE(LEFT(MAIN!E720, IFERROR(FIND(",", MAIN!E720)-1, LEN(MAIN!E720))), " ", ""), lookup_values!$E$2:$E$197, 0)), UPPER(SUBSTITUTE(LEFT(MAIN!E720, IFERROR(FIND(",", MAIN!E720)-1, LEN(MAIN!E720))), " ", "")), IF(ISNA(VLOOKUP(SUBSTITUTE(LEFT(MAIN!E720, IFERROR(FIND(",", MAIN!E720)-1, LEN(MAIN!E720))), " ", ""), lookup_values!$D$2:$E$197, 2, FALSE)), "--", VLOOKUP(SUBSTITUTE(LEFT(MAIN!E720, IFERROR(FIND(",", MAIN!E720)-1, LEN(MAIN!E720))), " ", ""), lookup_values!$D$2:$E$197, 2, FALSE)))))</f>
        <v>--</v>
      </c>
      <c r="F720" t="str">
        <f>IF(ISBLANK(MAIN!F720), "", IF(AND(ISNUMBER(VALUE(TRIM(MAIN!F720))), LEN(TRIM(MAIN!F720))=4), VALUE(TRIM(MAIN!F720)), ""))</f>
        <v/>
      </c>
      <c r="G720">
        <f>IF(ISBLANK(MAIN!G720), 0, IF(ISNUMBER(VALUE(TRIM(MAIN!G720))), VALUE(TRIM(MAIN!G720)), 0))</f>
        <v>0</v>
      </c>
      <c r="H720">
        <f>IF(ISBLANK(MAIN!H720), 0, IF(ISNUMBER(VALUE(TRIM(MAIN!H720))), VALUE(TRIM(MAIN!H720)), 0))</f>
        <v>0</v>
      </c>
      <c r="I720">
        <f>IF(ISBLANK(MAIN!I720), 0, IF(ISNUMBER(VALUE(TRIM(MAIN!I720))), VALUE(TRIM(MAIN!I720)), 0))</f>
        <v>0</v>
      </c>
      <c r="J720">
        <f>IF(ISBLANK(MAIN!J720), 0, IF(ISNUMBER(VALUE(TRIM(MAIN!J720))), VALUE(TRIM(MAIN!J720)), 0))</f>
        <v>0</v>
      </c>
      <c r="K720" cm="1">
        <f t="array" ref="K720">IFERROR(
    VALUE(
        IFERROR(
            UPPER(
                IF(MAX(IFERROR(SEARCH("WD",MAIN!G720:J720), 0))&gt;0, "WD",
                IF(MAX(IFERROR(SEARCH("NS",MAIN!G720:J720), 0))&gt;0, "NS",
                IF(MAX(IFERROR(SEARCH("NC",MAIN!G720:J720), 0))&gt;0, "NC",
                IF(MAX(IFERROR(SEARCH("DQ",MAIN!G720:J720), 0))&gt;0, "DQ",
                IF(ISNUMBER(SEARCH("WD",MAIN!K720)), "WD",
                IF(ISNUMBER(SEARCH("NS",MAIN!K720)), "NS",
                IF(ISNUMBER(SEARCH("NC",MAIN!K720)), "NC",
                IF(ISNUMBER(SEARCH("DQ",MAIN!K720)), "DQ",
                IF(ISNUMBER(SEARCH("A",MAIN!K720)), 0,
                IF(OR(MAIN!K720=0,MAIN!K720=""), 0, --TRIM(MAIN!K720)))))))))))),
            0
        )
    ),
    IFERROR(
        UPPER(
            IF(MAX(IFERROR(SEARCH("WD",MAIN!G720:J720), 0))&gt;0, "WD",
            IF(MAX(IFERROR(SEARCH("NS",MAIN!G720:J720), 0))&gt;0, "NS",
            IF(MAX(IFERROR(SEARCH("NC",MAIN!G720:J720), 0))&gt;0, "NC",
            IF(MAX(IFERROR(SEARCH("DQ",MAIN!G720:J720), 0))&gt;0, "DQ",
            IF(ISNUMBER(SEARCH("WD",MAIN!K720)), "WD",
            IF(ISNUMBER(SEARCH("NS",MAIN!K720)), "NS",
            IF(ISNUMBER(SEARCH("NC",MAIN!K720)), "NC",
            IF(ISNUMBER(SEARCH("DQ",MAIN!K720)), "DQ",
            IF(ISNUMBER(SEARCH("A",MAIN!K720)), 0,
            IF(OR(MAIN!K720=0,MAIN!K720=""), 0, --TRIM(MAIN!K720)))))))))))),
        0
    )
)</f>
        <v>0</v>
      </c>
    </row>
    <row r="721" spans="1:11" x14ac:dyDescent="0.25">
      <c r="A721" t="str">
        <f>IF(ISBLANK(MAIN!A721), "--", IFERROR(PROPER(SUBSTITUTE(SUBSTITUTE(SUBSTITUTE(SUBSTITUTE(SUBSTITUTE(SUBSTITUTE(SUBSTITUTE(SUBSTITUTE(SUBSTITUTE(SUBSTITUTE(LEFT(MAIN!A721, FIND(",",MAIN!A721) -1), "0", ""), "1", ""), "2", ""), "3", ""), "4", ""), "5", ""), "6", ""), "7", ""), "8", ""), "9", "")), PROPER(SUBSTITUTE(SUBSTITUTE(SUBSTITUTE(SUBSTITUTE(SUBSTITUTE(SUBSTITUTE(SUBSTITUTE(SUBSTITUTE(SUBSTITUTE(SUBSTITUTE(MAIN!A721, "0", ""), "1", ""), "2", ""), "3", ""), "4", ""), "5", ""), "6", ""), "7", ""), "8", ""), "9", ""))))</f>
        <v>--</v>
      </c>
      <c r="B721" t="str">
        <f>IF(ISBLANK(MAIN!B721), "--", IFERROR(PROPER(SUBSTITUTE(SUBSTITUTE(SUBSTITUTE(SUBSTITUTE(SUBSTITUTE(SUBSTITUTE(SUBSTITUTE(SUBSTITUTE(SUBSTITUTE(SUBSTITUTE(LEFT(MAIN!B721, FIND(",",MAIN!B721) -1), "0", ""), "1", ""), "2", ""), "3", ""), "4", ""), "5", ""), "6", ""), "7", ""), "8", ""), "9", "")), PROPER(SUBSTITUTE(SUBSTITUTE(SUBSTITUTE(SUBSTITUTE(SUBSTITUTE(SUBSTITUTE(SUBSTITUTE(SUBSTITUTE(SUBSTITUTE(SUBSTITUTE(MAIN!B721, "0", ""), "1", ""), "2", ""), "3", ""), "4", ""), "5", ""), "6", ""), "7", ""), "8", ""), "9", ""))))</f>
        <v>--</v>
      </c>
      <c r="C721" t="str">
        <f>IF(ISBLANK(MAIN!C721), "--", IFERROR(PROPER(SUBSTITUTE(SUBSTITUTE(SUBSTITUTE(SUBSTITUTE(SUBSTITUTE(SUBSTITUTE(SUBSTITUTE(SUBSTITUTE(SUBSTITUTE(SUBSTITUTE(LEFT(MAIN!C721, FIND(",",MAIN!C721) -1), "0", ""), "1", ""), "2", ""), "3", ""), "4", ""), "5", ""), "6", ""), "7", ""), "8", ""), "9", "")), PROPER(SUBSTITUTE(SUBSTITUTE(SUBSTITUTE(SUBSTITUTE(SUBSTITUTE(SUBSTITUTE(SUBSTITUTE(SUBSTITUTE(SUBSTITUTE(SUBSTITUTE(MAIN!C721, "0", ""), "1", ""), "2", ""), "3", ""), "4", ""), "5", ""), "6", ""), "7", ""), "8", ""), "9", ""))))</f>
        <v>--</v>
      </c>
      <c r="D721" t="str">
        <f>IF(ISBLANK(MAIN!D721), "--", IF(ISNUMBER(MATCH(SUBSTITUTE(LEFT(MAIN!D721, IFERROR(FIND(",", MAIN!D721)-1, LEN(MAIN!D721))), " ", ""), lookup_values!$B$2:$B$51, 0)), UPPER(SUBSTITUTE(LEFT(MAIN!D721, IFERROR(FIND(",", MAIN!D721)-1, LEN(MAIN!D721))), " ", "")), IF(ISNA(VLOOKUP(SUBSTITUTE(LEFT(MAIN!D721, IFERROR(FIND(",", MAIN!D721)-1, LEN(MAIN!D721))), " ", ""), lookup_values!$A$2:$B$51, 2, FALSE)), "--", VLOOKUP(SUBSTITUTE(LEFT(MAIN!D721, IFERROR(FIND(",", MAIN!D721)-1, LEN(MAIN!D721))), " ", ""), lookup_values!$A$2:$B$51, 2, FALSE))))</f>
        <v>--</v>
      </c>
      <c r="E721" t="str">
        <f>IF(CLEAN_DATA!D721&lt;&gt;"--","US",IF(ISBLANK(MAIN!E721), "--", IF(ISNUMBER(MATCH(SUBSTITUTE(LEFT(MAIN!E721, IFERROR(FIND(",", MAIN!E721)-1, LEN(MAIN!E721))), " ", ""), lookup_values!$E$2:$E$197, 0)), UPPER(SUBSTITUTE(LEFT(MAIN!E721, IFERROR(FIND(",", MAIN!E721)-1, LEN(MAIN!E721))), " ", "")), IF(ISNA(VLOOKUP(SUBSTITUTE(LEFT(MAIN!E721, IFERROR(FIND(",", MAIN!E721)-1, LEN(MAIN!E721))), " ", ""), lookup_values!$D$2:$E$197, 2, FALSE)), "--", VLOOKUP(SUBSTITUTE(LEFT(MAIN!E721, IFERROR(FIND(",", MAIN!E721)-1, LEN(MAIN!E721))), " ", ""), lookup_values!$D$2:$E$197, 2, FALSE)))))</f>
        <v>--</v>
      </c>
      <c r="F721" t="str">
        <f>IF(ISBLANK(MAIN!F721), "", IF(AND(ISNUMBER(VALUE(TRIM(MAIN!F721))), LEN(TRIM(MAIN!F721))=4), VALUE(TRIM(MAIN!F721)), ""))</f>
        <v/>
      </c>
      <c r="G721">
        <f>IF(ISBLANK(MAIN!G721), 0, IF(ISNUMBER(VALUE(TRIM(MAIN!G721))), VALUE(TRIM(MAIN!G721)), 0))</f>
        <v>0</v>
      </c>
      <c r="H721">
        <f>IF(ISBLANK(MAIN!H721), 0, IF(ISNUMBER(VALUE(TRIM(MAIN!H721))), VALUE(TRIM(MAIN!H721)), 0))</f>
        <v>0</v>
      </c>
      <c r="I721">
        <f>IF(ISBLANK(MAIN!I721), 0, IF(ISNUMBER(VALUE(TRIM(MAIN!I721))), VALUE(TRIM(MAIN!I721)), 0))</f>
        <v>0</v>
      </c>
      <c r="J721">
        <f>IF(ISBLANK(MAIN!J721), 0, IF(ISNUMBER(VALUE(TRIM(MAIN!J721))), VALUE(TRIM(MAIN!J721)), 0))</f>
        <v>0</v>
      </c>
      <c r="K721" cm="1">
        <f t="array" ref="K721">IFERROR(
    VALUE(
        IFERROR(
            UPPER(
                IF(MAX(IFERROR(SEARCH("WD",MAIN!G721:J721), 0))&gt;0, "WD",
                IF(MAX(IFERROR(SEARCH("NS",MAIN!G721:J721), 0))&gt;0, "NS",
                IF(MAX(IFERROR(SEARCH("NC",MAIN!G721:J721), 0))&gt;0, "NC",
                IF(MAX(IFERROR(SEARCH("DQ",MAIN!G721:J721), 0))&gt;0, "DQ",
                IF(ISNUMBER(SEARCH("WD",MAIN!K721)), "WD",
                IF(ISNUMBER(SEARCH("NS",MAIN!K721)), "NS",
                IF(ISNUMBER(SEARCH("NC",MAIN!K721)), "NC",
                IF(ISNUMBER(SEARCH("DQ",MAIN!K721)), "DQ",
                IF(ISNUMBER(SEARCH("A",MAIN!K721)), 0,
                IF(OR(MAIN!K721=0,MAIN!K721=""), 0, --TRIM(MAIN!K721)))))))))))),
            0
        )
    ),
    IFERROR(
        UPPER(
            IF(MAX(IFERROR(SEARCH("WD",MAIN!G721:J721), 0))&gt;0, "WD",
            IF(MAX(IFERROR(SEARCH("NS",MAIN!G721:J721), 0))&gt;0, "NS",
            IF(MAX(IFERROR(SEARCH("NC",MAIN!G721:J721), 0))&gt;0, "NC",
            IF(MAX(IFERROR(SEARCH("DQ",MAIN!G721:J721), 0))&gt;0, "DQ",
            IF(ISNUMBER(SEARCH("WD",MAIN!K721)), "WD",
            IF(ISNUMBER(SEARCH("NS",MAIN!K721)), "NS",
            IF(ISNUMBER(SEARCH("NC",MAIN!K721)), "NC",
            IF(ISNUMBER(SEARCH("DQ",MAIN!K721)), "DQ",
            IF(ISNUMBER(SEARCH("A",MAIN!K721)), 0,
            IF(OR(MAIN!K721=0,MAIN!K721=""), 0, --TRIM(MAIN!K721)))))))))))),
        0
    )
)</f>
        <v>0</v>
      </c>
    </row>
    <row r="722" spans="1:11" x14ac:dyDescent="0.25">
      <c r="A722" t="str">
        <f>IF(ISBLANK(MAIN!A722), "--", IFERROR(PROPER(SUBSTITUTE(SUBSTITUTE(SUBSTITUTE(SUBSTITUTE(SUBSTITUTE(SUBSTITUTE(SUBSTITUTE(SUBSTITUTE(SUBSTITUTE(SUBSTITUTE(LEFT(MAIN!A722, FIND(",",MAIN!A722) -1), "0", ""), "1", ""), "2", ""), "3", ""), "4", ""), "5", ""), "6", ""), "7", ""), "8", ""), "9", "")), PROPER(SUBSTITUTE(SUBSTITUTE(SUBSTITUTE(SUBSTITUTE(SUBSTITUTE(SUBSTITUTE(SUBSTITUTE(SUBSTITUTE(SUBSTITUTE(SUBSTITUTE(MAIN!A722, "0", ""), "1", ""), "2", ""), "3", ""), "4", ""), "5", ""), "6", ""), "7", ""), "8", ""), "9", ""))))</f>
        <v>--</v>
      </c>
      <c r="B722" t="str">
        <f>IF(ISBLANK(MAIN!B722), "--", IFERROR(PROPER(SUBSTITUTE(SUBSTITUTE(SUBSTITUTE(SUBSTITUTE(SUBSTITUTE(SUBSTITUTE(SUBSTITUTE(SUBSTITUTE(SUBSTITUTE(SUBSTITUTE(LEFT(MAIN!B722, FIND(",",MAIN!B722) -1), "0", ""), "1", ""), "2", ""), "3", ""), "4", ""), "5", ""), "6", ""), "7", ""), "8", ""), "9", "")), PROPER(SUBSTITUTE(SUBSTITUTE(SUBSTITUTE(SUBSTITUTE(SUBSTITUTE(SUBSTITUTE(SUBSTITUTE(SUBSTITUTE(SUBSTITUTE(SUBSTITUTE(MAIN!B722, "0", ""), "1", ""), "2", ""), "3", ""), "4", ""), "5", ""), "6", ""), "7", ""), "8", ""), "9", ""))))</f>
        <v>--</v>
      </c>
      <c r="C722" t="str">
        <f>IF(ISBLANK(MAIN!C722), "--", IFERROR(PROPER(SUBSTITUTE(SUBSTITUTE(SUBSTITUTE(SUBSTITUTE(SUBSTITUTE(SUBSTITUTE(SUBSTITUTE(SUBSTITUTE(SUBSTITUTE(SUBSTITUTE(LEFT(MAIN!C722, FIND(",",MAIN!C722) -1), "0", ""), "1", ""), "2", ""), "3", ""), "4", ""), "5", ""), "6", ""), "7", ""), "8", ""), "9", "")), PROPER(SUBSTITUTE(SUBSTITUTE(SUBSTITUTE(SUBSTITUTE(SUBSTITUTE(SUBSTITUTE(SUBSTITUTE(SUBSTITUTE(SUBSTITUTE(SUBSTITUTE(MAIN!C722, "0", ""), "1", ""), "2", ""), "3", ""), "4", ""), "5", ""), "6", ""), "7", ""), "8", ""), "9", ""))))</f>
        <v>--</v>
      </c>
      <c r="D722" t="str">
        <f>IF(ISBLANK(MAIN!D722), "--", IF(ISNUMBER(MATCH(SUBSTITUTE(LEFT(MAIN!D722, IFERROR(FIND(",", MAIN!D722)-1, LEN(MAIN!D722))), " ", ""), lookup_values!$B$2:$B$51, 0)), UPPER(SUBSTITUTE(LEFT(MAIN!D722, IFERROR(FIND(",", MAIN!D722)-1, LEN(MAIN!D722))), " ", "")), IF(ISNA(VLOOKUP(SUBSTITUTE(LEFT(MAIN!D722, IFERROR(FIND(",", MAIN!D722)-1, LEN(MAIN!D722))), " ", ""), lookup_values!$A$2:$B$51, 2, FALSE)), "--", VLOOKUP(SUBSTITUTE(LEFT(MAIN!D722, IFERROR(FIND(",", MAIN!D722)-1, LEN(MAIN!D722))), " ", ""), lookup_values!$A$2:$B$51, 2, FALSE))))</f>
        <v>--</v>
      </c>
      <c r="E722" t="str">
        <f>IF(CLEAN_DATA!D722&lt;&gt;"--","US",IF(ISBLANK(MAIN!E722), "--", IF(ISNUMBER(MATCH(SUBSTITUTE(LEFT(MAIN!E722, IFERROR(FIND(",", MAIN!E722)-1, LEN(MAIN!E722))), " ", ""), lookup_values!$E$2:$E$197, 0)), UPPER(SUBSTITUTE(LEFT(MAIN!E722, IFERROR(FIND(",", MAIN!E722)-1, LEN(MAIN!E722))), " ", "")), IF(ISNA(VLOOKUP(SUBSTITUTE(LEFT(MAIN!E722, IFERROR(FIND(",", MAIN!E722)-1, LEN(MAIN!E722))), " ", ""), lookup_values!$D$2:$E$197, 2, FALSE)), "--", VLOOKUP(SUBSTITUTE(LEFT(MAIN!E722, IFERROR(FIND(",", MAIN!E722)-1, LEN(MAIN!E722))), " ", ""), lookup_values!$D$2:$E$197, 2, FALSE)))))</f>
        <v>--</v>
      </c>
      <c r="F722" t="str">
        <f>IF(ISBLANK(MAIN!F722), "", IF(AND(ISNUMBER(VALUE(TRIM(MAIN!F722))), LEN(TRIM(MAIN!F722))=4), VALUE(TRIM(MAIN!F722)), ""))</f>
        <v/>
      </c>
      <c r="G722">
        <f>IF(ISBLANK(MAIN!G722), 0, IF(ISNUMBER(VALUE(TRIM(MAIN!G722))), VALUE(TRIM(MAIN!G722)), 0))</f>
        <v>0</v>
      </c>
      <c r="H722">
        <f>IF(ISBLANK(MAIN!H722), 0, IF(ISNUMBER(VALUE(TRIM(MAIN!H722))), VALUE(TRIM(MAIN!H722)), 0))</f>
        <v>0</v>
      </c>
      <c r="I722">
        <f>IF(ISBLANK(MAIN!I722), 0, IF(ISNUMBER(VALUE(TRIM(MAIN!I722))), VALUE(TRIM(MAIN!I722)), 0))</f>
        <v>0</v>
      </c>
      <c r="J722">
        <f>IF(ISBLANK(MAIN!J722), 0, IF(ISNUMBER(VALUE(TRIM(MAIN!J722))), VALUE(TRIM(MAIN!J722)), 0))</f>
        <v>0</v>
      </c>
      <c r="K722" cm="1">
        <f t="array" ref="K722">IFERROR(
    VALUE(
        IFERROR(
            UPPER(
                IF(MAX(IFERROR(SEARCH("WD",MAIN!G722:J722), 0))&gt;0, "WD",
                IF(MAX(IFERROR(SEARCH("NS",MAIN!G722:J722), 0))&gt;0, "NS",
                IF(MAX(IFERROR(SEARCH("NC",MAIN!G722:J722), 0))&gt;0, "NC",
                IF(MAX(IFERROR(SEARCH("DQ",MAIN!G722:J722), 0))&gt;0, "DQ",
                IF(ISNUMBER(SEARCH("WD",MAIN!K722)), "WD",
                IF(ISNUMBER(SEARCH("NS",MAIN!K722)), "NS",
                IF(ISNUMBER(SEARCH("NC",MAIN!K722)), "NC",
                IF(ISNUMBER(SEARCH("DQ",MAIN!K722)), "DQ",
                IF(ISNUMBER(SEARCH("A",MAIN!K722)), 0,
                IF(OR(MAIN!K722=0,MAIN!K722=""), 0, --TRIM(MAIN!K722)))))))))))),
            0
        )
    ),
    IFERROR(
        UPPER(
            IF(MAX(IFERROR(SEARCH("WD",MAIN!G722:J722), 0))&gt;0, "WD",
            IF(MAX(IFERROR(SEARCH("NS",MAIN!G722:J722), 0))&gt;0, "NS",
            IF(MAX(IFERROR(SEARCH("NC",MAIN!G722:J722), 0))&gt;0, "NC",
            IF(MAX(IFERROR(SEARCH("DQ",MAIN!G722:J722), 0))&gt;0, "DQ",
            IF(ISNUMBER(SEARCH("WD",MAIN!K722)), "WD",
            IF(ISNUMBER(SEARCH("NS",MAIN!K722)), "NS",
            IF(ISNUMBER(SEARCH("NC",MAIN!K722)), "NC",
            IF(ISNUMBER(SEARCH("DQ",MAIN!K722)), "DQ",
            IF(ISNUMBER(SEARCH("A",MAIN!K722)), 0,
            IF(OR(MAIN!K722=0,MAIN!K722=""), 0, --TRIM(MAIN!K722)))))))))))),
        0
    )
)</f>
        <v>0</v>
      </c>
    </row>
    <row r="723" spans="1:11" x14ac:dyDescent="0.25">
      <c r="A723" t="str">
        <f>IF(ISBLANK(MAIN!A723), "--", IFERROR(PROPER(SUBSTITUTE(SUBSTITUTE(SUBSTITUTE(SUBSTITUTE(SUBSTITUTE(SUBSTITUTE(SUBSTITUTE(SUBSTITUTE(SUBSTITUTE(SUBSTITUTE(LEFT(MAIN!A723, FIND(",",MAIN!A723) -1), "0", ""), "1", ""), "2", ""), "3", ""), "4", ""), "5", ""), "6", ""), "7", ""), "8", ""), "9", "")), PROPER(SUBSTITUTE(SUBSTITUTE(SUBSTITUTE(SUBSTITUTE(SUBSTITUTE(SUBSTITUTE(SUBSTITUTE(SUBSTITUTE(SUBSTITUTE(SUBSTITUTE(MAIN!A723, "0", ""), "1", ""), "2", ""), "3", ""), "4", ""), "5", ""), "6", ""), "7", ""), "8", ""), "9", ""))))</f>
        <v>--</v>
      </c>
      <c r="B723" t="str">
        <f>IF(ISBLANK(MAIN!B723), "--", IFERROR(PROPER(SUBSTITUTE(SUBSTITUTE(SUBSTITUTE(SUBSTITUTE(SUBSTITUTE(SUBSTITUTE(SUBSTITUTE(SUBSTITUTE(SUBSTITUTE(SUBSTITUTE(LEFT(MAIN!B723, FIND(",",MAIN!B723) -1), "0", ""), "1", ""), "2", ""), "3", ""), "4", ""), "5", ""), "6", ""), "7", ""), "8", ""), "9", "")), PROPER(SUBSTITUTE(SUBSTITUTE(SUBSTITUTE(SUBSTITUTE(SUBSTITUTE(SUBSTITUTE(SUBSTITUTE(SUBSTITUTE(SUBSTITUTE(SUBSTITUTE(MAIN!B723, "0", ""), "1", ""), "2", ""), "3", ""), "4", ""), "5", ""), "6", ""), "7", ""), "8", ""), "9", ""))))</f>
        <v>--</v>
      </c>
      <c r="C723" t="str">
        <f>IF(ISBLANK(MAIN!C723), "--", IFERROR(PROPER(SUBSTITUTE(SUBSTITUTE(SUBSTITUTE(SUBSTITUTE(SUBSTITUTE(SUBSTITUTE(SUBSTITUTE(SUBSTITUTE(SUBSTITUTE(SUBSTITUTE(LEFT(MAIN!C723, FIND(",",MAIN!C723) -1), "0", ""), "1", ""), "2", ""), "3", ""), "4", ""), "5", ""), "6", ""), "7", ""), "8", ""), "9", "")), PROPER(SUBSTITUTE(SUBSTITUTE(SUBSTITUTE(SUBSTITUTE(SUBSTITUTE(SUBSTITUTE(SUBSTITUTE(SUBSTITUTE(SUBSTITUTE(SUBSTITUTE(MAIN!C723, "0", ""), "1", ""), "2", ""), "3", ""), "4", ""), "5", ""), "6", ""), "7", ""), "8", ""), "9", ""))))</f>
        <v>--</v>
      </c>
      <c r="D723" t="str">
        <f>IF(ISBLANK(MAIN!D723), "--", IF(ISNUMBER(MATCH(SUBSTITUTE(LEFT(MAIN!D723, IFERROR(FIND(",", MAIN!D723)-1, LEN(MAIN!D723))), " ", ""), lookup_values!$B$2:$B$51, 0)), UPPER(SUBSTITUTE(LEFT(MAIN!D723, IFERROR(FIND(",", MAIN!D723)-1, LEN(MAIN!D723))), " ", "")), IF(ISNA(VLOOKUP(SUBSTITUTE(LEFT(MAIN!D723, IFERROR(FIND(",", MAIN!D723)-1, LEN(MAIN!D723))), " ", ""), lookup_values!$A$2:$B$51, 2, FALSE)), "--", VLOOKUP(SUBSTITUTE(LEFT(MAIN!D723, IFERROR(FIND(",", MAIN!D723)-1, LEN(MAIN!D723))), " ", ""), lookup_values!$A$2:$B$51, 2, FALSE))))</f>
        <v>--</v>
      </c>
      <c r="E723" t="str">
        <f>IF(CLEAN_DATA!D723&lt;&gt;"--","US",IF(ISBLANK(MAIN!E723), "--", IF(ISNUMBER(MATCH(SUBSTITUTE(LEFT(MAIN!E723, IFERROR(FIND(",", MAIN!E723)-1, LEN(MAIN!E723))), " ", ""), lookup_values!$E$2:$E$197, 0)), UPPER(SUBSTITUTE(LEFT(MAIN!E723, IFERROR(FIND(",", MAIN!E723)-1, LEN(MAIN!E723))), " ", "")), IF(ISNA(VLOOKUP(SUBSTITUTE(LEFT(MAIN!E723, IFERROR(FIND(",", MAIN!E723)-1, LEN(MAIN!E723))), " ", ""), lookup_values!$D$2:$E$197, 2, FALSE)), "--", VLOOKUP(SUBSTITUTE(LEFT(MAIN!E723, IFERROR(FIND(",", MAIN!E723)-1, LEN(MAIN!E723))), " ", ""), lookup_values!$D$2:$E$197, 2, FALSE)))))</f>
        <v>--</v>
      </c>
      <c r="F723" t="str">
        <f>IF(ISBLANK(MAIN!F723), "", IF(AND(ISNUMBER(VALUE(TRIM(MAIN!F723))), LEN(TRIM(MAIN!F723))=4), VALUE(TRIM(MAIN!F723)), ""))</f>
        <v/>
      </c>
      <c r="G723">
        <f>IF(ISBLANK(MAIN!G723), 0, IF(ISNUMBER(VALUE(TRIM(MAIN!G723))), VALUE(TRIM(MAIN!G723)), 0))</f>
        <v>0</v>
      </c>
      <c r="H723">
        <f>IF(ISBLANK(MAIN!H723), 0, IF(ISNUMBER(VALUE(TRIM(MAIN!H723))), VALUE(TRIM(MAIN!H723)), 0))</f>
        <v>0</v>
      </c>
      <c r="I723">
        <f>IF(ISBLANK(MAIN!I723), 0, IF(ISNUMBER(VALUE(TRIM(MAIN!I723))), VALUE(TRIM(MAIN!I723)), 0))</f>
        <v>0</v>
      </c>
      <c r="J723">
        <f>IF(ISBLANK(MAIN!J723), 0, IF(ISNUMBER(VALUE(TRIM(MAIN!J723))), VALUE(TRIM(MAIN!J723)), 0))</f>
        <v>0</v>
      </c>
      <c r="K723" cm="1">
        <f t="array" ref="K723">IFERROR(
    VALUE(
        IFERROR(
            UPPER(
                IF(MAX(IFERROR(SEARCH("WD",MAIN!G723:J723), 0))&gt;0, "WD",
                IF(MAX(IFERROR(SEARCH("NS",MAIN!G723:J723), 0))&gt;0, "NS",
                IF(MAX(IFERROR(SEARCH("NC",MAIN!G723:J723), 0))&gt;0, "NC",
                IF(MAX(IFERROR(SEARCH("DQ",MAIN!G723:J723), 0))&gt;0, "DQ",
                IF(ISNUMBER(SEARCH("WD",MAIN!K723)), "WD",
                IF(ISNUMBER(SEARCH("NS",MAIN!K723)), "NS",
                IF(ISNUMBER(SEARCH("NC",MAIN!K723)), "NC",
                IF(ISNUMBER(SEARCH("DQ",MAIN!K723)), "DQ",
                IF(ISNUMBER(SEARCH("A",MAIN!K723)), 0,
                IF(OR(MAIN!K723=0,MAIN!K723=""), 0, --TRIM(MAIN!K723)))))))))))),
            0
        )
    ),
    IFERROR(
        UPPER(
            IF(MAX(IFERROR(SEARCH("WD",MAIN!G723:J723), 0))&gt;0, "WD",
            IF(MAX(IFERROR(SEARCH("NS",MAIN!G723:J723), 0))&gt;0, "NS",
            IF(MAX(IFERROR(SEARCH("NC",MAIN!G723:J723), 0))&gt;0, "NC",
            IF(MAX(IFERROR(SEARCH("DQ",MAIN!G723:J723), 0))&gt;0, "DQ",
            IF(ISNUMBER(SEARCH("WD",MAIN!K723)), "WD",
            IF(ISNUMBER(SEARCH("NS",MAIN!K723)), "NS",
            IF(ISNUMBER(SEARCH("NC",MAIN!K723)), "NC",
            IF(ISNUMBER(SEARCH("DQ",MAIN!K723)), "DQ",
            IF(ISNUMBER(SEARCH("A",MAIN!K723)), 0,
            IF(OR(MAIN!K723=0,MAIN!K723=""), 0, --TRIM(MAIN!K723)))))))))))),
        0
    )
)</f>
        <v>0</v>
      </c>
    </row>
    <row r="724" spans="1:11" x14ac:dyDescent="0.25">
      <c r="A724" t="str">
        <f>IF(ISBLANK(MAIN!A724), "--", IFERROR(PROPER(SUBSTITUTE(SUBSTITUTE(SUBSTITUTE(SUBSTITUTE(SUBSTITUTE(SUBSTITUTE(SUBSTITUTE(SUBSTITUTE(SUBSTITUTE(SUBSTITUTE(LEFT(MAIN!A724, FIND(",",MAIN!A724) -1), "0", ""), "1", ""), "2", ""), "3", ""), "4", ""), "5", ""), "6", ""), "7", ""), "8", ""), "9", "")), PROPER(SUBSTITUTE(SUBSTITUTE(SUBSTITUTE(SUBSTITUTE(SUBSTITUTE(SUBSTITUTE(SUBSTITUTE(SUBSTITUTE(SUBSTITUTE(SUBSTITUTE(MAIN!A724, "0", ""), "1", ""), "2", ""), "3", ""), "4", ""), "5", ""), "6", ""), "7", ""), "8", ""), "9", ""))))</f>
        <v>--</v>
      </c>
      <c r="B724" t="str">
        <f>IF(ISBLANK(MAIN!B724), "--", IFERROR(PROPER(SUBSTITUTE(SUBSTITUTE(SUBSTITUTE(SUBSTITUTE(SUBSTITUTE(SUBSTITUTE(SUBSTITUTE(SUBSTITUTE(SUBSTITUTE(SUBSTITUTE(LEFT(MAIN!B724, FIND(",",MAIN!B724) -1), "0", ""), "1", ""), "2", ""), "3", ""), "4", ""), "5", ""), "6", ""), "7", ""), "8", ""), "9", "")), PROPER(SUBSTITUTE(SUBSTITUTE(SUBSTITUTE(SUBSTITUTE(SUBSTITUTE(SUBSTITUTE(SUBSTITUTE(SUBSTITUTE(SUBSTITUTE(SUBSTITUTE(MAIN!B724, "0", ""), "1", ""), "2", ""), "3", ""), "4", ""), "5", ""), "6", ""), "7", ""), "8", ""), "9", ""))))</f>
        <v>--</v>
      </c>
      <c r="C724" t="str">
        <f>IF(ISBLANK(MAIN!C724), "--", IFERROR(PROPER(SUBSTITUTE(SUBSTITUTE(SUBSTITUTE(SUBSTITUTE(SUBSTITUTE(SUBSTITUTE(SUBSTITUTE(SUBSTITUTE(SUBSTITUTE(SUBSTITUTE(LEFT(MAIN!C724, FIND(",",MAIN!C724) -1), "0", ""), "1", ""), "2", ""), "3", ""), "4", ""), "5", ""), "6", ""), "7", ""), "8", ""), "9", "")), PROPER(SUBSTITUTE(SUBSTITUTE(SUBSTITUTE(SUBSTITUTE(SUBSTITUTE(SUBSTITUTE(SUBSTITUTE(SUBSTITUTE(SUBSTITUTE(SUBSTITUTE(MAIN!C724, "0", ""), "1", ""), "2", ""), "3", ""), "4", ""), "5", ""), "6", ""), "7", ""), "8", ""), "9", ""))))</f>
        <v>--</v>
      </c>
      <c r="D724" t="str">
        <f>IF(ISBLANK(MAIN!D724), "--", IF(ISNUMBER(MATCH(SUBSTITUTE(LEFT(MAIN!D724, IFERROR(FIND(",", MAIN!D724)-1, LEN(MAIN!D724))), " ", ""), lookup_values!$B$2:$B$51, 0)), UPPER(SUBSTITUTE(LEFT(MAIN!D724, IFERROR(FIND(",", MAIN!D724)-1, LEN(MAIN!D724))), " ", "")), IF(ISNA(VLOOKUP(SUBSTITUTE(LEFT(MAIN!D724, IFERROR(FIND(",", MAIN!D724)-1, LEN(MAIN!D724))), " ", ""), lookup_values!$A$2:$B$51, 2, FALSE)), "--", VLOOKUP(SUBSTITUTE(LEFT(MAIN!D724, IFERROR(FIND(",", MAIN!D724)-1, LEN(MAIN!D724))), " ", ""), lookup_values!$A$2:$B$51, 2, FALSE))))</f>
        <v>--</v>
      </c>
      <c r="E724" t="str">
        <f>IF(CLEAN_DATA!D724&lt;&gt;"--","US",IF(ISBLANK(MAIN!E724), "--", IF(ISNUMBER(MATCH(SUBSTITUTE(LEFT(MAIN!E724, IFERROR(FIND(",", MAIN!E724)-1, LEN(MAIN!E724))), " ", ""), lookup_values!$E$2:$E$197, 0)), UPPER(SUBSTITUTE(LEFT(MAIN!E724, IFERROR(FIND(",", MAIN!E724)-1, LEN(MAIN!E724))), " ", "")), IF(ISNA(VLOOKUP(SUBSTITUTE(LEFT(MAIN!E724, IFERROR(FIND(",", MAIN!E724)-1, LEN(MAIN!E724))), " ", ""), lookup_values!$D$2:$E$197, 2, FALSE)), "--", VLOOKUP(SUBSTITUTE(LEFT(MAIN!E724, IFERROR(FIND(",", MAIN!E724)-1, LEN(MAIN!E724))), " ", ""), lookup_values!$D$2:$E$197, 2, FALSE)))))</f>
        <v>--</v>
      </c>
      <c r="F724" t="str">
        <f>IF(ISBLANK(MAIN!F724), "", IF(AND(ISNUMBER(VALUE(TRIM(MAIN!F724))), LEN(TRIM(MAIN!F724))=4), VALUE(TRIM(MAIN!F724)), ""))</f>
        <v/>
      </c>
      <c r="G724">
        <f>IF(ISBLANK(MAIN!G724), 0, IF(ISNUMBER(VALUE(TRIM(MAIN!G724))), VALUE(TRIM(MAIN!G724)), 0))</f>
        <v>0</v>
      </c>
      <c r="H724">
        <f>IF(ISBLANK(MAIN!H724), 0, IF(ISNUMBER(VALUE(TRIM(MAIN!H724))), VALUE(TRIM(MAIN!H724)), 0))</f>
        <v>0</v>
      </c>
      <c r="I724">
        <f>IF(ISBLANK(MAIN!I724), 0, IF(ISNUMBER(VALUE(TRIM(MAIN!I724))), VALUE(TRIM(MAIN!I724)), 0))</f>
        <v>0</v>
      </c>
      <c r="J724">
        <f>IF(ISBLANK(MAIN!J724), 0, IF(ISNUMBER(VALUE(TRIM(MAIN!J724))), VALUE(TRIM(MAIN!J724)), 0))</f>
        <v>0</v>
      </c>
      <c r="K724" cm="1">
        <f t="array" ref="K724">IFERROR(
    VALUE(
        IFERROR(
            UPPER(
                IF(MAX(IFERROR(SEARCH("WD",MAIN!G724:J724), 0))&gt;0, "WD",
                IF(MAX(IFERROR(SEARCH("NS",MAIN!G724:J724), 0))&gt;0, "NS",
                IF(MAX(IFERROR(SEARCH("NC",MAIN!G724:J724), 0))&gt;0, "NC",
                IF(MAX(IFERROR(SEARCH("DQ",MAIN!G724:J724), 0))&gt;0, "DQ",
                IF(ISNUMBER(SEARCH("WD",MAIN!K724)), "WD",
                IF(ISNUMBER(SEARCH("NS",MAIN!K724)), "NS",
                IF(ISNUMBER(SEARCH("NC",MAIN!K724)), "NC",
                IF(ISNUMBER(SEARCH("DQ",MAIN!K724)), "DQ",
                IF(ISNUMBER(SEARCH("A",MAIN!K724)), 0,
                IF(OR(MAIN!K724=0,MAIN!K724=""), 0, --TRIM(MAIN!K724)))))))))))),
            0
        )
    ),
    IFERROR(
        UPPER(
            IF(MAX(IFERROR(SEARCH("WD",MAIN!G724:J724), 0))&gt;0, "WD",
            IF(MAX(IFERROR(SEARCH("NS",MAIN!G724:J724), 0))&gt;0, "NS",
            IF(MAX(IFERROR(SEARCH("NC",MAIN!G724:J724), 0))&gt;0, "NC",
            IF(MAX(IFERROR(SEARCH("DQ",MAIN!G724:J724), 0))&gt;0, "DQ",
            IF(ISNUMBER(SEARCH("WD",MAIN!K724)), "WD",
            IF(ISNUMBER(SEARCH("NS",MAIN!K724)), "NS",
            IF(ISNUMBER(SEARCH("NC",MAIN!K724)), "NC",
            IF(ISNUMBER(SEARCH("DQ",MAIN!K724)), "DQ",
            IF(ISNUMBER(SEARCH("A",MAIN!K724)), 0,
            IF(OR(MAIN!K724=0,MAIN!K724=""), 0, --TRIM(MAIN!K724)))))))))))),
        0
    )
)</f>
        <v>0</v>
      </c>
    </row>
    <row r="725" spans="1:11" x14ac:dyDescent="0.25">
      <c r="A725" t="str">
        <f>IF(ISBLANK(MAIN!A725), "--", IFERROR(PROPER(SUBSTITUTE(SUBSTITUTE(SUBSTITUTE(SUBSTITUTE(SUBSTITUTE(SUBSTITUTE(SUBSTITUTE(SUBSTITUTE(SUBSTITUTE(SUBSTITUTE(LEFT(MAIN!A725, FIND(",",MAIN!A725) -1), "0", ""), "1", ""), "2", ""), "3", ""), "4", ""), "5", ""), "6", ""), "7", ""), "8", ""), "9", "")), PROPER(SUBSTITUTE(SUBSTITUTE(SUBSTITUTE(SUBSTITUTE(SUBSTITUTE(SUBSTITUTE(SUBSTITUTE(SUBSTITUTE(SUBSTITUTE(SUBSTITUTE(MAIN!A725, "0", ""), "1", ""), "2", ""), "3", ""), "4", ""), "5", ""), "6", ""), "7", ""), "8", ""), "9", ""))))</f>
        <v>--</v>
      </c>
      <c r="B725" t="str">
        <f>IF(ISBLANK(MAIN!B725), "--", IFERROR(PROPER(SUBSTITUTE(SUBSTITUTE(SUBSTITUTE(SUBSTITUTE(SUBSTITUTE(SUBSTITUTE(SUBSTITUTE(SUBSTITUTE(SUBSTITUTE(SUBSTITUTE(LEFT(MAIN!B725, FIND(",",MAIN!B725) -1), "0", ""), "1", ""), "2", ""), "3", ""), "4", ""), "5", ""), "6", ""), "7", ""), "8", ""), "9", "")), PROPER(SUBSTITUTE(SUBSTITUTE(SUBSTITUTE(SUBSTITUTE(SUBSTITUTE(SUBSTITUTE(SUBSTITUTE(SUBSTITUTE(SUBSTITUTE(SUBSTITUTE(MAIN!B725, "0", ""), "1", ""), "2", ""), "3", ""), "4", ""), "5", ""), "6", ""), "7", ""), "8", ""), "9", ""))))</f>
        <v>--</v>
      </c>
      <c r="C725" t="str">
        <f>IF(ISBLANK(MAIN!C725), "--", IFERROR(PROPER(SUBSTITUTE(SUBSTITUTE(SUBSTITUTE(SUBSTITUTE(SUBSTITUTE(SUBSTITUTE(SUBSTITUTE(SUBSTITUTE(SUBSTITUTE(SUBSTITUTE(LEFT(MAIN!C725, FIND(",",MAIN!C725) -1), "0", ""), "1", ""), "2", ""), "3", ""), "4", ""), "5", ""), "6", ""), "7", ""), "8", ""), "9", "")), PROPER(SUBSTITUTE(SUBSTITUTE(SUBSTITUTE(SUBSTITUTE(SUBSTITUTE(SUBSTITUTE(SUBSTITUTE(SUBSTITUTE(SUBSTITUTE(SUBSTITUTE(MAIN!C725, "0", ""), "1", ""), "2", ""), "3", ""), "4", ""), "5", ""), "6", ""), "7", ""), "8", ""), "9", ""))))</f>
        <v>--</v>
      </c>
      <c r="D725" t="str">
        <f>IF(ISBLANK(MAIN!D725), "--", IF(ISNUMBER(MATCH(SUBSTITUTE(LEFT(MAIN!D725, IFERROR(FIND(",", MAIN!D725)-1, LEN(MAIN!D725))), " ", ""), lookup_values!$B$2:$B$51, 0)), UPPER(SUBSTITUTE(LEFT(MAIN!D725, IFERROR(FIND(",", MAIN!D725)-1, LEN(MAIN!D725))), " ", "")), IF(ISNA(VLOOKUP(SUBSTITUTE(LEFT(MAIN!D725, IFERROR(FIND(",", MAIN!D725)-1, LEN(MAIN!D725))), " ", ""), lookup_values!$A$2:$B$51, 2, FALSE)), "--", VLOOKUP(SUBSTITUTE(LEFT(MAIN!D725, IFERROR(FIND(",", MAIN!D725)-1, LEN(MAIN!D725))), " ", ""), lookup_values!$A$2:$B$51, 2, FALSE))))</f>
        <v>--</v>
      </c>
      <c r="E725" t="str">
        <f>IF(CLEAN_DATA!D725&lt;&gt;"--","US",IF(ISBLANK(MAIN!E725), "--", IF(ISNUMBER(MATCH(SUBSTITUTE(LEFT(MAIN!E725, IFERROR(FIND(",", MAIN!E725)-1, LEN(MAIN!E725))), " ", ""), lookup_values!$E$2:$E$197, 0)), UPPER(SUBSTITUTE(LEFT(MAIN!E725, IFERROR(FIND(",", MAIN!E725)-1, LEN(MAIN!E725))), " ", "")), IF(ISNA(VLOOKUP(SUBSTITUTE(LEFT(MAIN!E725, IFERROR(FIND(",", MAIN!E725)-1, LEN(MAIN!E725))), " ", ""), lookup_values!$D$2:$E$197, 2, FALSE)), "--", VLOOKUP(SUBSTITUTE(LEFT(MAIN!E725, IFERROR(FIND(",", MAIN!E725)-1, LEN(MAIN!E725))), " ", ""), lookup_values!$D$2:$E$197, 2, FALSE)))))</f>
        <v>--</v>
      </c>
      <c r="F725" t="str">
        <f>IF(ISBLANK(MAIN!F725), "", IF(AND(ISNUMBER(VALUE(TRIM(MAIN!F725))), LEN(TRIM(MAIN!F725))=4), VALUE(TRIM(MAIN!F725)), ""))</f>
        <v/>
      </c>
      <c r="G725">
        <f>IF(ISBLANK(MAIN!G725), 0, IF(ISNUMBER(VALUE(TRIM(MAIN!G725))), VALUE(TRIM(MAIN!G725)), 0))</f>
        <v>0</v>
      </c>
      <c r="H725">
        <f>IF(ISBLANK(MAIN!H725), 0, IF(ISNUMBER(VALUE(TRIM(MAIN!H725))), VALUE(TRIM(MAIN!H725)), 0))</f>
        <v>0</v>
      </c>
      <c r="I725">
        <f>IF(ISBLANK(MAIN!I725), 0, IF(ISNUMBER(VALUE(TRIM(MAIN!I725))), VALUE(TRIM(MAIN!I725)), 0))</f>
        <v>0</v>
      </c>
      <c r="J725">
        <f>IF(ISBLANK(MAIN!J725), 0, IF(ISNUMBER(VALUE(TRIM(MAIN!J725))), VALUE(TRIM(MAIN!J725)), 0))</f>
        <v>0</v>
      </c>
      <c r="K725" cm="1">
        <f t="array" ref="K725">IFERROR(
    VALUE(
        IFERROR(
            UPPER(
                IF(MAX(IFERROR(SEARCH("WD",MAIN!G725:J725), 0))&gt;0, "WD",
                IF(MAX(IFERROR(SEARCH("NS",MAIN!G725:J725), 0))&gt;0, "NS",
                IF(MAX(IFERROR(SEARCH("NC",MAIN!G725:J725), 0))&gt;0, "NC",
                IF(MAX(IFERROR(SEARCH("DQ",MAIN!G725:J725), 0))&gt;0, "DQ",
                IF(ISNUMBER(SEARCH("WD",MAIN!K725)), "WD",
                IF(ISNUMBER(SEARCH("NS",MAIN!K725)), "NS",
                IF(ISNUMBER(SEARCH("NC",MAIN!K725)), "NC",
                IF(ISNUMBER(SEARCH("DQ",MAIN!K725)), "DQ",
                IF(ISNUMBER(SEARCH("A",MAIN!K725)), 0,
                IF(OR(MAIN!K725=0,MAIN!K725=""), 0, --TRIM(MAIN!K725)))))))))))),
            0
        )
    ),
    IFERROR(
        UPPER(
            IF(MAX(IFERROR(SEARCH("WD",MAIN!G725:J725), 0))&gt;0, "WD",
            IF(MAX(IFERROR(SEARCH("NS",MAIN!G725:J725), 0))&gt;0, "NS",
            IF(MAX(IFERROR(SEARCH("NC",MAIN!G725:J725), 0))&gt;0, "NC",
            IF(MAX(IFERROR(SEARCH("DQ",MAIN!G725:J725), 0))&gt;0, "DQ",
            IF(ISNUMBER(SEARCH("WD",MAIN!K725)), "WD",
            IF(ISNUMBER(SEARCH("NS",MAIN!K725)), "NS",
            IF(ISNUMBER(SEARCH("NC",MAIN!K725)), "NC",
            IF(ISNUMBER(SEARCH("DQ",MAIN!K725)), "DQ",
            IF(ISNUMBER(SEARCH("A",MAIN!K725)), 0,
            IF(OR(MAIN!K725=0,MAIN!K725=""), 0, --TRIM(MAIN!K725)))))))))))),
        0
    )
)</f>
        <v>0</v>
      </c>
    </row>
    <row r="726" spans="1:11" x14ac:dyDescent="0.25">
      <c r="A726" t="str">
        <f>IF(ISBLANK(MAIN!A726), "--", IFERROR(PROPER(SUBSTITUTE(SUBSTITUTE(SUBSTITUTE(SUBSTITUTE(SUBSTITUTE(SUBSTITUTE(SUBSTITUTE(SUBSTITUTE(SUBSTITUTE(SUBSTITUTE(LEFT(MAIN!A726, FIND(",",MAIN!A726) -1), "0", ""), "1", ""), "2", ""), "3", ""), "4", ""), "5", ""), "6", ""), "7", ""), "8", ""), "9", "")), PROPER(SUBSTITUTE(SUBSTITUTE(SUBSTITUTE(SUBSTITUTE(SUBSTITUTE(SUBSTITUTE(SUBSTITUTE(SUBSTITUTE(SUBSTITUTE(SUBSTITUTE(MAIN!A726, "0", ""), "1", ""), "2", ""), "3", ""), "4", ""), "5", ""), "6", ""), "7", ""), "8", ""), "9", ""))))</f>
        <v>--</v>
      </c>
      <c r="B726" t="str">
        <f>IF(ISBLANK(MAIN!B726), "--", IFERROR(PROPER(SUBSTITUTE(SUBSTITUTE(SUBSTITUTE(SUBSTITUTE(SUBSTITUTE(SUBSTITUTE(SUBSTITUTE(SUBSTITUTE(SUBSTITUTE(SUBSTITUTE(LEFT(MAIN!B726, FIND(",",MAIN!B726) -1), "0", ""), "1", ""), "2", ""), "3", ""), "4", ""), "5", ""), "6", ""), "7", ""), "8", ""), "9", "")), PROPER(SUBSTITUTE(SUBSTITUTE(SUBSTITUTE(SUBSTITUTE(SUBSTITUTE(SUBSTITUTE(SUBSTITUTE(SUBSTITUTE(SUBSTITUTE(SUBSTITUTE(MAIN!B726, "0", ""), "1", ""), "2", ""), "3", ""), "4", ""), "5", ""), "6", ""), "7", ""), "8", ""), "9", ""))))</f>
        <v>--</v>
      </c>
      <c r="C726" t="str">
        <f>IF(ISBLANK(MAIN!C726), "--", IFERROR(PROPER(SUBSTITUTE(SUBSTITUTE(SUBSTITUTE(SUBSTITUTE(SUBSTITUTE(SUBSTITUTE(SUBSTITUTE(SUBSTITUTE(SUBSTITUTE(SUBSTITUTE(LEFT(MAIN!C726, FIND(",",MAIN!C726) -1), "0", ""), "1", ""), "2", ""), "3", ""), "4", ""), "5", ""), "6", ""), "7", ""), "8", ""), "9", "")), PROPER(SUBSTITUTE(SUBSTITUTE(SUBSTITUTE(SUBSTITUTE(SUBSTITUTE(SUBSTITUTE(SUBSTITUTE(SUBSTITUTE(SUBSTITUTE(SUBSTITUTE(MAIN!C726, "0", ""), "1", ""), "2", ""), "3", ""), "4", ""), "5", ""), "6", ""), "7", ""), "8", ""), "9", ""))))</f>
        <v>--</v>
      </c>
      <c r="D726" t="str">
        <f>IF(ISBLANK(MAIN!D726), "--", IF(ISNUMBER(MATCH(SUBSTITUTE(LEFT(MAIN!D726, IFERROR(FIND(",", MAIN!D726)-1, LEN(MAIN!D726))), " ", ""), lookup_values!$B$2:$B$51, 0)), UPPER(SUBSTITUTE(LEFT(MAIN!D726, IFERROR(FIND(",", MAIN!D726)-1, LEN(MAIN!D726))), " ", "")), IF(ISNA(VLOOKUP(SUBSTITUTE(LEFT(MAIN!D726, IFERROR(FIND(",", MAIN!D726)-1, LEN(MAIN!D726))), " ", ""), lookup_values!$A$2:$B$51, 2, FALSE)), "--", VLOOKUP(SUBSTITUTE(LEFT(MAIN!D726, IFERROR(FIND(",", MAIN!D726)-1, LEN(MAIN!D726))), " ", ""), lookup_values!$A$2:$B$51, 2, FALSE))))</f>
        <v>--</v>
      </c>
      <c r="E726" t="str">
        <f>IF(CLEAN_DATA!D726&lt;&gt;"--","US",IF(ISBLANK(MAIN!E726), "--", IF(ISNUMBER(MATCH(SUBSTITUTE(LEFT(MAIN!E726, IFERROR(FIND(",", MAIN!E726)-1, LEN(MAIN!E726))), " ", ""), lookup_values!$E$2:$E$197, 0)), UPPER(SUBSTITUTE(LEFT(MAIN!E726, IFERROR(FIND(",", MAIN!E726)-1, LEN(MAIN!E726))), " ", "")), IF(ISNA(VLOOKUP(SUBSTITUTE(LEFT(MAIN!E726, IFERROR(FIND(",", MAIN!E726)-1, LEN(MAIN!E726))), " ", ""), lookup_values!$D$2:$E$197, 2, FALSE)), "--", VLOOKUP(SUBSTITUTE(LEFT(MAIN!E726, IFERROR(FIND(",", MAIN!E726)-1, LEN(MAIN!E726))), " ", ""), lookup_values!$D$2:$E$197, 2, FALSE)))))</f>
        <v>--</v>
      </c>
      <c r="F726" t="str">
        <f>IF(ISBLANK(MAIN!F726), "", IF(AND(ISNUMBER(VALUE(TRIM(MAIN!F726))), LEN(TRIM(MAIN!F726))=4), VALUE(TRIM(MAIN!F726)), ""))</f>
        <v/>
      </c>
      <c r="G726">
        <f>IF(ISBLANK(MAIN!G726), 0, IF(ISNUMBER(VALUE(TRIM(MAIN!G726))), VALUE(TRIM(MAIN!G726)), 0))</f>
        <v>0</v>
      </c>
      <c r="H726">
        <f>IF(ISBLANK(MAIN!H726), 0, IF(ISNUMBER(VALUE(TRIM(MAIN!H726))), VALUE(TRIM(MAIN!H726)), 0))</f>
        <v>0</v>
      </c>
      <c r="I726">
        <f>IF(ISBLANK(MAIN!I726), 0, IF(ISNUMBER(VALUE(TRIM(MAIN!I726))), VALUE(TRIM(MAIN!I726)), 0))</f>
        <v>0</v>
      </c>
      <c r="J726">
        <f>IF(ISBLANK(MAIN!J726), 0, IF(ISNUMBER(VALUE(TRIM(MAIN!J726))), VALUE(TRIM(MAIN!J726)), 0))</f>
        <v>0</v>
      </c>
      <c r="K726" cm="1">
        <f t="array" ref="K726">IFERROR(
    VALUE(
        IFERROR(
            UPPER(
                IF(MAX(IFERROR(SEARCH("WD",MAIN!G726:J726), 0))&gt;0, "WD",
                IF(MAX(IFERROR(SEARCH("NS",MAIN!G726:J726), 0))&gt;0, "NS",
                IF(MAX(IFERROR(SEARCH("NC",MAIN!G726:J726), 0))&gt;0, "NC",
                IF(MAX(IFERROR(SEARCH("DQ",MAIN!G726:J726), 0))&gt;0, "DQ",
                IF(ISNUMBER(SEARCH("WD",MAIN!K726)), "WD",
                IF(ISNUMBER(SEARCH("NS",MAIN!K726)), "NS",
                IF(ISNUMBER(SEARCH("NC",MAIN!K726)), "NC",
                IF(ISNUMBER(SEARCH("DQ",MAIN!K726)), "DQ",
                IF(ISNUMBER(SEARCH("A",MAIN!K726)), 0,
                IF(OR(MAIN!K726=0,MAIN!K726=""), 0, --TRIM(MAIN!K726)))))))))))),
            0
        )
    ),
    IFERROR(
        UPPER(
            IF(MAX(IFERROR(SEARCH("WD",MAIN!G726:J726), 0))&gt;0, "WD",
            IF(MAX(IFERROR(SEARCH("NS",MAIN!G726:J726), 0))&gt;0, "NS",
            IF(MAX(IFERROR(SEARCH("NC",MAIN!G726:J726), 0))&gt;0, "NC",
            IF(MAX(IFERROR(SEARCH("DQ",MAIN!G726:J726), 0))&gt;0, "DQ",
            IF(ISNUMBER(SEARCH("WD",MAIN!K726)), "WD",
            IF(ISNUMBER(SEARCH("NS",MAIN!K726)), "NS",
            IF(ISNUMBER(SEARCH("NC",MAIN!K726)), "NC",
            IF(ISNUMBER(SEARCH("DQ",MAIN!K726)), "DQ",
            IF(ISNUMBER(SEARCH("A",MAIN!K726)), 0,
            IF(OR(MAIN!K726=0,MAIN!K726=""), 0, --TRIM(MAIN!K726)))))))))))),
        0
    )
)</f>
        <v>0</v>
      </c>
    </row>
    <row r="727" spans="1:11" x14ac:dyDescent="0.25">
      <c r="A727" t="str">
        <f>IF(ISBLANK(MAIN!A727), "--", IFERROR(PROPER(SUBSTITUTE(SUBSTITUTE(SUBSTITUTE(SUBSTITUTE(SUBSTITUTE(SUBSTITUTE(SUBSTITUTE(SUBSTITUTE(SUBSTITUTE(SUBSTITUTE(LEFT(MAIN!A727, FIND(",",MAIN!A727) -1), "0", ""), "1", ""), "2", ""), "3", ""), "4", ""), "5", ""), "6", ""), "7", ""), "8", ""), "9", "")), PROPER(SUBSTITUTE(SUBSTITUTE(SUBSTITUTE(SUBSTITUTE(SUBSTITUTE(SUBSTITUTE(SUBSTITUTE(SUBSTITUTE(SUBSTITUTE(SUBSTITUTE(MAIN!A727, "0", ""), "1", ""), "2", ""), "3", ""), "4", ""), "5", ""), "6", ""), "7", ""), "8", ""), "9", ""))))</f>
        <v>--</v>
      </c>
      <c r="B727" t="str">
        <f>IF(ISBLANK(MAIN!B727), "--", IFERROR(PROPER(SUBSTITUTE(SUBSTITUTE(SUBSTITUTE(SUBSTITUTE(SUBSTITUTE(SUBSTITUTE(SUBSTITUTE(SUBSTITUTE(SUBSTITUTE(SUBSTITUTE(LEFT(MAIN!B727, FIND(",",MAIN!B727) -1), "0", ""), "1", ""), "2", ""), "3", ""), "4", ""), "5", ""), "6", ""), "7", ""), "8", ""), "9", "")), PROPER(SUBSTITUTE(SUBSTITUTE(SUBSTITUTE(SUBSTITUTE(SUBSTITUTE(SUBSTITUTE(SUBSTITUTE(SUBSTITUTE(SUBSTITUTE(SUBSTITUTE(MAIN!B727, "0", ""), "1", ""), "2", ""), "3", ""), "4", ""), "5", ""), "6", ""), "7", ""), "8", ""), "9", ""))))</f>
        <v>--</v>
      </c>
      <c r="C727" t="str">
        <f>IF(ISBLANK(MAIN!C727), "--", IFERROR(PROPER(SUBSTITUTE(SUBSTITUTE(SUBSTITUTE(SUBSTITUTE(SUBSTITUTE(SUBSTITUTE(SUBSTITUTE(SUBSTITUTE(SUBSTITUTE(SUBSTITUTE(LEFT(MAIN!C727, FIND(",",MAIN!C727) -1), "0", ""), "1", ""), "2", ""), "3", ""), "4", ""), "5", ""), "6", ""), "7", ""), "8", ""), "9", "")), PROPER(SUBSTITUTE(SUBSTITUTE(SUBSTITUTE(SUBSTITUTE(SUBSTITUTE(SUBSTITUTE(SUBSTITUTE(SUBSTITUTE(SUBSTITUTE(SUBSTITUTE(MAIN!C727, "0", ""), "1", ""), "2", ""), "3", ""), "4", ""), "5", ""), "6", ""), "7", ""), "8", ""), "9", ""))))</f>
        <v>--</v>
      </c>
      <c r="D727" t="str">
        <f>IF(ISBLANK(MAIN!D727), "--", IF(ISNUMBER(MATCH(SUBSTITUTE(LEFT(MAIN!D727, IFERROR(FIND(",", MAIN!D727)-1, LEN(MAIN!D727))), " ", ""), lookup_values!$B$2:$B$51, 0)), UPPER(SUBSTITUTE(LEFT(MAIN!D727, IFERROR(FIND(",", MAIN!D727)-1, LEN(MAIN!D727))), " ", "")), IF(ISNA(VLOOKUP(SUBSTITUTE(LEFT(MAIN!D727, IFERROR(FIND(",", MAIN!D727)-1, LEN(MAIN!D727))), " ", ""), lookup_values!$A$2:$B$51, 2, FALSE)), "--", VLOOKUP(SUBSTITUTE(LEFT(MAIN!D727, IFERROR(FIND(",", MAIN!D727)-1, LEN(MAIN!D727))), " ", ""), lookup_values!$A$2:$B$51, 2, FALSE))))</f>
        <v>--</v>
      </c>
      <c r="E727" t="str">
        <f>IF(CLEAN_DATA!D727&lt;&gt;"--","US",IF(ISBLANK(MAIN!E727), "--", IF(ISNUMBER(MATCH(SUBSTITUTE(LEFT(MAIN!E727, IFERROR(FIND(",", MAIN!E727)-1, LEN(MAIN!E727))), " ", ""), lookup_values!$E$2:$E$197, 0)), UPPER(SUBSTITUTE(LEFT(MAIN!E727, IFERROR(FIND(",", MAIN!E727)-1, LEN(MAIN!E727))), " ", "")), IF(ISNA(VLOOKUP(SUBSTITUTE(LEFT(MAIN!E727, IFERROR(FIND(",", MAIN!E727)-1, LEN(MAIN!E727))), " ", ""), lookup_values!$D$2:$E$197, 2, FALSE)), "--", VLOOKUP(SUBSTITUTE(LEFT(MAIN!E727, IFERROR(FIND(",", MAIN!E727)-1, LEN(MAIN!E727))), " ", ""), lookup_values!$D$2:$E$197, 2, FALSE)))))</f>
        <v>--</v>
      </c>
      <c r="F727" t="str">
        <f>IF(ISBLANK(MAIN!F727), "", IF(AND(ISNUMBER(VALUE(TRIM(MAIN!F727))), LEN(TRIM(MAIN!F727))=4), VALUE(TRIM(MAIN!F727)), ""))</f>
        <v/>
      </c>
      <c r="G727">
        <f>IF(ISBLANK(MAIN!G727), 0, IF(ISNUMBER(VALUE(TRIM(MAIN!G727))), VALUE(TRIM(MAIN!G727)), 0))</f>
        <v>0</v>
      </c>
      <c r="H727">
        <f>IF(ISBLANK(MAIN!H727), 0, IF(ISNUMBER(VALUE(TRIM(MAIN!H727))), VALUE(TRIM(MAIN!H727)), 0))</f>
        <v>0</v>
      </c>
      <c r="I727">
        <f>IF(ISBLANK(MAIN!I727), 0, IF(ISNUMBER(VALUE(TRIM(MAIN!I727))), VALUE(TRIM(MAIN!I727)), 0))</f>
        <v>0</v>
      </c>
      <c r="J727">
        <f>IF(ISBLANK(MAIN!J727), 0, IF(ISNUMBER(VALUE(TRIM(MAIN!J727))), VALUE(TRIM(MAIN!J727)), 0))</f>
        <v>0</v>
      </c>
      <c r="K727" cm="1">
        <f t="array" ref="K727">IFERROR(
    VALUE(
        IFERROR(
            UPPER(
                IF(MAX(IFERROR(SEARCH("WD",MAIN!G727:J727), 0))&gt;0, "WD",
                IF(MAX(IFERROR(SEARCH("NS",MAIN!G727:J727), 0))&gt;0, "NS",
                IF(MAX(IFERROR(SEARCH("NC",MAIN!G727:J727), 0))&gt;0, "NC",
                IF(MAX(IFERROR(SEARCH("DQ",MAIN!G727:J727), 0))&gt;0, "DQ",
                IF(ISNUMBER(SEARCH("WD",MAIN!K727)), "WD",
                IF(ISNUMBER(SEARCH("NS",MAIN!K727)), "NS",
                IF(ISNUMBER(SEARCH("NC",MAIN!K727)), "NC",
                IF(ISNUMBER(SEARCH("DQ",MAIN!K727)), "DQ",
                IF(ISNUMBER(SEARCH("A",MAIN!K727)), 0,
                IF(OR(MAIN!K727=0,MAIN!K727=""), 0, --TRIM(MAIN!K727)))))))))))),
            0
        )
    ),
    IFERROR(
        UPPER(
            IF(MAX(IFERROR(SEARCH("WD",MAIN!G727:J727), 0))&gt;0, "WD",
            IF(MAX(IFERROR(SEARCH("NS",MAIN!G727:J727), 0))&gt;0, "NS",
            IF(MAX(IFERROR(SEARCH("NC",MAIN!G727:J727), 0))&gt;0, "NC",
            IF(MAX(IFERROR(SEARCH("DQ",MAIN!G727:J727), 0))&gt;0, "DQ",
            IF(ISNUMBER(SEARCH("WD",MAIN!K727)), "WD",
            IF(ISNUMBER(SEARCH("NS",MAIN!K727)), "NS",
            IF(ISNUMBER(SEARCH("NC",MAIN!K727)), "NC",
            IF(ISNUMBER(SEARCH("DQ",MAIN!K727)), "DQ",
            IF(ISNUMBER(SEARCH("A",MAIN!K727)), 0,
            IF(OR(MAIN!K727=0,MAIN!K727=""), 0, --TRIM(MAIN!K727)))))))))))),
        0
    )
)</f>
        <v>0</v>
      </c>
    </row>
    <row r="728" spans="1:11" x14ac:dyDescent="0.25">
      <c r="A728" t="str">
        <f>IF(ISBLANK(MAIN!A728), "--", IFERROR(PROPER(SUBSTITUTE(SUBSTITUTE(SUBSTITUTE(SUBSTITUTE(SUBSTITUTE(SUBSTITUTE(SUBSTITUTE(SUBSTITUTE(SUBSTITUTE(SUBSTITUTE(LEFT(MAIN!A728, FIND(",",MAIN!A728) -1), "0", ""), "1", ""), "2", ""), "3", ""), "4", ""), "5", ""), "6", ""), "7", ""), "8", ""), "9", "")), PROPER(SUBSTITUTE(SUBSTITUTE(SUBSTITUTE(SUBSTITUTE(SUBSTITUTE(SUBSTITUTE(SUBSTITUTE(SUBSTITUTE(SUBSTITUTE(SUBSTITUTE(MAIN!A728, "0", ""), "1", ""), "2", ""), "3", ""), "4", ""), "5", ""), "6", ""), "7", ""), "8", ""), "9", ""))))</f>
        <v>--</v>
      </c>
      <c r="B728" t="str">
        <f>IF(ISBLANK(MAIN!B728), "--", IFERROR(PROPER(SUBSTITUTE(SUBSTITUTE(SUBSTITUTE(SUBSTITUTE(SUBSTITUTE(SUBSTITUTE(SUBSTITUTE(SUBSTITUTE(SUBSTITUTE(SUBSTITUTE(LEFT(MAIN!B728, FIND(",",MAIN!B728) -1), "0", ""), "1", ""), "2", ""), "3", ""), "4", ""), "5", ""), "6", ""), "7", ""), "8", ""), "9", "")), PROPER(SUBSTITUTE(SUBSTITUTE(SUBSTITUTE(SUBSTITUTE(SUBSTITUTE(SUBSTITUTE(SUBSTITUTE(SUBSTITUTE(SUBSTITUTE(SUBSTITUTE(MAIN!B728, "0", ""), "1", ""), "2", ""), "3", ""), "4", ""), "5", ""), "6", ""), "7", ""), "8", ""), "9", ""))))</f>
        <v>--</v>
      </c>
      <c r="C728" t="str">
        <f>IF(ISBLANK(MAIN!C728), "--", IFERROR(PROPER(SUBSTITUTE(SUBSTITUTE(SUBSTITUTE(SUBSTITUTE(SUBSTITUTE(SUBSTITUTE(SUBSTITUTE(SUBSTITUTE(SUBSTITUTE(SUBSTITUTE(LEFT(MAIN!C728, FIND(",",MAIN!C728) -1), "0", ""), "1", ""), "2", ""), "3", ""), "4", ""), "5", ""), "6", ""), "7", ""), "8", ""), "9", "")), PROPER(SUBSTITUTE(SUBSTITUTE(SUBSTITUTE(SUBSTITUTE(SUBSTITUTE(SUBSTITUTE(SUBSTITUTE(SUBSTITUTE(SUBSTITUTE(SUBSTITUTE(MAIN!C728, "0", ""), "1", ""), "2", ""), "3", ""), "4", ""), "5", ""), "6", ""), "7", ""), "8", ""), "9", ""))))</f>
        <v>--</v>
      </c>
      <c r="D728" t="str">
        <f>IF(ISBLANK(MAIN!D728), "--", IF(ISNUMBER(MATCH(SUBSTITUTE(LEFT(MAIN!D728, IFERROR(FIND(",", MAIN!D728)-1, LEN(MAIN!D728))), " ", ""), lookup_values!$B$2:$B$51, 0)), UPPER(SUBSTITUTE(LEFT(MAIN!D728, IFERROR(FIND(",", MAIN!D728)-1, LEN(MAIN!D728))), " ", "")), IF(ISNA(VLOOKUP(SUBSTITUTE(LEFT(MAIN!D728, IFERROR(FIND(",", MAIN!D728)-1, LEN(MAIN!D728))), " ", ""), lookup_values!$A$2:$B$51, 2, FALSE)), "--", VLOOKUP(SUBSTITUTE(LEFT(MAIN!D728, IFERROR(FIND(",", MAIN!D728)-1, LEN(MAIN!D728))), " ", ""), lookup_values!$A$2:$B$51, 2, FALSE))))</f>
        <v>--</v>
      </c>
      <c r="E728" t="str">
        <f>IF(CLEAN_DATA!D728&lt;&gt;"--","US",IF(ISBLANK(MAIN!E728), "--", IF(ISNUMBER(MATCH(SUBSTITUTE(LEFT(MAIN!E728, IFERROR(FIND(",", MAIN!E728)-1, LEN(MAIN!E728))), " ", ""), lookup_values!$E$2:$E$197, 0)), UPPER(SUBSTITUTE(LEFT(MAIN!E728, IFERROR(FIND(",", MAIN!E728)-1, LEN(MAIN!E728))), " ", "")), IF(ISNA(VLOOKUP(SUBSTITUTE(LEFT(MAIN!E728, IFERROR(FIND(",", MAIN!E728)-1, LEN(MAIN!E728))), " ", ""), lookup_values!$D$2:$E$197, 2, FALSE)), "--", VLOOKUP(SUBSTITUTE(LEFT(MAIN!E728, IFERROR(FIND(",", MAIN!E728)-1, LEN(MAIN!E728))), " ", ""), lookup_values!$D$2:$E$197, 2, FALSE)))))</f>
        <v>--</v>
      </c>
      <c r="F728" t="str">
        <f>IF(ISBLANK(MAIN!F728), "", IF(AND(ISNUMBER(VALUE(TRIM(MAIN!F728))), LEN(TRIM(MAIN!F728))=4), VALUE(TRIM(MAIN!F728)), ""))</f>
        <v/>
      </c>
      <c r="G728">
        <f>IF(ISBLANK(MAIN!G728), 0, IF(ISNUMBER(VALUE(TRIM(MAIN!G728))), VALUE(TRIM(MAIN!G728)), 0))</f>
        <v>0</v>
      </c>
      <c r="H728">
        <f>IF(ISBLANK(MAIN!H728), 0, IF(ISNUMBER(VALUE(TRIM(MAIN!H728))), VALUE(TRIM(MAIN!H728)), 0))</f>
        <v>0</v>
      </c>
      <c r="I728">
        <f>IF(ISBLANK(MAIN!I728), 0, IF(ISNUMBER(VALUE(TRIM(MAIN!I728))), VALUE(TRIM(MAIN!I728)), 0))</f>
        <v>0</v>
      </c>
      <c r="J728">
        <f>IF(ISBLANK(MAIN!J728), 0, IF(ISNUMBER(VALUE(TRIM(MAIN!J728))), VALUE(TRIM(MAIN!J728)), 0))</f>
        <v>0</v>
      </c>
      <c r="K728" cm="1">
        <f t="array" ref="K728">IFERROR(
    VALUE(
        IFERROR(
            UPPER(
                IF(MAX(IFERROR(SEARCH("WD",MAIN!G728:J728), 0))&gt;0, "WD",
                IF(MAX(IFERROR(SEARCH("NS",MAIN!G728:J728), 0))&gt;0, "NS",
                IF(MAX(IFERROR(SEARCH("NC",MAIN!G728:J728), 0))&gt;0, "NC",
                IF(MAX(IFERROR(SEARCH("DQ",MAIN!G728:J728), 0))&gt;0, "DQ",
                IF(ISNUMBER(SEARCH("WD",MAIN!K728)), "WD",
                IF(ISNUMBER(SEARCH("NS",MAIN!K728)), "NS",
                IF(ISNUMBER(SEARCH("NC",MAIN!K728)), "NC",
                IF(ISNUMBER(SEARCH("DQ",MAIN!K728)), "DQ",
                IF(ISNUMBER(SEARCH("A",MAIN!K728)), 0,
                IF(OR(MAIN!K728=0,MAIN!K728=""), 0, --TRIM(MAIN!K728)))))))))))),
            0
        )
    ),
    IFERROR(
        UPPER(
            IF(MAX(IFERROR(SEARCH("WD",MAIN!G728:J728), 0))&gt;0, "WD",
            IF(MAX(IFERROR(SEARCH("NS",MAIN!G728:J728), 0))&gt;0, "NS",
            IF(MAX(IFERROR(SEARCH("NC",MAIN!G728:J728), 0))&gt;0, "NC",
            IF(MAX(IFERROR(SEARCH("DQ",MAIN!G728:J728), 0))&gt;0, "DQ",
            IF(ISNUMBER(SEARCH("WD",MAIN!K728)), "WD",
            IF(ISNUMBER(SEARCH("NS",MAIN!K728)), "NS",
            IF(ISNUMBER(SEARCH("NC",MAIN!K728)), "NC",
            IF(ISNUMBER(SEARCH("DQ",MAIN!K728)), "DQ",
            IF(ISNUMBER(SEARCH("A",MAIN!K728)), 0,
            IF(OR(MAIN!K728=0,MAIN!K728=""), 0, --TRIM(MAIN!K728)))))))))))),
        0
    )
)</f>
        <v>0</v>
      </c>
    </row>
    <row r="729" spans="1:11" x14ac:dyDescent="0.25">
      <c r="A729" t="str">
        <f>IF(ISBLANK(MAIN!A729), "--", IFERROR(PROPER(SUBSTITUTE(SUBSTITUTE(SUBSTITUTE(SUBSTITUTE(SUBSTITUTE(SUBSTITUTE(SUBSTITUTE(SUBSTITUTE(SUBSTITUTE(SUBSTITUTE(LEFT(MAIN!A729, FIND(",",MAIN!A729) -1), "0", ""), "1", ""), "2", ""), "3", ""), "4", ""), "5", ""), "6", ""), "7", ""), "8", ""), "9", "")), PROPER(SUBSTITUTE(SUBSTITUTE(SUBSTITUTE(SUBSTITUTE(SUBSTITUTE(SUBSTITUTE(SUBSTITUTE(SUBSTITUTE(SUBSTITUTE(SUBSTITUTE(MAIN!A729, "0", ""), "1", ""), "2", ""), "3", ""), "4", ""), "5", ""), "6", ""), "7", ""), "8", ""), "9", ""))))</f>
        <v>--</v>
      </c>
      <c r="B729" t="str">
        <f>IF(ISBLANK(MAIN!B729), "--", IFERROR(PROPER(SUBSTITUTE(SUBSTITUTE(SUBSTITUTE(SUBSTITUTE(SUBSTITUTE(SUBSTITUTE(SUBSTITUTE(SUBSTITUTE(SUBSTITUTE(SUBSTITUTE(LEFT(MAIN!B729, FIND(",",MAIN!B729) -1), "0", ""), "1", ""), "2", ""), "3", ""), "4", ""), "5", ""), "6", ""), "7", ""), "8", ""), "9", "")), PROPER(SUBSTITUTE(SUBSTITUTE(SUBSTITUTE(SUBSTITUTE(SUBSTITUTE(SUBSTITUTE(SUBSTITUTE(SUBSTITUTE(SUBSTITUTE(SUBSTITUTE(MAIN!B729, "0", ""), "1", ""), "2", ""), "3", ""), "4", ""), "5", ""), "6", ""), "7", ""), "8", ""), "9", ""))))</f>
        <v>--</v>
      </c>
      <c r="C729" t="str">
        <f>IF(ISBLANK(MAIN!C729), "--", IFERROR(PROPER(SUBSTITUTE(SUBSTITUTE(SUBSTITUTE(SUBSTITUTE(SUBSTITUTE(SUBSTITUTE(SUBSTITUTE(SUBSTITUTE(SUBSTITUTE(SUBSTITUTE(LEFT(MAIN!C729, FIND(",",MAIN!C729) -1), "0", ""), "1", ""), "2", ""), "3", ""), "4", ""), "5", ""), "6", ""), "7", ""), "8", ""), "9", "")), PROPER(SUBSTITUTE(SUBSTITUTE(SUBSTITUTE(SUBSTITUTE(SUBSTITUTE(SUBSTITUTE(SUBSTITUTE(SUBSTITUTE(SUBSTITUTE(SUBSTITUTE(MAIN!C729, "0", ""), "1", ""), "2", ""), "3", ""), "4", ""), "5", ""), "6", ""), "7", ""), "8", ""), "9", ""))))</f>
        <v>--</v>
      </c>
      <c r="D729" t="str">
        <f>IF(ISBLANK(MAIN!D729), "--", IF(ISNUMBER(MATCH(SUBSTITUTE(LEFT(MAIN!D729, IFERROR(FIND(",", MAIN!D729)-1, LEN(MAIN!D729))), " ", ""), lookup_values!$B$2:$B$51, 0)), UPPER(SUBSTITUTE(LEFT(MAIN!D729, IFERROR(FIND(",", MAIN!D729)-1, LEN(MAIN!D729))), " ", "")), IF(ISNA(VLOOKUP(SUBSTITUTE(LEFT(MAIN!D729, IFERROR(FIND(",", MAIN!D729)-1, LEN(MAIN!D729))), " ", ""), lookup_values!$A$2:$B$51, 2, FALSE)), "--", VLOOKUP(SUBSTITUTE(LEFT(MAIN!D729, IFERROR(FIND(",", MAIN!D729)-1, LEN(MAIN!D729))), " ", ""), lookup_values!$A$2:$B$51, 2, FALSE))))</f>
        <v>--</v>
      </c>
      <c r="E729" t="str">
        <f>IF(CLEAN_DATA!D729&lt;&gt;"--","US",IF(ISBLANK(MAIN!E729), "--", IF(ISNUMBER(MATCH(SUBSTITUTE(LEFT(MAIN!E729, IFERROR(FIND(",", MAIN!E729)-1, LEN(MAIN!E729))), " ", ""), lookup_values!$E$2:$E$197, 0)), UPPER(SUBSTITUTE(LEFT(MAIN!E729, IFERROR(FIND(",", MAIN!E729)-1, LEN(MAIN!E729))), " ", "")), IF(ISNA(VLOOKUP(SUBSTITUTE(LEFT(MAIN!E729, IFERROR(FIND(",", MAIN!E729)-1, LEN(MAIN!E729))), " ", ""), lookup_values!$D$2:$E$197, 2, FALSE)), "--", VLOOKUP(SUBSTITUTE(LEFT(MAIN!E729, IFERROR(FIND(",", MAIN!E729)-1, LEN(MAIN!E729))), " ", ""), lookup_values!$D$2:$E$197, 2, FALSE)))))</f>
        <v>--</v>
      </c>
      <c r="F729" t="str">
        <f>IF(ISBLANK(MAIN!F729), "", IF(AND(ISNUMBER(VALUE(TRIM(MAIN!F729))), LEN(TRIM(MAIN!F729))=4), VALUE(TRIM(MAIN!F729)), ""))</f>
        <v/>
      </c>
      <c r="G729">
        <f>IF(ISBLANK(MAIN!G729), 0, IF(ISNUMBER(VALUE(TRIM(MAIN!G729))), VALUE(TRIM(MAIN!G729)), 0))</f>
        <v>0</v>
      </c>
      <c r="H729">
        <f>IF(ISBLANK(MAIN!H729), 0, IF(ISNUMBER(VALUE(TRIM(MAIN!H729))), VALUE(TRIM(MAIN!H729)), 0))</f>
        <v>0</v>
      </c>
      <c r="I729">
        <f>IF(ISBLANK(MAIN!I729), 0, IF(ISNUMBER(VALUE(TRIM(MAIN!I729))), VALUE(TRIM(MAIN!I729)), 0))</f>
        <v>0</v>
      </c>
      <c r="J729">
        <f>IF(ISBLANK(MAIN!J729), 0, IF(ISNUMBER(VALUE(TRIM(MAIN!J729))), VALUE(TRIM(MAIN!J729)), 0))</f>
        <v>0</v>
      </c>
      <c r="K729" cm="1">
        <f t="array" ref="K729">IFERROR(
    VALUE(
        IFERROR(
            UPPER(
                IF(MAX(IFERROR(SEARCH("WD",MAIN!G729:J729), 0))&gt;0, "WD",
                IF(MAX(IFERROR(SEARCH("NS",MAIN!G729:J729), 0))&gt;0, "NS",
                IF(MAX(IFERROR(SEARCH("NC",MAIN!G729:J729), 0))&gt;0, "NC",
                IF(MAX(IFERROR(SEARCH("DQ",MAIN!G729:J729), 0))&gt;0, "DQ",
                IF(ISNUMBER(SEARCH("WD",MAIN!K729)), "WD",
                IF(ISNUMBER(SEARCH("NS",MAIN!K729)), "NS",
                IF(ISNUMBER(SEARCH("NC",MAIN!K729)), "NC",
                IF(ISNUMBER(SEARCH("DQ",MAIN!K729)), "DQ",
                IF(ISNUMBER(SEARCH("A",MAIN!K729)), 0,
                IF(OR(MAIN!K729=0,MAIN!K729=""), 0, --TRIM(MAIN!K729)))))))))))),
            0
        )
    ),
    IFERROR(
        UPPER(
            IF(MAX(IFERROR(SEARCH("WD",MAIN!G729:J729), 0))&gt;0, "WD",
            IF(MAX(IFERROR(SEARCH("NS",MAIN!G729:J729), 0))&gt;0, "NS",
            IF(MAX(IFERROR(SEARCH("NC",MAIN!G729:J729), 0))&gt;0, "NC",
            IF(MAX(IFERROR(SEARCH("DQ",MAIN!G729:J729), 0))&gt;0, "DQ",
            IF(ISNUMBER(SEARCH("WD",MAIN!K729)), "WD",
            IF(ISNUMBER(SEARCH("NS",MAIN!K729)), "NS",
            IF(ISNUMBER(SEARCH("NC",MAIN!K729)), "NC",
            IF(ISNUMBER(SEARCH("DQ",MAIN!K729)), "DQ",
            IF(ISNUMBER(SEARCH("A",MAIN!K729)), 0,
            IF(OR(MAIN!K729=0,MAIN!K729=""), 0, --TRIM(MAIN!K729)))))))))))),
        0
    )
)</f>
        <v>0</v>
      </c>
    </row>
    <row r="730" spans="1:11" x14ac:dyDescent="0.25">
      <c r="A730" t="str">
        <f>IF(ISBLANK(MAIN!A730), "--", IFERROR(PROPER(SUBSTITUTE(SUBSTITUTE(SUBSTITUTE(SUBSTITUTE(SUBSTITUTE(SUBSTITUTE(SUBSTITUTE(SUBSTITUTE(SUBSTITUTE(SUBSTITUTE(LEFT(MAIN!A730, FIND(",",MAIN!A730) -1), "0", ""), "1", ""), "2", ""), "3", ""), "4", ""), "5", ""), "6", ""), "7", ""), "8", ""), "9", "")), PROPER(SUBSTITUTE(SUBSTITUTE(SUBSTITUTE(SUBSTITUTE(SUBSTITUTE(SUBSTITUTE(SUBSTITUTE(SUBSTITUTE(SUBSTITUTE(SUBSTITUTE(MAIN!A730, "0", ""), "1", ""), "2", ""), "3", ""), "4", ""), "5", ""), "6", ""), "7", ""), "8", ""), "9", ""))))</f>
        <v>--</v>
      </c>
      <c r="B730" t="str">
        <f>IF(ISBLANK(MAIN!B730), "--", IFERROR(PROPER(SUBSTITUTE(SUBSTITUTE(SUBSTITUTE(SUBSTITUTE(SUBSTITUTE(SUBSTITUTE(SUBSTITUTE(SUBSTITUTE(SUBSTITUTE(SUBSTITUTE(LEFT(MAIN!B730, FIND(",",MAIN!B730) -1), "0", ""), "1", ""), "2", ""), "3", ""), "4", ""), "5", ""), "6", ""), "7", ""), "8", ""), "9", "")), PROPER(SUBSTITUTE(SUBSTITUTE(SUBSTITUTE(SUBSTITUTE(SUBSTITUTE(SUBSTITUTE(SUBSTITUTE(SUBSTITUTE(SUBSTITUTE(SUBSTITUTE(MAIN!B730, "0", ""), "1", ""), "2", ""), "3", ""), "4", ""), "5", ""), "6", ""), "7", ""), "8", ""), "9", ""))))</f>
        <v>--</v>
      </c>
      <c r="C730" t="str">
        <f>IF(ISBLANK(MAIN!C730), "--", IFERROR(PROPER(SUBSTITUTE(SUBSTITUTE(SUBSTITUTE(SUBSTITUTE(SUBSTITUTE(SUBSTITUTE(SUBSTITUTE(SUBSTITUTE(SUBSTITUTE(SUBSTITUTE(LEFT(MAIN!C730, FIND(",",MAIN!C730) -1), "0", ""), "1", ""), "2", ""), "3", ""), "4", ""), "5", ""), "6", ""), "7", ""), "8", ""), "9", "")), PROPER(SUBSTITUTE(SUBSTITUTE(SUBSTITUTE(SUBSTITUTE(SUBSTITUTE(SUBSTITUTE(SUBSTITUTE(SUBSTITUTE(SUBSTITUTE(SUBSTITUTE(MAIN!C730, "0", ""), "1", ""), "2", ""), "3", ""), "4", ""), "5", ""), "6", ""), "7", ""), "8", ""), "9", ""))))</f>
        <v>--</v>
      </c>
      <c r="D730" t="str">
        <f>IF(ISBLANK(MAIN!D730), "--", IF(ISNUMBER(MATCH(SUBSTITUTE(LEFT(MAIN!D730, IFERROR(FIND(",", MAIN!D730)-1, LEN(MAIN!D730))), " ", ""), lookup_values!$B$2:$B$51, 0)), UPPER(SUBSTITUTE(LEFT(MAIN!D730, IFERROR(FIND(",", MAIN!D730)-1, LEN(MAIN!D730))), " ", "")), IF(ISNA(VLOOKUP(SUBSTITUTE(LEFT(MAIN!D730, IFERROR(FIND(",", MAIN!D730)-1, LEN(MAIN!D730))), " ", ""), lookup_values!$A$2:$B$51, 2, FALSE)), "--", VLOOKUP(SUBSTITUTE(LEFT(MAIN!D730, IFERROR(FIND(",", MAIN!D730)-1, LEN(MAIN!D730))), " ", ""), lookup_values!$A$2:$B$51, 2, FALSE))))</f>
        <v>--</v>
      </c>
      <c r="E730" t="str">
        <f>IF(CLEAN_DATA!D730&lt;&gt;"--","US",IF(ISBLANK(MAIN!E730), "--", IF(ISNUMBER(MATCH(SUBSTITUTE(LEFT(MAIN!E730, IFERROR(FIND(",", MAIN!E730)-1, LEN(MAIN!E730))), " ", ""), lookup_values!$E$2:$E$197, 0)), UPPER(SUBSTITUTE(LEFT(MAIN!E730, IFERROR(FIND(",", MAIN!E730)-1, LEN(MAIN!E730))), " ", "")), IF(ISNA(VLOOKUP(SUBSTITUTE(LEFT(MAIN!E730, IFERROR(FIND(",", MAIN!E730)-1, LEN(MAIN!E730))), " ", ""), lookup_values!$D$2:$E$197, 2, FALSE)), "--", VLOOKUP(SUBSTITUTE(LEFT(MAIN!E730, IFERROR(FIND(",", MAIN!E730)-1, LEN(MAIN!E730))), " ", ""), lookup_values!$D$2:$E$197, 2, FALSE)))))</f>
        <v>--</v>
      </c>
      <c r="F730" t="str">
        <f>IF(ISBLANK(MAIN!F730), "", IF(AND(ISNUMBER(VALUE(TRIM(MAIN!F730))), LEN(TRIM(MAIN!F730))=4), VALUE(TRIM(MAIN!F730)), ""))</f>
        <v/>
      </c>
      <c r="G730">
        <f>IF(ISBLANK(MAIN!G730), 0, IF(ISNUMBER(VALUE(TRIM(MAIN!G730))), VALUE(TRIM(MAIN!G730)), 0))</f>
        <v>0</v>
      </c>
      <c r="H730">
        <f>IF(ISBLANK(MAIN!H730), 0, IF(ISNUMBER(VALUE(TRIM(MAIN!H730))), VALUE(TRIM(MAIN!H730)), 0))</f>
        <v>0</v>
      </c>
      <c r="I730">
        <f>IF(ISBLANK(MAIN!I730), 0, IF(ISNUMBER(VALUE(TRIM(MAIN!I730))), VALUE(TRIM(MAIN!I730)), 0))</f>
        <v>0</v>
      </c>
      <c r="J730">
        <f>IF(ISBLANK(MAIN!J730), 0, IF(ISNUMBER(VALUE(TRIM(MAIN!J730))), VALUE(TRIM(MAIN!J730)), 0))</f>
        <v>0</v>
      </c>
      <c r="K730" cm="1">
        <f t="array" ref="K730">IFERROR(
    VALUE(
        IFERROR(
            UPPER(
                IF(MAX(IFERROR(SEARCH("WD",MAIN!G730:J730), 0))&gt;0, "WD",
                IF(MAX(IFERROR(SEARCH("NS",MAIN!G730:J730), 0))&gt;0, "NS",
                IF(MAX(IFERROR(SEARCH("NC",MAIN!G730:J730), 0))&gt;0, "NC",
                IF(MAX(IFERROR(SEARCH("DQ",MAIN!G730:J730), 0))&gt;0, "DQ",
                IF(ISNUMBER(SEARCH("WD",MAIN!K730)), "WD",
                IF(ISNUMBER(SEARCH("NS",MAIN!K730)), "NS",
                IF(ISNUMBER(SEARCH("NC",MAIN!K730)), "NC",
                IF(ISNUMBER(SEARCH("DQ",MAIN!K730)), "DQ",
                IF(ISNUMBER(SEARCH("A",MAIN!K730)), 0,
                IF(OR(MAIN!K730=0,MAIN!K730=""), 0, --TRIM(MAIN!K730)))))))))))),
            0
        )
    ),
    IFERROR(
        UPPER(
            IF(MAX(IFERROR(SEARCH("WD",MAIN!G730:J730), 0))&gt;0, "WD",
            IF(MAX(IFERROR(SEARCH("NS",MAIN!G730:J730), 0))&gt;0, "NS",
            IF(MAX(IFERROR(SEARCH("NC",MAIN!G730:J730), 0))&gt;0, "NC",
            IF(MAX(IFERROR(SEARCH("DQ",MAIN!G730:J730), 0))&gt;0, "DQ",
            IF(ISNUMBER(SEARCH("WD",MAIN!K730)), "WD",
            IF(ISNUMBER(SEARCH("NS",MAIN!K730)), "NS",
            IF(ISNUMBER(SEARCH("NC",MAIN!K730)), "NC",
            IF(ISNUMBER(SEARCH("DQ",MAIN!K730)), "DQ",
            IF(ISNUMBER(SEARCH("A",MAIN!K730)), 0,
            IF(OR(MAIN!K730=0,MAIN!K730=""), 0, --TRIM(MAIN!K730)))))))))))),
        0
    )
)</f>
        <v>0</v>
      </c>
    </row>
    <row r="731" spans="1:11" x14ac:dyDescent="0.25">
      <c r="A731" t="str">
        <f>IF(ISBLANK(MAIN!A731), "--", IFERROR(PROPER(SUBSTITUTE(SUBSTITUTE(SUBSTITUTE(SUBSTITUTE(SUBSTITUTE(SUBSTITUTE(SUBSTITUTE(SUBSTITUTE(SUBSTITUTE(SUBSTITUTE(LEFT(MAIN!A731, FIND(",",MAIN!A731) -1), "0", ""), "1", ""), "2", ""), "3", ""), "4", ""), "5", ""), "6", ""), "7", ""), "8", ""), "9", "")), PROPER(SUBSTITUTE(SUBSTITUTE(SUBSTITUTE(SUBSTITUTE(SUBSTITUTE(SUBSTITUTE(SUBSTITUTE(SUBSTITUTE(SUBSTITUTE(SUBSTITUTE(MAIN!A731, "0", ""), "1", ""), "2", ""), "3", ""), "4", ""), "5", ""), "6", ""), "7", ""), "8", ""), "9", ""))))</f>
        <v>--</v>
      </c>
      <c r="B731" t="str">
        <f>IF(ISBLANK(MAIN!B731), "--", IFERROR(PROPER(SUBSTITUTE(SUBSTITUTE(SUBSTITUTE(SUBSTITUTE(SUBSTITUTE(SUBSTITUTE(SUBSTITUTE(SUBSTITUTE(SUBSTITUTE(SUBSTITUTE(LEFT(MAIN!B731, FIND(",",MAIN!B731) -1), "0", ""), "1", ""), "2", ""), "3", ""), "4", ""), "5", ""), "6", ""), "7", ""), "8", ""), "9", "")), PROPER(SUBSTITUTE(SUBSTITUTE(SUBSTITUTE(SUBSTITUTE(SUBSTITUTE(SUBSTITUTE(SUBSTITUTE(SUBSTITUTE(SUBSTITUTE(SUBSTITUTE(MAIN!B731, "0", ""), "1", ""), "2", ""), "3", ""), "4", ""), "5", ""), "6", ""), "7", ""), "8", ""), "9", ""))))</f>
        <v>--</v>
      </c>
      <c r="C731" t="str">
        <f>IF(ISBLANK(MAIN!C731), "--", IFERROR(PROPER(SUBSTITUTE(SUBSTITUTE(SUBSTITUTE(SUBSTITUTE(SUBSTITUTE(SUBSTITUTE(SUBSTITUTE(SUBSTITUTE(SUBSTITUTE(SUBSTITUTE(LEFT(MAIN!C731, FIND(",",MAIN!C731) -1), "0", ""), "1", ""), "2", ""), "3", ""), "4", ""), "5", ""), "6", ""), "7", ""), "8", ""), "9", "")), PROPER(SUBSTITUTE(SUBSTITUTE(SUBSTITUTE(SUBSTITUTE(SUBSTITUTE(SUBSTITUTE(SUBSTITUTE(SUBSTITUTE(SUBSTITUTE(SUBSTITUTE(MAIN!C731, "0", ""), "1", ""), "2", ""), "3", ""), "4", ""), "5", ""), "6", ""), "7", ""), "8", ""), "9", ""))))</f>
        <v>--</v>
      </c>
      <c r="D731" t="str">
        <f>IF(ISBLANK(MAIN!D731), "--", IF(ISNUMBER(MATCH(SUBSTITUTE(LEFT(MAIN!D731, IFERROR(FIND(",", MAIN!D731)-1, LEN(MAIN!D731))), " ", ""), lookup_values!$B$2:$B$51, 0)), UPPER(SUBSTITUTE(LEFT(MAIN!D731, IFERROR(FIND(",", MAIN!D731)-1, LEN(MAIN!D731))), " ", "")), IF(ISNA(VLOOKUP(SUBSTITUTE(LEFT(MAIN!D731, IFERROR(FIND(",", MAIN!D731)-1, LEN(MAIN!D731))), " ", ""), lookup_values!$A$2:$B$51, 2, FALSE)), "--", VLOOKUP(SUBSTITUTE(LEFT(MAIN!D731, IFERROR(FIND(",", MAIN!D731)-1, LEN(MAIN!D731))), " ", ""), lookup_values!$A$2:$B$51, 2, FALSE))))</f>
        <v>--</v>
      </c>
      <c r="E731" t="str">
        <f>IF(CLEAN_DATA!D731&lt;&gt;"--","US",IF(ISBLANK(MAIN!E731), "--", IF(ISNUMBER(MATCH(SUBSTITUTE(LEFT(MAIN!E731, IFERROR(FIND(",", MAIN!E731)-1, LEN(MAIN!E731))), " ", ""), lookup_values!$E$2:$E$197, 0)), UPPER(SUBSTITUTE(LEFT(MAIN!E731, IFERROR(FIND(",", MAIN!E731)-1, LEN(MAIN!E731))), " ", "")), IF(ISNA(VLOOKUP(SUBSTITUTE(LEFT(MAIN!E731, IFERROR(FIND(",", MAIN!E731)-1, LEN(MAIN!E731))), " ", ""), lookup_values!$D$2:$E$197, 2, FALSE)), "--", VLOOKUP(SUBSTITUTE(LEFT(MAIN!E731, IFERROR(FIND(",", MAIN!E731)-1, LEN(MAIN!E731))), " ", ""), lookup_values!$D$2:$E$197, 2, FALSE)))))</f>
        <v>--</v>
      </c>
      <c r="F731" t="str">
        <f>IF(ISBLANK(MAIN!F731), "", IF(AND(ISNUMBER(VALUE(TRIM(MAIN!F731))), LEN(TRIM(MAIN!F731))=4), VALUE(TRIM(MAIN!F731)), ""))</f>
        <v/>
      </c>
      <c r="G731">
        <f>IF(ISBLANK(MAIN!G731), 0, IF(ISNUMBER(VALUE(TRIM(MAIN!G731))), VALUE(TRIM(MAIN!G731)), 0))</f>
        <v>0</v>
      </c>
      <c r="H731">
        <f>IF(ISBLANK(MAIN!H731), 0, IF(ISNUMBER(VALUE(TRIM(MAIN!H731))), VALUE(TRIM(MAIN!H731)), 0))</f>
        <v>0</v>
      </c>
      <c r="I731">
        <f>IF(ISBLANK(MAIN!I731), 0, IF(ISNUMBER(VALUE(TRIM(MAIN!I731))), VALUE(TRIM(MAIN!I731)), 0))</f>
        <v>0</v>
      </c>
      <c r="J731">
        <f>IF(ISBLANK(MAIN!J731), 0, IF(ISNUMBER(VALUE(TRIM(MAIN!J731))), VALUE(TRIM(MAIN!J731)), 0))</f>
        <v>0</v>
      </c>
      <c r="K731" cm="1">
        <f t="array" ref="K731">IFERROR(
    VALUE(
        IFERROR(
            UPPER(
                IF(MAX(IFERROR(SEARCH("WD",MAIN!G731:J731), 0))&gt;0, "WD",
                IF(MAX(IFERROR(SEARCH("NS",MAIN!G731:J731), 0))&gt;0, "NS",
                IF(MAX(IFERROR(SEARCH("NC",MAIN!G731:J731), 0))&gt;0, "NC",
                IF(MAX(IFERROR(SEARCH("DQ",MAIN!G731:J731), 0))&gt;0, "DQ",
                IF(ISNUMBER(SEARCH("WD",MAIN!K731)), "WD",
                IF(ISNUMBER(SEARCH("NS",MAIN!K731)), "NS",
                IF(ISNUMBER(SEARCH("NC",MAIN!K731)), "NC",
                IF(ISNUMBER(SEARCH("DQ",MAIN!K731)), "DQ",
                IF(ISNUMBER(SEARCH("A",MAIN!K731)), 0,
                IF(OR(MAIN!K731=0,MAIN!K731=""), 0, --TRIM(MAIN!K731)))))))))))),
            0
        )
    ),
    IFERROR(
        UPPER(
            IF(MAX(IFERROR(SEARCH("WD",MAIN!G731:J731), 0))&gt;0, "WD",
            IF(MAX(IFERROR(SEARCH("NS",MAIN!G731:J731), 0))&gt;0, "NS",
            IF(MAX(IFERROR(SEARCH("NC",MAIN!G731:J731), 0))&gt;0, "NC",
            IF(MAX(IFERROR(SEARCH("DQ",MAIN!G731:J731), 0))&gt;0, "DQ",
            IF(ISNUMBER(SEARCH("WD",MAIN!K731)), "WD",
            IF(ISNUMBER(SEARCH("NS",MAIN!K731)), "NS",
            IF(ISNUMBER(SEARCH("NC",MAIN!K731)), "NC",
            IF(ISNUMBER(SEARCH("DQ",MAIN!K731)), "DQ",
            IF(ISNUMBER(SEARCH("A",MAIN!K731)), 0,
            IF(OR(MAIN!K731=0,MAIN!K731=""), 0, --TRIM(MAIN!K731)))))))))))),
        0
    )
)</f>
        <v>0</v>
      </c>
    </row>
    <row r="732" spans="1:11" x14ac:dyDescent="0.25">
      <c r="A732" t="str">
        <f>IF(ISBLANK(MAIN!A732), "--", IFERROR(PROPER(SUBSTITUTE(SUBSTITUTE(SUBSTITUTE(SUBSTITUTE(SUBSTITUTE(SUBSTITUTE(SUBSTITUTE(SUBSTITUTE(SUBSTITUTE(SUBSTITUTE(LEFT(MAIN!A732, FIND(",",MAIN!A732) -1), "0", ""), "1", ""), "2", ""), "3", ""), "4", ""), "5", ""), "6", ""), "7", ""), "8", ""), "9", "")), PROPER(SUBSTITUTE(SUBSTITUTE(SUBSTITUTE(SUBSTITUTE(SUBSTITUTE(SUBSTITUTE(SUBSTITUTE(SUBSTITUTE(SUBSTITUTE(SUBSTITUTE(MAIN!A732, "0", ""), "1", ""), "2", ""), "3", ""), "4", ""), "5", ""), "6", ""), "7", ""), "8", ""), "9", ""))))</f>
        <v>--</v>
      </c>
      <c r="B732" t="str">
        <f>IF(ISBLANK(MAIN!B732), "--", IFERROR(PROPER(SUBSTITUTE(SUBSTITUTE(SUBSTITUTE(SUBSTITUTE(SUBSTITUTE(SUBSTITUTE(SUBSTITUTE(SUBSTITUTE(SUBSTITUTE(SUBSTITUTE(LEFT(MAIN!B732, FIND(",",MAIN!B732) -1), "0", ""), "1", ""), "2", ""), "3", ""), "4", ""), "5", ""), "6", ""), "7", ""), "8", ""), "9", "")), PROPER(SUBSTITUTE(SUBSTITUTE(SUBSTITUTE(SUBSTITUTE(SUBSTITUTE(SUBSTITUTE(SUBSTITUTE(SUBSTITUTE(SUBSTITUTE(SUBSTITUTE(MAIN!B732, "0", ""), "1", ""), "2", ""), "3", ""), "4", ""), "5", ""), "6", ""), "7", ""), "8", ""), "9", ""))))</f>
        <v>--</v>
      </c>
      <c r="C732" t="str">
        <f>IF(ISBLANK(MAIN!C732), "--", IFERROR(PROPER(SUBSTITUTE(SUBSTITUTE(SUBSTITUTE(SUBSTITUTE(SUBSTITUTE(SUBSTITUTE(SUBSTITUTE(SUBSTITUTE(SUBSTITUTE(SUBSTITUTE(LEFT(MAIN!C732, FIND(",",MAIN!C732) -1), "0", ""), "1", ""), "2", ""), "3", ""), "4", ""), "5", ""), "6", ""), "7", ""), "8", ""), "9", "")), PROPER(SUBSTITUTE(SUBSTITUTE(SUBSTITUTE(SUBSTITUTE(SUBSTITUTE(SUBSTITUTE(SUBSTITUTE(SUBSTITUTE(SUBSTITUTE(SUBSTITUTE(MAIN!C732, "0", ""), "1", ""), "2", ""), "3", ""), "4", ""), "5", ""), "6", ""), "7", ""), "8", ""), "9", ""))))</f>
        <v>--</v>
      </c>
      <c r="D732" t="str">
        <f>IF(ISBLANK(MAIN!D732), "--", IF(ISNUMBER(MATCH(SUBSTITUTE(LEFT(MAIN!D732, IFERROR(FIND(",", MAIN!D732)-1, LEN(MAIN!D732))), " ", ""), lookup_values!$B$2:$B$51, 0)), UPPER(SUBSTITUTE(LEFT(MAIN!D732, IFERROR(FIND(",", MAIN!D732)-1, LEN(MAIN!D732))), " ", "")), IF(ISNA(VLOOKUP(SUBSTITUTE(LEFT(MAIN!D732, IFERROR(FIND(",", MAIN!D732)-1, LEN(MAIN!D732))), " ", ""), lookup_values!$A$2:$B$51, 2, FALSE)), "--", VLOOKUP(SUBSTITUTE(LEFT(MAIN!D732, IFERROR(FIND(",", MAIN!D732)-1, LEN(MAIN!D732))), " ", ""), lookup_values!$A$2:$B$51, 2, FALSE))))</f>
        <v>--</v>
      </c>
      <c r="E732" t="str">
        <f>IF(CLEAN_DATA!D732&lt;&gt;"--","US",IF(ISBLANK(MAIN!E732), "--", IF(ISNUMBER(MATCH(SUBSTITUTE(LEFT(MAIN!E732, IFERROR(FIND(",", MAIN!E732)-1, LEN(MAIN!E732))), " ", ""), lookup_values!$E$2:$E$197, 0)), UPPER(SUBSTITUTE(LEFT(MAIN!E732, IFERROR(FIND(",", MAIN!E732)-1, LEN(MAIN!E732))), " ", "")), IF(ISNA(VLOOKUP(SUBSTITUTE(LEFT(MAIN!E732, IFERROR(FIND(",", MAIN!E732)-1, LEN(MAIN!E732))), " ", ""), lookup_values!$D$2:$E$197, 2, FALSE)), "--", VLOOKUP(SUBSTITUTE(LEFT(MAIN!E732, IFERROR(FIND(",", MAIN!E732)-1, LEN(MAIN!E732))), " ", ""), lookup_values!$D$2:$E$197, 2, FALSE)))))</f>
        <v>--</v>
      </c>
      <c r="F732" t="str">
        <f>IF(ISBLANK(MAIN!F732), "", IF(AND(ISNUMBER(VALUE(TRIM(MAIN!F732))), LEN(TRIM(MAIN!F732))=4), VALUE(TRIM(MAIN!F732)), ""))</f>
        <v/>
      </c>
      <c r="G732">
        <f>IF(ISBLANK(MAIN!G732), 0, IF(ISNUMBER(VALUE(TRIM(MAIN!G732))), VALUE(TRIM(MAIN!G732)), 0))</f>
        <v>0</v>
      </c>
      <c r="H732">
        <f>IF(ISBLANK(MAIN!H732), 0, IF(ISNUMBER(VALUE(TRIM(MAIN!H732))), VALUE(TRIM(MAIN!H732)), 0))</f>
        <v>0</v>
      </c>
      <c r="I732">
        <f>IF(ISBLANK(MAIN!I732), 0, IF(ISNUMBER(VALUE(TRIM(MAIN!I732))), VALUE(TRIM(MAIN!I732)), 0))</f>
        <v>0</v>
      </c>
      <c r="J732">
        <f>IF(ISBLANK(MAIN!J732), 0, IF(ISNUMBER(VALUE(TRIM(MAIN!J732))), VALUE(TRIM(MAIN!J732)), 0))</f>
        <v>0</v>
      </c>
      <c r="K732" cm="1">
        <f t="array" ref="K732">IFERROR(
    VALUE(
        IFERROR(
            UPPER(
                IF(MAX(IFERROR(SEARCH("WD",MAIN!G732:J732), 0))&gt;0, "WD",
                IF(MAX(IFERROR(SEARCH("NS",MAIN!G732:J732), 0))&gt;0, "NS",
                IF(MAX(IFERROR(SEARCH("NC",MAIN!G732:J732), 0))&gt;0, "NC",
                IF(MAX(IFERROR(SEARCH("DQ",MAIN!G732:J732), 0))&gt;0, "DQ",
                IF(ISNUMBER(SEARCH("WD",MAIN!K732)), "WD",
                IF(ISNUMBER(SEARCH("NS",MAIN!K732)), "NS",
                IF(ISNUMBER(SEARCH("NC",MAIN!K732)), "NC",
                IF(ISNUMBER(SEARCH("DQ",MAIN!K732)), "DQ",
                IF(ISNUMBER(SEARCH("A",MAIN!K732)), 0,
                IF(OR(MAIN!K732=0,MAIN!K732=""), 0, --TRIM(MAIN!K732)))))))))))),
            0
        )
    ),
    IFERROR(
        UPPER(
            IF(MAX(IFERROR(SEARCH("WD",MAIN!G732:J732), 0))&gt;0, "WD",
            IF(MAX(IFERROR(SEARCH("NS",MAIN!G732:J732), 0))&gt;0, "NS",
            IF(MAX(IFERROR(SEARCH("NC",MAIN!G732:J732), 0))&gt;0, "NC",
            IF(MAX(IFERROR(SEARCH("DQ",MAIN!G732:J732), 0))&gt;0, "DQ",
            IF(ISNUMBER(SEARCH("WD",MAIN!K732)), "WD",
            IF(ISNUMBER(SEARCH("NS",MAIN!K732)), "NS",
            IF(ISNUMBER(SEARCH("NC",MAIN!K732)), "NC",
            IF(ISNUMBER(SEARCH("DQ",MAIN!K732)), "DQ",
            IF(ISNUMBER(SEARCH("A",MAIN!K732)), 0,
            IF(OR(MAIN!K732=0,MAIN!K732=""), 0, --TRIM(MAIN!K732)))))))))))),
        0
    )
)</f>
        <v>0</v>
      </c>
    </row>
    <row r="733" spans="1:11" x14ac:dyDescent="0.25">
      <c r="A733" t="str">
        <f>IF(ISBLANK(MAIN!A733), "--", IFERROR(PROPER(SUBSTITUTE(SUBSTITUTE(SUBSTITUTE(SUBSTITUTE(SUBSTITUTE(SUBSTITUTE(SUBSTITUTE(SUBSTITUTE(SUBSTITUTE(SUBSTITUTE(LEFT(MAIN!A733, FIND(",",MAIN!A733) -1), "0", ""), "1", ""), "2", ""), "3", ""), "4", ""), "5", ""), "6", ""), "7", ""), "8", ""), "9", "")), PROPER(SUBSTITUTE(SUBSTITUTE(SUBSTITUTE(SUBSTITUTE(SUBSTITUTE(SUBSTITUTE(SUBSTITUTE(SUBSTITUTE(SUBSTITUTE(SUBSTITUTE(MAIN!A733, "0", ""), "1", ""), "2", ""), "3", ""), "4", ""), "5", ""), "6", ""), "7", ""), "8", ""), "9", ""))))</f>
        <v>--</v>
      </c>
      <c r="B733" t="str">
        <f>IF(ISBLANK(MAIN!B733), "--", IFERROR(PROPER(SUBSTITUTE(SUBSTITUTE(SUBSTITUTE(SUBSTITUTE(SUBSTITUTE(SUBSTITUTE(SUBSTITUTE(SUBSTITUTE(SUBSTITUTE(SUBSTITUTE(LEFT(MAIN!B733, FIND(",",MAIN!B733) -1), "0", ""), "1", ""), "2", ""), "3", ""), "4", ""), "5", ""), "6", ""), "7", ""), "8", ""), "9", "")), PROPER(SUBSTITUTE(SUBSTITUTE(SUBSTITUTE(SUBSTITUTE(SUBSTITUTE(SUBSTITUTE(SUBSTITUTE(SUBSTITUTE(SUBSTITUTE(SUBSTITUTE(MAIN!B733, "0", ""), "1", ""), "2", ""), "3", ""), "4", ""), "5", ""), "6", ""), "7", ""), "8", ""), "9", ""))))</f>
        <v>--</v>
      </c>
      <c r="C733" t="str">
        <f>IF(ISBLANK(MAIN!C733), "--", IFERROR(PROPER(SUBSTITUTE(SUBSTITUTE(SUBSTITUTE(SUBSTITUTE(SUBSTITUTE(SUBSTITUTE(SUBSTITUTE(SUBSTITUTE(SUBSTITUTE(SUBSTITUTE(LEFT(MAIN!C733, FIND(",",MAIN!C733) -1), "0", ""), "1", ""), "2", ""), "3", ""), "4", ""), "5", ""), "6", ""), "7", ""), "8", ""), "9", "")), PROPER(SUBSTITUTE(SUBSTITUTE(SUBSTITUTE(SUBSTITUTE(SUBSTITUTE(SUBSTITUTE(SUBSTITUTE(SUBSTITUTE(SUBSTITUTE(SUBSTITUTE(MAIN!C733, "0", ""), "1", ""), "2", ""), "3", ""), "4", ""), "5", ""), "6", ""), "7", ""), "8", ""), "9", ""))))</f>
        <v>--</v>
      </c>
      <c r="D733" t="str">
        <f>IF(ISBLANK(MAIN!D733), "--", IF(ISNUMBER(MATCH(SUBSTITUTE(LEFT(MAIN!D733, IFERROR(FIND(",", MAIN!D733)-1, LEN(MAIN!D733))), " ", ""), lookup_values!$B$2:$B$51, 0)), UPPER(SUBSTITUTE(LEFT(MAIN!D733, IFERROR(FIND(",", MAIN!D733)-1, LEN(MAIN!D733))), " ", "")), IF(ISNA(VLOOKUP(SUBSTITUTE(LEFT(MAIN!D733, IFERROR(FIND(",", MAIN!D733)-1, LEN(MAIN!D733))), " ", ""), lookup_values!$A$2:$B$51, 2, FALSE)), "--", VLOOKUP(SUBSTITUTE(LEFT(MAIN!D733, IFERROR(FIND(",", MAIN!D733)-1, LEN(MAIN!D733))), " ", ""), lookup_values!$A$2:$B$51, 2, FALSE))))</f>
        <v>--</v>
      </c>
      <c r="E733" t="str">
        <f>IF(CLEAN_DATA!D733&lt;&gt;"--","US",IF(ISBLANK(MAIN!E733), "--", IF(ISNUMBER(MATCH(SUBSTITUTE(LEFT(MAIN!E733, IFERROR(FIND(",", MAIN!E733)-1, LEN(MAIN!E733))), " ", ""), lookup_values!$E$2:$E$197, 0)), UPPER(SUBSTITUTE(LEFT(MAIN!E733, IFERROR(FIND(",", MAIN!E733)-1, LEN(MAIN!E733))), " ", "")), IF(ISNA(VLOOKUP(SUBSTITUTE(LEFT(MAIN!E733, IFERROR(FIND(",", MAIN!E733)-1, LEN(MAIN!E733))), " ", ""), lookup_values!$D$2:$E$197, 2, FALSE)), "--", VLOOKUP(SUBSTITUTE(LEFT(MAIN!E733, IFERROR(FIND(",", MAIN!E733)-1, LEN(MAIN!E733))), " ", ""), lookup_values!$D$2:$E$197, 2, FALSE)))))</f>
        <v>--</v>
      </c>
      <c r="F733" t="str">
        <f>IF(ISBLANK(MAIN!F733), "", IF(AND(ISNUMBER(VALUE(TRIM(MAIN!F733))), LEN(TRIM(MAIN!F733))=4), VALUE(TRIM(MAIN!F733)), ""))</f>
        <v/>
      </c>
      <c r="G733">
        <f>IF(ISBLANK(MAIN!G733), 0, IF(ISNUMBER(VALUE(TRIM(MAIN!G733))), VALUE(TRIM(MAIN!G733)), 0))</f>
        <v>0</v>
      </c>
      <c r="H733">
        <f>IF(ISBLANK(MAIN!H733), 0, IF(ISNUMBER(VALUE(TRIM(MAIN!H733))), VALUE(TRIM(MAIN!H733)), 0))</f>
        <v>0</v>
      </c>
      <c r="I733">
        <f>IF(ISBLANK(MAIN!I733), 0, IF(ISNUMBER(VALUE(TRIM(MAIN!I733))), VALUE(TRIM(MAIN!I733)), 0))</f>
        <v>0</v>
      </c>
      <c r="J733">
        <f>IF(ISBLANK(MAIN!J733), 0, IF(ISNUMBER(VALUE(TRIM(MAIN!J733))), VALUE(TRIM(MAIN!J733)), 0))</f>
        <v>0</v>
      </c>
      <c r="K733" cm="1">
        <f t="array" ref="K733">IFERROR(
    VALUE(
        IFERROR(
            UPPER(
                IF(MAX(IFERROR(SEARCH("WD",MAIN!G733:J733), 0))&gt;0, "WD",
                IF(MAX(IFERROR(SEARCH("NS",MAIN!G733:J733), 0))&gt;0, "NS",
                IF(MAX(IFERROR(SEARCH("NC",MAIN!G733:J733), 0))&gt;0, "NC",
                IF(MAX(IFERROR(SEARCH("DQ",MAIN!G733:J733), 0))&gt;0, "DQ",
                IF(ISNUMBER(SEARCH("WD",MAIN!K733)), "WD",
                IF(ISNUMBER(SEARCH("NS",MAIN!K733)), "NS",
                IF(ISNUMBER(SEARCH("NC",MAIN!K733)), "NC",
                IF(ISNUMBER(SEARCH("DQ",MAIN!K733)), "DQ",
                IF(ISNUMBER(SEARCH("A",MAIN!K733)), 0,
                IF(OR(MAIN!K733=0,MAIN!K733=""), 0, --TRIM(MAIN!K733)))))))))))),
            0
        )
    ),
    IFERROR(
        UPPER(
            IF(MAX(IFERROR(SEARCH("WD",MAIN!G733:J733), 0))&gt;0, "WD",
            IF(MAX(IFERROR(SEARCH("NS",MAIN!G733:J733), 0))&gt;0, "NS",
            IF(MAX(IFERROR(SEARCH("NC",MAIN!G733:J733), 0))&gt;0, "NC",
            IF(MAX(IFERROR(SEARCH("DQ",MAIN!G733:J733), 0))&gt;0, "DQ",
            IF(ISNUMBER(SEARCH("WD",MAIN!K733)), "WD",
            IF(ISNUMBER(SEARCH("NS",MAIN!K733)), "NS",
            IF(ISNUMBER(SEARCH("NC",MAIN!K733)), "NC",
            IF(ISNUMBER(SEARCH("DQ",MAIN!K733)), "DQ",
            IF(ISNUMBER(SEARCH("A",MAIN!K733)), 0,
            IF(OR(MAIN!K733=0,MAIN!K733=""), 0, --TRIM(MAIN!K733)))))))))))),
        0
    )
)</f>
        <v>0</v>
      </c>
    </row>
    <row r="734" spans="1:11" x14ac:dyDescent="0.25">
      <c r="A734" t="str">
        <f>IF(ISBLANK(MAIN!A734), "--", IFERROR(PROPER(SUBSTITUTE(SUBSTITUTE(SUBSTITUTE(SUBSTITUTE(SUBSTITUTE(SUBSTITUTE(SUBSTITUTE(SUBSTITUTE(SUBSTITUTE(SUBSTITUTE(LEFT(MAIN!A734, FIND(",",MAIN!A734) -1), "0", ""), "1", ""), "2", ""), "3", ""), "4", ""), "5", ""), "6", ""), "7", ""), "8", ""), "9", "")), PROPER(SUBSTITUTE(SUBSTITUTE(SUBSTITUTE(SUBSTITUTE(SUBSTITUTE(SUBSTITUTE(SUBSTITUTE(SUBSTITUTE(SUBSTITUTE(SUBSTITUTE(MAIN!A734, "0", ""), "1", ""), "2", ""), "3", ""), "4", ""), "5", ""), "6", ""), "7", ""), "8", ""), "9", ""))))</f>
        <v>--</v>
      </c>
      <c r="B734" t="str">
        <f>IF(ISBLANK(MAIN!B734), "--", IFERROR(PROPER(SUBSTITUTE(SUBSTITUTE(SUBSTITUTE(SUBSTITUTE(SUBSTITUTE(SUBSTITUTE(SUBSTITUTE(SUBSTITUTE(SUBSTITUTE(SUBSTITUTE(LEFT(MAIN!B734, FIND(",",MAIN!B734) -1), "0", ""), "1", ""), "2", ""), "3", ""), "4", ""), "5", ""), "6", ""), "7", ""), "8", ""), "9", "")), PROPER(SUBSTITUTE(SUBSTITUTE(SUBSTITUTE(SUBSTITUTE(SUBSTITUTE(SUBSTITUTE(SUBSTITUTE(SUBSTITUTE(SUBSTITUTE(SUBSTITUTE(MAIN!B734, "0", ""), "1", ""), "2", ""), "3", ""), "4", ""), "5", ""), "6", ""), "7", ""), "8", ""), "9", ""))))</f>
        <v>--</v>
      </c>
      <c r="C734" t="str">
        <f>IF(ISBLANK(MAIN!C734), "--", IFERROR(PROPER(SUBSTITUTE(SUBSTITUTE(SUBSTITUTE(SUBSTITUTE(SUBSTITUTE(SUBSTITUTE(SUBSTITUTE(SUBSTITUTE(SUBSTITUTE(SUBSTITUTE(LEFT(MAIN!C734, FIND(",",MAIN!C734) -1), "0", ""), "1", ""), "2", ""), "3", ""), "4", ""), "5", ""), "6", ""), "7", ""), "8", ""), "9", "")), PROPER(SUBSTITUTE(SUBSTITUTE(SUBSTITUTE(SUBSTITUTE(SUBSTITUTE(SUBSTITUTE(SUBSTITUTE(SUBSTITUTE(SUBSTITUTE(SUBSTITUTE(MAIN!C734, "0", ""), "1", ""), "2", ""), "3", ""), "4", ""), "5", ""), "6", ""), "7", ""), "8", ""), "9", ""))))</f>
        <v>--</v>
      </c>
      <c r="D734" t="str">
        <f>IF(ISBLANK(MAIN!D734), "--", IF(ISNUMBER(MATCH(SUBSTITUTE(LEFT(MAIN!D734, IFERROR(FIND(",", MAIN!D734)-1, LEN(MAIN!D734))), " ", ""), lookup_values!$B$2:$B$51, 0)), UPPER(SUBSTITUTE(LEFT(MAIN!D734, IFERROR(FIND(",", MAIN!D734)-1, LEN(MAIN!D734))), " ", "")), IF(ISNA(VLOOKUP(SUBSTITUTE(LEFT(MAIN!D734, IFERROR(FIND(",", MAIN!D734)-1, LEN(MAIN!D734))), " ", ""), lookup_values!$A$2:$B$51, 2, FALSE)), "--", VLOOKUP(SUBSTITUTE(LEFT(MAIN!D734, IFERROR(FIND(",", MAIN!D734)-1, LEN(MAIN!D734))), " ", ""), lookup_values!$A$2:$B$51, 2, FALSE))))</f>
        <v>--</v>
      </c>
      <c r="E734" t="str">
        <f>IF(CLEAN_DATA!D734&lt;&gt;"--","US",IF(ISBLANK(MAIN!E734), "--", IF(ISNUMBER(MATCH(SUBSTITUTE(LEFT(MAIN!E734, IFERROR(FIND(",", MAIN!E734)-1, LEN(MAIN!E734))), " ", ""), lookup_values!$E$2:$E$197, 0)), UPPER(SUBSTITUTE(LEFT(MAIN!E734, IFERROR(FIND(",", MAIN!E734)-1, LEN(MAIN!E734))), " ", "")), IF(ISNA(VLOOKUP(SUBSTITUTE(LEFT(MAIN!E734, IFERROR(FIND(",", MAIN!E734)-1, LEN(MAIN!E734))), " ", ""), lookup_values!$D$2:$E$197, 2, FALSE)), "--", VLOOKUP(SUBSTITUTE(LEFT(MAIN!E734, IFERROR(FIND(",", MAIN!E734)-1, LEN(MAIN!E734))), " ", ""), lookup_values!$D$2:$E$197, 2, FALSE)))))</f>
        <v>--</v>
      </c>
      <c r="F734" t="str">
        <f>IF(ISBLANK(MAIN!F734), "", IF(AND(ISNUMBER(VALUE(TRIM(MAIN!F734))), LEN(TRIM(MAIN!F734))=4), VALUE(TRIM(MAIN!F734)), ""))</f>
        <v/>
      </c>
      <c r="G734">
        <f>IF(ISBLANK(MAIN!G734), 0, IF(ISNUMBER(VALUE(TRIM(MAIN!G734))), VALUE(TRIM(MAIN!G734)), 0))</f>
        <v>0</v>
      </c>
      <c r="H734">
        <f>IF(ISBLANK(MAIN!H734), 0, IF(ISNUMBER(VALUE(TRIM(MAIN!H734))), VALUE(TRIM(MAIN!H734)), 0))</f>
        <v>0</v>
      </c>
      <c r="I734">
        <f>IF(ISBLANK(MAIN!I734), 0, IF(ISNUMBER(VALUE(TRIM(MAIN!I734))), VALUE(TRIM(MAIN!I734)), 0))</f>
        <v>0</v>
      </c>
      <c r="J734">
        <f>IF(ISBLANK(MAIN!J734), 0, IF(ISNUMBER(VALUE(TRIM(MAIN!J734))), VALUE(TRIM(MAIN!J734)), 0))</f>
        <v>0</v>
      </c>
      <c r="K734" cm="1">
        <f t="array" ref="K734">IFERROR(
    VALUE(
        IFERROR(
            UPPER(
                IF(MAX(IFERROR(SEARCH("WD",MAIN!G734:J734), 0))&gt;0, "WD",
                IF(MAX(IFERROR(SEARCH("NS",MAIN!G734:J734), 0))&gt;0, "NS",
                IF(MAX(IFERROR(SEARCH("NC",MAIN!G734:J734), 0))&gt;0, "NC",
                IF(MAX(IFERROR(SEARCH("DQ",MAIN!G734:J734), 0))&gt;0, "DQ",
                IF(ISNUMBER(SEARCH("WD",MAIN!K734)), "WD",
                IF(ISNUMBER(SEARCH("NS",MAIN!K734)), "NS",
                IF(ISNUMBER(SEARCH("NC",MAIN!K734)), "NC",
                IF(ISNUMBER(SEARCH("DQ",MAIN!K734)), "DQ",
                IF(ISNUMBER(SEARCH("A",MAIN!K734)), 0,
                IF(OR(MAIN!K734=0,MAIN!K734=""), 0, --TRIM(MAIN!K734)))))))))))),
            0
        )
    ),
    IFERROR(
        UPPER(
            IF(MAX(IFERROR(SEARCH("WD",MAIN!G734:J734), 0))&gt;0, "WD",
            IF(MAX(IFERROR(SEARCH("NS",MAIN!G734:J734), 0))&gt;0, "NS",
            IF(MAX(IFERROR(SEARCH("NC",MAIN!G734:J734), 0))&gt;0, "NC",
            IF(MAX(IFERROR(SEARCH("DQ",MAIN!G734:J734), 0))&gt;0, "DQ",
            IF(ISNUMBER(SEARCH("WD",MAIN!K734)), "WD",
            IF(ISNUMBER(SEARCH("NS",MAIN!K734)), "NS",
            IF(ISNUMBER(SEARCH("NC",MAIN!K734)), "NC",
            IF(ISNUMBER(SEARCH("DQ",MAIN!K734)), "DQ",
            IF(ISNUMBER(SEARCH("A",MAIN!K734)), 0,
            IF(OR(MAIN!K734=0,MAIN!K734=""), 0, --TRIM(MAIN!K734)))))))))))),
        0
    )
)</f>
        <v>0</v>
      </c>
    </row>
    <row r="735" spans="1:11" x14ac:dyDescent="0.25">
      <c r="A735" t="str">
        <f>IF(ISBLANK(MAIN!A735), "--", IFERROR(PROPER(SUBSTITUTE(SUBSTITUTE(SUBSTITUTE(SUBSTITUTE(SUBSTITUTE(SUBSTITUTE(SUBSTITUTE(SUBSTITUTE(SUBSTITUTE(SUBSTITUTE(LEFT(MAIN!A735, FIND(",",MAIN!A735) -1), "0", ""), "1", ""), "2", ""), "3", ""), "4", ""), "5", ""), "6", ""), "7", ""), "8", ""), "9", "")), PROPER(SUBSTITUTE(SUBSTITUTE(SUBSTITUTE(SUBSTITUTE(SUBSTITUTE(SUBSTITUTE(SUBSTITUTE(SUBSTITUTE(SUBSTITUTE(SUBSTITUTE(MAIN!A735, "0", ""), "1", ""), "2", ""), "3", ""), "4", ""), "5", ""), "6", ""), "7", ""), "8", ""), "9", ""))))</f>
        <v>--</v>
      </c>
      <c r="B735" t="str">
        <f>IF(ISBLANK(MAIN!B735), "--", IFERROR(PROPER(SUBSTITUTE(SUBSTITUTE(SUBSTITUTE(SUBSTITUTE(SUBSTITUTE(SUBSTITUTE(SUBSTITUTE(SUBSTITUTE(SUBSTITUTE(SUBSTITUTE(LEFT(MAIN!B735, FIND(",",MAIN!B735) -1), "0", ""), "1", ""), "2", ""), "3", ""), "4", ""), "5", ""), "6", ""), "7", ""), "8", ""), "9", "")), PROPER(SUBSTITUTE(SUBSTITUTE(SUBSTITUTE(SUBSTITUTE(SUBSTITUTE(SUBSTITUTE(SUBSTITUTE(SUBSTITUTE(SUBSTITUTE(SUBSTITUTE(MAIN!B735, "0", ""), "1", ""), "2", ""), "3", ""), "4", ""), "5", ""), "6", ""), "7", ""), "8", ""), "9", ""))))</f>
        <v>--</v>
      </c>
      <c r="C735" t="str">
        <f>IF(ISBLANK(MAIN!C735), "--", IFERROR(PROPER(SUBSTITUTE(SUBSTITUTE(SUBSTITUTE(SUBSTITUTE(SUBSTITUTE(SUBSTITUTE(SUBSTITUTE(SUBSTITUTE(SUBSTITUTE(SUBSTITUTE(LEFT(MAIN!C735, FIND(",",MAIN!C735) -1), "0", ""), "1", ""), "2", ""), "3", ""), "4", ""), "5", ""), "6", ""), "7", ""), "8", ""), "9", "")), PROPER(SUBSTITUTE(SUBSTITUTE(SUBSTITUTE(SUBSTITUTE(SUBSTITUTE(SUBSTITUTE(SUBSTITUTE(SUBSTITUTE(SUBSTITUTE(SUBSTITUTE(MAIN!C735, "0", ""), "1", ""), "2", ""), "3", ""), "4", ""), "5", ""), "6", ""), "7", ""), "8", ""), "9", ""))))</f>
        <v>--</v>
      </c>
      <c r="D735" t="str">
        <f>IF(ISBLANK(MAIN!D735), "--", IF(ISNUMBER(MATCH(SUBSTITUTE(LEFT(MAIN!D735, IFERROR(FIND(",", MAIN!D735)-1, LEN(MAIN!D735))), " ", ""), lookup_values!$B$2:$B$51, 0)), UPPER(SUBSTITUTE(LEFT(MAIN!D735, IFERROR(FIND(",", MAIN!D735)-1, LEN(MAIN!D735))), " ", "")), IF(ISNA(VLOOKUP(SUBSTITUTE(LEFT(MAIN!D735, IFERROR(FIND(",", MAIN!D735)-1, LEN(MAIN!D735))), " ", ""), lookup_values!$A$2:$B$51, 2, FALSE)), "--", VLOOKUP(SUBSTITUTE(LEFT(MAIN!D735, IFERROR(FIND(",", MAIN!D735)-1, LEN(MAIN!D735))), " ", ""), lookup_values!$A$2:$B$51, 2, FALSE))))</f>
        <v>--</v>
      </c>
      <c r="E735" t="str">
        <f>IF(CLEAN_DATA!D735&lt;&gt;"--","US",IF(ISBLANK(MAIN!E735), "--", IF(ISNUMBER(MATCH(SUBSTITUTE(LEFT(MAIN!E735, IFERROR(FIND(",", MAIN!E735)-1, LEN(MAIN!E735))), " ", ""), lookup_values!$E$2:$E$197, 0)), UPPER(SUBSTITUTE(LEFT(MAIN!E735, IFERROR(FIND(",", MAIN!E735)-1, LEN(MAIN!E735))), " ", "")), IF(ISNA(VLOOKUP(SUBSTITUTE(LEFT(MAIN!E735, IFERROR(FIND(",", MAIN!E735)-1, LEN(MAIN!E735))), " ", ""), lookup_values!$D$2:$E$197, 2, FALSE)), "--", VLOOKUP(SUBSTITUTE(LEFT(MAIN!E735, IFERROR(FIND(",", MAIN!E735)-1, LEN(MAIN!E735))), " ", ""), lookup_values!$D$2:$E$197, 2, FALSE)))))</f>
        <v>--</v>
      </c>
      <c r="F735" t="str">
        <f>IF(ISBLANK(MAIN!F735), "", IF(AND(ISNUMBER(VALUE(TRIM(MAIN!F735))), LEN(TRIM(MAIN!F735))=4), VALUE(TRIM(MAIN!F735)), ""))</f>
        <v/>
      </c>
      <c r="G735">
        <f>IF(ISBLANK(MAIN!G735), 0, IF(ISNUMBER(VALUE(TRIM(MAIN!G735))), VALUE(TRIM(MAIN!G735)), 0))</f>
        <v>0</v>
      </c>
      <c r="H735">
        <f>IF(ISBLANK(MAIN!H735), 0, IF(ISNUMBER(VALUE(TRIM(MAIN!H735))), VALUE(TRIM(MAIN!H735)), 0))</f>
        <v>0</v>
      </c>
      <c r="I735">
        <f>IF(ISBLANK(MAIN!I735), 0, IF(ISNUMBER(VALUE(TRIM(MAIN!I735))), VALUE(TRIM(MAIN!I735)), 0))</f>
        <v>0</v>
      </c>
      <c r="J735">
        <f>IF(ISBLANK(MAIN!J735), 0, IF(ISNUMBER(VALUE(TRIM(MAIN!J735))), VALUE(TRIM(MAIN!J735)), 0))</f>
        <v>0</v>
      </c>
      <c r="K735" cm="1">
        <f t="array" ref="K735">IFERROR(
    VALUE(
        IFERROR(
            UPPER(
                IF(MAX(IFERROR(SEARCH("WD",MAIN!G735:J735), 0))&gt;0, "WD",
                IF(MAX(IFERROR(SEARCH("NS",MAIN!G735:J735), 0))&gt;0, "NS",
                IF(MAX(IFERROR(SEARCH("NC",MAIN!G735:J735), 0))&gt;0, "NC",
                IF(MAX(IFERROR(SEARCH("DQ",MAIN!G735:J735), 0))&gt;0, "DQ",
                IF(ISNUMBER(SEARCH("WD",MAIN!K735)), "WD",
                IF(ISNUMBER(SEARCH("NS",MAIN!K735)), "NS",
                IF(ISNUMBER(SEARCH("NC",MAIN!K735)), "NC",
                IF(ISNUMBER(SEARCH("DQ",MAIN!K735)), "DQ",
                IF(ISNUMBER(SEARCH("A",MAIN!K735)), 0,
                IF(OR(MAIN!K735=0,MAIN!K735=""), 0, --TRIM(MAIN!K735)))))))))))),
            0
        )
    ),
    IFERROR(
        UPPER(
            IF(MAX(IFERROR(SEARCH("WD",MAIN!G735:J735), 0))&gt;0, "WD",
            IF(MAX(IFERROR(SEARCH("NS",MAIN!G735:J735), 0))&gt;0, "NS",
            IF(MAX(IFERROR(SEARCH("NC",MAIN!G735:J735), 0))&gt;0, "NC",
            IF(MAX(IFERROR(SEARCH("DQ",MAIN!G735:J735), 0))&gt;0, "DQ",
            IF(ISNUMBER(SEARCH("WD",MAIN!K735)), "WD",
            IF(ISNUMBER(SEARCH("NS",MAIN!K735)), "NS",
            IF(ISNUMBER(SEARCH("NC",MAIN!K735)), "NC",
            IF(ISNUMBER(SEARCH("DQ",MAIN!K735)), "DQ",
            IF(ISNUMBER(SEARCH("A",MAIN!K735)), 0,
            IF(OR(MAIN!K735=0,MAIN!K735=""), 0, --TRIM(MAIN!K735)))))))))))),
        0
    )
)</f>
        <v>0</v>
      </c>
    </row>
    <row r="736" spans="1:11" x14ac:dyDescent="0.25">
      <c r="A736" t="str">
        <f>IF(ISBLANK(MAIN!A736), "--", IFERROR(PROPER(SUBSTITUTE(SUBSTITUTE(SUBSTITUTE(SUBSTITUTE(SUBSTITUTE(SUBSTITUTE(SUBSTITUTE(SUBSTITUTE(SUBSTITUTE(SUBSTITUTE(LEFT(MAIN!A736, FIND(",",MAIN!A736) -1), "0", ""), "1", ""), "2", ""), "3", ""), "4", ""), "5", ""), "6", ""), "7", ""), "8", ""), "9", "")), PROPER(SUBSTITUTE(SUBSTITUTE(SUBSTITUTE(SUBSTITUTE(SUBSTITUTE(SUBSTITUTE(SUBSTITUTE(SUBSTITUTE(SUBSTITUTE(SUBSTITUTE(MAIN!A736, "0", ""), "1", ""), "2", ""), "3", ""), "4", ""), "5", ""), "6", ""), "7", ""), "8", ""), "9", ""))))</f>
        <v>--</v>
      </c>
      <c r="B736" t="str">
        <f>IF(ISBLANK(MAIN!B736), "--", IFERROR(PROPER(SUBSTITUTE(SUBSTITUTE(SUBSTITUTE(SUBSTITUTE(SUBSTITUTE(SUBSTITUTE(SUBSTITUTE(SUBSTITUTE(SUBSTITUTE(SUBSTITUTE(LEFT(MAIN!B736, FIND(",",MAIN!B736) -1), "0", ""), "1", ""), "2", ""), "3", ""), "4", ""), "5", ""), "6", ""), "7", ""), "8", ""), "9", "")), PROPER(SUBSTITUTE(SUBSTITUTE(SUBSTITUTE(SUBSTITUTE(SUBSTITUTE(SUBSTITUTE(SUBSTITUTE(SUBSTITUTE(SUBSTITUTE(SUBSTITUTE(MAIN!B736, "0", ""), "1", ""), "2", ""), "3", ""), "4", ""), "5", ""), "6", ""), "7", ""), "8", ""), "9", ""))))</f>
        <v>--</v>
      </c>
      <c r="C736" t="str">
        <f>IF(ISBLANK(MAIN!C736), "--", IFERROR(PROPER(SUBSTITUTE(SUBSTITUTE(SUBSTITUTE(SUBSTITUTE(SUBSTITUTE(SUBSTITUTE(SUBSTITUTE(SUBSTITUTE(SUBSTITUTE(SUBSTITUTE(LEFT(MAIN!C736, FIND(",",MAIN!C736) -1), "0", ""), "1", ""), "2", ""), "3", ""), "4", ""), "5", ""), "6", ""), "7", ""), "8", ""), "9", "")), PROPER(SUBSTITUTE(SUBSTITUTE(SUBSTITUTE(SUBSTITUTE(SUBSTITUTE(SUBSTITUTE(SUBSTITUTE(SUBSTITUTE(SUBSTITUTE(SUBSTITUTE(MAIN!C736, "0", ""), "1", ""), "2", ""), "3", ""), "4", ""), "5", ""), "6", ""), "7", ""), "8", ""), "9", ""))))</f>
        <v>--</v>
      </c>
      <c r="D736" t="str">
        <f>IF(ISBLANK(MAIN!D736), "--", IF(ISNUMBER(MATCH(SUBSTITUTE(LEFT(MAIN!D736, IFERROR(FIND(",", MAIN!D736)-1, LEN(MAIN!D736))), " ", ""), lookup_values!$B$2:$B$51, 0)), UPPER(SUBSTITUTE(LEFT(MAIN!D736, IFERROR(FIND(",", MAIN!D736)-1, LEN(MAIN!D736))), " ", "")), IF(ISNA(VLOOKUP(SUBSTITUTE(LEFT(MAIN!D736, IFERROR(FIND(",", MAIN!D736)-1, LEN(MAIN!D736))), " ", ""), lookup_values!$A$2:$B$51, 2, FALSE)), "--", VLOOKUP(SUBSTITUTE(LEFT(MAIN!D736, IFERROR(FIND(",", MAIN!D736)-1, LEN(MAIN!D736))), " ", ""), lookup_values!$A$2:$B$51, 2, FALSE))))</f>
        <v>--</v>
      </c>
      <c r="E736" t="str">
        <f>IF(CLEAN_DATA!D736&lt;&gt;"--","US",IF(ISBLANK(MAIN!E736), "--", IF(ISNUMBER(MATCH(SUBSTITUTE(LEFT(MAIN!E736, IFERROR(FIND(",", MAIN!E736)-1, LEN(MAIN!E736))), " ", ""), lookup_values!$E$2:$E$197, 0)), UPPER(SUBSTITUTE(LEFT(MAIN!E736, IFERROR(FIND(",", MAIN!E736)-1, LEN(MAIN!E736))), " ", "")), IF(ISNA(VLOOKUP(SUBSTITUTE(LEFT(MAIN!E736, IFERROR(FIND(",", MAIN!E736)-1, LEN(MAIN!E736))), " ", ""), lookup_values!$D$2:$E$197, 2, FALSE)), "--", VLOOKUP(SUBSTITUTE(LEFT(MAIN!E736, IFERROR(FIND(",", MAIN!E736)-1, LEN(MAIN!E736))), " ", ""), lookup_values!$D$2:$E$197, 2, FALSE)))))</f>
        <v>--</v>
      </c>
      <c r="F736" t="str">
        <f>IF(ISBLANK(MAIN!F736), "", IF(AND(ISNUMBER(VALUE(TRIM(MAIN!F736))), LEN(TRIM(MAIN!F736))=4), VALUE(TRIM(MAIN!F736)), ""))</f>
        <v/>
      </c>
      <c r="G736">
        <f>IF(ISBLANK(MAIN!G736), 0, IF(ISNUMBER(VALUE(TRIM(MAIN!G736))), VALUE(TRIM(MAIN!G736)), 0))</f>
        <v>0</v>
      </c>
      <c r="H736">
        <f>IF(ISBLANK(MAIN!H736), 0, IF(ISNUMBER(VALUE(TRIM(MAIN!H736))), VALUE(TRIM(MAIN!H736)), 0))</f>
        <v>0</v>
      </c>
      <c r="I736">
        <f>IF(ISBLANK(MAIN!I736), 0, IF(ISNUMBER(VALUE(TRIM(MAIN!I736))), VALUE(TRIM(MAIN!I736)), 0))</f>
        <v>0</v>
      </c>
      <c r="J736">
        <f>IF(ISBLANK(MAIN!J736), 0, IF(ISNUMBER(VALUE(TRIM(MAIN!J736))), VALUE(TRIM(MAIN!J736)), 0))</f>
        <v>0</v>
      </c>
      <c r="K736" cm="1">
        <f t="array" ref="K736">IFERROR(
    VALUE(
        IFERROR(
            UPPER(
                IF(MAX(IFERROR(SEARCH("WD",MAIN!G736:J736), 0))&gt;0, "WD",
                IF(MAX(IFERROR(SEARCH("NS",MAIN!G736:J736), 0))&gt;0, "NS",
                IF(MAX(IFERROR(SEARCH("NC",MAIN!G736:J736), 0))&gt;0, "NC",
                IF(MAX(IFERROR(SEARCH("DQ",MAIN!G736:J736), 0))&gt;0, "DQ",
                IF(ISNUMBER(SEARCH("WD",MAIN!K736)), "WD",
                IF(ISNUMBER(SEARCH("NS",MAIN!K736)), "NS",
                IF(ISNUMBER(SEARCH("NC",MAIN!K736)), "NC",
                IF(ISNUMBER(SEARCH("DQ",MAIN!K736)), "DQ",
                IF(ISNUMBER(SEARCH("A",MAIN!K736)), 0,
                IF(OR(MAIN!K736=0,MAIN!K736=""), 0, --TRIM(MAIN!K736)))))))))))),
            0
        )
    ),
    IFERROR(
        UPPER(
            IF(MAX(IFERROR(SEARCH("WD",MAIN!G736:J736), 0))&gt;0, "WD",
            IF(MAX(IFERROR(SEARCH("NS",MAIN!G736:J736), 0))&gt;0, "NS",
            IF(MAX(IFERROR(SEARCH("NC",MAIN!G736:J736), 0))&gt;0, "NC",
            IF(MAX(IFERROR(SEARCH("DQ",MAIN!G736:J736), 0))&gt;0, "DQ",
            IF(ISNUMBER(SEARCH("WD",MAIN!K736)), "WD",
            IF(ISNUMBER(SEARCH("NS",MAIN!K736)), "NS",
            IF(ISNUMBER(SEARCH("NC",MAIN!K736)), "NC",
            IF(ISNUMBER(SEARCH("DQ",MAIN!K736)), "DQ",
            IF(ISNUMBER(SEARCH("A",MAIN!K736)), 0,
            IF(OR(MAIN!K736=0,MAIN!K736=""), 0, --TRIM(MAIN!K736)))))))))))),
        0
    )
)</f>
        <v>0</v>
      </c>
    </row>
    <row r="737" spans="1:11" x14ac:dyDescent="0.25">
      <c r="A737" t="str">
        <f>IF(ISBLANK(MAIN!A737), "--", IFERROR(PROPER(SUBSTITUTE(SUBSTITUTE(SUBSTITUTE(SUBSTITUTE(SUBSTITUTE(SUBSTITUTE(SUBSTITUTE(SUBSTITUTE(SUBSTITUTE(SUBSTITUTE(LEFT(MAIN!A737, FIND(",",MAIN!A737) -1), "0", ""), "1", ""), "2", ""), "3", ""), "4", ""), "5", ""), "6", ""), "7", ""), "8", ""), "9", "")), PROPER(SUBSTITUTE(SUBSTITUTE(SUBSTITUTE(SUBSTITUTE(SUBSTITUTE(SUBSTITUTE(SUBSTITUTE(SUBSTITUTE(SUBSTITUTE(SUBSTITUTE(MAIN!A737, "0", ""), "1", ""), "2", ""), "3", ""), "4", ""), "5", ""), "6", ""), "7", ""), "8", ""), "9", ""))))</f>
        <v>--</v>
      </c>
      <c r="B737" t="str">
        <f>IF(ISBLANK(MAIN!B737), "--", IFERROR(PROPER(SUBSTITUTE(SUBSTITUTE(SUBSTITUTE(SUBSTITUTE(SUBSTITUTE(SUBSTITUTE(SUBSTITUTE(SUBSTITUTE(SUBSTITUTE(SUBSTITUTE(LEFT(MAIN!B737, FIND(",",MAIN!B737) -1), "0", ""), "1", ""), "2", ""), "3", ""), "4", ""), "5", ""), "6", ""), "7", ""), "8", ""), "9", "")), PROPER(SUBSTITUTE(SUBSTITUTE(SUBSTITUTE(SUBSTITUTE(SUBSTITUTE(SUBSTITUTE(SUBSTITUTE(SUBSTITUTE(SUBSTITUTE(SUBSTITUTE(MAIN!B737, "0", ""), "1", ""), "2", ""), "3", ""), "4", ""), "5", ""), "6", ""), "7", ""), "8", ""), "9", ""))))</f>
        <v>--</v>
      </c>
      <c r="C737" t="str">
        <f>IF(ISBLANK(MAIN!C737), "--", IFERROR(PROPER(SUBSTITUTE(SUBSTITUTE(SUBSTITUTE(SUBSTITUTE(SUBSTITUTE(SUBSTITUTE(SUBSTITUTE(SUBSTITUTE(SUBSTITUTE(SUBSTITUTE(LEFT(MAIN!C737, FIND(",",MAIN!C737) -1), "0", ""), "1", ""), "2", ""), "3", ""), "4", ""), "5", ""), "6", ""), "7", ""), "8", ""), "9", "")), PROPER(SUBSTITUTE(SUBSTITUTE(SUBSTITUTE(SUBSTITUTE(SUBSTITUTE(SUBSTITUTE(SUBSTITUTE(SUBSTITUTE(SUBSTITUTE(SUBSTITUTE(MAIN!C737, "0", ""), "1", ""), "2", ""), "3", ""), "4", ""), "5", ""), "6", ""), "7", ""), "8", ""), "9", ""))))</f>
        <v>--</v>
      </c>
      <c r="D737" t="str">
        <f>IF(ISBLANK(MAIN!D737), "--", IF(ISNUMBER(MATCH(SUBSTITUTE(LEFT(MAIN!D737, IFERROR(FIND(",", MAIN!D737)-1, LEN(MAIN!D737))), " ", ""), lookup_values!$B$2:$B$51, 0)), UPPER(SUBSTITUTE(LEFT(MAIN!D737, IFERROR(FIND(",", MAIN!D737)-1, LEN(MAIN!D737))), " ", "")), IF(ISNA(VLOOKUP(SUBSTITUTE(LEFT(MAIN!D737, IFERROR(FIND(",", MAIN!D737)-1, LEN(MAIN!D737))), " ", ""), lookup_values!$A$2:$B$51, 2, FALSE)), "--", VLOOKUP(SUBSTITUTE(LEFT(MAIN!D737, IFERROR(FIND(",", MAIN!D737)-1, LEN(MAIN!D737))), " ", ""), lookup_values!$A$2:$B$51, 2, FALSE))))</f>
        <v>--</v>
      </c>
      <c r="E737" t="str">
        <f>IF(CLEAN_DATA!D737&lt;&gt;"--","US",IF(ISBLANK(MAIN!E737), "--", IF(ISNUMBER(MATCH(SUBSTITUTE(LEFT(MAIN!E737, IFERROR(FIND(",", MAIN!E737)-1, LEN(MAIN!E737))), " ", ""), lookup_values!$E$2:$E$197, 0)), UPPER(SUBSTITUTE(LEFT(MAIN!E737, IFERROR(FIND(",", MAIN!E737)-1, LEN(MAIN!E737))), " ", "")), IF(ISNA(VLOOKUP(SUBSTITUTE(LEFT(MAIN!E737, IFERROR(FIND(",", MAIN!E737)-1, LEN(MAIN!E737))), " ", ""), lookup_values!$D$2:$E$197, 2, FALSE)), "--", VLOOKUP(SUBSTITUTE(LEFT(MAIN!E737, IFERROR(FIND(",", MAIN!E737)-1, LEN(MAIN!E737))), " ", ""), lookup_values!$D$2:$E$197, 2, FALSE)))))</f>
        <v>--</v>
      </c>
      <c r="F737" t="str">
        <f>IF(ISBLANK(MAIN!F737), "", IF(AND(ISNUMBER(VALUE(TRIM(MAIN!F737))), LEN(TRIM(MAIN!F737))=4), VALUE(TRIM(MAIN!F737)), ""))</f>
        <v/>
      </c>
      <c r="G737">
        <f>IF(ISBLANK(MAIN!G737), 0, IF(ISNUMBER(VALUE(TRIM(MAIN!G737))), VALUE(TRIM(MAIN!G737)), 0))</f>
        <v>0</v>
      </c>
      <c r="H737">
        <f>IF(ISBLANK(MAIN!H737), 0, IF(ISNUMBER(VALUE(TRIM(MAIN!H737))), VALUE(TRIM(MAIN!H737)), 0))</f>
        <v>0</v>
      </c>
      <c r="I737">
        <f>IF(ISBLANK(MAIN!I737), 0, IF(ISNUMBER(VALUE(TRIM(MAIN!I737))), VALUE(TRIM(MAIN!I737)), 0))</f>
        <v>0</v>
      </c>
      <c r="J737">
        <f>IF(ISBLANK(MAIN!J737), 0, IF(ISNUMBER(VALUE(TRIM(MAIN!J737))), VALUE(TRIM(MAIN!J737)), 0))</f>
        <v>0</v>
      </c>
      <c r="K737" cm="1">
        <f t="array" ref="K737">IFERROR(
    VALUE(
        IFERROR(
            UPPER(
                IF(MAX(IFERROR(SEARCH("WD",MAIN!G737:J737), 0))&gt;0, "WD",
                IF(MAX(IFERROR(SEARCH("NS",MAIN!G737:J737), 0))&gt;0, "NS",
                IF(MAX(IFERROR(SEARCH("NC",MAIN!G737:J737), 0))&gt;0, "NC",
                IF(MAX(IFERROR(SEARCH("DQ",MAIN!G737:J737), 0))&gt;0, "DQ",
                IF(ISNUMBER(SEARCH("WD",MAIN!K737)), "WD",
                IF(ISNUMBER(SEARCH("NS",MAIN!K737)), "NS",
                IF(ISNUMBER(SEARCH("NC",MAIN!K737)), "NC",
                IF(ISNUMBER(SEARCH("DQ",MAIN!K737)), "DQ",
                IF(ISNUMBER(SEARCH("A",MAIN!K737)), 0,
                IF(OR(MAIN!K737=0,MAIN!K737=""), 0, --TRIM(MAIN!K737)))))))))))),
            0
        )
    ),
    IFERROR(
        UPPER(
            IF(MAX(IFERROR(SEARCH("WD",MAIN!G737:J737), 0))&gt;0, "WD",
            IF(MAX(IFERROR(SEARCH("NS",MAIN!G737:J737), 0))&gt;0, "NS",
            IF(MAX(IFERROR(SEARCH("NC",MAIN!G737:J737), 0))&gt;0, "NC",
            IF(MAX(IFERROR(SEARCH("DQ",MAIN!G737:J737), 0))&gt;0, "DQ",
            IF(ISNUMBER(SEARCH("WD",MAIN!K737)), "WD",
            IF(ISNUMBER(SEARCH("NS",MAIN!K737)), "NS",
            IF(ISNUMBER(SEARCH("NC",MAIN!K737)), "NC",
            IF(ISNUMBER(SEARCH("DQ",MAIN!K737)), "DQ",
            IF(ISNUMBER(SEARCH("A",MAIN!K737)), 0,
            IF(OR(MAIN!K737=0,MAIN!K737=""), 0, --TRIM(MAIN!K737)))))))))))),
        0
    )
)</f>
        <v>0</v>
      </c>
    </row>
    <row r="738" spans="1:11" x14ac:dyDescent="0.25">
      <c r="A738" t="str">
        <f>IF(ISBLANK(MAIN!A738), "--", IFERROR(PROPER(SUBSTITUTE(SUBSTITUTE(SUBSTITUTE(SUBSTITUTE(SUBSTITUTE(SUBSTITUTE(SUBSTITUTE(SUBSTITUTE(SUBSTITUTE(SUBSTITUTE(LEFT(MAIN!A738, FIND(",",MAIN!A738) -1), "0", ""), "1", ""), "2", ""), "3", ""), "4", ""), "5", ""), "6", ""), "7", ""), "8", ""), "9", "")), PROPER(SUBSTITUTE(SUBSTITUTE(SUBSTITUTE(SUBSTITUTE(SUBSTITUTE(SUBSTITUTE(SUBSTITUTE(SUBSTITUTE(SUBSTITUTE(SUBSTITUTE(MAIN!A738, "0", ""), "1", ""), "2", ""), "3", ""), "4", ""), "5", ""), "6", ""), "7", ""), "8", ""), "9", ""))))</f>
        <v>--</v>
      </c>
      <c r="B738" t="str">
        <f>IF(ISBLANK(MAIN!B738), "--", IFERROR(PROPER(SUBSTITUTE(SUBSTITUTE(SUBSTITUTE(SUBSTITUTE(SUBSTITUTE(SUBSTITUTE(SUBSTITUTE(SUBSTITUTE(SUBSTITUTE(SUBSTITUTE(LEFT(MAIN!B738, FIND(",",MAIN!B738) -1), "0", ""), "1", ""), "2", ""), "3", ""), "4", ""), "5", ""), "6", ""), "7", ""), "8", ""), "9", "")), PROPER(SUBSTITUTE(SUBSTITUTE(SUBSTITUTE(SUBSTITUTE(SUBSTITUTE(SUBSTITUTE(SUBSTITUTE(SUBSTITUTE(SUBSTITUTE(SUBSTITUTE(MAIN!B738, "0", ""), "1", ""), "2", ""), "3", ""), "4", ""), "5", ""), "6", ""), "7", ""), "8", ""), "9", ""))))</f>
        <v>--</v>
      </c>
      <c r="C738" t="str">
        <f>IF(ISBLANK(MAIN!C738), "--", IFERROR(PROPER(SUBSTITUTE(SUBSTITUTE(SUBSTITUTE(SUBSTITUTE(SUBSTITUTE(SUBSTITUTE(SUBSTITUTE(SUBSTITUTE(SUBSTITUTE(SUBSTITUTE(LEFT(MAIN!C738, FIND(",",MAIN!C738) -1), "0", ""), "1", ""), "2", ""), "3", ""), "4", ""), "5", ""), "6", ""), "7", ""), "8", ""), "9", "")), PROPER(SUBSTITUTE(SUBSTITUTE(SUBSTITUTE(SUBSTITUTE(SUBSTITUTE(SUBSTITUTE(SUBSTITUTE(SUBSTITUTE(SUBSTITUTE(SUBSTITUTE(MAIN!C738, "0", ""), "1", ""), "2", ""), "3", ""), "4", ""), "5", ""), "6", ""), "7", ""), "8", ""), "9", ""))))</f>
        <v>--</v>
      </c>
      <c r="D738" t="str">
        <f>IF(ISBLANK(MAIN!D738), "--", IF(ISNUMBER(MATCH(SUBSTITUTE(LEFT(MAIN!D738, IFERROR(FIND(",", MAIN!D738)-1, LEN(MAIN!D738))), " ", ""), lookup_values!$B$2:$B$51, 0)), UPPER(SUBSTITUTE(LEFT(MAIN!D738, IFERROR(FIND(",", MAIN!D738)-1, LEN(MAIN!D738))), " ", "")), IF(ISNA(VLOOKUP(SUBSTITUTE(LEFT(MAIN!D738, IFERROR(FIND(",", MAIN!D738)-1, LEN(MAIN!D738))), " ", ""), lookup_values!$A$2:$B$51, 2, FALSE)), "--", VLOOKUP(SUBSTITUTE(LEFT(MAIN!D738, IFERROR(FIND(",", MAIN!D738)-1, LEN(MAIN!D738))), " ", ""), lookup_values!$A$2:$B$51, 2, FALSE))))</f>
        <v>--</v>
      </c>
      <c r="E738" t="str">
        <f>IF(CLEAN_DATA!D738&lt;&gt;"--","US",IF(ISBLANK(MAIN!E738), "--", IF(ISNUMBER(MATCH(SUBSTITUTE(LEFT(MAIN!E738, IFERROR(FIND(",", MAIN!E738)-1, LEN(MAIN!E738))), " ", ""), lookup_values!$E$2:$E$197, 0)), UPPER(SUBSTITUTE(LEFT(MAIN!E738, IFERROR(FIND(",", MAIN!E738)-1, LEN(MAIN!E738))), " ", "")), IF(ISNA(VLOOKUP(SUBSTITUTE(LEFT(MAIN!E738, IFERROR(FIND(",", MAIN!E738)-1, LEN(MAIN!E738))), " ", ""), lookup_values!$D$2:$E$197, 2, FALSE)), "--", VLOOKUP(SUBSTITUTE(LEFT(MAIN!E738, IFERROR(FIND(",", MAIN!E738)-1, LEN(MAIN!E738))), " ", ""), lookup_values!$D$2:$E$197, 2, FALSE)))))</f>
        <v>--</v>
      </c>
      <c r="F738" t="str">
        <f>IF(ISBLANK(MAIN!F738), "", IF(AND(ISNUMBER(VALUE(TRIM(MAIN!F738))), LEN(TRIM(MAIN!F738))=4), VALUE(TRIM(MAIN!F738)), ""))</f>
        <v/>
      </c>
      <c r="G738">
        <f>IF(ISBLANK(MAIN!G738), 0, IF(ISNUMBER(VALUE(TRIM(MAIN!G738))), VALUE(TRIM(MAIN!G738)), 0))</f>
        <v>0</v>
      </c>
      <c r="H738">
        <f>IF(ISBLANK(MAIN!H738), 0, IF(ISNUMBER(VALUE(TRIM(MAIN!H738))), VALUE(TRIM(MAIN!H738)), 0))</f>
        <v>0</v>
      </c>
      <c r="I738">
        <f>IF(ISBLANK(MAIN!I738), 0, IF(ISNUMBER(VALUE(TRIM(MAIN!I738))), VALUE(TRIM(MAIN!I738)), 0))</f>
        <v>0</v>
      </c>
      <c r="J738">
        <f>IF(ISBLANK(MAIN!J738), 0, IF(ISNUMBER(VALUE(TRIM(MAIN!J738))), VALUE(TRIM(MAIN!J738)), 0))</f>
        <v>0</v>
      </c>
      <c r="K738" cm="1">
        <f t="array" ref="K738">IFERROR(
    VALUE(
        IFERROR(
            UPPER(
                IF(MAX(IFERROR(SEARCH("WD",MAIN!G738:J738), 0))&gt;0, "WD",
                IF(MAX(IFERROR(SEARCH("NS",MAIN!G738:J738), 0))&gt;0, "NS",
                IF(MAX(IFERROR(SEARCH("NC",MAIN!G738:J738), 0))&gt;0, "NC",
                IF(MAX(IFERROR(SEARCH("DQ",MAIN!G738:J738), 0))&gt;0, "DQ",
                IF(ISNUMBER(SEARCH("WD",MAIN!K738)), "WD",
                IF(ISNUMBER(SEARCH("NS",MAIN!K738)), "NS",
                IF(ISNUMBER(SEARCH("NC",MAIN!K738)), "NC",
                IF(ISNUMBER(SEARCH("DQ",MAIN!K738)), "DQ",
                IF(ISNUMBER(SEARCH("A",MAIN!K738)), 0,
                IF(OR(MAIN!K738=0,MAIN!K738=""), 0, --TRIM(MAIN!K738)))))))))))),
            0
        )
    ),
    IFERROR(
        UPPER(
            IF(MAX(IFERROR(SEARCH("WD",MAIN!G738:J738), 0))&gt;0, "WD",
            IF(MAX(IFERROR(SEARCH("NS",MAIN!G738:J738), 0))&gt;0, "NS",
            IF(MAX(IFERROR(SEARCH("NC",MAIN!G738:J738), 0))&gt;0, "NC",
            IF(MAX(IFERROR(SEARCH("DQ",MAIN!G738:J738), 0))&gt;0, "DQ",
            IF(ISNUMBER(SEARCH("WD",MAIN!K738)), "WD",
            IF(ISNUMBER(SEARCH("NS",MAIN!K738)), "NS",
            IF(ISNUMBER(SEARCH("NC",MAIN!K738)), "NC",
            IF(ISNUMBER(SEARCH("DQ",MAIN!K738)), "DQ",
            IF(ISNUMBER(SEARCH("A",MAIN!K738)), 0,
            IF(OR(MAIN!K738=0,MAIN!K738=""), 0, --TRIM(MAIN!K738)))))))))))),
        0
    )
)</f>
        <v>0</v>
      </c>
    </row>
    <row r="739" spans="1:11" x14ac:dyDescent="0.25">
      <c r="A739" t="str">
        <f>IF(ISBLANK(MAIN!A739), "--", IFERROR(PROPER(SUBSTITUTE(SUBSTITUTE(SUBSTITUTE(SUBSTITUTE(SUBSTITUTE(SUBSTITUTE(SUBSTITUTE(SUBSTITUTE(SUBSTITUTE(SUBSTITUTE(LEFT(MAIN!A739, FIND(",",MAIN!A739) -1), "0", ""), "1", ""), "2", ""), "3", ""), "4", ""), "5", ""), "6", ""), "7", ""), "8", ""), "9", "")), PROPER(SUBSTITUTE(SUBSTITUTE(SUBSTITUTE(SUBSTITUTE(SUBSTITUTE(SUBSTITUTE(SUBSTITUTE(SUBSTITUTE(SUBSTITUTE(SUBSTITUTE(MAIN!A739, "0", ""), "1", ""), "2", ""), "3", ""), "4", ""), "5", ""), "6", ""), "7", ""), "8", ""), "9", ""))))</f>
        <v>--</v>
      </c>
      <c r="B739" t="str">
        <f>IF(ISBLANK(MAIN!B739), "--", IFERROR(PROPER(SUBSTITUTE(SUBSTITUTE(SUBSTITUTE(SUBSTITUTE(SUBSTITUTE(SUBSTITUTE(SUBSTITUTE(SUBSTITUTE(SUBSTITUTE(SUBSTITUTE(LEFT(MAIN!B739, FIND(",",MAIN!B739) -1), "0", ""), "1", ""), "2", ""), "3", ""), "4", ""), "5", ""), "6", ""), "7", ""), "8", ""), "9", "")), PROPER(SUBSTITUTE(SUBSTITUTE(SUBSTITUTE(SUBSTITUTE(SUBSTITUTE(SUBSTITUTE(SUBSTITUTE(SUBSTITUTE(SUBSTITUTE(SUBSTITUTE(MAIN!B739, "0", ""), "1", ""), "2", ""), "3", ""), "4", ""), "5", ""), "6", ""), "7", ""), "8", ""), "9", ""))))</f>
        <v>--</v>
      </c>
      <c r="C739" t="str">
        <f>IF(ISBLANK(MAIN!C739), "--", IFERROR(PROPER(SUBSTITUTE(SUBSTITUTE(SUBSTITUTE(SUBSTITUTE(SUBSTITUTE(SUBSTITUTE(SUBSTITUTE(SUBSTITUTE(SUBSTITUTE(SUBSTITUTE(LEFT(MAIN!C739, FIND(",",MAIN!C739) -1), "0", ""), "1", ""), "2", ""), "3", ""), "4", ""), "5", ""), "6", ""), "7", ""), "8", ""), "9", "")), PROPER(SUBSTITUTE(SUBSTITUTE(SUBSTITUTE(SUBSTITUTE(SUBSTITUTE(SUBSTITUTE(SUBSTITUTE(SUBSTITUTE(SUBSTITUTE(SUBSTITUTE(MAIN!C739, "0", ""), "1", ""), "2", ""), "3", ""), "4", ""), "5", ""), "6", ""), "7", ""), "8", ""), "9", ""))))</f>
        <v>--</v>
      </c>
      <c r="D739" t="str">
        <f>IF(ISBLANK(MAIN!D739), "--", IF(ISNUMBER(MATCH(SUBSTITUTE(LEFT(MAIN!D739, IFERROR(FIND(",", MAIN!D739)-1, LEN(MAIN!D739))), " ", ""), lookup_values!$B$2:$B$51, 0)), UPPER(SUBSTITUTE(LEFT(MAIN!D739, IFERROR(FIND(",", MAIN!D739)-1, LEN(MAIN!D739))), " ", "")), IF(ISNA(VLOOKUP(SUBSTITUTE(LEFT(MAIN!D739, IFERROR(FIND(",", MAIN!D739)-1, LEN(MAIN!D739))), " ", ""), lookup_values!$A$2:$B$51, 2, FALSE)), "--", VLOOKUP(SUBSTITUTE(LEFT(MAIN!D739, IFERROR(FIND(",", MAIN!D739)-1, LEN(MAIN!D739))), " ", ""), lookup_values!$A$2:$B$51, 2, FALSE))))</f>
        <v>--</v>
      </c>
      <c r="E739" t="str">
        <f>IF(CLEAN_DATA!D739&lt;&gt;"--","US",IF(ISBLANK(MAIN!E739), "--", IF(ISNUMBER(MATCH(SUBSTITUTE(LEFT(MAIN!E739, IFERROR(FIND(",", MAIN!E739)-1, LEN(MAIN!E739))), " ", ""), lookup_values!$E$2:$E$197, 0)), UPPER(SUBSTITUTE(LEFT(MAIN!E739, IFERROR(FIND(",", MAIN!E739)-1, LEN(MAIN!E739))), " ", "")), IF(ISNA(VLOOKUP(SUBSTITUTE(LEFT(MAIN!E739, IFERROR(FIND(",", MAIN!E739)-1, LEN(MAIN!E739))), " ", ""), lookup_values!$D$2:$E$197, 2, FALSE)), "--", VLOOKUP(SUBSTITUTE(LEFT(MAIN!E739, IFERROR(FIND(",", MAIN!E739)-1, LEN(MAIN!E739))), " ", ""), lookup_values!$D$2:$E$197, 2, FALSE)))))</f>
        <v>--</v>
      </c>
      <c r="F739" t="str">
        <f>IF(ISBLANK(MAIN!F739), "", IF(AND(ISNUMBER(VALUE(TRIM(MAIN!F739))), LEN(TRIM(MAIN!F739))=4), VALUE(TRIM(MAIN!F739)), ""))</f>
        <v/>
      </c>
      <c r="G739">
        <f>IF(ISBLANK(MAIN!G739), 0, IF(ISNUMBER(VALUE(TRIM(MAIN!G739))), VALUE(TRIM(MAIN!G739)), 0))</f>
        <v>0</v>
      </c>
      <c r="H739">
        <f>IF(ISBLANK(MAIN!H739), 0, IF(ISNUMBER(VALUE(TRIM(MAIN!H739))), VALUE(TRIM(MAIN!H739)), 0))</f>
        <v>0</v>
      </c>
      <c r="I739">
        <f>IF(ISBLANK(MAIN!I739), 0, IF(ISNUMBER(VALUE(TRIM(MAIN!I739))), VALUE(TRIM(MAIN!I739)), 0))</f>
        <v>0</v>
      </c>
      <c r="J739">
        <f>IF(ISBLANK(MAIN!J739), 0, IF(ISNUMBER(VALUE(TRIM(MAIN!J739))), VALUE(TRIM(MAIN!J739)), 0))</f>
        <v>0</v>
      </c>
      <c r="K739" cm="1">
        <f t="array" ref="K739">IFERROR(
    VALUE(
        IFERROR(
            UPPER(
                IF(MAX(IFERROR(SEARCH("WD",MAIN!G739:J739), 0))&gt;0, "WD",
                IF(MAX(IFERROR(SEARCH("NS",MAIN!G739:J739), 0))&gt;0, "NS",
                IF(MAX(IFERROR(SEARCH("NC",MAIN!G739:J739), 0))&gt;0, "NC",
                IF(MAX(IFERROR(SEARCH("DQ",MAIN!G739:J739), 0))&gt;0, "DQ",
                IF(ISNUMBER(SEARCH("WD",MAIN!K739)), "WD",
                IF(ISNUMBER(SEARCH("NS",MAIN!K739)), "NS",
                IF(ISNUMBER(SEARCH("NC",MAIN!K739)), "NC",
                IF(ISNUMBER(SEARCH("DQ",MAIN!K739)), "DQ",
                IF(ISNUMBER(SEARCH("A",MAIN!K739)), 0,
                IF(OR(MAIN!K739=0,MAIN!K739=""), 0, --TRIM(MAIN!K739)))))))))))),
            0
        )
    ),
    IFERROR(
        UPPER(
            IF(MAX(IFERROR(SEARCH("WD",MAIN!G739:J739), 0))&gt;0, "WD",
            IF(MAX(IFERROR(SEARCH("NS",MAIN!G739:J739), 0))&gt;0, "NS",
            IF(MAX(IFERROR(SEARCH("NC",MAIN!G739:J739), 0))&gt;0, "NC",
            IF(MAX(IFERROR(SEARCH("DQ",MAIN!G739:J739), 0))&gt;0, "DQ",
            IF(ISNUMBER(SEARCH("WD",MAIN!K739)), "WD",
            IF(ISNUMBER(SEARCH("NS",MAIN!K739)), "NS",
            IF(ISNUMBER(SEARCH("NC",MAIN!K739)), "NC",
            IF(ISNUMBER(SEARCH("DQ",MAIN!K739)), "DQ",
            IF(ISNUMBER(SEARCH("A",MAIN!K739)), 0,
            IF(OR(MAIN!K739=0,MAIN!K739=""), 0, --TRIM(MAIN!K739)))))))))))),
        0
    )
)</f>
        <v>0</v>
      </c>
    </row>
    <row r="740" spans="1:11" x14ac:dyDescent="0.25">
      <c r="A740" t="str">
        <f>IF(ISBLANK(MAIN!A740), "--", IFERROR(PROPER(SUBSTITUTE(SUBSTITUTE(SUBSTITUTE(SUBSTITUTE(SUBSTITUTE(SUBSTITUTE(SUBSTITUTE(SUBSTITUTE(SUBSTITUTE(SUBSTITUTE(LEFT(MAIN!A740, FIND(",",MAIN!A740) -1), "0", ""), "1", ""), "2", ""), "3", ""), "4", ""), "5", ""), "6", ""), "7", ""), "8", ""), "9", "")), PROPER(SUBSTITUTE(SUBSTITUTE(SUBSTITUTE(SUBSTITUTE(SUBSTITUTE(SUBSTITUTE(SUBSTITUTE(SUBSTITUTE(SUBSTITUTE(SUBSTITUTE(MAIN!A740, "0", ""), "1", ""), "2", ""), "3", ""), "4", ""), "5", ""), "6", ""), "7", ""), "8", ""), "9", ""))))</f>
        <v>--</v>
      </c>
      <c r="B740" t="str">
        <f>IF(ISBLANK(MAIN!B740), "--", IFERROR(PROPER(SUBSTITUTE(SUBSTITUTE(SUBSTITUTE(SUBSTITUTE(SUBSTITUTE(SUBSTITUTE(SUBSTITUTE(SUBSTITUTE(SUBSTITUTE(SUBSTITUTE(LEFT(MAIN!B740, FIND(",",MAIN!B740) -1), "0", ""), "1", ""), "2", ""), "3", ""), "4", ""), "5", ""), "6", ""), "7", ""), "8", ""), "9", "")), PROPER(SUBSTITUTE(SUBSTITUTE(SUBSTITUTE(SUBSTITUTE(SUBSTITUTE(SUBSTITUTE(SUBSTITUTE(SUBSTITUTE(SUBSTITUTE(SUBSTITUTE(MAIN!B740, "0", ""), "1", ""), "2", ""), "3", ""), "4", ""), "5", ""), "6", ""), "7", ""), "8", ""), "9", ""))))</f>
        <v>--</v>
      </c>
      <c r="C740" t="str">
        <f>IF(ISBLANK(MAIN!C740), "--", IFERROR(PROPER(SUBSTITUTE(SUBSTITUTE(SUBSTITUTE(SUBSTITUTE(SUBSTITUTE(SUBSTITUTE(SUBSTITUTE(SUBSTITUTE(SUBSTITUTE(SUBSTITUTE(LEFT(MAIN!C740, FIND(",",MAIN!C740) -1), "0", ""), "1", ""), "2", ""), "3", ""), "4", ""), "5", ""), "6", ""), "7", ""), "8", ""), "9", "")), PROPER(SUBSTITUTE(SUBSTITUTE(SUBSTITUTE(SUBSTITUTE(SUBSTITUTE(SUBSTITUTE(SUBSTITUTE(SUBSTITUTE(SUBSTITUTE(SUBSTITUTE(MAIN!C740, "0", ""), "1", ""), "2", ""), "3", ""), "4", ""), "5", ""), "6", ""), "7", ""), "8", ""), "9", ""))))</f>
        <v>--</v>
      </c>
      <c r="D740" t="str">
        <f>IF(ISBLANK(MAIN!D740), "--", IF(ISNUMBER(MATCH(SUBSTITUTE(LEFT(MAIN!D740, IFERROR(FIND(",", MAIN!D740)-1, LEN(MAIN!D740))), " ", ""), lookup_values!$B$2:$B$51, 0)), UPPER(SUBSTITUTE(LEFT(MAIN!D740, IFERROR(FIND(",", MAIN!D740)-1, LEN(MAIN!D740))), " ", "")), IF(ISNA(VLOOKUP(SUBSTITUTE(LEFT(MAIN!D740, IFERROR(FIND(",", MAIN!D740)-1, LEN(MAIN!D740))), " ", ""), lookup_values!$A$2:$B$51, 2, FALSE)), "--", VLOOKUP(SUBSTITUTE(LEFT(MAIN!D740, IFERROR(FIND(",", MAIN!D740)-1, LEN(MAIN!D740))), " ", ""), lookup_values!$A$2:$B$51, 2, FALSE))))</f>
        <v>--</v>
      </c>
      <c r="E740" t="str">
        <f>IF(CLEAN_DATA!D740&lt;&gt;"--","US",IF(ISBLANK(MAIN!E740), "--", IF(ISNUMBER(MATCH(SUBSTITUTE(LEFT(MAIN!E740, IFERROR(FIND(",", MAIN!E740)-1, LEN(MAIN!E740))), " ", ""), lookup_values!$E$2:$E$197, 0)), UPPER(SUBSTITUTE(LEFT(MAIN!E740, IFERROR(FIND(",", MAIN!E740)-1, LEN(MAIN!E740))), " ", "")), IF(ISNA(VLOOKUP(SUBSTITUTE(LEFT(MAIN!E740, IFERROR(FIND(",", MAIN!E740)-1, LEN(MAIN!E740))), " ", ""), lookup_values!$D$2:$E$197, 2, FALSE)), "--", VLOOKUP(SUBSTITUTE(LEFT(MAIN!E740, IFERROR(FIND(",", MAIN!E740)-1, LEN(MAIN!E740))), " ", ""), lookup_values!$D$2:$E$197, 2, FALSE)))))</f>
        <v>--</v>
      </c>
      <c r="F740" t="str">
        <f>IF(ISBLANK(MAIN!F740), "", IF(AND(ISNUMBER(VALUE(TRIM(MAIN!F740))), LEN(TRIM(MAIN!F740))=4), VALUE(TRIM(MAIN!F740)), ""))</f>
        <v/>
      </c>
      <c r="G740">
        <f>IF(ISBLANK(MAIN!G740), 0, IF(ISNUMBER(VALUE(TRIM(MAIN!G740))), VALUE(TRIM(MAIN!G740)), 0))</f>
        <v>0</v>
      </c>
      <c r="H740">
        <f>IF(ISBLANK(MAIN!H740), 0, IF(ISNUMBER(VALUE(TRIM(MAIN!H740))), VALUE(TRIM(MAIN!H740)), 0))</f>
        <v>0</v>
      </c>
      <c r="I740">
        <f>IF(ISBLANK(MAIN!I740), 0, IF(ISNUMBER(VALUE(TRIM(MAIN!I740))), VALUE(TRIM(MAIN!I740)), 0))</f>
        <v>0</v>
      </c>
      <c r="J740">
        <f>IF(ISBLANK(MAIN!J740), 0, IF(ISNUMBER(VALUE(TRIM(MAIN!J740))), VALUE(TRIM(MAIN!J740)), 0))</f>
        <v>0</v>
      </c>
      <c r="K740" cm="1">
        <f t="array" ref="K740">IFERROR(
    VALUE(
        IFERROR(
            UPPER(
                IF(MAX(IFERROR(SEARCH("WD",MAIN!G740:J740), 0))&gt;0, "WD",
                IF(MAX(IFERROR(SEARCH("NS",MAIN!G740:J740), 0))&gt;0, "NS",
                IF(MAX(IFERROR(SEARCH("NC",MAIN!G740:J740), 0))&gt;0, "NC",
                IF(MAX(IFERROR(SEARCH("DQ",MAIN!G740:J740), 0))&gt;0, "DQ",
                IF(ISNUMBER(SEARCH("WD",MAIN!K740)), "WD",
                IF(ISNUMBER(SEARCH("NS",MAIN!K740)), "NS",
                IF(ISNUMBER(SEARCH("NC",MAIN!K740)), "NC",
                IF(ISNUMBER(SEARCH("DQ",MAIN!K740)), "DQ",
                IF(ISNUMBER(SEARCH("A",MAIN!K740)), 0,
                IF(OR(MAIN!K740=0,MAIN!K740=""), 0, --TRIM(MAIN!K740)))))))))))),
            0
        )
    ),
    IFERROR(
        UPPER(
            IF(MAX(IFERROR(SEARCH("WD",MAIN!G740:J740), 0))&gt;0, "WD",
            IF(MAX(IFERROR(SEARCH("NS",MAIN!G740:J740), 0))&gt;0, "NS",
            IF(MAX(IFERROR(SEARCH("NC",MAIN!G740:J740), 0))&gt;0, "NC",
            IF(MAX(IFERROR(SEARCH("DQ",MAIN!G740:J740), 0))&gt;0, "DQ",
            IF(ISNUMBER(SEARCH("WD",MAIN!K740)), "WD",
            IF(ISNUMBER(SEARCH("NS",MAIN!K740)), "NS",
            IF(ISNUMBER(SEARCH("NC",MAIN!K740)), "NC",
            IF(ISNUMBER(SEARCH("DQ",MAIN!K740)), "DQ",
            IF(ISNUMBER(SEARCH("A",MAIN!K740)), 0,
            IF(OR(MAIN!K740=0,MAIN!K740=""), 0, --TRIM(MAIN!K740)))))))))))),
        0
    )
)</f>
        <v>0</v>
      </c>
    </row>
    <row r="741" spans="1:11" x14ac:dyDescent="0.25">
      <c r="A741" t="str">
        <f>IF(ISBLANK(MAIN!A741), "--", IFERROR(PROPER(SUBSTITUTE(SUBSTITUTE(SUBSTITUTE(SUBSTITUTE(SUBSTITUTE(SUBSTITUTE(SUBSTITUTE(SUBSTITUTE(SUBSTITUTE(SUBSTITUTE(LEFT(MAIN!A741, FIND(",",MAIN!A741) -1), "0", ""), "1", ""), "2", ""), "3", ""), "4", ""), "5", ""), "6", ""), "7", ""), "8", ""), "9", "")), PROPER(SUBSTITUTE(SUBSTITUTE(SUBSTITUTE(SUBSTITUTE(SUBSTITUTE(SUBSTITUTE(SUBSTITUTE(SUBSTITUTE(SUBSTITUTE(SUBSTITUTE(MAIN!A741, "0", ""), "1", ""), "2", ""), "3", ""), "4", ""), "5", ""), "6", ""), "7", ""), "8", ""), "9", ""))))</f>
        <v>--</v>
      </c>
      <c r="B741" t="str">
        <f>IF(ISBLANK(MAIN!B741), "--", IFERROR(PROPER(SUBSTITUTE(SUBSTITUTE(SUBSTITUTE(SUBSTITUTE(SUBSTITUTE(SUBSTITUTE(SUBSTITUTE(SUBSTITUTE(SUBSTITUTE(SUBSTITUTE(LEFT(MAIN!B741, FIND(",",MAIN!B741) -1), "0", ""), "1", ""), "2", ""), "3", ""), "4", ""), "5", ""), "6", ""), "7", ""), "8", ""), "9", "")), PROPER(SUBSTITUTE(SUBSTITUTE(SUBSTITUTE(SUBSTITUTE(SUBSTITUTE(SUBSTITUTE(SUBSTITUTE(SUBSTITUTE(SUBSTITUTE(SUBSTITUTE(MAIN!B741, "0", ""), "1", ""), "2", ""), "3", ""), "4", ""), "5", ""), "6", ""), "7", ""), "8", ""), "9", ""))))</f>
        <v>--</v>
      </c>
      <c r="C741" t="str">
        <f>IF(ISBLANK(MAIN!C741), "--", IFERROR(PROPER(SUBSTITUTE(SUBSTITUTE(SUBSTITUTE(SUBSTITUTE(SUBSTITUTE(SUBSTITUTE(SUBSTITUTE(SUBSTITUTE(SUBSTITUTE(SUBSTITUTE(LEFT(MAIN!C741, FIND(",",MAIN!C741) -1), "0", ""), "1", ""), "2", ""), "3", ""), "4", ""), "5", ""), "6", ""), "7", ""), "8", ""), "9", "")), PROPER(SUBSTITUTE(SUBSTITUTE(SUBSTITUTE(SUBSTITUTE(SUBSTITUTE(SUBSTITUTE(SUBSTITUTE(SUBSTITUTE(SUBSTITUTE(SUBSTITUTE(MAIN!C741, "0", ""), "1", ""), "2", ""), "3", ""), "4", ""), "5", ""), "6", ""), "7", ""), "8", ""), "9", ""))))</f>
        <v>--</v>
      </c>
      <c r="D741" t="str">
        <f>IF(ISBLANK(MAIN!D741), "--", IF(ISNUMBER(MATCH(SUBSTITUTE(LEFT(MAIN!D741, IFERROR(FIND(",", MAIN!D741)-1, LEN(MAIN!D741))), " ", ""), lookup_values!$B$2:$B$51, 0)), UPPER(SUBSTITUTE(LEFT(MAIN!D741, IFERROR(FIND(",", MAIN!D741)-1, LEN(MAIN!D741))), " ", "")), IF(ISNA(VLOOKUP(SUBSTITUTE(LEFT(MAIN!D741, IFERROR(FIND(",", MAIN!D741)-1, LEN(MAIN!D741))), " ", ""), lookup_values!$A$2:$B$51, 2, FALSE)), "--", VLOOKUP(SUBSTITUTE(LEFT(MAIN!D741, IFERROR(FIND(",", MAIN!D741)-1, LEN(MAIN!D741))), " ", ""), lookup_values!$A$2:$B$51, 2, FALSE))))</f>
        <v>--</v>
      </c>
      <c r="E741" t="str">
        <f>IF(CLEAN_DATA!D741&lt;&gt;"--","US",IF(ISBLANK(MAIN!E741), "--", IF(ISNUMBER(MATCH(SUBSTITUTE(LEFT(MAIN!E741, IFERROR(FIND(",", MAIN!E741)-1, LEN(MAIN!E741))), " ", ""), lookup_values!$E$2:$E$197, 0)), UPPER(SUBSTITUTE(LEFT(MAIN!E741, IFERROR(FIND(",", MAIN!E741)-1, LEN(MAIN!E741))), " ", "")), IF(ISNA(VLOOKUP(SUBSTITUTE(LEFT(MAIN!E741, IFERROR(FIND(",", MAIN!E741)-1, LEN(MAIN!E741))), " ", ""), lookup_values!$D$2:$E$197, 2, FALSE)), "--", VLOOKUP(SUBSTITUTE(LEFT(MAIN!E741, IFERROR(FIND(",", MAIN!E741)-1, LEN(MAIN!E741))), " ", ""), lookup_values!$D$2:$E$197, 2, FALSE)))))</f>
        <v>--</v>
      </c>
      <c r="F741" t="str">
        <f>IF(ISBLANK(MAIN!F741), "", IF(AND(ISNUMBER(VALUE(TRIM(MAIN!F741))), LEN(TRIM(MAIN!F741))=4), VALUE(TRIM(MAIN!F741)), ""))</f>
        <v/>
      </c>
      <c r="G741">
        <f>IF(ISBLANK(MAIN!G741), 0, IF(ISNUMBER(VALUE(TRIM(MAIN!G741))), VALUE(TRIM(MAIN!G741)), 0))</f>
        <v>0</v>
      </c>
      <c r="H741">
        <f>IF(ISBLANK(MAIN!H741), 0, IF(ISNUMBER(VALUE(TRIM(MAIN!H741))), VALUE(TRIM(MAIN!H741)), 0))</f>
        <v>0</v>
      </c>
      <c r="I741">
        <f>IF(ISBLANK(MAIN!I741), 0, IF(ISNUMBER(VALUE(TRIM(MAIN!I741))), VALUE(TRIM(MAIN!I741)), 0))</f>
        <v>0</v>
      </c>
      <c r="J741">
        <f>IF(ISBLANK(MAIN!J741), 0, IF(ISNUMBER(VALUE(TRIM(MAIN!J741))), VALUE(TRIM(MAIN!J741)), 0))</f>
        <v>0</v>
      </c>
      <c r="K741" cm="1">
        <f t="array" ref="K741">IFERROR(
    VALUE(
        IFERROR(
            UPPER(
                IF(MAX(IFERROR(SEARCH("WD",MAIN!G741:J741), 0))&gt;0, "WD",
                IF(MAX(IFERROR(SEARCH("NS",MAIN!G741:J741), 0))&gt;0, "NS",
                IF(MAX(IFERROR(SEARCH("NC",MAIN!G741:J741), 0))&gt;0, "NC",
                IF(MAX(IFERROR(SEARCH("DQ",MAIN!G741:J741), 0))&gt;0, "DQ",
                IF(ISNUMBER(SEARCH("WD",MAIN!K741)), "WD",
                IF(ISNUMBER(SEARCH("NS",MAIN!K741)), "NS",
                IF(ISNUMBER(SEARCH("NC",MAIN!K741)), "NC",
                IF(ISNUMBER(SEARCH("DQ",MAIN!K741)), "DQ",
                IF(ISNUMBER(SEARCH("A",MAIN!K741)), 0,
                IF(OR(MAIN!K741=0,MAIN!K741=""), 0, --TRIM(MAIN!K741)))))))))))),
            0
        )
    ),
    IFERROR(
        UPPER(
            IF(MAX(IFERROR(SEARCH("WD",MAIN!G741:J741), 0))&gt;0, "WD",
            IF(MAX(IFERROR(SEARCH("NS",MAIN!G741:J741), 0))&gt;0, "NS",
            IF(MAX(IFERROR(SEARCH("NC",MAIN!G741:J741), 0))&gt;0, "NC",
            IF(MAX(IFERROR(SEARCH("DQ",MAIN!G741:J741), 0))&gt;0, "DQ",
            IF(ISNUMBER(SEARCH("WD",MAIN!K741)), "WD",
            IF(ISNUMBER(SEARCH("NS",MAIN!K741)), "NS",
            IF(ISNUMBER(SEARCH("NC",MAIN!K741)), "NC",
            IF(ISNUMBER(SEARCH("DQ",MAIN!K741)), "DQ",
            IF(ISNUMBER(SEARCH("A",MAIN!K741)), 0,
            IF(OR(MAIN!K741=0,MAIN!K741=""), 0, --TRIM(MAIN!K741)))))))))))),
        0
    )
)</f>
        <v>0</v>
      </c>
    </row>
    <row r="742" spans="1:11" x14ac:dyDescent="0.25">
      <c r="A742" t="str">
        <f>IF(ISBLANK(MAIN!A742), "--", IFERROR(PROPER(SUBSTITUTE(SUBSTITUTE(SUBSTITUTE(SUBSTITUTE(SUBSTITUTE(SUBSTITUTE(SUBSTITUTE(SUBSTITUTE(SUBSTITUTE(SUBSTITUTE(LEFT(MAIN!A742, FIND(",",MAIN!A742) -1), "0", ""), "1", ""), "2", ""), "3", ""), "4", ""), "5", ""), "6", ""), "7", ""), "8", ""), "9", "")), PROPER(SUBSTITUTE(SUBSTITUTE(SUBSTITUTE(SUBSTITUTE(SUBSTITUTE(SUBSTITUTE(SUBSTITUTE(SUBSTITUTE(SUBSTITUTE(SUBSTITUTE(MAIN!A742, "0", ""), "1", ""), "2", ""), "3", ""), "4", ""), "5", ""), "6", ""), "7", ""), "8", ""), "9", ""))))</f>
        <v>--</v>
      </c>
      <c r="B742" t="str">
        <f>IF(ISBLANK(MAIN!B742), "--", IFERROR(PROPER(SUBSTITUTE(SUBSTITUTE(SUBSTITUTE(SUBSTITUTE(SUBSTITUTE(SUBSTITUTE(SUBSTITUTE(SUBSTITUTE(SUBSTITUTE(SUBSTITUTE(LEFT(MAIN!B742, FIND(",",MAIN!B742) -1), "0", ""), "1", ""), "2", ""), "3", ""), "4", ""), "5", ""), "6", ""), "7", ""), "8", ""), "9", "")), PROPER(SUBSTITUTE(SUBSTITUTE(SUBSTITUTE(SUBSTITUTE(SUBSTITUTE(SUBSTITUTE(SUBSTITUTE(SUBSTITUTE(SUBSTITUTE(SUBSTITUTE(MAIN!B742, "0", ""), "1", ""), "2", ""), "3", ""), "4", ""), "5", ""), "6", ""), "7", ""), "8", ""), "9", ""))))</f>
        <v>--</v>
      </c>
      <c r="C742" t="str">
        <f>IF(ISBLANK(MAIN!C742), "--", IFERROR(PROPER(SUBSTITUTE(SUBSTITUTE(SUBSTITUTE(SUBSTITUTE(SUBSTITUTE(SUBSTITUTE(SUBSTITUTE(SUBSTITUTE(SUBSTITUTE(SUBSTITUTE(LEFT(MAIN!C742, FIND(",",MAIN!C742) -1), "0", ""), "1", ""), "2", ""), "3", ""), "4", ""), "5", ""), "6", ""), "7", ""), "8", ""), "9", "")), PROPER(SUBSTITUTE(SUBSTITUTE(SUBSTITUTE(SUBSTITUTE(SUBSTITUTE(SUBSTITUTE(SUBSTITUTE(SUBSTITUTE(SUBSTITUTE(SUBSTITUTE(MAIN!C742, "0", ""), "1", ""), "2", ""), "3", ""), "4", ""), "5", ""), "6", ""), "7", ""), "8", ""), "9", ""))))</f>
        <v>--</v>
      </c>
      <c r="D742" t="str">
        <f>IF(ISBLANK(MAIN!D742), "--", IF(ISNUMBER(MATCH(SUBSTITUTE(LEFT(MAIN!D742, IFERROR(FIND(",", MAIN!D742)-1, LEN(MAIN!D742))), " ", ""), lookup_values!$B$2:$B$51, 0)), UPPER(SUBSTITUTE(LEFT(MAIN!D742, IFERROR(FIND(",", MAIN!D742)-1, LEN(MAIN!D742))), " ", "")), IF(ISNA(VLOOKUP(SUBSTITUTE(LEFT(MAIN!D742, IFERROR(FIND(",", MAIN!D742)-1, LEN(MAIN!D742))), " ", ""), lookup_values!$A$2:$B$51, 2, FALSE)), "--", VLOOKUP(SUBSTITUTE(LEFT(MAIN!D742, IFERROR(FIND(",", MAIN!D742)-1, LEN(MAIN!D742))), " ", ""), lookup_values!$A$2:$B$51, 2, FALSE))))</f>
        <v>--</v>
      </c>
      <c r="E742" t="str">
        <f>IF(CLEAN_DATA!D742&lt;&gt;"--","US",IF(ISBLANK(MAIN!E742), "--", IF(ISNUMBER(MATCH(SUBSTITUTE(LEFT(MAIN!E742, IFERROR(FIND(",", MAIN!E742)-1, LEN(MAIN!E742))), " ", ""), lookup_values!$E$2:$E$197, 0)), UPPER(SUBSTITUTE(LEFT(MAIN!E742, IFERROR(FIND(",", MAIN!E742)-1, LEN(MAIN!E742))), " ", "")), IF(ISNA(VLOOKUP(SUBSTITUTE(LEFT(MAIN!E742, IFERROR(FIND(",", MAIN!E742)-1, LEN(MAIN!E742))), " ", ""), lookup_values!$D$2:$E$197, 2, FALSE)), "--", VLOOKUP(SUBSTITUTE(LEFT(MAIN!E742, IFERROR(FIND(",", MAIN!E742)-1, LEN(MAIN!E742))), " ", ""), lookup_values!$D$2:$E$197, 2, FALSE)))))</f>
        <v>--</v>
      </c>
      <c r="F742" t="str">
        <f>IF(ISBLANK(MAIN!F742), "", IF(AND(ISNUMBER(VALUE(TRIM(MAIN!F742))), LEN(TRIM(MAIN!F742))=4), VALUE(TRIM(MAIN!F742)), ""))</f>
        <v/>
      </c>
      <c r="G742">
        <f>IF(ISBLANK(MAIN!G742), 0, IF(ISNUMBER(VALUE(TRIM(MAIN!G742))), VALUE(TRIM(MAIN!G742)), 0))</f>
        <v>0</v>
      </c>
      <c r="H742">
        <f>IF(ISBLANK(MAIN!H742), 0, IF(ISNUMBER(VALUE(TRIM(MAIN!H742))), VALUE(TRIM(MAIN!H742)), 0))</f>
        <v>0</v>
      </c>
      <c r="I742">
        <f>IF(ISBLANK(MAIN!I742), 0, IF(ISNUMBER(VALUE(TRIM(MAIN!I742))), VALUE(TRIM(MAIN!I742)), 0))</f>
        <v>0</v>
      </c>
      <c r="J742">
        <f>IF(ISBLANK(MAIN!J742), 0, IF(ISNUMBER(VALUE(TRIM(MAIN!J742))), VALUE(TRIM(MAIN!J742)), 0))</f>
        <v>0</v>
      </c>
      <c r="K742" cm="1">
        <f t="array" ref="K742">IFERROR(
    VALUE(
        IFERROR(
            UPPER(
                IF(MAX(IFERROR(SEARCH("WD",MAIN!G742:J742), 0))&gt;0, "WD",
                IF(MAX(IFERROR(SEARCH("NS",MAIN!G742:J742), 0))&gt;0, "NS",
                IF(MAX(IFERROR(SEARCH("NC",MAIN!G742:J742), 0))&gt;0, "NC",
                IF(MAX(IFERROR(SEARCH("DQ",MAIN!G742:J742), 0))&gt;0, "DQ",
                IF(ISNUMBER(SEARCH("WD",MAIN!K742)), "WD",
                IF(ISNUMBER(SEARCH("NS",MAIN!K742)), "NS",
                IF(ISNUMBER(SEARCH("NC",MAIN!K742)), "NC",
                IF(ISNUMBER(SEARCH("DQ",MAIN!K742)), "DQ",
                IF(ISNUMBER(SEARCH("A",MAIN!K742)), 0,
                IF(OR(MAIN!K742=0,MAIN!K742=""), 0, --TRIM(MAIN!K742)))))))))))),
            0
        )
    ),
    IFERROR(
        UPPER(
            IF(MAX(IFERROR(SEARCH("WD",MAIN!G742:J742), 0))&gt;0, "WD",
            IF(MAX(IFERROR(SEARCH("NS",MAIN!G742:J742), 0))&gt;0, "NS",
            IF(MAX(IFERROR(SEARCH("NC",MAIN!G742:J742), 0))&gt;0, "NC",
            IF(MAX(IFERROR(SEARCH("DQ",MAIN!G742:J742), 0))&gt;0, "DQ",
            IF(ISNUMBER(SEARCH("WD",MAIN!K742)), "WD",
            IF(ISNUMBER(SEARCH("NS",MAIN!K742)), "NS",
            IF(ISNUMBER(SEARCH("NC",MAIN!K742)), "NC",
            IF(ISNUMBER(SEARCH("DQ",MAIN!K742)), "DQ",
            IF(ISNUMBER(SEARCH("A",MAIN!K742)), 0,
            IF(OR(MAIN!K742=0,MAIN!K742=""), 0, --TRIM(MAIN!K742)))))))))))),
        0
    )
)</f>
        <v>0</v>
      </c>
    </row>
    <row r="743" spans="1:11" x14ac:dyDescent="0.25">
      <c r="A743" t="str">
        <f>IF(ISBLANK(MAIN!A743), "--", IFERROR(PROPER(SUBSTITUTE(SUBSTITUTE(SUBSTITUTE(SUBSTITUTE(SUBSTITUTE(SUBSTITUTE(SUBSTITUTE(SUBSTITUTE(SUBSTITUTE(SUBSTITUTE(LEFT(MAIN!A743, FIND(",",MAIN!A743) -1), "0", ""), "1", ""), "2", ""), "3", ""), "4", ""), "5", ""), "6", ""), "7", ""), "8", ""), "9", "")), PROPER(SUBSTITUTE(SUBSTITUTE(SUBSTITUTE(SUBSTITUTE(SUBSTITUTE(SUBSTITUTE(SUBSTITUTE(SUBSTITUTE(SUBSTITUTE(SUBSTITUTE(MAIN!A743, "0", ""), "1", ""), "2", ""), "3", ""), "4", ""), "5", ""), "6", ""), "7", ""), "8", ""), "9", ""))))</f>
        <v>--</v>
      </c>
      <c r="B743" t="str">
        <f>IF(ISBLANK(MAIN!B743), "--", IFERROR(PROPER(SUBSTITUTE(SUBSTITUTE(SUBSTITUTE(SUBSTITUTE(SUBSTITUTE(SUBSTITUTE(SUBSTITUTE(SUBSTITUTE(SUBSTITUTE(SUBSTITUTE(LEFT(MAIN!B743, FIND(",",MAIN!B743) -1), "0", ""), "1", ""), "2", ""), "3", ""), "4", ""), "5", ""), "6", ""), "7", ""), "8", ""), "9", "")), PROPER(SUBSTITUTE(SUBSTITUTE(SUBSTITUTE(SUBSTITUTE(SUBSTITUTE(SUBSTITUTE(SUBSTITUTE(SUBSTITUTE(SUBSTITUTE(SUBSTITUTE(MAIN!B743, "0", ""), "1", ""), "2", ""), "3", ""), "4", ""), "5", ""), "6", ""), "7", ""), "8", ""), "9", ""))))</f>
        <v>--</v>
      </c>
      <c r="C743" t="str">
        <f>IF(ISBLANK(MAIN!C743), "--", IFERROR(PROPER(SUBSTITUTE(SUBSTITUTE(SUBSTITUTE(SUBSTITUTE(SUBSTITUTE(SUBSTITUTE(SUBSTITUTE(SUBSTITUTE(SUBSTITUTE(SUBSTITUTE(LEFT(MAIN!C743, FIND(",",MAIN!C743) -1), "0", ""), "1", ""), "2", ""), "3", ""), "4", ""), "5", ""), "6", ""), "7", ""), "8", ""), "9", "")), PROPER(SUBSTITUTE(SUBSTITUTE(SUBSTITUTE(SUBSTITUTE(SUBSTITUTE(SUBSTITUTE(SUBSTITUTE(SUBSTITUTE(SUBSTITUTE(SUBSTITUTE(MAIN!C743, "0", ""), "1", ""), "2", ""), "3", ""), "4", ""), "5", ""), "6", ""), "7", ""), "8", ""), "9", ""))))</f>
        <v>--</v>
      </c>
      <c r="D743" t="str">
        <f>IF(ISBLANK(MAIN!D743), "--", IF(ISNUMBER(MATCH(SUBSTITUTE(LEFT(MAIN!D743, IFERROR(FIND(",", MAIN!D743)-1, LEN(MAIN!D743))), " ", ""), lookup_values!$B$2:$B$51, 0)), UPPER(SUBSTITUTE(LEFT(MAIN!D743, IFERROR(FIND(",", MAIN!D743)-1, LEN(MAIN!D743))), " ", "")), IF(ISNA(VLOOKUP(SUBSTITUTE(LEFT(MAIN!D743, IFERROR(FIND(",", MAIN!D743)-1, LEN(MAIN!D743))), " ", ""), lookup_values!$A$2:$B$51, 2, FALSE)), "--", VLOOKUP(SUBSTITUTE(LEFT(MAIN!D743, IFERROR(FIND(",", MAIN!D743)-1, LEN(MAIN!D743))), " ", ""), lookup_values!$A$2:$B$51, 2, FALSE))))</f>
        <v>--</v>
      </c>
      <c r="E743" t="str">
        <f>IF(CLEAN_DATA!D743&lt;&gt;"--","US",IF(ISBLANK(MAIN!E743), "--", IF(ISNUMBER(MATCH(SUBSTITUTE(LEFT(MAIN!E743, IFERROR(FIND(",", MAIN!E743)-1, LEN(MAIN!E743))), " ", ""), lookup_values!$E$2:$E$197, 0)), UPPER(SUBSTITUTE(LEFT(MAIN!E743, IFERROR(FIND(",", MAIN!E743)-1, LEN(MAIN!E743))), " ", "")), IF(ISNA(VLOOKUP(SUBSTITUTE(LEFT(MAIN!E743, IFERROR(FIND(",", MAIN!E743)-1, LEN(MAIN!E743))), " ", ""), lookup_values!$D$2:$E$197, 2, FALSE)), "--", VLOOKUP(SUBSTITUTE(LEFT(MAIN!E743, IFERROR(FIND(",", MAIN!E743)-1, LEN(MAIN!E743))), " ", ""), lookup_values!$D$2:$E$197, 2, FALSE)))))</f>
        <v>--</v>
      </c>
      <c r="F743" t="str">
        <f>IF(ISBLANK(MAIN!F743), "", IF(AND(ISNUMBER(VALUE(TRIM(MAIN!F743))), LEN(TRIM(MAIN!F743))=4), VALUE(TRIM(MAIN!F743)), ""))</f>
        <v/>
      </c>
      <c r="G743">
        <f>IF(ISBLANK(MAIN!G743), 0, IF(ISNUMBER(VALUE(TRIM(MAIN!G743))), VALUE(TRIM(MAIN!G743)), 0))</f>
        <v>0</v>
      </c>
      <c r="H743">
        <f>IF(ISBLANK(MAIN!H743), 0, IF(ISNUMBER(VALUE(TRIM(MAIN!H743))), VALUE(TRIM(MAIN!H743)), 0))</f>
        <v>0</v>
      </c>
      <c r="I743">
        <f>IF(ISBLANK(MAIN!I743), 0, IF(ISNUMBER(VALUE(TRIM(MAIN!I743))), VALUE(TRIM(MAIN!I743)), 0))</f>
        <v>0</v>
      </c>
      <c r="J743">
        <f>IF(ISBLANK(MAIN!J743), 0, IF(ISNUMBER(VALUE(TRIM(MAIN!J743))), VALUE(TRIM(MAIN!J743)), 0))</f>
        <v>0</v>
      </c>
      <c r="K743" cm="1">
        <f t="array" ref="K743">IFERROR(
    VALUE(
        IFERROR(
            UPPER(
                IF(MAX(IFERROR(SEARCH("WD",MAIN!G743:J743), 0))&gt;0, "WD",
                IF(MAX(IFERROR(SEARCH("NS",MAIN!G743:J743), 0))&gt;0, "NS",
                IF(MAX(IFERROR(SEARCH("NC",MAIN!G743:J743), 0))&gt;0, "NC",
                IF(MAX(IFERROR(SEARCH("DQ",MAIN!G743:J743), 0))&gt;0, "DQ",
                IF(ISNUMBER(SEARCH("WD",MAIN!K743)), "WD",
                IF(ISNUMBER(SEARCH("NS",MAIN!K743)), "NS",
                IF(ISNUMBER(SEARCH("NC",MAIN!K743)), "NC",
                IF(ISNUMBER(SEARCH("DQ",MAIN!K743)), "DQ",
                IF(ISNUMBER(SEARCH("A",MAIN!K743)), 0,
                IF(OR(MAIN!K743=0,MAIN!K743=""), 0, --TRIM(MAIN!K743)))))))))))),
            0
        )
    ),
    IFERROR(
        UPPER(
            IF(MAX(IFERROR(SEARCH("WD",MAIN!G743:J743), 0))&gt;0, "WD",
            IF(MAX(IFERROR(SEARCH("NS",MAIN!G743:J743), 0))&gt;0, "NS",
            IF(MAX(IFERROR(SEARCH("NC",MAIN!G743:J743), 0))&gt;0, "NC",
            IF(MAX(IFERROR(SEARCH("DQ",MAIN!G743:J743), 0))&gt;0, "DQ",
            IF(ISNUMBER(SEARCH("WD",MAIN!K743)), "WD",
            IF(ISNUMBER(SEARCH("NS",MAIN!K743)), "NS",
            IF(ISNUMBER(SEARCH("NC",MAIN!K743)), "NC",
            IF(ISNUMBER(SEARCH("DQ",MAIN!K743)), "DQ",
            IF(ISNUMBER(SEARCH("A",MAIN!K743)), 0,
            IF(OR(MAIN!K743=0,MAIN!K743=""), 0, --TRIM(MAIN!K743)))))))))))),
        0
    )
)</f>
        <v>0</v>
      </c>
    </row>
    <row r="744" spans="1:11" x14ac:dyDescent="0.25">
      <c r="A744" t="str">
        <f>IF(ISBLANK(MAIN!A744), "--", IFERROR(PROPER(SUBSTITUTE(SUBSTITUTE(SUBSTITUTE(SUBSTITUTE(SUBSTITUTE(SUBSTITUTE(SUBSTITUTE(SUBSTITUTE(SUBSTITUTE(SUBSTITUTE(LEFT(MAIN!A744, FIND(",",MAIN!A744) -1), "0", ""), "1", ""), "2", ""), "3", ""), "4", ""), "5", ""), "6", ""), "7", ""), "8", ""), "9", "")), PROPER(SUBSTITUTE(SUBSTITUTE(SUBSTITUTE(SUBSTITUTE(SUBSTITUTE(SUBSTITUTE(SUBSTITUTE(SUBSTITUTE(SUBSTITUTE(SUBSTITUTE(MAIN!A744, "0", ""), "1", ""), "2", ""), "3", ""), "4", ""), "5", ""), "6", ""), "7", ""), "8", ""), "9", ""))))</f>
        <v>--</v>
      </c>
      <c r="B744" t="str">
        <f>IF(ISBLANK(MAIN!B744), "--", IFERROR(PROPER(SUBSTITUTE(SUBSTITUTE(SUBSTITUTE(SUBSTITUTE(SUBSTITUTE(SUBSTITUTE(SUBSTITUTE(SUBSTITUTE(SUBSTITUTE(SUBSTITUTE(LEFT(MAIN!B744, FIND(",",MAIN!B744) -1), "0", ""), "1", ""), "2", ""), "3", ""), "4", ""), "5", ""), "6", ""), "7", ""), "8", ""), "9", "")), PROPER(SUBSTITUTE(SUBSTITUTE(SUBSTITUTE(SUBSTITUTE(SUBSTITUTE(SUBSTITUTE(SUBSTITUTE(SUBSTITUTE(SUBSTITUTE(SUBSTITUTE(MAIN!B744, "0", ""), "1", ""), "2", ""), "3", ""), "4", ""), "5", ""), "6", ""), "7", ""), "8", ""), "9", ""))))</f>
        <v>--</v>
      </c>
      <c r="C744" t="str">
        <f>IF(ISBLANK(MAIN!C744), "--", IFERROR(PROPER(SUBSTITUTE(SUBSTITUTE(SUBSTITUTE(SUBSTITUTE(SUBSTITUTE(SUBSTITUTE(SUBSTITUTE(SUBSTITUTE(SUBSTITUTE(SUBSTITUTE(LEFT(MAIN!C744, FIND(",",MAIN!C744) -1), "0", ""), "1", ""), "2", ""), "3", ""), "4", ""), "5", ""), "6", ""), "7", ""), "8", ""), "9", "")), PROPER(SUBSTITUTE(SUBSTITUTE(SUBSTITUTE(SUBSTITUTE(SUBSTITUTE(SUBSTITUTE(SUBSTITUTE(SUBSTITUTE(SUBSTITUTE(SUBSTITUTE(MAIN!C744, "0", ""), "1", ""), "2", ""), "3", ""), "4", ""), "5", ""), "6", ""), "7", ""), "8", ""), "9", ""))))</f>
        <v>--</v>
      </c>
      <c r="D744" t="str">
        <f>IF(ISBLANK(MAIN!D744), "--", IF(ISNUMBER(MATCH(SUBSTITUTE(LEFT(MAIN!D744, IFERROR(FIND(",", MAIN!D744)-1, LEN(MAIN!D744))), " ", ""), lookup_values!$B$2:$B$51, 0)), UPPER(SUBSTITUTE(LEFT(MAIN!D744, IFERROR(FIND(",", MAIN!D744)-1, LEN(MAIN!D744))), " ", "")), IF(ISNA(VLOOKUP(SUBSTITUTE(LEFT(MAIN!D744, IFERROR(FIND(",", MAIN!D744)-1, LEN(MAIN!D744))), " ", ""), lookup_values!$A$2:$B$51, 2, FALSE)), "--", VLOOKUP(SUBSTITUTE(LEFT(MAIN!D744, IFERROR(FIND(",", MAIN!D744)-1, LEN(MAIN!D744))), " ", ""), lookup_values!$A$2:$B$51, 2, FALSE))))</f>
        <v>--</v>
      </c>
      <c r="E744" t="str">
        <f>IF(CLEAN_DATA!D744&lt;&gt;"--","US",IF(ISBLANK(MAIN!E744), "--", IF(ISNUMBER(MATCH(SUBSTITUTE(LEFT(MAIN!E744, IFERROR(FIND(",", MAIN!E744)-1, LEN(MAIN!E744))), " ", ""), lookup_values!$E$2:$E$197, 0)), UPPER(SUBSTITUTE(LEFT(MAIN!E744, IFERROR(FIND(",", MAIN!E744)-1, LEN(MAIN!E744))), " ", "")), IF(ISNA(VLOOKUP(SUBSTITUTE(LEFT(MAIN!E744, IFERROR(FIND(",", MAIN!E744)-1, LEN(MAIN!E744))), " ", ""), lookup_values!$D$2:$E$197, 2, FALSE)), "--", VLOOKUP(SUBSTITUTE(LEFT(MAIN!E744, IFERROR(FIND(",", MAIN!E744)-1, LEN(MAIN!E744))), " ", ""), lookup_values!$D$2:$E$197, 2, FALSE)))))</f>
        <v>--</v>
      </c>
      <c r="F744" t="str">
        <f>IF(ISBLANK(MAIN!F744), "", IF(AND(ISNUMBER(VALUE(TRIM(MAIN!F744))), LEN(TRIM(MAIN!F744))=4), VALUE(TRIM(MAIN!F744)), ""))</f>
        <v/>
      </c>
      <c r="G744">
        <f>IF(ISBLANK(MAIN!G744), 0, IF(ISNUMBER(VALUE(TRIM(MAIN!G744))), VALUE(TRIM(MAIN!G744)), 0))</f>
        <v>0</v>
      </c>
      <c r="H744">
        <f>IF(ISBLANK(MAIN!H744), 0, IF(ISNUMBER(VALUE(TRIM(MAIN!H744))), VALUE(TRIM(MAIN!H744)), 0))</f>
        <v>0</v>
      </c>
      <c r="I744">
        <f>IF(ISBLANK(MAIN!I744), 0, IF(ISNUMBER(VALUE(TRIM(MAIN!I744))), VALUE(TRIM(MAIN!I744)), 0))</f>
        <v>0</v>
      </c>
      <c r="J744">
        <f>IF(ISBLANK(MAIN!J744), 0, IF(ISNUMBER(VALUE(TRIM(MAIN!J744))), VALUE(TRIM(MAIN!J744)), 0))</f>
        <v>0</v>
      </c>
      <c r="K744" cm="1">
        <f t="array" ref="K744">IFERROR(
    VALUE(
        IFERROR(
            UPPER(
                IF(MAX(IFERROR(SEARCH("WD",MAIN!G744:J744), 0))&gt;0, "WD",
                IF(MAX(IFERROR(SEARCH("NS",MAIN!G744:J744), 0))&gt;0, "NS",
                IF(MAX(IFERROR(SEARCH("NC",MAIN!G744:J744), 0))&gt;0, "NC",
                IF(MAX(IFERROR(SEARCH("DQ",MAIN!G744:J744), 0))&gt;0, "DQ",
                IF(ISNUMBER(SEARCH("WD",MAIN!K744)), "WD",
                IF(ISNUMBER(SEARCH("NS",MAIN!K744)), "NS",
                IF(ISNUMBER(SEARCH("NC",MAIN!K744)), "NC",
                IF(ISNUMBER(SEARCH("DQ",MAIN!K744)), "DQ",
                IF(ISNUMBER(SEARCH("A",MAIN!K744)), 0,
                IF(OR(MAIN!K744=0,MAIN!K744=""), 0, --TRIM(MAIN!K744)))))))))))),
            0
        )
    ),
    IFERROR(
        UPPER(
            IF(MAX(IFERROR(SEARCH("WD",MAIN!G744:J744), 0))&gt;0, "WD",
            IF(MAX(IFERROR(SEARCH("NS",MAIN!G744:J744), 0))&gt;0, "NS",
            IF(MAX(IFERROR(SEARCH("NC",MAIN!G744:J744), 0))&gt;0, "NC",
            IF(MAX(IFERROR(SEARCH("DQ",MAIN!G744:J744), 0))&gt;0, "DQ",
            IF(ISNUMBER(SEARCH("WD",MAIN!K744)), "WD",
            IF(ISNUMBER(SEARCH("NS",MAIN!K744)), "NS",
            IF(ISNUMBER(SEARCH("NC",MAIN!K744)), "NC",
            IF(ISNUMBER(SEARCH("DQ",MAIN!K744)), "DQ",
            IF(ISNUMBER(SEARCH("A",MAIN!K744)), 0,
            IF(OR(MAIN!K744=0,MAIN!K744=""), 0, --TRIM(MAIN!K744)))))))))))),
        0
    )
)</f>
        <v>0</v>
      </c>
    </row>
    <row r="745" spans="1:11" x14ac:dyDescent="0.25">
      <c r="A745" t="str">
        <f>IF(ISBLANK(MAIN!A745), "--", IFERROR(PROPER(SUBSTITUTE(SUBSTITUTE(SUBSTITUTE(SUBSTITUTE(SUBSTITUTE(SUBSTITUTE(SUBSTITUTE(SUBSTITUTE(SUBSTITUTE(SUBSTITUTE(LEFT(MAIN!A745, FIND(",",MAIN!A745) -1), "0", ""), "1", ""), "2", ""), "3", ""), "4", ""), "5", ""), "6", ""), "7", ""), "8", ""), "9", "")), PROPER(SUBSTITUTE(SUBSTITUTE(SUBSTITUTE(SUBSTITUTE(SUBSTITUTE(SUBSTITUTE(SUBSTITUTE(SUBSTITUTE(SUBSTITUTE(SUBSTITUTE(MAIN!A745, "0", ""), "1", ""), "2", ""), "3", ""), "4", ""), "5", ""), "6", ""), "7", ""), "8", ""), "9", ""))))</f>
        <v>--</v>
      </c>
      <c r="B745" t="str">
        <f>IF(ISBLANK(MAIN!B745), "--", IFERROR(PROPER(SUBSTITUTE(SUBSTITUTE(SUBSTITUTE(SUBSTITUTE(SUBSTITUTE(SUBSTITUTE(SUBSTITUTE(SUBSTITUTE(SUBSTITUTE(SUBSTITUTE(LEFT(MAIN!B745, FIND(",",MAIN!B745) -1), "0", ""), "1", ""), "2", ""), "3", ""), "4", ""), "5", ""), "6", ""), "7", ""), "8", ""), "9", "")), PROPER(SUBSTITUTE(SUBSTITUTE(SUBSTITUTE(SUBSTITUTE(SUBSTITUTE(SUBSTITUTE(SUBSTITUTE(SUBSTITUTE(SUBSTITUTE(SUBSTITUTE(MAIN!B745, "0", ""), "1", ""), "2", ""), "3", ""), "4", ""), "5", ""), "6", ""), "7", ""), "8", ""), "9", ""))))</f>
        <v>--</v>
      </c>
      <c r="C745" t="str">
        <f>IF(ISBLANK(MAIN!C745), "--", IFERROR(PROPER(SUBSTITUTE(SUBSTITUTE(SUBSTITUTE(SUBSTITUTE(SUBSTITUTE(SUBSTITUTE(SUBSTITUTE(SUBSTITUTE(SUBSTITUTE(SUBSTITUTE(LEFT(MAIN!C745, FIND(",",MAIN!C745) -1), "0", ""), "1", ""), "2", ""), "3", ""), "4", ""), "5", ""), "6", ""), "7", ""), "8", ""), "9", "")), PROPER(SUBSTITUTE(SUBSTITUTE(SUBSTITUTE(SUBSTITUTE(SUBSTITUTE(SUBSTITUTE(SUBSTITUTE(SUBSTITUTE(SUBSTITUTE(SUBSTITUTE(MAIN!C745, "0", ""), "1", ""), "2", ""), "3", ""), "4", ""), "5", ""), "6", ""), "7", ""), "8", ""), "9", ""))))</f>
        <v>--</v>
      </c>
      <c r="D745" t="str">
        <f>IF(ISBLANK(MAIN!D745), "--", IF(ISNUMBER(MATCH(SUBSTITUTE(LEFT(MAIN!D745, IFERROR(FIND(",", MAIN!D745)-1, LEN(MAIN!D745))), " ", ""), lookup_values!$B$2:$B$51, 0)), UPPER(SUBSTITUTE(LEFT(MAIN!D745, IFERROR(FIND(",", MAIN!D745)-1, LEN(MAIN!D745))), " ", "")), IF(ISNA(VLOOKUP(SUBSTITUTE(LEFT(MAIN!D745, IFERROR(FIND(",", MAIN!D745)-1, LEN(MAIN!D745))), " ", ""), lookup_values!$A$2:$B$51, 2, FALSE)), "--", VLOOKUP(SUBSTITUTE(LEFT(MAIN!D745, IFERROR(FIND(",", MAIN!D745)-1, LEN(MAIN!D745))), " ", ""), lookup_values!$A$2:$B$51, 2, FALSE))))</f>
        <v>--</v>
      </c>
      <c r="E745" t="str">
        <f>IF(CLEAN_DATA!D745&lt;&gt;"--","US",IF(ISBLANK(MAIN!E745), "--", IF(ISNUMBER(MATCH(SUBSTITUTE(LEFT(MAIN!E745, IFERROR(FIND(",", MAIN!E745)-1, LEN(MAIN!E745))), " ", ""), lookup_values!$E$2:$E$197, 0)), UPPER(SUBSTITUTE(LEFT(MAIN!E745, IFERROR(FIND(",", MAIN!E745)-1, LEN(MAIN!E745))), " ", "")), IF(ISNA(VLOOKUP(SUBSTITUTE(LEFT(MAIN!E745, IFERROR(FIND(",", MAIN!E745)-1, LEN(MAIN!E745))), " ", ""), lookup_values!$D$2:$E$197, 2, FALSE)), "--", VLOOKUP(SUBSTITUTE(LEFT(MAIN!E745, IFERROR(FIND(",", MAIN!E745)-1, LEN(MAIN!E745))), " ", ""), lookup_values!$D$2:$E$197, 2, FALSE)))))</f>
        <v>--</v>
      </c>
      <c r="F745" t="str">
        <f>IF(ISBLANK(MAIN!F745), "", IF(AND(ISNUMBER(VALUE(TRIM(MAIN!F745))), LEN(TRIM(MAIN!F745))=4), VALUE(TRIM(MAIN!F745)), ""))</f>
        <v/>
      </c>
      <c r="G745">
        <f>IF(ISBLANK(MAIN!G745), 0, IF(ISNUMBER(VALUE(TRIM(MAIN!G745))), VALUE(TRIM(MAIN!G745)), 0))</f>
        <v>0</v>
      </c>
      <c r="H745">
        <f>IF(ISBLANK(MAIN!H745), 0, IF(ISNUMBER(VALUE(TRIM(MAIN!H745))), VALUE(TRIM(MAIN!H745)), 0))</f>
        <v>0</v>
      </c>
      <c r="I745">
        <f>IF(ISBLANK(MAIN!I745), 0, IF(ISNUMBER(VALUE(TRIM(MAIN!I745))), VALUE(TRIM(MAIN!I745)), 0))</f>
        <v>0</v>
      </c>
      <c r="J745">
        <f>IF(ISBLANK(MAIN!J745), 0, IF(ISNUMBER(VALUE(TRIM(MAIN!J745))), VALUE(TRIM(MAIN!J745)), 0))</f>
        <v>0</v>
      </c>
      <c r="K745" cm="1">
        <f t="array" ref="K745">IFERROR(
    VALUE(
        IFERROR(
            UPPER(
                IF(MAX(IFERROR(SEARCH("WD",MAIN!G745:J745), 0))&gt;0, "WD",
                IF(MAX(IFERROR(SEARCH("NS",MAIN!G745:J745), 0))&gt;0, "NS",
                IF(MAX(IFERROR(SEARCH("NC",MAIN!G745:J745), 0))&gt;0, "NC",
                IF(MAX(IFERROR(SEARCH("DQ",MAIN!G745:J745), 0))&gt;0, "DQ",
                IF(ISNUMBER(SEARCH("WD",MAIN!K745)), "WD",
                IF(ISNUMBER(SEARCH("NS",MAIN!K745)), "NS",
                IF(ISNUMBER(SEARCH("NC",MAIN!K745)), "NC",
                IF(ISNUMBER(SEARCH("DQ",MAIN!K745)), "DQ",
                IF(ISNUMBER(SEARCH("A",MAIN!K745)), 0,
                IF(OR(MAIN!K745=0,MAIN!K745=""), 0, --TRIM(MAIN!K745)))))))))))),
            0
        )
    ),
    IFERROR(
        UPPER(
            IF(MAX(IFERROR(SEARCH("WD",MAIN!G745:J745), 0))&gt;0, "WD",
            IF(MAX(IFERROR(SEARCH("NS",MAIN!G745:J745), 0))&gt;0, "NS",
            IF(MAX(IFERROR(SEARCH("NC",MAIN!G745:J745), 0))&gt;0, "NC",
            IF(MAX(IFERROR(SEARCH("DQ",MAIN!G745:J745), 0))&gt;0, "DQ",
            IF(ISNUMBER(SEARCH("WD",MAIN!K745)), "WD",
            IF(ISNUMBER(SEARCH("NS",MAIN!K745)), "NS",
            IF(ISNUMBER(SEARCH("NC",MAIN!K745)), "NC",
            IF(ISNUMBER(SEARCH("DQ",MAIN!K745)), "DQ",
            IF(ISNUMBER(SEARCH("A",MAIN!K745)), 0,
            IF(OR(MAIN!K745=0,MAIN!K745=""), 0, --TRIM(MAIN!K745)))))))))))),
        0
    )
)</f>
        <v>0</v>
      </c>
    </row>
    <row r="746" spans="1:11" x14ac:dyDescent="0.25">
      <c r="A746" t="str">
        <f>IF(ISBLANK(MAIN!A746), "--", IFERROR(PROPER(SUBSTITUTE(SUBSTITUTE(SUBSTITUTE(SUBSTITUTE(SUBSTITUTE(SUBSTITUTE(SUBSTITUTE(SUBSTITUTE(SUBSTITUTE(SUBSTITUTE(LEFT(MAIN!A746, FIND(",",MAIN!A746) -1), "0", ""), "1", ""), "2", ""), "3", ""), "4", ""), "5", ""), "6", ""), "7", ""), "8", ""), "9", "")), PROPER(SUBSTITUTE(SUBSTITUTE(SUBSTITUTE(SUBSTITUTE(SUBSTITUTE(SUBSTITUTE(SUBSTITUTE(SUBSTITUTE(SUBSTITUTE(SUBSTITUTE(MAIN!A746, "0", ""), "1", ""), "2", ""), "3", ""), "4", ""), "5", ""), "6", ""), "7", ""), "8", ""), "9", ""))))</f>
        <v>--</v>
      </c>
      <c r="B746" t="str">
        <f>IF(ISBLANK(MAIN!B746), "--", IFERROR(PROPER(SUBSTITUTE(SUBSTITUTE(SUBSTITUTE(SUBSTITUTE(SUBSTITUTE(SUBSTITUTE(SUBSTITUTE(SUBSTITUTE(SUBSTITUTE(SUBSTITUTE(LEFT(MAIN!B746, FIND(",",MAIN!B746) -1), "0", ""), "1", ""), "2", ""), "3", ""), "4", ""), "5", ""), "6", ""), "7", ""), "8", ""), "9", "")), PROPER(SUBSTITUTE(SUBSTITUTE(SUBSTITUTE(SUBSTITUTE(SUBSTITUTE(SUBSTITUTE(SUBSTITUTE(SUBSTITUTE(SUBSTITUTE(SUBSTITUTE(MAIN!B746, "0", ""), "1", ""), "2", ""), "3", ""), "4", ""), "5", ""), "6", ""), "7", ""), "8", ""), "9", ""))))</f>
        <v>--</v>
      </c>
      <c r="C746" t="str">
        <f>IF(ISBLANK(MAIN!C746), "--", IFERROR(PROPER(SUBSTITUTE(SUBSTITUTE(SUBSTITUTE(SUBSTITUTE(SUBSTITUTE(SUBSTITUTE(SUBSTITUTE(SUBSTITUTE(SUBSTITUTE(SUBSTITUTE(LEFT(MAIN!C746, FIND(",",MAIN!C746) -1), "0", ""), "1", ""), "2", ""), "3", ""), "4", ""), "5", ""), "6", ""), "7", ""), "8", ""), "9", "")), PROPER(SUBSTITUTE(SUBSTITUTE(SUBSTITUTE(SUBSTITUTE(SUBSTITUTE(SUBSTITUTE(SUBSTITUTE(SUBSTITUTE(SUBSTITUTE(SUBSTITUTE(MAIN!C746, "0", ""), "1", ""), "2", ""), "3", ""), "4", ""), "5", ""), "6", ""), "7", ""), "8", ""), "9", ""))))</f>
        <v>--</v>
      </c>
      <c r="D746" t="str">
        <f>IF(ISBLANK(MAIN!D746), "--", IF(ISNUMBER(MATCH(SUBSTITUTE(LEFT(MAIN!D746, IFERROR(FIND(",", MAIN!D746)-1, LEN(MAIN!D746))), " ", ""), lookup_values!$B$2:$B$51, 0)), UPPER(SUBSTITUTE(LEFT(MAIN!D746, IFERROR(FIND(",", MAIN!D746)-1, LEN(MAIN!D746))), " ", "")), IF(ISNA(VLOOKUP(SUBSTITUTE(LEFT(MAIN!D746, IFERROR(FIND(",", MAIN!D746)-1, LEN(MAIN!D746))), " ", ""), lookup_values!$A$2:$B$51, 2, FALSE)), "--", VLOOKUP(SUBSTITUTE(LEFT(MAIN!D746, IFERROR(FIND(",", MAIN!D746)-1, LEN(MAIN!D746))), " ", ""), lookup_values!$A$2:$B$51, 2, FALSE))))</f>
        <v>--</v>
      </c>
      <c r="E746" t="str">
        <f>IF(CLEAN_DATA!D746&lt;&gt;"--","US",IF(ISBLANK(MAIN!E746), "--", IF(ISNUMBER(MATCH(SUBSTITUTE(LEFT(MAIN!E746, IFERROR(FIND(",", MAIN!E746)-1, LEN(MAIN!E746))), " ", ""), lookup_values!$E$2:$E$197, 0)), UPPER(SUBSTITUTE(LEFT(MAIN!E746, IFERROR(FIND(",", MAIN!E746)-1, LEN(MAIN!E746))), " ", "")), IF(ISNA(VLOOKUP(SUBSTITUTE(LEFT(MAIN!E746, IFERROR(FIND(",", MAIN!E746)-1, LEN(MAIN!E746))), " ", ""), lookup_values!$D$2:$E$197, 2, FALSE)), "--", VLOOKUP(SUBSTITUTE(LEFT(MAIN!E746, IFERROR(FIND(",", MAIN!E746)-1, LEN(MAIN!E746))), " ", ""), lookup_values!$D$2:$E$197, 2, FALSE)))))</f>
        <v>--</v>
      </c>
      <c r="F746" t="str">
        <f>IF(ISBLANK(MAIN!F746), "", IF(AND(ISNUMBER(VALUE(TRIM(MAIN!F746))), LEN(TRIM(MAIN!F746))=4), VALUE(TRIM(MAIN!F746)), ""))</f>
        <v/>
      </c>
      <c r="G746">
        <f>IF(ISBLANK(MAIN!G746), 0, IF(ISNUMBER(VALUE(TRIM(MAIN!G746))), VALUE(TRIM(MAIN!G746)), 0))</f>
        <v>0</v>
      </c>
      <c r="H746">
        <f>IF(ISBLANK(MAIN!H746), 0, IF(ISNUMBER(VALUE(TRIM(MAIN!H746))), VALUE(TRIM(MAIN!H746)), 0))</f>
        <v>0</v>
      </c>
      <c r="I746">
        <f>IF(ISBLANK(MAIN!I746), 0, IF(ISNUMBER(VALUE(TRIM(MAIN!I746))), VALUE(TRIM(MAIN!I746)), 0))</f>
        <v>0</v>
      </c>
      <c r="J746">
        <f>IF(ISBLANK(MAIN!J746), 0, IF(ISNUMBER(VALUE(TRIM(MAIN!J746))), VALUE(TRIM(MAIN!J746)), 0))</f>
        <v>0</v>
      </c>
      <c r="K746" cm="1">
        <f t="array" ref="K746">IFERROR(
    VALUE(
        IFERROR(
            UPPER(
                IF(MAX(IFERROR(SEARCH("WD",MAIN!G746:J746), 0))&gt;0, "WD",
                IF(MAX(IFERROR(SEARCH("NS",MAIN!G746:J746), 0))&gt;0, "NS",
                IF(MAX(IFERROR(SEARCH("NC",MAIN!G746:J746), 0))&gt;0, "NC",
                IF(MAX(IFERROR(SEARCH("DQ",MAIN!G746:J746), 0))&gt;0, "DQ",
                IF(ISNUMBER(SEARCH("WD",MAIN!K746)), "WD",
                IF(ISNUMBER(SEARCH("NS",MAIN!K746)), "NS",
                IF(ISNUMBER(SEARCH("NC",MAIN!K746)), "NC",
                IF(ISNUMBER(SEARCH("DQ",MAIN!K746)), "DQ",
                IF(ISNUMBER(SEARCH("A",MAIN!K746)), 0,
                IF(OR(MAIN!K746=0,MAIN!K746=""), 0, --TRIM(MAIN!K746)))))))))))),
            0
        )
    ),
    IFERROR(
        UPPER(
            IF(MAX(IFERROR(SEARCH("WD",MAIN!G746:J746), 0))&gt;0, "WD",
            IF(MAX(IFERROR(SEARCH("NS",MAIN!G746:J746), 0))&gt;0, "NS",
            IF(MAX(IFERROR(SEARCH("NC",MAIN!G746:J746), 0))&gt;0, "NC",
            IF(MAX(IFERROR(SEARCH("DQ",MAIN!G746:J746), 0))&gt;0, "DQ",
            IF(ISNUMBER(SEARCH("WD",MAIN!K746)), "WD",
            IF(ISNUMBER(SEARCH("NS",MAIN!K746)), "NS",
            IF(ISNUMBER(SEARCH("NC",MAIN!K746)), "NC",
            IF(ISNUMBER(SEARCH("DQ",MAIN!K746)), "DQ",
            IF(ISNUMBER(SEARCH("A",MAIN!K746)), 0,
            IF(OR(MAIN!K746=0,MAIN!K746=""), 0, --TRIM(MAIN!K746)))))))))))),
        0
    )
)</f>
        <v>0</v>
      </c>
    </row>
    <row r="747" spans="1:11" x14ac:dyDescent="0.25">
      <c r="A747" t="str">
        <f>IF(ISBLANK(MAIN!A747), "--", IFERROR(PROPER(SUBSTITUTE(SUBSTITUTE(SUBSTITUTE(SUBSTITUTE(SUBSTITUTE(SUBSTITUTE(SUBSTITUTE(SUBSTITUTE(SUBSTITUTE(SUBSTITUTE(LEFT(MAIN!A747, FIND(",",MAIN!A747) -1), "0", ""), "1", ""), "2", ""), "3", ""), "4", ""), "5", ""), "6", ""), "7", ""), "8", ""), "9", "")), PROPER(SUBSTITUTE(SUBSTITUTE(SUBSTITUTE(SUBSTITUTE(SUBSTITUTE(SUBSTITUTE(SUBSTITUTE(SUBSTITUTE(SUBSTITUTE(SUBSTITUTE(MAIN!A747, "0", ""), "1", ""), "2", ""), "3", ""), "4", ""), "5", ""), "6", ""), "7", ""), "8", ""), "9", ""))))</f>
        <v>--</v>
      </c>
      <c r="B747" t="str">
        <f>IF(ISBLANK(MAIN!B747), "--", IFERROR(PROPER(SUBSTITUTE(SUBSTITUTE(SUBSTITUTE(SUBSTITUTE(SUBSTITUTE(SUBSTITUTE(SUBSTITUTE(SUBSTITUTE(SUBSTITUTE(SUBSTITUTE(LEFT(MAIN!B747, FIND(",",MAIN!B747) -1), "0", ""), "1", ""), "2", ""), "3", ""), "4", ""), "5", ""), "6", ""), "7", ""), "8", ""), "9", "")), PROPER(SUBSTITUTE(SUBSTITUTE(SUBSTITUTE(SUBSTITUTE(SUBSTITUTE(SUBSTITUTE(SUBSTITUTE(SUBSTITUTE(SUBSTITUTE(SUBSTITUTE(MAIN!B747, "0", ""), "1", ""), "2", ""), "3", ""), "4", ""), "5", ""), "6", ""), "7", ""), "8", ""), "9", ""))))</f>
        <v>--</v>
      </c>
      <c r="C747" t="str">
        <f>IF(ISBLANK(MAIN!C747), "--", IFERROR(PROPER(SUBSTITUTE(SUBSTITUTE(SUBSTITUTE(SUBSTITUTE(SUBSTITUTE(SUBSTITUTE(SUBSTITUTE(SUBSTITUTE(SUBSTITUTE(SUBSTITUTE(LEFT(MAIN!C747, FIND(",",MAIN!C747) -1), "0", ""), "1", ""), "2", ""), "3", ""), "4", ""), "5", ""), "6", ""), "7", ""), "8", ""), "9", "")), PROPER(SUBSTITUTE(SUBSTITUTE(SUBSTITUTE(SUBSTITUTE(SUBSTITUTE(SUBSTITUTE(SUBSTITUTE(SUBSTITUTE(SUBSTITUTE(SUBSTITUTE(MAIN!C747, "0", ""), "1", ""), "2", ""), "3", ""), "4", ""), "5", ""), "6", ""), "7", ""), "8", ""), "9", ""))))</f>
        <v>--</v>
      </c>
      <c r="D747" t="str">
        <f>IF(ISBLANK(MAIN!D747), "--", IF(ISNUMBER(MATCH(SUBSTITUTE(LEFT(MAIN!D747, IFERROR(FIND(",", MAIN!D747)-1, LEN(MAIN!D747))), " ", ""), lookup_values!$B$2:$B$51, 0)), UPPER(SUBSTITUTE(LEFT(MAIN!D747, IFERROR(FIND(",", MAIN!D747)-1, LEN(MAIN!D747))), " ", "")), IF(ISNA(VLOOKUP(SUBSTITUTE(LEFT(MAIN!D747, IFERROR(FIND(",", MAIN!D747)-1, LEN(MAIN!D747))), " ", ""), lookup_values!$A$2:$B$51, 2, FALSE)), "--", VLOOKUP(SUBSTITUTE(LEFT(MAIN!D747, IFERROR(FIND(",", MAIN!D747)-1, LEN(MAIN!D747))), " ", ""), lookup_values!$A$2:$B$51, 2, FALSE))))</f>
        <v>--</v>
      </c>
      <c r="E747" t="str">
        <f>IF(CLEAN_DATA!D747&lt;&gt;"--","US",IF(ISBLANK(MAIN!E747), "--", IF(ISNUMBER(MATCH(SUBSTITUTE(LEFT(MAIN!E747, IFERROR(FIND(",", MAIN!E747)-1, LEN(MAIN!E747))), " ", ""), lookup_values!$E$2:$E$197, 0)), UPPER(SUBSTITUTE(LEFT(MAIN!E747, IFERROR(FIND(",", MAIN!E747)-1, LEN(MAIN!E747))), " ", "")), IF(ISNA(VLOOKUP(SUBSTITUTE(LEFT(MAIN!E747, IFERROR(FIND(",", MAIN!E747)-1, LEN(MAIN!E747))), " ", ""), lookup_values!$D$2:$E$197, 2, FALSE)), "--", VLOOKUP(SUBSTITUTE(LEFT(MAIN!E747, IFERROR(FIND(",", MAIN!E747)-1, LEN(MAIN!E747))), " ", ""), lookup_values!$D$2:$E$197, 2, FALSE)))))</f>
        <v>--</v>
      </c>
      <c r="F747" t="str">
        <f>IF(ISBLANK(MAIN!F747), "", IF(AND(ISNUMBER(VALUE(TRIM(MAIN!F747))), LEN(TRIM(MAIN!F747))=4), VALUE(TRIM(MAIN!F747)), ""))</f>
        <v/>
      </c>
      <c r="G747">
        <f>IF(ISBLANK(MAIN!G747), 0, IF(ISNUMBER(VALUE(TRIM(MAIN!G747))), VALUE(TRIM(MAIN!G747)), 0))</f>
        <v>0</v>
      </c>
      <c r="H747">
        <f>IF(ISBLANK(MAIN!H747), 0, IF(ISNUMBER(VALUE(TRIM(MAIN!H747))), VALUE(TRIM(MAIN!H747)), 0))</f>
        <v>0</v>
      </c>
      <c r="I747">
        <f>IF(ISBLANK(MAIN!I747), 0, IF(ISNUMBER(VALUE(TRIM(MAIN!I747))), VALUE(TRIM(MAIN!I747)), 0))</f>
        <v>0</v>
      </c>
      <c r="J747">
        <f>IF(ISBLANK(MAIN!J747), 0, IF(ISNUMBER(VALUE(TRIM(MAIN!J747))), VALUE(TRIM(MAIN!J747)), 0))</f>
        <v>0</v>
      </c>
      <c r="K747" cm="1">
        <f t="array" ref="K747">IFERROR(
    VALUE(
        IFERROR(
            UPPER(
                IF(MAX(IFERROR(SEARCH("WD",MAIN!G747:J747), 0))&gt;0, "WD",
                IF(MAX(IFERROR(SEARCH("NS",MAIN!G747:J747), 0))&gt;0, "NS",
                IF(MAX(IFERROR(SEARCH("NC",MAIN!G747:J747), 0))&gt;0, "NC",
                IF(MAX(IFERROR(SEARCH("DQ",MAIN!G747:J747), 0))&gt;0, "DQ",
                IF(ISNUMBER(SEARCH("WD",MAIN!K747)), "WD",
                IF(ISNUMBER(SEARCH("NS",MAIN!K747)), "NS",
                IF(ISNUMBER(SEARCH("NC",MAIN!K747)), "NC",
                IF(ISNUMBER(SEARCH("DQ",MAIN!K747)), "DQ",
                IF(ISNUMBER(SEARCH("A",MAIN!K747)), 0,
                IF(OR(MAIN!K747=0,MAIN!K747=""), 0, --TRIM(MAIN!K747)))))))))))),
            0
        )
    ),
    IFERROR(
        UPPER(
            IF(MAX(IFERROR(SEARCH("WD",MAIN!G747:J747), 0))&gt;0, "WD",
            IF(MAX(IFERROR(SEARCH("NS",MAIN!G747:J747), 0))&gt;0, "NS",
            IF(MAX(IFERROR(SEARCH("NC",MAIN!G747:J747), 0))&gt;0, "NC",
            IF(MAX(IFERROR(SEARCH("DQ",MAIN!G747:J747), 0))&gt;0, "DQ",
            IF(ISNUMBER(SEARCH("WD",MAIN!K747)), "WD",
            IF(ISNUMBER(SEARCH("NS",MAIN!K747)), "NS",
            IF(ISNUMBER(SEARCH("NC",MAIN!K747)), "NC",
            IF(ISNUMBER(SEARCH("DQ",MAIN!K747)), "DQ",
            IF(ISNUMBER(SEARCH("A",MAIN!K747)), 0,
            IF(OR(MAIN!K747=0,MAIN!K747=""), 0, --TRIM(MAIN!K747)))))))))))),
        0
    )
)</f>
        <v>0</v>
      </c>
    </row>
    <row r="748" spans="1:11" x14ac:dyDescent="0.25">
      <c r="A748" t="str">
        <f>IF(ISBLANK(MAIN!A748), "--", IFERROR(PROPER(SUBSTITUTE(SUBSTITUTE(SUBSTITUTE(SUBSTITUTE(SUBSTITUTE(SUBSTITUTE(SUBSTITUTE(SUBSTITUTE(SUBSTITUTE(SUBSTITUTE(LEFT(MAIN!A748, FIND(",",MAIN!A748) -1), "0", ""), "1", ""), "2", ""), "3", ""), "4", ""), "5", ""), "6", ""), "7", ""), "8", ""), "9", "")), PROPER(SUBSTITUTE(SUBSTITUTE(SUBSTITUTE(SUBSTITUTE(SUBSTITUTE(SUBSTITUTE(SUBSTITUTE(SUBSTITUTE(SUBSTITUTE(SUBSTITUTE(MAIN!A748, "0", ""), "1", ""), "2", ""), "3", ""), "4", ""), "5", ""), "6", ""), "7", ""), "8", ""), "9", ""))))</f>
        <v>--</v>
      </c>
      <c r="B748" t="str">
        <f>IF(ISBLANK(MAIN!B748), "--", IFERROR(PROPER(SUBSTITUTE(SUBSTITUTE(SUBSTITUTE(SUBSTITUTE(SUBSTITUTE(SUBSTITUTE(SUBSTITUTE(SUBSTITUTE(SUBSTITUTE(SUBSTITUTE(LEFT(MAIN!B748, FIND(",",MAIN!B748) -1), "0", ""), "1", ""), "2", ""), "3", ""), "4", ""), "5", ""), "6", ""), "7", ""), "8", ""), "9", "")), PROPER(SUBSTITUTE(SUBSTITUTE(SUBSTITUTE(SUBSTITUTE(SUBSTITUTE(SUBSTITUTE(SUBSTITUTE(SUBSTITUTE(SUBSTITUTE(SUBSTITUTE(MAIN!B748, "0", ""), "1", ""), "2", ""), "3", ""), "4", ""), "5", ""), "6", ""), "7", ""), "8", ""), "9", ""))))</f>
        <v>--</v>
      </c>
      <c r="C748" t="str">
        <f>IF(ISBLANK(MAIN!C748), "--", IFERROR(PROPER(SUBSTITUTE(SUBSTITUTE(SUBSTITUTE(SUBSTITUTE(SUBSTITUTE(SUBSTITUTE(SUBSTITUTE(SUBSTITUTE(SUBSTITUTE(SUBSTITUTE(LEFT(MAIN!C748, FIND(",",MAIN!C748) -1), "0", ""), "1", ""), "2", ""), "3", ""), "4", ""), "5", ""), "6", ""), "7", ""), "8", ""), "9", "")), PROPER(SUBSTITUTE(SUBSTITUTE(SUBSTITUTE(SUBSTITUTE(SUBSTITUTE(SUBSTITUTE(SUBSTITUTE(SUBSTITUTE(SUBSTITUTE(SUBSTITUTE(MAIN!C748, "0", ""), "1", ""), "2", ""), "3", ""), "4", ""), "5", ""), "6", ""), "7", ""), "8", ""), "9", ""))))</f>
        <v>--</v>
      </c>
      <c r="D748" t="str">
        <f>IF(ISBLANK(MAIN!D748), "--", IF(ISNUMBER(MATCH(SUBSTITUTE(LEFT(MAIN!D748, IFERROR(FIND(",", MAIN!D748)-1, LEN(MAIN!D748))), " ", ""), lookup_values!$B$2:$B$51, 0)), UPPER(SUBSTITUTE(LEFT(MAIN!D748, IFERROR(FIND(",", MAIN!D748)-1, LEN(MAIN!D748))), " ", "")), IF(ISNA(VLOOKUP(SUBSTITUTE(LEFT(MAIN!D748, IFERROR(FIND(",", MAIN!D748)-1, LEN(MAIN!D748))), " ", ""), lookup_values!$A$2:$B$51, 2, FALSE)), "--", VLOOKUP(SUBSTITUTE(LEFT(MAIN!D748, IFERROR(FIND(",", MAIN!D748)-1, LEN(MAIN!D748))), " ", ""), lookup_values!$A$2:$B$51, 2, FALSE))))</f>
        <v>--</v>
      </c>
      <c r="E748" t="str">
        <f>IF(CLEAN_DATA!D748&lt;&gt;"--","US",IF(ISBLANK(MAIN!E748), "--", IF(ISNUMBER(MATCH(SUBSTITUTE(LEFT(MAIN!E748, IFERROR(FIND(",", MAIN!E748)-1, LEN(MAIN!E748))), " ", ""), lookup_values!$E$2:$E$197, 0)), UPPER(SUBSTITUTE(LEFT(MAIN!E748, IFERROR(FIND(",", MAIN!E748)-1, LEN(MAIN!E748))), " ", "")), IF(ISNA(VLOOKUP(SUBSTITUTE(LEFT(MAIN!E748, IFERROR(FIND(",", MAIN!E748)-1, LEN(MAIN!E748))), " ", ""), lookup_values!$D$2:$E$197, 2, FALSE)), "--", VLOOKUP(SUBSTITUTE(LEFT(MAIN!E748, IFERROR(FIND(",", MAIN!E748)-1, LEN(MAIN!E748))), " ", ""), lookup_values!$D$2:$E$197, 2, FALSE)))))</f>
        <v>--</v>
      </c>
      <c r="F748" t="str">
        <f>IF(ISBLANK(MAIN!F748), "", IF(AND(ISNUMBER(VALUE(TRIM(MAIN!F748))), LEN(TRIM(MAIN!F748))=4), VALUE(TRIM(MAIN!F748)), ""))</f>
        <v/>
      </c>
      <c r="G748">
        <f>IF(ISBLANK(MAIN!G748), 0, IF(ISNUMBER(VALUE(TRIM(MAIN!G748))), VALUE(TRIM(MAIN!G748)), 0))</f>
        <v>0</v>
      </c>
      <c r="H748">
        <f>IF(ISBLANK(MAIN!H748), 0, IF(ISNUMBER(VALUE(TRIM(MAIN!H748))), VALUE(TRIM(MAIN!H748)), 0))</f>
        <v>0</v>
      </c>
      <c r="I748">
        <f>IF(ISBLANK(MAIN!I748), 0, IF(ISNUMBER(VALUE(TRIM(MAIN!I748))), VALUE(TRIM(MAIN!I748)), 0))</f>
        <v>0</v>
      </c>
      <c r="J748">
        <f>IF(ISBLANK(MAIN!J748), 0, IF(ISNUMBER(VALUE(TRIM(MAIN!J748))), VALUE(TRIM(MAIN!J748)), 0))</f>
        <v>0</v>
      </c>
      <c r="K748" cm="1">
        <f t="array" ref="K748">IFERROR(
    VALUE(
        IFERROR(
            UPPER(
                IF(MAX(IFERROR(SEARCH("WD",MAIN!G748:J748), 0))&gt;0, "WD",
                IF(MAX(IFERROR(SEARCH("NS",MAIN!G748:J748), 0))&gt;0, "NS",
                IF(MAX(IFERROR(SEARCH("NC",MAIN!G748:J748), 0))&gt;0, "NC",
                IF(MAX(IFERROR(SEARCH("DQ",MAIN!G748:J748), 0))&gt;0, "DQ",
                IF(ISNUMBER(SEARCH("WD",MAIN!K748)), "WD",
                IF(ISNUMBER(SEARCH("NS",MAIN!K748)), "NS",
                IF(ISNUMBER(SEARCH("NC",MAIN!K748)), "NC",
                IF(ISNUMBER(SEARCH("DQ",MAIN!K748)), "DQ",
                IF(ISNUMBER(SEARCH("A",MAIN!K748)), 0,
                IF(OR(MAIN!K748=0,MAIN!K748=""), 0, --TRIM(MAIN!K748)))))))))))),
            0
        )
    ),
    IFERROR(
        UPPER(
            IF(MAX(IFERROR(SEARCH("WD",MAIN!G748:J748), 0))&gt;0, "WD",
            IF(MAX(IFERROR(SEARCH("NS",MAIN!G748:J748), 0))&gt;0, "NS",
            IF(MAX(IFERROR(SEARCH("NC",MAIN!G748:J748), 0))&gt;0, "NC",
            IF(MAX(IFERROR(SEARCH("DQ",MAIN!G748:J748), 0))&gt;0, "DQ",
            IF(ISNUMBER(SEARCH("WD",MAIN!K748)), "WD",
            IF(ISNUMBER(SEARCH("NS",MAIN!K748)), "NS",
            IF(ISNUMBER(SEARCH("NC",MAIN!K748)), "NC",
            IF(ISNUMBER(SEARCH("DQ",MAIN!K748)), "DQ",
            IF(ISNUMBER(SEARCH("A",MAIN!K748)), 0,
            IF(OR(MAIN!K748=0,MAIN!K748=""), 0, --TRIM(MAIN!K748)))))))))))),
        0
    )
)</f>
        <v>0</v>
      </c>
    </row>
    <row r="749" spans="1:11" x14ac:dyDescent="0.25">
      <c r="A749" t="str">
        <f>IF(ISBLANK(MAIN!A749), "--", IFERROR(PROPER(SUBSTITUTE(SUBSTITUTE(SUBSTITUTE(SUBSTITUTE(SUBSTITUTE(SUBSTITUTE(SUBSTITUTE(SUBSTITUTE(SUBSTITUTE(SUBSTITUTE(LEFT(MAIN!A749, FIND(",",MAIN!A749) -1), "0", ""), "1", ""), "2", ""), "3", ""), "4", ""), "5", ""), "6", ""), "7", ""), "8", ""), "9", "")), PROPER(SUBSTITUTE(SUBSTITUTE(SUBSTITUTE(SUBSTITUTE(SUBSTITUTE(SUBSTITUTE(SUBSTITUTE(SUBSTITUTE(SUBSTITUTE(SUBSTITUTE(MAIN!A749, "0", ""), "1", ""), "2", ""), "3", ""), "4", ""), "5", ""), "6", ""), "7", ""), "8", ""), "9", ""))))</f>
        <v>--</v>
      </c>
      <c r="B749" t="str">
        <f>IF(ISBLANK(MAIN!B749), "--", IFERROR(PROPER(SUBSTITUTE(SUBSTITUTE(SUBSTITUTE(SUBSTITUTE(SUBSTITUTE(SUBSTITUTE(SUBSTITUTE(SUBSTITUTE(SUBSTITUTE(SUBSTITUTE(LEFT(MAIN!B749, FIND(",",MAIN!B749) -1), "0", ""), "1", ""), "2", ""), "3", ""), "4", ""), "5", ""), "6", ""), "7", ""), "8", ""), "9", "")), PROPER(SUBSTITUTE(SUBSTITUTE(SUBSTITUTE(SUBSTITUTE(SUBSTITUTE(SUBSTITUTE(SUBSTITUTE(SUBSTITUTE(SUBSTITUTE(SUBSTITUTE(MAIN!B749, "0", ""), "1", ""), "2", ""), "3", ""), "4", ""), "5", ""), "6", ""), "7", ""), "8", ""), "9", ""))))</f>
        <v>--</v>
      </c>
      <c r="C749" t="str">
        <f>IF(ISBLANK(MAIN!C749), "--", IFERROR(PROPER(SUBSTITUTE(SUBSTITUTE(SUBSTITUTE(SUBSTITUTE(SUBSTITUTE(SUBSTITUTE(SUBSTITUTE(SUBSTITUTE(SUBSTITUTE(SUBSTITUTE(LEFT(MAIN!C749, FIND(",",MAIN!C749) -1), "0", ""), "1", ""), "2", ""), "3", ""), "4", ""), "5", ""), "6", ""), "7", ""), "8", ""), "9", "")), PROPER(SUBSTITUTE(SUBSTITUTE(SUBSTITUTE(SUBSTITUTE(SUBSTITUTE(SUBSTITUTE(SUBSTITUTE(SUBSTITUTE(SUBSTITUTE(SUBSTITUTE(MAIN!C749, "0", ""), "1", ""), "2", ""), "3", ""), "4", ""), "5", ""), "6", ""), "7", ""), "8", ""), "9", ""))))</f>
        <v>--</v>
      </c>
      <c r="D749" t="str">
        <f>IF(ISBLANK(MAIN!D749), "--", IF(ISNUMBER(MATCH(SUBSTITUTE(LEFT(MAIN!D749, IFERROR(FIND(",", MAIN!D749)-1, LEN(MAIN!D749))), " ", ""), lookup_values!$B$2:$B$51, 0)), UPPER(SUBSTITUTE(LEFT(MAIN!D749, IFERROR(FIND(",", MAIN!D749)-1, LEN(MAIN!D749))), " ", "")), IF(ISNA(VLOOKUP(SUBSTITUTE(LEFT(MAIN!D749, IFERROR(FIND(",", MAIN!D749)-1, LEN(MAIN!D749))), " ", ""), lookup_values!$A$2:$B$51, 2, FALSE)), "--", VLOOKUP(SUBSTITUTE(LEFT(MAIN!D749, IFERROR(FIND(",", MAIN!D749)-1, LEN(MAIN!D749))), " ", ""), lookup_values!$A$2:$B$51, 2, FALSE))))</f>
        <v>--</v>
      </c>
      <c r="E749" t="str">
        <f>IF(CLEAN_DATA!D749&lt;&gt;"--","US",IF(ISBLANK(MAIN!E749), "--", IF(ISNUMBER(MATCH(SUBSTITUTE(LEFT(MAIN!E749, IFERROR(FIND(",", MAIN!E749)-1, LEN(MAIN!E749))), " ", ""), lookup_values!$E$2:$E$197, 0)), UPPER(SUBSTITUTE(LEFT(MAIN!E749, IFERROR(FIND(",", MAIN!E749)-1, LEN(MAIN!E749))), " ", "")), IF(ISNA(VLOOKUP(SUBSTITUTE(LEFT(MAIN!E749, IFERROR(FIND(",", MAIN!E749)-1, LEN(MAIN!E749))), " ", ""), lookup_values!$D$2:$E$197, 2, FALSE)), "--", VLOOKUP(SUBSTITUTE(LEFT(MAIN!E749, IFERROR(FIND(",", MAIN!E749)-1, LEN(MAIN!E749))), " ", ""), lookup_values!$D$2:$E$197, 2, FALSE)))))</f>
        <v>--</v>
      </c>
      <c r="F749" t="str">
        <f>IF(ISBLANK(MAIN!F749), "", IF(AND(ISNUMBER(VALUE(TRIM(MAIN!F749))), LEN(TRIM(MAIN!F749))=4), VALUE(TRIM(MAIN!F749)), ""))</f>
        <v/>
      </c>
      <c r="G749">
        <f>IF(ISBLANK(MAIN!G749), 0, IF(ISNUMBER(VALUE(TRIM(MAIN!G749))), VALUE(TRIM(MAIN!G749)), 0))</f>
        <v>0</v>
      </c>
      <c r="H749">
        <f>IF(ISBLANK(MAIN!H749), 0, IF(ISNUMBER(VALUE(TRIM(MAIN!H749))), VALUE(TRIM(MAIN!H749)), 0))</f>
        <v>0</v>
      </c>
      <c r="I749">
        <f>IF(ISBLANK(MAIN!I749), 0, IF(ISNUMBER(VALUE(TRIM(MAIN!I749))), VALUE(TRIM(MAIN!I749)), 0))</f>
        <v>0</v>
      </c>
      <c r="J749">
        <f>IF(ISBLANK(MAIN!J749), 0, IF(ISNUMBER(VALUE(TRIM(MAIN!J749))), VALUE(TRIM(MAIN!J749)), 0))</f>
        <v>0</v>
      </c>
      <c r="K749" cm="1">
        <f t="array" ref="K749">IFERROR(
    VALUE(
        IFERROR(
            UPPER(
                IF(MAX(IFERROR(SEARCH("WD",MAIN!G749:J749), 0))&gt;0, "WD",
                IF(MAX(IFERROR(SEARCH("NS",MAIN!G749:J749), 0))&gt;0, "NS",
                IF(MAX(IFERROR(SEARCH("NC",MAIN!G749:J749), 0))&gt;0, "NC",
                IF(MAX(IFERROR(SEARCH("DQ",MAIN!G749:J749), 0))&gt;0, "DQ",
                IF(ISNUMBER(SEARCH("WD",MAIN!K749)), "WD",
                IF(ISNUMBER(SEARCH("NS",MAIN!K749)), "NS",
                IF(ISNUMBER(SEARCH("NC",MAIN!K749)), "NC",
                IF(ISNUMBER(SEARCH("DQ",MAIN!K749)), "DQ",
                IF(ISNUMBER(SEARCH("A",MAIN!K749)), 0,
                IF(OR(MAIN!K749=0,MAIN!K749=""), 0, --TRIM(MAIN!K749)))))))))))),
            0
        )
    ),
    IFERROR(
        UPPER(
            IF(MAX(IFERROR(SEARCH("WD",MAIN!G749:J749), 0))&gt;0, "WD",
            IF(MAX(IFERROR(SEARCH("NS",MAIN!G749:J749), 0))&gt;0, "NS",
            IF(MAX(IFERROR(SEARCH("NC",MAIN!G749:J749), 0))&gt;0, "NC",
            IF(MAX(IFERROR(SEARCH("DQ",MAIN!G749:J749), 0))&gt;0, "DQ",
            IF(ISNUMBER(SEARCH("WD",MAIN!K749)), "WD",
            IF(ISNUMBER(SEARCH("NS",MAIN!K749)), "NS",
            IF(ISNUMBER(SEARCH("NC",MAIN!K749)), "NC",
            IF(ISNUMBER(SEARCH("DQ",MAIN!K749)), "DQ",
            IF(ISNUMBER(SEARCH("A",MAIN!K749)), 0,
            IF(OR(MAIN!K749=0,MAIN!K749=""), 0, --TRIM(MAIN!K749)))))))))))),
        0
    )
)</f>
        <v>0</v>
      </c>
    </row>
    <row r="750" spans="1:11" x14ac:dyDescent="0.25">
      <c r="A750" t="str">
        <f>IF(ISBLANK(MAIN!A750), "--", IFERROR(PROPER(SUBSTITUTE(SUBSTITUTE(SUBSTITUTE(SUBSTITUTE(SUBSTITUTE(SUBSTITUTE(SUBSTITUTE(SUBSTITUTE(SUBSTITUTE(SUBSTITUTE(LEFT(MAIN!A750, FIND(",",MAIN!A750) -1), "0", ""), "1", ""), "2", ""), "3", ""), "4", ""), "5", ""), "6", ""), "7", ""), "8", ""), "9", "")), PROPER(SUBSTITUTE(SUBSTITUTE(SUBSTITUTE(SUBSTITUTE(SUBSTITUTE(SUBSTITUTE(SUBSTITUTE(SUBSTITUTE(SUBSTITUTE(SUBSTITUTE(MAIN!A750, "0", ""), "1", ""), "2", ""), "3", ""), "4", ""), "5", ""), "6", ""), "7", ""), "8", ""), "9", ""))))</f>
        <v>--</v>
      </c>
      <c r="B750" t="str">
        <f>IF(ISBLANK(MAIN!B750), "--", IFERROR(PROPER(SUBSTITUTE(SUBSTITUTE(SUBSTITUTE(SUBSTITUTE(SUBSTITUTE(SUBSTITUTE(SUBSTITUTE(SUBSTITUTE(SUBSTITUTE(SUBSTITUTE(LEFT(MAIN!B750, FIND(",",MAIN!B750) -1), "0", ""), "1", ""), "2", ""), "3", ""), "4", ""), "5", ""), "6", ""), "7", ""), "8", ""), "9", "")), PROPER(SUBSTITUTE(SUBSTITUTE(SUBSTITUTE(SUBSTITUTE(SUBSTITUTE(SUBSTITUTE(SUBSTITUTE(SUBSTITUTE(SUBSTITUTE(SUBSTITUTE(MAIN!B750, "0", ""), "1", ""), "2", ""), "3", ""), "4", ""), "5", ""), "6", ""), "7", ""), "8", ""), "9", ""))))</f>
        <v>--</v>
      </c>
      <c r="C750" t="str">
        <f>IF(ISBLANK(MAIN!C750), "--", IFERROR(PROPER(SUBSTITUTE(SUBSTITUTE(SUBSTITUTE(SUBSTITUTE(SUBSTITUTE(SUBSTITUTE(SUBSTITUTE(SUBSTITUTE(SUBSTITUTE(SUBSTITUTE(LEFT(MAIN!C750, FIND(",",MAIN!C750) -1), "0", ""), "1", ""), "2", ""), "3", ""), "4", ""), "5", ""), "6", ""), "7", ""), "8", ""), "9", "")), PROPER(SUBSTITUTE(SUBSTITUTE(SUBSTITUTE(SUBSTITUTE(SUBSTITUTE(SUBSTITUTE(SUBSTITUTE(SUBSTITUTE(SUBSTITUTE(SUBSTITUTE(MAIN!C750, "0", ""), "1", ""), "2", ""), "3", ""), "4", ""), "5", ""), "6", ""), "7", ""), "8", ""), "9", ""))))</f>
        <v>--</v>
      </c>
      <c r="D750" t="str">
        <f>IF(ISBLANK(MAIN!D750), "--", IF(ISNUMBER(MATCH(SUBSTITUTE(LEFT(MAIN!D750, IFERROR(FIND(",", MAIN!D750)-1, LEN(MAIN!D750))), " ", ""), lookup_values!$B$2:$B$51, 0)), UPPER(SUBSTITUTE(LEFT(MAIN!D750, IFERROR(FIND(",", MAIN!D750)-1, LEN(MAIN!D750))), " ", "")), IF(ISNA(VLOOKUP(SUBSTITUTE(LEFT(MAIN!D750, IFERROR(FIND(",", MAIN!D750)-1, LEN(MAIN!D750))), " ", ""), lookup_values!$A$2:$B$51, 2, FALSE)), "--", VLOOKUP(SUBSTITUTE(LEFT(MAIN!D750, IFERROR(FIND(",", MAIN!D750)-1, LEN(MAIN!D750))), " ", ""), lookup_values!$A$2:$B$51, 2, FALSE))))</f>
        <v>--</v>
      </c>
      <c r="E750" t="str">
        <f>IF(CLEAN_DATA!D750&lt;&gt;"--","US",IF(ISBLANK(MAIN!E750), "--", IF(ISNUMBER(MATCH(SUBSTITUTE(LEFT(MAIN!E750, IFERROR(FIND(",", MAIN!E750)-1, LEN(MAIN!E750))), " ", ""), lookup_values!$E$2:$E$197, 0)), UPPER(SUBSTITUTE(LEFT(MAIN!E750, IFERROR(FIND(",", MAIN!E750)-1, LEN(MAIN!E750))), " ", "")), IF(ISNA(VLOOKUP(SUBSTITUTE(LEFT(MAIN!E750, IFERROR(FIND(",", MAIN!E750)-1, LEN(MAIN!E750))), " ", ""), lookup_values!$D$2:$E$197, 2, FALSE)), "--", VLOOKUP(SUBSTITUTE(LEFT(MAIN!E750, IFERROR(FIND(",", MAIN!E750)-1, LEN(MAIN!E750))), " ", ""), lookup_values!$D$2:$E$197, 2, FALSE)))))</f>
        <v>--</v>
      </c>
      <c r="F750" t="str">
        <f>IF(ISBLANK(MAIN!F750), "", IF(AND(ISNUMBER(VALUE(TRIM(MAIN!F750))), LEN(TRIM(MAIN!F750))=4), VALUE(TRIM(MAIN!F750)), ""))</f>
        <v/>
      </c>
      <c r="G750">
        <f>IF(ISBLANK(MAIN!G750), 0, IF(ISNUMBER(VALUE(TRIM(MAIN!G750))), VALUE(TRIM(MAIN!G750)), 0))</f>
        <v>0</v>
      </c>
      <c r="H750">
        <f>IF(ISBLANK(MAIN!H750), 0, IF(ISNUMBER(VALUE(TRIM(MAIN!H750))), VALUE(TRIM(MAIN!H750)), 0))</f>
        <v>0</v>
      </c>
      <c r="I750">
        <f>IF(ISBLANK(MAIN!I750), 0, IF(ISNUMBER(VALUE(TRIM(MAIN!I750))), VALUE(TRIM(MAIN!I750)), 0))</f>
        <v>0</v>
      </c>
      <c r="J750">
        <f>IF(ISBLANK(MAIN!J750), 0, IF(ISNUMBER(VALUE(TRIM(MAIN!J750))), VALUE(TRIM(MAIN!J750)), 0))</f>
        <v>0</v>
      </c>
      <c r="K750" cm="1">
        <f t="array" ref="K750">IFERROR(
    VALUE(
        IFERROR(
            UPPER(
                IF(MAX(IFERROR(SEARCH("WD",MAIN!G750:J750), 0))&gt;0, "WD",
                IF(MAX(IFERROR(SEARCH("NS",MAIN!G750:J750), 0))&gt;0, "NS",
                IF(MAX(IFERROR(SEARCH("NC",MAIN!G750:J750), 0))&gt;0, "NC",
                IF(MAX(IFERROR(SEARCH("DQ",MAIN!G750:J750), 0))&gt;0, "DQ",
                IF(ISNUMBER(SEARCH("WD",MAIN!K750)), "WD",
                IF(ISNUMBER(SEARCH("NS",MAIN!K750)), "NS",
                IF(ISNUMBER(SEARCH("NC",MAIN!K750)), "NC",
                IF(ISNUMBER(SEARCH("DQ",MAIN!K750)), "DQ",
                IF(ISNUMBER(SEARCH("A",MAIN!K750)), 0,
                IF(OR(MAIN!K750=0,MAIN!K750=""), 0, --TRIM(MAIN!K750)))))))))))),
            0
        )
    ),
    IFERROR(
        UPPER(
            IF(MAX(IFERROR(SEARCH("WD",MAIN!G750:J750), 0))&gt;0, "WD",
            IF(MAX(IFERROR(SEARCH("NS",MAIN!G750:J750), 0))&gt;0, "NS",
            IF(MAX(IFERROR(SEARCH("NC",MAIN!G750:J750), 0))&gt;0, "NC",
            IF(MAX(IFERROR(SEARCH("DQ",MAIN!G750:J750), 0))&gt;0, "DQ",
            IF(ISNUMBER(SEARCH("WD",MAIN!K750)), "WD",
            IF(ISNUMBER(SEARCH("NS",MAIN!K750)), "NS",
            IF(ISNUMBER(SEARCH("NC",MAIN!K750)), "NC",
            IF(ISNUMBER(SEARCH("DQ",MAIN!K750)), "DQ",
            IF(ISNUMBER(SEARCH("A",MAIN!K750)), 0,
            IF(OR(MAIN!K750=0,MAIN!K750=""), 0, --TRIM(MAIN!K750)))))))))))),
        0
    )
)</f>
        <v>0</v>
      </c>
    </row>
    <row r="751" spans="1:11" x14ac:dyDescent="0.25">
      <c r="A751" t="str">
        <f>IF(ISBLANK(MAIN!A751), "--", IFERROR(PROPER(SUBSTITUTE(SUBSTITUTE(SUBSTITUTE(SUBSTITUTE(SUBSTITUTE(SUBSTITUTE(SUBSTITUTE(SUBSTITUTE(SUBSTITUTE(SUBSTITUTE(LEFT(MAIN!A751, FIND(",",MAIN!A751) -1), "0", ""), "1", ""), "2", ""), "3", ""), "4", ""), "5", ""), "6", ""), "7", ""), "8", ""), "9", "")), PROPER(SUBSTITUTE(SUBSTITUTE(SUBSTITUTE(SUBSTITUTE(SUBSTITUTE(SUBSTITUTE(SUBSTITUTE(SUBSTITUTE(SUBSTITUTE(SUBSTITUTE(MAIN!A751, "0", ""), "1", ""), "2", ""), "3", ""), "4", ""), "5", ""), "6", ""), "7", ""), "8", ""), "9", ""))))</f>
        <v>--</v>
      </c>
      <c r="B751" t="str">
        <f>IF(ISBLANK(MAIN!B751), "--", IFERROR(PROPER(SUBSTITUTE(SUBSTITUTE(SUBSTITUTE(SUBSTITUTE(SUBSTITUTE(SUBSTITUTE(SUBSTITUTE(SUBSTITUTE(SUBSTITUTE(SUBSTITUTE(LEFT(MAIN!B751, FIND(",",MAIN!B751) -1), "0", ""), "1", ""), "2", ""), "3", ""), "4", ""), "5", ""), "6", ""), "7", ""), "8", ""), "9", "")), PROPER(SUBSTITUTE(SUBSTITUTE(SUBSTITUTE(SUBSTITUTE(SUBSTITUTE(SUBSTITUTE(SUBSTITUTE(SUBSTITUTE(SUBSTITUTE(SUBSTITUTE(MAIN!B751, "0", ""), "1", ""), "2", ""), "3", ""), "4", ""), "5", ""), "6", ""), "7", ""), "8", ""), "9", ""))))</f>
        <v>--</v>
      </c>
      <c r="C751" t="str">
        <f>IF(ISBLANK(MAIN!C751), "--", IFERROR(PROPER(SUBSTITUTE(SUBSTITUTE(SUBSTITUTE(SUBSTITUTE(SUBSTITUTE(SUBSTITUTE(SUBSTITUTE(SUBSTITUTE(SUBSTITUTE(SUBSTITUTE(LEFT(MAIN!C751, FIND(",",MAIN!C751) -1), "0", ""), "1", ""), "2", ""), "3", ""), "4", ""), "5", ""), "6", ""), "7", ""), "8", ""), "9", "")), PROPER(SUBSTITUTE(SUBSTITUTE(SUBSTITUTE(SUBSTITUTE(SUBSTITUTE(SUBSTITUTE(SUBSTITUTE(SUBSTITUTE(SUBSTITUTE(SUBSTITUTE(MAIN!C751, "0", ""), "1", ""), "2", ""), "3", ""), "4", ""), "5", ""), "6", ""), "7", ""), "8", ""), "9", ""))))</f>
        <v>--</v>
      </c>
      <c r="D751" t="str">
        <f>IF(ISBLANK(MAIN!D751), "--", IF(ISNUMBER(MATCH(SUBSTITUTE(LEFT(MAIN!D751, IFERROR(FIND(",", MAIN!D751)-1, LEN(MAIN!D751))), " ", ""), lookup_values!$B$2:$B$51, 0)), UPPER(SUBSTITUTE(LEFT(MAIN!D751, IFERROR(FIND(",", MAIN!D751)-1, LEN(MAIN!D751))), " ", "")), IF(ISNA(VLOOKUP(SUBSTITUTE(LEFT(MAIN!D751, IFERROR(FIND(",", MAIN!D751)-1, LEN(MAIN!D751))), " ", ""), lookup_values!$A$2:$B$51, 2, FALSE)), "--", VLOOKUP(SUBSTITUTE(LEFT(MAIN!D751, IFERROR(FIND(",", MAIN!D751)-1, LEN(MAIN!D751))), " ", ""), lookup_values!$A$2:$B$51, 2, FALSE))))</f>
        <v>--</v>
      </c>
      <c r="E751" t="str">
        <f>IF(CLEAN_DATA!D751&lt;&gt;"--","US",IF(ISBLANK(MAIN!E751), "--", IF(ISNUMBER(MATCH(SUBSTITUTE(LEFT(MAIN!E751, IFERROR(FIND(",", MAIN!E751)-1, LEN(MAIN!E751))), " ", ""), lookup_values!$E$2:$E$197, 0)), UPPER(SUBSTITUTE(LEFT(MAIN!E751, IFERROR(FIND(",", MAIN!E751)-1, LEN(MAIN!E751))), " ", "")), IF(ISNA(VLOOKUP(SUBSTITUTE(LEFT(MAIN!E751, IFERROR(FIND(",", MAIN!E751)-1, LEN(MAIN!E751))), " ", ""), lookup_values!$D$2:$E$197, 2, FALSE)), "--", VLOOKUP(SUBSTITUTE(LEFT(MAIN!E751, IFERROR(FIND(",", MAIN!E751)-1, LEN(MAIN!E751))), " ", ""), lookup_values!$D$2:$E$197, 2, FALSE)))))</f>
        <v>--</v>
      </c>
      <c r="F751" t="str">
        <f>IF(ISBLANK(MAIN!F751), "", IF(AND(ISNUMBER(VALUE(TRIM(MAIN!F751))), LEN(TRIM(MAIN!F751))=4), VALUE(TRIM(MAIN!F751)), ""))</f>
        <v/>
      </c>
      <c r="G751">
        <f>IF(ISBLANK(MAIN!G751), 0, IF(ISNUMBER(VALUE(TRIM(MAIN!G751))), VALUE(TRIM(MAIN!G751)), 0))</f>
        <v>0</v>
      </c>
      <c r="H751">
        <f>IF(ISBLANK(MAIN!H751), 0, IF(ISNUMBER(VALUE(TRIM(MAIN!H751))), VALUE(TRIM(MAIN!H751)), 0))</f>
        <v>0</v>
      </c>
      <c r="I751">
        <f>IF(ISBLANK(MAIN!I751), 0, IF(ISNUMBER(VALUE(TRIM(MAIN!I751))), VALUE(TRIM(MAIN!I751)), 0))</f>
        <v>0</v>
      </c>
      <c r="J751">
        <f>IF(ISBLANK(MAIN!J751), 0, IF(ISNUMBER(VALUE(TRIM(MAIN!J751))), VALUE(TRIM(MAIN!J751)), 0))</f>
        <v>0</v>
      </c>
      <c r="K751" cm="1">
        <f t="array" ref="K751">IFERROR(
    VALUE(
        IFERROR(
            UPPER(
                IF(MAX(IFERROR(SEARCH("WD",MAIN!G751:J751), 0))&gt;0, "WD",
                IF(MAX(IFERROR(SEARCH("NS",MAIN!G751:J751), 0))&gt;0, "NS",
                IF(MAX(IFERROR(SEARCH("NC",MAIN!G751:J751), 0))&gt;0, "NC",
                IF(MAX(IFERROR(SEARCH("DQ",MAIN!G751:J751), 0))&gt;0, "DQ",
                IF(ISNUMBER(SEARCH("WD",MAIN!K751)), "WD",
                IF(ISNUMBER(SEARCH("NS",MAIN!K751)), "NS",
                IF(ISNUMBER(SEARCH("NC",MAIN!K751)), "NC",
                IF(ISNUMBER(SEARCH("DQ",MAIN!K751)), "DQ",
                IF(ISNUMBER(SEARCH("A",MAIN!K751)), 0,
                IF(OR(MAIN!K751=0,MAIN!K751=""), 0, --TRIM(MAIN!K751)))))))))))),
            0
        )
    ),
    IFERROR(
        UPPER(
            IF(MAX(IFERROR(SEARCH("WD",MAIN!G751:J751), 0))&gt;0, "WD",
            IF(MAX(IFERROR(SEARCH("NS",MAIN!G751:J751), 0))&gt;0, "NS",
            IF(MAX(IFERROR(SEARCH("NC",MAIN!G751:J751), 0))&gt;0, "NC",
            IF(MAX(IFERROR(SEARCH("DQ",MAIN!G751:J751), 0))&gt;0, "DQ",
            IF(ISNUMBER(SEARCH("WD",MAIN!K751)), "WD",
            IF(ISNUMBER(SEARCH("NS",MAIN!K751)), "NS",
            IF(ISNUMBER(SEARCH("NC",MAIN!K751)), "NC",
            IF(ISNUMBER(SEARCH("DQ",MAIN!K751)), "DQ",
            IF(ISNUMBER(SEARCH("A",MAIN!K751)), 0,
            IF(OR(MAIN!K751=0,MAIN!K751=""), 0, --TRIM(MAIN!K751)))))))))))),
        0
    )
)</f>
        <v>0</v>
      </c>
    </row>
    <row r="752" spans="1:11" x14ac:dyDescent="0.25">
      <c r="A752" t="str">
        <f>IF(ISBLANK(MAIN!A752), "--", IFERROR(PROPER(SUBSTITUTE(SUBSTITUTE(SUBSTITUTE(SUBSTITUTE(SUBSTITUTE(SUBSTITUTE(SUBSTITUTE(SUBSTITUTE(SUBSTITUTE(SUBSTITUTE(LEFT(MAIN!A752, FIND(",",MAIN!A752) -1), "0", ""), "1", ""), "2", ""), "3", ""), "4", ""), "5", ""), "6", ""), "7", ""), "8", ""), "9", "")), PROPER(SUBSTITUTE(SUBSTITUTE(SUBSTITUTE(SUBSTITUTE(SUBSTITUTE(SUBSTITUTE(SUBSTITUTE(SUBSTITUTE(SUBSTITUTE(SUBSTITUTE(MAIN!A752, "0", ""), "1", ""), "2", ""), "3", ""), "4", ""), "5", ""), "6", ""), "7", ""), "8", ""), "9", ""))))</f>
        <v>--</v>
      </c>
      <c r="B752" t="str">
        <f>IF(ISBLANK(MAIN!B752), "--", IFERROR(PROPER(SUBSTITUTE(SUBSTITUTE(SUBSTITUTE(SUBSTITUTE(SUBSTITUTE(SUBSTITUTE(SUBSTITUTE(SUBSTITUTE(SUBSTITUTE(SUBSTITUTE(LEFT(MAIN!B752, FIND(",",MAIN!B752) -1), "0", ""), "1", ""), "2", ""), "3", ""), "4", ""), "5", ""), "6", ""), "7", ""), "8", ""), "9", "")), PROPER(SUBSTITUTE(SUBSTITUTE(SUBSTITUTE(SUBSTITUTE(SUBSTITUTE(SUBSTITUTE(SUBSTITUTE(SUBSTITUTE(SUBSTITUTE(SUBSTITUTE(MAIN!B752, "0", ""), "1", ""), "2", ""), "3", ""), "4", ""), "5", ""), "6", ""), "7", ""), "8", ""), "9", ""))))</f>
        <v>--</v>
      </c>
      <c r="C752" t="str">
        <f>IF(ISBLANK(MAIN!C752), "--", IFERROR(PROPER(SUBSTITUTE(SUBSTITUTE(SUBSTITUTE(SUBSTITUTE(SUBSTITUTE(SUBSTITUTE(SUBSTITUTE(SUBSTITUTE(SUBSTITUTE(SUBSTITUTE(LEFT(MAIN!C752, FIND(",",MAIN!C752) -1), "0", ""), "1", ""), "2", ""), "3", ""), "4", ""), "5", ""), "6", ""), "7", ""), "8", ""), "9", "")), PROPER(SUBSTITUTE(SUBSTITUTE(SUBSTITUTE(SUBSTITUTE(SUBSTITUTE(SUBSTITUTE(SUBSTITUTE(SUBSTITUTE(SUBSTITUTE(SUBSTITUTE(MAIN!C752, "0", ""), "1", ""), "2", ""), "3", ""), "4", ""), "5", ""), "6", ""), "7", ""), "8", ""), "9", ""))))</f>
        <v>--</v>
      </c>
      <c r="D752" t="str">
        <f>IF(ISBLANK(MAIN!D752), "--", IF(ISNUMBER(MATCH(SUBSTITUTE(LEFT(MAIN!D752, IFERROR(FIND(",", MAIN!D752)-1, LEN(MAIN!D752))), " ", ""), lookup_values!$B$2:$B$51, 0)), UPPER(SUBSTITUTE(LEFT(MAIN!D752, IFERROR(FIND(",", MAIN!D752)-1, LEN(MAIN!D752))), " ", "")), IF(ISNA(VLOOKUP(SUBSTITUTE(LEFT(MAIN!D752, IFERROR(FIND(",", MAIN!D752)-1, LEN(MAIN!D752))), " ", ""), lookup_values!$A$2:$B$51, 2, FALSE)), "--", VLOOKUP(SUBSTITUTE(LEFT(MAIN!D752, IFERROR(FIND(",", MAIN!D752)-1, LEN(MAIN!D752))), " ", ""), lookup_values!$A$2:$B$51, 2, FALSE))))</f>
        <v>--</v>
      </c>
      <c r="E752" t="str">
        <f>IF(CLEAN_DATA!D752&lt;&gt;"--","US",IF(ISBLANK(MAIN!E752), "--", IF(ISNUMBER(MATCH(SUBSTITUTE(LEFT(MAIN!E752, IFERROR(FIND(",", MAIN!E752)-1, LEN(MAIN!E752))), " ", ""), lookup_values!$E$2:$E$197, 0)), UPPER(SUBSTITUTE(LEFT(MAIN!E752, IFERROR(FIND(",", MAIN!E752)-1, LEN(MAIN!E752))), " ", "")), IF(ISNA(VLOOKUP(SUBSTITUTE(LEFT(MAIN!E752, IFERROR(FIND(",", MAIN!E752)-1, LEN(MAIN!E752))), " ", ""), lookup_values!$D$2:$E$197, 2, FALSE)), "--", VLOOKUP(SUBSTITUTE(LEFT(MAIN!E752, IFERROR(FIND(",", MAIN!E752)-1, LEN(MAIN!E752))), " ", ""), lookup_values!$D$2:$E$197, 2, FALSE)))))</f>
        <v>--</v>
      </c>
      <c r="F752" t="str">
        <f>IF(ISBLANK(MAIN!F752), "", IF(AND(ISNUMBER(VALUE(TRIM(MAIN!F752))), LEN(TRIM(MAIN!F752))=4), VALUE(TRIM(MAIN!F752)), ""))</f>
        <v/>
      </c>
      <c r="G752">
        <f>IF(ISBLANK(MAIN!G752), 0, IF(ISNUMBER(VALUE(TRIM(MAIN!G752))), VALUE(TRIM(MAIN!G752)), 0))</f>
        <v>0</v>
      </c>
      <c r="H752">
        <f>IF(ISBLANK(MAIN!H752), 0, IF(ISNUMBER(VALUE(TRIM(MAIN!H752))), VALUE(TRIM(MAIN!H752)), 0))</f>
        <v>0</v>
      </c>
      <c r="I752">
        <f>IF(ISBLANK(MAIN!I752), 0, IF(ISNUMBER(VALUE(TRIM(MAIN!I752))), VALUE(TRIM(MAIN!I752)), 0))</f>
        <v>0</v>
      </c>
      <c r="J752">
        <f>IF(ISBLANK(MAIN!J752), 0, IF(ISNUMBER(VALUE(TRIM(MAIN!J752))), VALUE(TRIM(MAIN!J752)), 0))</f>
        <v>0</v>
      </c>
      <c r="K752" cm="1">
        <f t="array" ref="K752">IFERROR(
    VALUE(
        IFERROR(
            UPPER(
                IF(MAX(IFERROR(SEARCH("WD",MAIN!G752:J752), 0))&gt;0, "WD",
                IF(MAX(IFERROR(SEARCH("NS",MAIN!G752:J752), 0))&gt;0, "NS",
                IF(MAX(IFERROR(SEARCH("NC",MAIN!G752:J752), 0))&gt;0, "NC",
                IF(MAX(IFERROR(SEARCH("DQ",MAIN!G752:J752), 0))&gt;0, "DQ",
                IF(ISNUMBER(SEARCH("WD",MAIN!K752)), "WD",
                IF(ISNUMBER(SEARCH("NS",MAIN!K752)), "NS",
                IF(ISNUMBER(SEARCH("NC",MAIN!K752)), "NC",
                IF(ISNUMBER(SEARCH("DQ",MAIN!K752)), "DQ",
                IF(ISNUMBER(SEARCH("A",MAIN!K752)), 0,
                IF(OR(MAIN!K752=0,MAIN!K752=""), 0, --TRIM(MAIN!K752)))))))))))),
            0
        )
    ),
    IFERROR(
        UPPER(
            IF(MAX(IFERROR(SEARCH("WD",MAIN!G752:J752), 0))&gt;0, "WD",
            IF(MAX(IFERROR(SEARCH("NS",MAIN!G752:J752), 0))&gt;0, "NS",
            IF(MAX(IFERROR(SEARCH("NC",MAIN!G752:J752), 0))&gt;0, "NC",
            IF(MAX(IFERROR(SEARCH("DQ",MAIN!G752:J752), 0))&gt;0, "DQ",
            IF(ISNUMBER(SEARCH("WD",MAIN!K752)), "WD",
            IF(ISNUMBER(SEARCH("NS",MAIN!K752)), "NS",
            IF(ISNUMBER(SEARCH("NC",MAIN!K752)), "NC",
            IF(ISNUMBER(SEARCH("DQ",MAIN!K752)), "DQ",
            IF(ISNUMBER(SEARCH("A",MAIN!K752)), 0,
            IF(OR(MAIN!K752=0,MAIN!K752=""), 0, --TRIM(MAIN!K752)))))))))))),
        0
    )
)</f>
        <v>0</v>
      </c>
    </row>
    <row r="753" spans="1:11" x14ac:dyDescent="0.25">
      <c r="A753" t="str">
        <f>IF(ISBLANK(MAIN!A753), "--", IFERROR(PROPER(SUBSTITUTE(SUBSTITUTE(SUBSTITUTE(SUBSTITUTE(SUBSTITUTE(SUBSTITUTE(SUBSTITUTE(SUBSTITUTE(SUBSTITUTE(SUBSTITUTE(LEFT(MAIN!A753, FIND(",",MAIN!A753) -1), "0", ""), "1", ""), "2", ""), "3", ""), "4", ""), "5", ""), "6", ""), "7", ""), "8", ""), "9", "")), PROPER(SUBSTITUTE(SUBSTITUTE(SUBSTITUTE(SUBSTITUTE(SUBSTITUTE(SUBSTITUTE(SUBSTITUTE(SUBSTITUTE(SUBSTITUTE(SUBSTITUTE(MAIN!A753, "0", ""), "1", ""), "2", ""), "3", ""), "4", ""), "5", ""), "6", ""), "7", ""), "8", ""), "9", ""))))</f>
        <v>--</v>
      </c>
      <c r="B753" t="str">
        <f>IF(ISBLANK(MAIN!B753), "--", IFERROR(PROPER(SUBSTITUTE(SUBSTITUTE(SUBSTITUTE(SUBSTITUTE(SUBSTITUTE(SUBSTITUTE(SUBSTITUTE(SUBSTITUTE(SUBSTITUTE(SUBSTITUTE(LEFT(MAIN!B753, FIND(",",MAIN!B753) -1), "0", ""), "1", ""), "2", ""), "3", ""), "4", ""), "5", ""), "6", ""), "7", ""), "8", ""), "9", "")), PROPER(SUBSTITUTE(SUBSTITUTE(SUBSTITUTE(SUBSTITUTE(SUBSTITUTE(SUBSTITUTE(SUBSTITUTE(SUBSTITUTE(SUBSTITUTE(SUBSTITUTE(MAIN!B753, "0", ""), "1", ""), "2", ""), "3", ""), "4", ""), "5", ""), "6", ""), "7", ""), "8", ""), "9", ""))))</f>
        <v>--</v>
      </c>
      <c r="C753" t="str">
        <f>IF(ISBLANK(MAIN!C753), "--", IFERROR(PROPER(SUBSTITUTE(SUBSTITUTE(SUBSTITUTE(SUBSTITUTE(SUBSTITUTE(SUBSTITUTE(SUBSTITUTE(SUBSTITUTE(SUBSTITUTE(SUBSTITUTE(LEFT(MAIN!C753, FIND(",",MAIN!C753) -1), "0", ""), "1", ""), "2", ""), "3", ""), "4", ""), "5", ""), "6", ""), "7", ""), "8", ""), "9", "")), PROPER(SUBSTITUTE(SUBSTITUTE(SUBSTITUTE(SUBSTITUTE(SUBSTITUTE(SUBSTITUTE(SUBSTITUTE(SUBSTITUTE(SUBSTITUTE(SUBSTITUTE(MAIN!C753, "0", ""), "1", ""), "2", ""), "3", ""), "4", ""), "5", ""), "6", ""), "7", ""), "8", ""), "9", ""))))</f>
        <v>--</v>
      </c>
      <c r="D753" t="str">
        <f>IF(ISBLANK(MAIN!D753), "--", IF(ISNUMBER(MATCH(SUBSTITUTE(LEFT(MAIN!D753, IFERROR(FIND(",", MAIN!D753)-1, LEN(MAIN!D753))), " ", ""), lookup_values!$B$2:$B$51, 0)), UPPER(SUBSTITUTE(LEFT(MAIN!D753, IFERROR(FIND(",", MAIN!D753)-1, LEN(MAIN!D753))), " ", "")), IF(ISNA(VLOOKUP(SUBSTITUTE(LEFT(MAIN!D753, IFERROR(FIND(",", MAIN!D753)-1, LEN(MAIN!D753))), " ", ""), lookup_values!$A$2:$B$51, 2, FALSE)), "--", VLOOKUP(SUBSTITUTE(LEFT(MAIN!D753, IFERROR(FIND(",", MAIN!D753)-1, LEN(MAIN!D753))), " ", ""), lookup_values!$A$2:$B$51, 2, FALSE))))</f>
        <v>--</v>
      </c>
      <c r="E753" t="str">
        <f>IF(CLEAN_DATA!D753&lt;&gt;"--","US",IF(ISBLANK(MAIN!E753), "--", IF(ISNUMBER(MATCH(SUBSTITUTE(LEFT(MAIN!E753, IFERROR(FIND(",", MAIN!E753)-1, LEN(MAIN!E753))), " ", ""), lookup_values!$E$2:$E$197, 0)), UPPER(SUBSTITUTE(LEFT(MAIN!E753, IFERROR(FIND(",", MAIN!E753)-1, LEN(MAIN!E753))), " ", "")), IF(ISNA(VLOOKUP(SUBSTITUTE(LEFT(MAIN!E753, IFERROR(FIND(",", MAIN!E753)-1, LEN(MAIN!E753))), " ", ""), lookup_values!$D$2:$E$197, 2, FALSE)), "--", VLOOKUP(SUBSTITUTE(LEFT(MAIN!E753, IFERROR(FIND(",", MAIN!E753)-1, LEN(MAIN!E753))), " ", ""), lookup_values!$D$2:$E$197, 2, FALSE)))))</f>
        <v>--</v>
      </c>
      <c r="F753" t="str">
        <f>IF(ISBLANK(MAIN!F753), "", IF(AND(ISNUMBER(VALUE(TRIM(MAIN!F753))), LEN(TRIM(MAIN!F753))=4), VALUE(TRIM(MAIN!F753)), ""))</f>
        <v/>
      </c>
      <c r="G753">
        <f>IF(ISBLANK(MAIN!G753), 0, IF(ISNUMBER(VALUE(TRIM(MAIN!G753))), VALUE(TRIM(MAIN!G753)), 0))</f>
        <v>0</v>
      </c>
      <c r="H753">
        <f>IF(ISBLANK(MAIN!H753), 0, IF(ISNUMBER(VALUE(TRIM(MAIN!H753))), VALUE(TRIM(MAIN!H753)), 0))</f>
        <v>0</v>
      </c>
      <c r="I753">
        <f>IF(ISBLANK(MAIN!I753), 0, IF(ISNUMBER(VALUE(TRIM(MAIN!I753))), VALUE(TRIM(MAIN!I753)), 0))</f>
        <v>0</v>
      </c>
      <c r="J753">
        <f>IF(ISBLANK(MAIN!J753), 0, IF(ISNUMBER(VALUE(TRIM(MAIN!J753))), VALUE(TRIM(MAIN!J753)), 0))</f>
        <v>0</v>
      </c>
      <c r="K753" cm="1">
        <f t="array" ref="K753">IFERROR(
    VALUE(
        IFERROR(
            UPPER(
                IF(MAX(IFERROR(SEARCH("WD",MAIN!G753:J753), 0))&gt;0, "WD",
                IF(MAX(IFERROR(SEARCH("NS",MAIN!G753:J753), 0))&gt;0, "NS",
                IF(MAX(IFERROR(SEARCH("NC",MAIN!G753:J753), 0))&gt;0, "NC",
                IF(MAX(IFERROR(SEARCH("DQ",MAIN!G753:J753), 0))&gt;0, "DQ",
                IF(ISNUMBER(SEARCH("WD",MAIN!K753)), "WD",
                IF(ISNUMBER(SEARCH("NS",MAIN!K753)), "NS",
                IF(ISNUMBER(SEARCH("NC",MAIN!K753)), "NC",
                IF(ISNUMBER(SEARCH("DQ",MAIN!K753)), "DQ",
                IF(ISNUMBER(SEARCH("A",MAIN!K753)), 0,
                IF(OR(MAIN!K753=0,MAIN!K753=""), 0, --TRIM(MAIN!K753)))))))))))),
            0
        )
    ),
    IFERROR(
        UPPER(
            IF(MAX(IFERROR(SEARCH("WD",MAIN!G753:J753), 0))&gt;0, "WD",
            IF(MAX(IFERROR(SEARCH("NS",MAIN!G753:J753), 0))&gt;0, "NS",
            IF(MAX(IFERROR(SEARCH("NC",MAIN!G753:J753), 0))&gt;0, "NC",
            IF(MAX(IFERROR(SEARCH("DQ",MAIN!G753:J753), 0))&gt;0, "DQ",
            IF(ISNUMBER(SEARCH("WD",MAIN!K753)), "WD",
            IF(ISNUMBER(SEARCH("NS",MAIN!K753)), "NS",
            IF(ISNUMBER(SEARCH("NC",MAIN!K753)), "NC",
            IF(ISNUMBER(SEARCH("DQ",MAIN!K753)), "DQ",
            IF(ISNUMBER(SEARCH("A",MAIN!K753)), 0,
            IF(OR(MAIN!K753=0,MAIN!K753=""), 0, --TRIM(MAIN!K753)))))))))))),
        0
    )
)</f>
        <v>0</v>
      </c>
    </row>
    <row r="754" spans="1:11" x14ac:dyDescent="0.25">
      <c r="A754" t="str">
        <f>IF(ISBLANK(MAIN!A754), "--", IFERROR(PROPER(SUBSTITUTE(SUBSTITUTE(SUBSTITUTE(SUBSTITUTE(SUBSTITUTE(SUBSTITUTE(SUBSTITUTE(SUBSTITUTE(SUBSTITUTE(SUBSTITUTE(LEFT(MAIN!A754, FIND(",",MAIN!A754) -1), "0", ""), "1", ""), "2", ""), "3", ""), "4", ""), "5", ""), "6", ""), "7", ""), "8", ""), "9", "")), PROPER(SUBSTITUTE(SUBSTITUTE(SUBSTITUTE(SUBSTITUTE(SUBSTITUTE(SUBSTITUTE(SUBSTITUTE(SUBSTITUTE(SUBSTITUTE(SUBSTITUTE(MAIN!A754, "0", ""), "1", ""), "2", ""), "3", ""), "4", ""), "5", ""), "6", ""), "7", ""), "8", ""), "9", ""))))</f>
        <v>--</v>
      </c>
      <c r="B754" t="str">
        <f>IF(ISBLANK(MAIN!B754), "--", IFERROR(PROPER(SUBSTITUTE(SUBSTITUTE(SUBSTITUTE(SUBSTITUTE(SUBSTITUTE(SUBSTITUTE(SUBSTITUTE(SUBSTITUTE(SUBSTITUTE(SUBSTITUTE(LEFT(MAIN!B754, FIND(",",MAIN!B754) -1), "0", ""), "1", ""), "2", ""), "3", ""), "4", ""), "5", ""), "6", ""), "7", ""), "8", ""), "9", "")), PROPER(SUBSTITUTE(SUBSTITUTE(SUBSTITUTE(SUBSTITUTE(SUBSTITUTE(SUBSTITUTE(SUBSTITUTE(SUBSTITUTE(SUBSTITUTE(SUBSTITUTE(MAIN!B754, "0", ""), "1", ""), "2", ""), "3", ""), "4", ""), "5", ""), "6", ""), "7", ""), "8", ""), "9", ""))))</f>
        <v>--</v>
      </c>
      <c r="C754" t="str">
        <f>IF(ISBLANK(MAIN!C754), "--", IFERROR(PROPER(SUBSTITUTE(SUBSTITUTE(SUBSTITUTE(SUBSTITUTE(SUBSTITUTE(SUBSTITUTE(SUBSTITUTE(SUBSTITUTE(SUBSTITUTE(SUBSTITUTE(LEFT(MAIN!C754, FIND(",",MAIN!C754) -1), "0", ""), "1", ""), "2", ""), "3", ""), "4", ""), "5", ""), "6", ""), "7", ""), "8", ""), "9", "")), PROPER(SUBSTITUTE(SUBSTITUTE(SUBSTITUTE(SUBSTITUTE(SUBSTITUTE(SUBSTITUTE(SUBSTITUTE(SUBSTITUTE(SUBSTITUTE(SUBSTITUTE(MAIN!C754, "0", ""), "1", ""), "2", ""), "3", ""), "4", ""), "5", ""), "6", ""), "7", ""), "8", ""), "9", ""))))</f>
        <v>--</v>
      </c>
      <c r="D754" t="str">
        <f>IF(ISBLANK(MAIN!D754), "--", IF(ISNUMBER(MATCH(SUBSTITUTE(LEFT(MAIN!D754, IFERROR(FIND(",", MAIN!D754)-1, LEN(MAIN!D754))), " ", ""), lookup_values!$B$2:$B$51, 0)), UPPER(SUBSTITUTE(LEFT(MAIN!D754, IFERROR(FIND(",", MAIN!D754)-1, LEN(MAIN!D754))), " ", "")), IF(ISNA(VLOOKUP(SUBSTITUTE(LEFT(MAIN!D754, IFERROR(FIND(",", MAIN!D754)-1, LEN(MAIN!D754))), " ", ""), lookup_values!$A$2:$B$51, 2, FALSE)), "--", VLOOKUP(SUBSTITUTE(LEFT(MAIN!D754, IFERROR(FIND(",", MAIN!D754)-1, LEN(MAIN!D754))), " ", ""), lookup_values!$A$2:$B$51, 2, FALSE))))</f>
        <v>--</v>
      </c>
      <c r="E754" t="str">
        <f>IF(CLEAN_DATA!D754&lt;&gt;"--","US",IF(ISBLANK(MAIN!E754), "--", IF(ISNUMBER(MATCH(SUBSTITUTE(LEFT(MAIN!E754, IFERROR(FIND(",", MAIN!E754)-1, LEN(MAIN!E754))), " ", ""), lookup_values!$E$2:$E$197, 0)), UPPER(SUBSTITUTE(LEFT(MAIN!E754, IFERROR(FIND(",", MAIN!E754)-1, LEN(MAIN!E754))), " ", "")), IF(ISNA(VLOOKUP(SUBSTITUTE(LEFT(MAIN!E754, IFERROR(FIND(",", MAIN!E754)-1, LEN(MAIN!E754))), " ", ""), lookup_values!$D$2:$E$197, 2, FALSE)), "--", VLOOKUP(SUBSTITUTE(LEFT(MAIN!E754, IFERROR(FIND(",", MAIN!E754)-1, LEN(MAIN!E754))), " ", ""), lookup_values!$D$2:$E$197, 2, FALSE)))))</f>
        <v>--</v>
      </c>
      <c r="F754" t="str">
        <f>IF(ISBLANK(MAIN!F754), "", IF(AND(ISNUMBER(VALUE(TRIM(MAIN!F754))), LEN(TRIM(MAIN!F754))=4), VALUE(TRIM(MAIN!F754)), ""))</f>
        <v/>
      </c>
      <c r="G754">
        <f>IF(ISBLANK(MAIN!G754), 0, IF(ISNUMBER(VALUE(TRIM(MAIN!G754))), VALUE(TRIM(MAIN!G754)), 0))</f>
        <v>0</v>
      </c>
      <c r="H754">
        <f>IF(ISBLANK(MAIN!H754), 0, IF(ISNUMBER(VALUE(TRIM(MAIN!H754))), VALUE(TRIM(MAIN!H754)), 0))</f>
        <v>0</v>
      </c>
      <c r="I754">
        <f>IF(ISBLANK(MAIN!I754), 0, IF(ISNUMBER(VALUE(TRIM(MAIN!I754))), VALUE(TRIM(MAIN!I754)), 0))</f>
        <v>0</v>
      </c>
      <c r="J754">
        <f>IF(ISBLANK(MAIN!J754), 0, IF(ISNUMBER(VALUE(TRIM(MAIN!J754))), VALUE(TRIM(MAIN!J754)), 0))</f>
        <v>0</v>
      </c>
      <c r="K754" cm="1">
        <f t="array" ref="K754">IFERROR(
    VALUE(
        IFERROR(
            UPPER(
                IF(MAX(IFERROR(SEARCH("WD",MAIN!G754:J754), 0))&gt;0, "WD",
                IF(MAX(IFERROR(SEARCH("NS",MAIN!G754:J754), 0))&gt;0, "NS",
                IF(MAX(IFERROR(SEARCH("NC",MAIN!G754:J754), 0))&gt;0, "NC",
                IF(MAX(IFERROR(SEARCH("DQ",MAIN!G754:J754), 0))&gt;0, "DQ",
                IF(ISNUMBER(SEARCH("WD",MAIN!K754)), "WD",
                IF(ISNUMBER(SEARCH("NS",MAIN!K754)), "NS",
                IF(ISNUMBER(SEARCH("NC",MAIN!K754)), "NC",
                IF(ISNUMBER(SEARCH("DQ",MAIN!K754)), "DQ",
                IF(ISNUMBER(SEARCH("A",MAIN!K754)), 0,
                IF(OR(MAIN!K754=0,MAIN!K754=""), 0, --TRIM(MAIN!K754)))))))))))),
            0
        )
    ),
    IFERROR(
        UPPER(
            IF(MAX(IFERROR(SEARCH("WD",MAIN!G754:J754), 0))&gt;0, "WD",
            IF(MAX(IFERROR(SEARCH("NS",MAIN!G754:J754), 0))&gt;0, "NS",
            IF(MAX(IFERROR(SEARCH("NC",MAIN!G754:J754), 0))&gt;0, "NC",
            IF(MAX(IFERROR(SEARCH("DQ",MAIN!G754:J754), 0))&gt;0, "DQ",
            IF(ISNUMBER(SEARCH("WD",MAIN!K754)), "WD",
            IF(ISNUMBER(SEARCH("NS",MAIN!K754)), "NS",
            IF(ISNUMBER(SEARCH("NC",MAIN!K754)), "NC",
            IF(ISNUMBER(SEARCH("DQ",MAIN!K754)), "DQ",
            IF(ISNUMBER(SEARCH("A",MAIN!K754)), 0,
            IF(OR(MAIN!K754=0,MAIN!K754=""), 0, --TRIM(MAIN!K754)))))))))))),
        0
    )
)</f>
        <v>0</v>
      </c>
    </row>
    <row r="755" spans="1:11" x14ac:dyDescent="0.25">
      <c r="A755" t="str">
        <f>IF(ISBLANK(MAIN!A755), "--", IFERROR(PROPER(SUBSTITUTE(SUBSTITUTE(SUBSTITUTE(SUBSTITUTE(SUBSTITUTE(SUBSTITUTE(SUBSTITUTE(SUBSTITUTE(SUBSTITUTE(SUBSTITUTE(LEFT(MAIN!A755, FIND(",",MAIN!A755) -1), "0", ""), "1", ""), "2", ""), "3", ""), "4", ""), "5", ""), "6", ""), "7", ""), "8", ""), "9", "")), PROPER(SUBSTITUTE(SUBSTITUTE(SUBSTITUTE(SUBSTITUTE(SUBSTITUTE(SUBSTITUTE(SUBSTITUTE(SUBSTITUTE(SUBSTITUTE(SUBSTITUTE(MAIN!A755, "0", ""), "1", ""), "2", ""), "3", ""), "4", ""), "5", ""), "6", ""), "7", ""), "8", ""), "9", ""))))</f>
        <v>--</v>
      </c>
      <c r="B755" t="str">
        <f>IF(ISBLANK(MAIN!B755), "--", IFERROR(PROPER(SUBSTITUTE(SUBSTITUTE(SUBSTITUTE(SUBSTITUTE(SUBSTITUTE(SUBSTITUTE(SUBSTITUTE(SUBSTITUTE(SUBSTITUTE(SUBSTITUTE(LEFT(MAIN!B755, FIND(",",MAIN!B755) -1), "0", ""), "1", ""), "2", ""), "3", ""), "4", ""), "5", ""), "6", ""), "7", ""), "8", ""), "9", "")), PROPER(SUBSTITUTE(SUBSTITUTE(SUBSTITUTE(SUBSTITUTE(SUBSTITUTE(SUBSTITUTE(SUBSTITUTE(SUBSTITUTE(SUBSTITUTE(SUBSTITUTE(MAIN!B755, "0", ""), "1", ""), "2", ""), "3", ""), "4", ""), "5", ""), "6", ""), "7", ""), "8", ""), "9", ""))))</f>
        <v>--</v>
      </c>
      <c r="C755" t="str">
        <f>IF(ISBLANK(MAIN!C755), "--", IFERROR(PROPER(SUBSTITUTE(SUBSTITUTE(SUBSTITUTE(SUBSTITUTE(SUBSTITUTE(SUBSTITUTE(SUBSTITUTE(SUBSTITUTE(SUBSTITUTE(SUBSTITUTE(LEFT(MAIN!C755, FIND(",",MAIN!C755) -1), "0", ""), "1", ""), "2", ""), "3", ""), "4", ""), "5", ""), "6", ""), "7", ""), "8", ""), "9", "")), PROPER(SUBSTITUTE(SUBSTITUTE(SUBSTITUTE(SUBSTITUTE(SUBSTITUTE(SUBSTITUTE(SUBSTITUTE(SUBSTITUTE(SUBSTITUTE(SUBSTITUTE(MAIN!C755, "0", ""), "1", ""), "2", ""), "3", ""), "4", ""), "5", ""), "6", ""), "7", ""), "8", ""), "9", ""))))</f>
        <v>--</v>
      </c>
      <c r="D755" t="str">
        <f>IF(ISBLANK(MAIN!D755), "--", IF(ISNUMBER(MATCH(SUBSTITUTE(LEFT(MAIN!D755, IFERROR(FIND(",", MAIN!D755)-1, LEN(MAIN!D755))), " ", ""), lookup_values!$B$2:$B$51, 0)), UPPER(SUBSTITUTE(LEFT(MAIN!D755, IFERROR(FIND(",", MAIN!D755)-1, LEN(MAIN!D755))), " ", "")), IF(ISNA(VLOOKUP(SUBSTITUTE(LEFT(MAIN!D755, IFERROR(FIND(",", MAIN!D755)-1, LEN(MAIN!D755))), " ", ""), lookup_values!$A$2:$B$51, 2, FALSE)), "--", VLOOKUP(SUBSTITUTE(LEFT(MAIN!D755, IFERROR(FIND(",", MAIN!D755)-1, LEN(MAIN!D755))), " ", ""), lookup_values!$A$2:$B$51, 2, FALSE))))</f>
        <v>--</v>
      </c>
      <c r="E755" t="str">
        <f>IF(CLEAN_DATA!D755&lt;&gt;"--","US",IF(ISBLANK(MAIN!E755), "--", IF(ISNUMBER(MATCH(SUBSTITUTE(LEFT(MAIN!E755, IFERROR(FIND(",", MAIN!E755)-1, LEN(MAIN!E755))), " ", ""), lookup_values!$E$2:$E$197, 0)), UPPER(SUBSTITUTE(LEFT(MAIN!E755, IFERROR(FIND(",", MAIN!E755)-1, LEN(MAIN!E755))), " ", "")), IF(ISNA(VLOOKUP(SUBSTITUTE(LEFT(MAIN!E755, IFERROR(FIND(",", MAIN!E755)-1, LEN(MAIN!E755))), " ", ""), lookup_values!$D$2:$E$197, 2, FALSE)), "--", VLOOKUP(SUBSTITUTE(LEFT(MAIN!E755, IFERROR(FIND(",", MAIN!E755)-1, LEN(MAIN!E755))), " ", ""), lookup_values!$D$2:$E$197, 2, FALSE)))))</f>
        <v>--</v>
      </c>
      <c r="F755" t="str">
        <f>IF(ISBLANK(MAIN!F755), "", IF(AND(ISNUMBER(VALUE(TRIM(MAIN!F755))), LEN(TRIM(MAIN!F755))=4), VALUE(TRIM(MAIN!F755)), ""))</f>
        <v/>
      </c>
      <c r="G755">
        <f>IF(ISBLANK(MAIN!G755), 0, IF(ISNUMBER(VALUE(TRIM(MAIN!G755))), VALUE(TRIM(MAIN!G755)), 0))</f>
        <v>0</v>
      </c>
      <c r="H755">
        <f>IF(ISBLANK(MAIN!H755), 0, IF(ISNUMBER(VALUE(TRIM(MAIN!H755))), VALUE(TRIM(MAIN!H755)), 0))</f>
        <v>0</v>
      </c>
      <c r="I755">
        <f>IF(ISBLANK(MAIN!I755), 0, IF(ISNUMBER(VALUE(TRIM(MAIN!I755))), VALUE(TRIM(MAIN!I755)), 0))</f>
        <v>0</v>
      </c>
      <c r="J755">
        <f>IF(ISBLANK(MAIN!J755), 0, IF(ISNUMBER(VALUE(TRIM(MAIN!J755))), VALUE(TRIM(MAIN!J755)), 0))</f>
        <v>0</v>
      </c>
      <c r="K755" cm="1">
        <f t="array" ref="K755">IFERROR(
    VALUE(
        IFERROR(
            UPPER(
                IF(MAX(IFERROR(SEARCH("WD",MAIN!G755:J755), 0))&gt;0, "WD",
                IF(MAX(IFERROR(SEARCH("NS",MAIN!G755:J755), 0))&gt;0, "NS",
                IF(MAX(IFERROR(SEARCH("NC",MAIN!G755:J755), 0))&gt;0, "NC",
                IF(MAX(IFERROR(SEARCH("DQ",MAIN!G755:J755), 0))&gt;0, "DQ",
                IF(ISNUMBER(SEARCH("WD",MAIN!K755)), "WD",
                IF(ISNUMBER(SEARCH("NS",MAIN!K755)), "NS",
                IF(ISNUMBER(SEARCH("NC",MAIN!K755)), "NC",
                IF(ISNUMBER(SEARCH("DQ",MAIN!K755)), "DQ",
                IF(ISNUMBER(SEARCH("A",MAIN!K755)), 0,
                IF(OR(MAIN!K755=0,MAIN!K755=""), 0, --TRIM(MAIN!K755)))))))))))),
            0
        )
    ),
    IFERROR(
        UPPER(
            IF(MAX(IFERROR(SEARCH("WD",MAIN!G755:J755), 0))&gt;0, "WD",
            IF(MAX(IFERROR(SEARCH("NS",MAIN!G755:J755), 0))&gt;0, "NS",
            IF(MAX(IFERROR(SEARCH("NC",MAIN!G755:J755), 0))&gt;0, "NC",
            IF(MAX(IFERROR(SEARCH("DQ",MAIN!G755:J755), 0))&gt;0, "DQ",
            IF(ISNUMBER(SEARCH("WD",MAIN!K755)), "WD",
            IF(ISNUMBER(SEARCH("NS",MAIN!K755)), "NS",
            IF(ISNUMBER(SEARCH("NC",MAIN!K755)), "NC",
            IF(ISNUMBER(SEARCH("DQ",MAIN!K755)), "DQ",
            IF(ISNUMBER(SEARCH("A",MAIN!K755)), 0,
            IF(OR(MAIN!K755=0,MAIN!K755=""), 0, --TRIM(MAIN!K755)))))))))))),
        0
    )
)</f>
        <v>0</v>
      </c>
    </row>
    <row r="756" spans="1:11" x14ac:dyDescent="0.25">
      <c r="A756" t="str">
        <f>IF(ISBLANK(MAIN!A756), "--", IFERROR(PROPER(SUBSTITUTE(SUBSTITUTE(SUBSTITUTE(SUBSTITUTE(SUBSTITUTE(SUBSTITUTE(SUBSTITUTE(SUBSTITUTE(SUBSTITUTE(SUBSTITUTE(LEFT(MAIN!A756, FIND(",",MAIN!A756) -1), "0", ""), "1", ""), "2", ""), "3", ""), "4", ""), "5", ""), "6", ""), "7", ""), "8", ""), "9", "")), PROPER(SUBSTITUTE(SUBSTITUTE(SUBSTITUTE(SUBSTITUTE(SUBSTITUTE(SUBSTITUTE(SUBSTITUTE(SUBSTITUTE(SUBSTITUTE(SUBSTITUTE(MAIN!A756, "0", ""), "1", ""), "2", ""), "3", ""), "4", ""), "5", ""), "6", ""), "7", ""), "8", ""), "9", ""))))</f>
        <v>--</v>
      </c>
      <c r="B756" t="str">
        <f>IF(ISBLANK(MAIN!B756), "--", IFERROR(PROPER(SUBSTITUTE(SUBSTITUTE(SUBSTITUTE(SUBSTITUTE(SUBSTITUTE(SUBSTITUTE(SUBSTITUTE(SUBSTITUTE(SUBSTITUTE(SUBSTITUTE(LEFT(MAIN!B756, FIND(",",MAIN!B756) -1), "0", ""), "1", ""), "2", ""), "3", ""), "4", ""), "5", ""), "6", ""), "7", ""), "8", ""), "9", "")), PROPER(SUBSTITUTE(SUBSTITUTE(SUBSTITUTE(SUBSTITUTE(SUBSTITUTE(SUBSTITUTE(SUBSTITUTE(SUBSTITUTE(SUBSTITUTE(SUBSTITUTE(MAIN!B756, "0", ""), "1", ""), "2", ""), "3", ""), "4", ""), "5", ""), "6", ""), "7", ""), "8", ""), "9", ""))))</f>
        <v>--</v>
      </c>
      <c r="C756" t="str">
        <f>IF(ISBLANK(MAIN!C756), "--", IFERROR(PROPER(SUBSTITUTE(SUBSTITUTE(SUBSTITUTE(SUBSTITUTE(SUBSTITUTE(SUBSTITUTE(SUBSTITUTE(SUBSTITUTE(SUBSTITUTE(SUBSTITUTE(LEFT(MAIN!C756, FIND(",",MAIN!C756) -1), "0", ""), "1", ""), "2", ""), "3", ""), "4", ""), "5", ""), "6", ""), "7", ""), "8", ""), "9", "")), PROPER(SUBSTITUTE(SUBSTITUTE(SUBSTITUTE(SUBSTITUTE(SUBSTITUTE(SUBSTITUTE(SUBSTITUTE(SUBSTITUTE(SUBSTITUTE(SUBSTITUTE(MAIN!C756, "0", ""), "1", ""), "2", ""), "3", ""), "4", ""), "5", ""), "6", ""), "7", ""), "8", ""), "9", ""))))</f>
        <v>--</v>
      </c>
      <c r="D756" t="str">
        <f>IF(ISBLANK(MAIN!D756), "--", IF(ISNUMBER(MATCH(SUBSTITUTE(LEFT(MAIN!D756, IFERROR(FIND(",", MAIN!D756)-1, LEN(MAIN!D756))), " ", ""), lookup_values!$B$2:$B$51, 0)), UPPER(SUBSTITUTE(LEFT(MAIN!D756, IFERROR(FIND(",", MAIN!D756)-1, LEN(MAIN!D756))), " ", "")), IF(ISNA(VLOOKUP(SUBSTITUTE(LEFT(MAIN!D756, IFERROR(FIND(",", MAIN!D756)-1, LEN(MAIN!D756))), " ", ""), lookup_values!$A$2:$B$51, 2, FALSE)), "--", VLOOKUP(SUBSTITUTE(LEFT(MAIN!D756, IFERROR(FIND(",", MAIN!D756)-1, LEN(MAIN!D756))), " ", ""), lookup_values!$A$2:$B$51, 2, FALSE))))</f>
        <v>--</v>
      </c>
      <c r="E756" t="str">
        <f>IF(CLEAN_DATA!D756&lt;&gt;"--","US",IF(ISBLANK(MAIN!E756), "--", IF(ISNUMBER(MATCH(SUBSTITUTE(LEFT(MAIN!E756, IFERROR(FIND(",", MAIN!E756)-1, LEN(MAIN!E756))), " ", ""), lookup_values!$E$2:$E$197, 0)), UPPER(SUBSTITUTE(LEFT(MAIN!E756, IFERROR(FIND(",", MAIN!E756)-1, LEN(MAIN!E756))), " ", "")), IF(ISNA(VLOOKUP(SUBSTITUTE(LEFT(MAIN!E756, IFERROR(FIND(",", MAIN!E756)-1, LEN(MAIN!E756))), " ", ""), lookup_values!$D$2:$E$197, 2, FALSE)), "--", VLOOKUP(SUBSTITUTE(LEFT(MAIN!E756, IFERROR(FIND(",", MAIN!E756)-1, LEN(MAIN!E756))), " ", ""), lookup_values!$D$2:$E$197, 2, FALSE)))))</f>
        <v>--</v>
      </c>
      <c r="F756" t="str">
        <f>IF(ISBLANK(MAIN!F756), "", IF(AND(ISNUMBER(VALUE(TRIM(MAIN!F756))), LEN(TRIM(MAIN!F756))=4), VALUE(TRIM(MAIN!F756)), ""))</f>
        <v/>
      </c>
      <c r="G756">
        <f>IF(ISBLANK(MAIN!G756), 0, IF(ISNUMBER(VALUE(TRIM(MAIN!G756))), VALUE(TRIM(MAIN!G756)), 0))</f>
        <v>0</v>
      </c>
      <c r="H756">
        <f>IF(ISBLANK(MAIN!H756), 0, IF(ISNUMBER(VALUE(TRIM(MAIN!H756))), VALUE(TRIM(MAIN!H756)), 0))</f>
        <v>0</v>
      </c>
      <c r="I756">
        <f>IF(ISBLANK(MAIN!I756), 0, IF(ISNUMBER(VALUE(TRIM(MAIN!I756))), VALUE(TRIM(MAIN!I756)), 0))</f>
        <v>0</v>
      </c>
      <c r="J756">
        <f>IF(ISBLANK(MAIN!J756), 0, IF(ISNUMBER(VALUE(TRIM(MAIN!J756))), VALUE(TRIM(MAIN!J756)), 0))</f>
        <v>0</v>
      </c>
      <c r="K756" cm="1">
        <f t="array" ref="K756">IFERROR(
    VALUE(
        IFERROR(
            UPPER(
                IF(MAX(IFERROR(SEARCH("WD",MAIN!G756:J756), 0))&gt;0, "WD",
                IF(MAX(IFERROR(SEARCH("NS",MAIN!G756:J756), 0))&gt;0, "NS",
                IF(MAX(IFERROR(SEARCH("NC",MAIN!G756:J756), 0))&gt;0, "NC",
                IF(MAX(IFERROR(SEARCH("DQ",MAIN!G756:J756), 0))&gt;0, "DQ",
                IF(ISNUMBER(SEARCH("WD",MAIN!K756)), "WD",
                IF(ISNUMBER(SEARCH("NS",MAIN!K756)), "NS",
                IF(ISNUMBER(SEARCH("NC",MAIN!K756)), "NC",
                IF(ISNUMBER(SEARCH("DQ",MAIN!K756)), "DQ",
                IF(ISNUMBER(SEARCH("A",MAIN!K756)), 0,
                IF(OR(MAIN!K756=0,MAIN!K756=""), 0, --TRIM(MAIN!K756)))))))))))),
            0
        )
    ),
    IFERROR(
        UPPER(
            IF(MAX(IFERROR(SEARCH("WD",MAIN!G756:J756), 0))&gt;0, "WD",
            IF(MAX(IFERROR(SEARCH("NS",MAIN!G756:J756), 0))&gt;0, "NS",
            IF(MAX(IFERROR(SEARCH("NC",MAIN!G756:J756), 0))&gt;0, "NC",
            IF(MAX(IFERROR(SEARCH("DQ",MAIN!G756:J756), 0))&gt;0, "DQ",
            IF(ISNUMBER(SEARCH("WD",MAIN!K756)), "WD",
            IF(ISNUMBER(SEARCH("NS",MAIN!K756)), "NS",
            IF(ISNUMBER(SEARCH("NC",MAIN!K756)), "NC",
            IF(ISNUMBER(SEARCH("DQ",MAIN!K756)), "DQ",
            IF(ISNUMBER(SEARCH("A",MAIN!K756)), 0,
            IF(OR(MAIN!K756=0,MAIN!K756=""), 0, --TRIM(MAIN!K756)))))))))))),
        0
    )
)</f>
        <v>0</v>
      </c>
    </row>
    <row r="757" spans="1:11" x14ac:dyDescent="0.25">
      <c r="A757" t="str">
        <f>IF(ISBLANK(MAIN!A757), "--", IFERROR(PROPER(SUBSTITUTE(SUBSTITUTE(SUBSTITUTE(SUBSTITUTE(SUBSTITUTE(SUBSTITUTE(SUBSTITUTE(SUBSTITUTE(SUBSTITUTE(SUBSTITUTE(LEFT(MAIN!A757, FIND(",",MAIN!A757) -1), "0", ""), "1", ""), "2", ""), "3", ""), "4", ""), "5", ""), "6", ""), "7", ""), "8", ""), "9", "")), PROPER(SUBSTITUTE(SUBSTITUTE(SUBSTITUTE(SUBSTITUTE(SUBSTITUTE(SUBSTITUTE(SUBSTITUTE(SUBSTITUTE(SUBSTITUTE(SUBSTITUTE(MAIN!A757, "0", ""), "1", ""), "2", ""), "3", ""), "4", ""), "5", ""), "6", ""), "7", ""), "8", ""), "9", ""))))</f>
        <v>--</v>
      </c>
      <c r="B757" t="str">
        <f>IF(ISBLANK(MAIN!B757), "--", IFERROR(PROPER(SUBSTITUTE(SUBSTITUTE(SUBSTITUTE(SUBSTITUTE(SUBSTITUTE(SUBSTITUTE(SUBSTITUTE(SUBSTITUTE(SUBSTITUTE(SUBSTITUTE(LEFT(MAIN!B757, FIND(",",MAIN!B757) -1), "0", ""), "1", ""), "2", ""), "3", ""), "4", ""), "5", ""), "6", ""), "7", ""), "8", ""), "9", "")), PROPER(SUBSTITUTE(SUBSTITUTE(SUBSTITUTE(SUBSTITUTE(SUBSTITUTE(SUBSTITUTE(SUBSTITUTE(SUBSTITUTE(SUBSTITUTE(SUBSTITUTE(MAIN!B757, "0", ""), "1", ""), "2", ""), "3", ""), "4", ""), "5", ""), "6", ""), "7", ""), "8", ""), "9", ""))))</f>
        <v>--</v>
      </c>
      <c r="C757" t="str">
        <f>IF(ISBLANK(MAIN!C757), "--", IFERROR(PROPER(SUBSTITUTE(SUBSTITUTE(SUBSTITUTE(SUBSTITUTE(SUBSTITUTE(SUBSTITUTE(SUBSTITUTE(SUBSTITUTE(SUBSTITUTE(SUBSTITUTE(LEFT(MAIN!C757, FIND(",",MAIN!C757) -1), "0", ""), "1", ""), "2", ""), "3", ""), "4", ""), "5", ""), "6", ""), "7", ""), "8", ""), "9", "")), PROPER(SUBSTITUTE(SUBSTITUTE(SUBSTITUTE(SUBSTITUTE(SUBSTITUTE(SUBSTITUTE(SUBSTITUTE(SUBSTITUTE(SUBSTITUTE(SUBSTITUTE(MAIN!C757, "0", ""), "1", ""), "2", ""), "3", ""), "4", ""), "5", ""), "6", ""), "7", ""), "8", ""), "9", ""))))</f>
        <v>--</v>
      </c>
      <c r="D757" t="str">
        <f>IF(ISBLANK(MAIN!D757), "--", IF(ISNUMBER(MATCH(SUBSTITUTE(LEFT(MAIN!D757, IFERROR(FIND(",", MAIN!D757)-1, LEN(MAIN!D757))), " ", ""), lookup_values!$B$2:$B$51, 0)), UPPER(SUBSTITUTE(LEFT(MAIN!D757, IFERROR(FIND(",", MAIN!D757)-1, LEN(MAIN!D757))), " ", "")), IF(ISNA(VLOOKUP(SUBSTITUTE(LEFT(MAIN!D757, IFERROR(FIND(",", MAIN!D757)-1, LEN(MAIN!D757))), " ", ""), lookup_values!$A$2:$B$51, 2, FALSE)), "--", VLOOKUP(SUBSTITUTE(LEFT(MAIN!D757, IFERROR(FIND(",", MAIN!D757)-1, LEN(MAIN!D757))), " ", ""), lookup_values!$A$2:$B$51, 2, FALSE))))</f>
        <v>--</v>
      </c>
      <c r="E757" t="str">
        <f>IF(CLEAN_DATA!D757&lt;&gt;"--","US",IF(ISBLANK(MAIN!E757), "--", IF(ISNUMBER(MATCH(SUBSTITUTE(LEFT(MAIN!E757, IFERROR(FIND(",", MAIN!E757)-1, LEN(MAIN!E757))), " ", ""), lookup_values!$E$2:$E$197, 0)), UPPER(SUBSTITUTE(LEFT(MAIN!E757, IFERROR(FIND(",", MAIN!E757)-1, LEN(MAIN!E757))), " ", "")), IF(ISNA(VLOOKUP(SUBSTITUTE(LEFT(MAIN!E757, IFERROR(FIND(",", MAIN!E757)-1, LEN(MAIN!E757))), " ", ""), lookup_values!$D$2:$E$197, 2, FALSE)), "--", VLOOKUP(SUBSTITUTE(LEFT(MAIN!E757, IFERROR(FIND(",", MAIN!E757)-1, LEN(MAIN!E757))), " ", ""), lookup_values!$D$2:$E$197, 2, FALSE)))))</f>
        <v>--</v>
      </c>
      <c r="F757" t="str">
        <f>IF(ISBLANK(MAIN!F757), "", IF(AND(ISNUMBER(VALUE(TRIM(MAIN!F757))), LEN(TRIM(MAIN!F757))=4), VALUE(TRIM(MAIN!F757)), ""))</f>
        <v/>
      </c>
      <c r="G757">
        <f>IF(ISBLANK(MAIN!G757), 0, IF(ISNUMBER(VALUE(TRIM(MAIN!G757))), VALUE(TRIM(MAIN!G757)), 0))</f>
        <v>0</v>
      </c>
      <c r="H757">
        <f>IF(ISBLANK(MAIN!H757), 0, IF(ISNUMBER(VALUE(TRIM(MAIN!H757))), VALUE(TRIM(MAIN!H757)), 0))</f>
        <v>0</v>
      </c>
      <c r="I757">
        <f>IF(ISBLANK(MAIN!I757), 0, IF(ISNUMBER(VALUE(TRIM(MAIN!I757))), VALUE(TRIM(MAIN!I757)), 0))</f>
        <v>0</v>
      </c>
      <c r="J757">
        <f>IF(ISBLANK(MAIN!J757), 0, IF(ISNUMBER(VALUE(TRIM(MAIN!J757))), VALUE(TRIM(MAIN!J757)), 0))</f>
        <v>0</v>
      </c>
      <c r="K757" cm="1">
        <f t="array" ref="K757">IFERROR(
    VALUE(
        IFERROR(
            UPPER(
                IF(MAX(IFERROR(SEARCH("WD",MAIN!G757:J757), 0))&gt;0, "WD",
                IF(MAX(IFERROR(SEARCH("NS",MAIN!G757:J757), 0))&gt;0, "NS",
                IF(MAX(IFERROR(SEARCH("NC",MAIN!G757:J757), 0))&gt;0, "NC",
                IF(MAX(IFERROR(SEARCH("DQ",MAIN!G757:J757), 0))&gt;0, "DQ",
                IF(ISNUMBER(SEARCH("WD",MAIN!K757)), "WD",
                IF(ISNUMBER(SEARCH("NS",MAIN!K757)), "NS",
                IF(ISNUMBER(SEARCH("NC",MAIN!K757)), "NC",
                IF(ISNUMBER(SEARCH("DQ",MAIN!K757)), "DQ",
                IF(ISNUMBER(SEARCH("A",MAIN!K757)), 0,
                IF(OR(MAIN!K757=0,MAIN!K757=""), 0, --TRIM(MAIN!K757)))))))))))),
            0
        )
    ),
    IFERROR(
        UPPER(
            IF(MAX(IFERROR(SEARCH("WD",MAIN!G757:J757), 0))&gt;0, "WD",
            IF(MAX(IFERROR(SEARCH("NS",MAIN!G757:J757), 0))&gt;0, "NS",
            IF(MAX(IFERROR(SEARCH("NC",MAIN!G757:J757), 0))&gt;0, "NC",
            IF(MAX(IFERROR(SEARCH("DQ",MAIN!G757:J757), 0))&gt;0, "DQ",
            IF(ISNUMBER(SEARCH("WD",MAIN!K757)), "WD",
            IF(ISNUMBER(SEARCH("NS",MAIN!K757)), "NS",
            IF(ISNUMBER(SEARCH("NC",MAIN!K757)), "NC",
            IF(ISNUMBER(SEARCH("DQ",MAIN!K757)), "DQ",
            IF(ISNUMBER(SEARCH("A",MAIN!K757)), 0,
            IF(OR(MAIN!K757=0,MAIN!K757=""), 0, --TRIM(MAIN!K757)))))))))))),
        0
    )
)</f>
        <v>0</v>
      </c>
    </row>
    <row r="758" spans="1:11" x14ac:dyDescent="0.25">
      <c r="A758" t="str">
        <f>IF(ISBLANK(MAIN!A758), "--", IFERROR(PROPER(SUBSTITUTE(SUBSTITUTE(SUBSTITUTE(SUBSTITUTE(SUBSTITUTE(SUBSTITUTE(SUBSTITUTE(SUBSTITUTE(SUBSTITUTE(SUBSTITUTE(LEFT(MAIN!A758, FIND(",",MAIN!A758) -1), "0", ""), "1", ""), "2", ""), "3", ""), "4", ""), "5", ""), "6", ""), "7", ""), "8", ""), "9", "")), PROPER(SUBSTITUTE(SUBSTITUTE(SUBSTITUTE(SUBSTITUTE(SUBSTITUTE(SUBSTITUTE(SUBSTITUTE(SUBSTITUTE(SUBSTITUTE(SUBSTITUTE(MAIN!A758, "0", ""), "1", ""), "2", ""), "3", ""), "4", ""), "5", ""), "6", ""), "7", ""), "8", ""), "9", ""))))</f>
        <v>--</v>
      </c>
      <c r="B758" t="str">
        <f>IF(ISBLANK(MAIN!B758), "--", IFERROR(PROPER(SUBSTITUTE(SUBSTITUTE(SUBSTITUTE(SUBSTITUTE(SUBSTITUTE(SUBSTITUTE(SUBSTITUTE(SUBSTITUTE(SUBSTITUTE(SUBSTITUTE(LEFT(MAIN!B758, FIND(",",MAIN!B758) -1), "0", ""), "1", ""), "2", ""), "3", ""), "4", ""), "5", ""), "6", ""), "7", ""), "8", ""), "9", "")), PROPER(SUBSTITUTE(SUBSTITUTE(SUBSTITUTE(SUBSTITUTE(SUBSTITUTE(SUBSTITUTE(SUBSTITUTE(SUBSTITUTE(SUBSTITUTE(SUBSTITUTE(MAIN!B758, "0", ""), "1", ""), "2", ""), "3", ""), "4", ""), "5", ""), "6", ""), "7", ""), "8", ""), "9", ""))))</f>
        <v>--</v>
      </c>
      <c r="C758" t="str">
        <f>IF(ISBLANK(MAIN!C758), "--", IFERROR(PROPER(SUBSTITUTE(SUBSTITUTE(SUBSTITUTE(SUBSTITUTE(SUBSTITUTE(SUBSTITUTE(SUBSTITUTE(SUBSTITUTE(SUBSTITUTE(SUBSTITUTE(LEFT(MAIN!C758, FIND(",",MAIN!C758) -1), "0", ""), "1", ""), "2", ""), "3", ""), "4", ""), "5", ""), "6", ""), "7", ""), "8", ""), "9", "")), PROPER(SUBSTITUTE(SUBSTITUTE(SUBSTITUTE(SUBSTITUTE(SUBSTITUTE(SUBSTITUTE(SUBSTITUTE(SUBSTITUTE(SUBSTITUTE(SUBSTITUTE(MAIN!C758, "0", ""), "1", ""), "2", ""), "3", ""), "4", ""), "5", ""), "6", ""), "7", ""), "8", ""), "9", ""))))</f>
        <v>--</v>
      </c>
      <c r="D758" t="str">
        <f>IF(ISBLANK(MAIN!D758), "--", IF(ISNUMBER(MATCH(SUBSTITUTE(LEFT(MAIN!D758, IFERROR(FIND(",", MAIN!D758)-1, LEN(MAIN!D758))), " ", ""), lookup_values!$B$2:$B$51, 0)), UPPER(SUBSTITUTE(LEFT(MAIN!D758, IFERROR(FIND(",", MAIN!D758)-1, LEN(MAIN!D758))), " ", "")), IF(ISNA(VLOOKUP(SUBSTITUTE(LEFT(MAIN!D758, IFERROR(FIND(",", MAIN!D758)-1, LEN(MAIN!D758))), " ", ""), lookup_values!$A$2:$B$51, 2, FALSE)), "--", VLOOKUP(SUBSTITUTE(LEFT(MAIN!D758, IFERROR(FIND(",", MAIN!D758)-1, LEN(MAIN!D758))), " ", ""), lookup_values!$A$2:$B$51, 2, FALSE))))</f>
        <v>--</v>
      </c>
      <c r="E758" t="str">
        <f>IF(CLEAN_DATA!D758&lt;&gt;"--","US",IF(ISBLANK(MAIN!E758), "--", IF(ISNUMBER(MATCH(SUBSTITUTE(LEFT(MAIN!E758, IFERROR(FIND(",", MAIN!E758)-1, LEN(MAIN!E758))), " ", ""), lookup_values!$E$2:$E$197, 0)), UPPER(SUBSTITUTE(LEFT(MAIN!E758, IFERROR(FIND(",", MAIN!E758)-1, LEN(MAIN!E758))), " ", "")), IF(ISNA(VLOOKUP(SUBSTITUTE(LEFT(MAIN!E758, IFERROR(FIND(",", MAIN!E758)-1, LEN(MAIN!E758))), " ", ""), lookup_values!$D$2:$E$197, 2, FALSE)), "--", VLOOKUP(SUBSTITUTE(LEFT(MAIN!E758, IFERROR(FIND(",", MAIN!E758)-1, LEN(MAIN!E758))), " ", ""), lookup_values!$D$2:$E$197, 2, FALSE)))))</f>
        <v>--</v>
      </c>
      <c r="F758" t="str">
        <f>IF(ISBLANK(MAIN!F758), "", IF(AND(ISNUMBER(VALUE(TRIM(MAIN!F758))), LEN(TRIM(MAIN!F758))=4), VALUE(TRIM(MAIN!F758)), ""))</f>
        <v/>
      </c>
      <c r="G758">
        <f>IF(ISBLANK(MAIN!G758), 0, IF(ISNUMBER(VALUE(TRIM(MAIN!G758))), VALUE(TRIM(MAIN!G758)), 0))</f>
        <v>0</v>
      </c>
      <c r="H758">
        <f>IF(ISBLANK(MAIN!H758), 0, IF(ISNUMBER(VALUE(TRIM(MAIN!H758))), VALUE(TRIM(MAIN!H758)), 0))</f>
        <v>0</v>
      </c>
      <c r="I758">
        <f>IF(ISBLANK(MAIN!I758), 0, IF(ISNUMBER(VALUE(TRIM(MAIN!I758))), VALUE(TRIM(MAIN!I758)), 0))</f>
        <v>0</v>
      </c>
      <c r="J758">
        <f>IF(ISBLANK(MAIN!J758), 0, IF(ISNUMBER(VALUE(TRIM(MAIN!J758))), VALUE(TRIM(MAIN!J758)), 0))</f>
        <v>0</v>
      </c>
      <c r="K758" cm="1">
        <f t="array" ref="K758">IFERROR(
    VALUE(
        IFERROR(
            UPPER(
                IF(MAX(IFERROR(SEARCH("WD",MAIN!G758:J758), 0))&gt;0, "WD",
                IF(MAX(IFERROR(SEARCH("NS",MAIN!G758:J758), 0))&gt;0, "NS",
                IF(MAX(IFERROR(SEARCH("NC",MAIN!G758:J758), 0))&gt;0, "NC",
                IF(MAX(IFERROR(SEARCH("DQ",MAIN!G758:J758), 0))&gt;0, "DQ",
                IF(ISNUMBER(SEARCH("WD",MAIN!K758)), "WD",
                IF(ISNUMBER(SEARCH("NS",MAIN!K758)), "NS",
                IF(ISNUMBER(SEARCH("NC",MAIN!K758)), "NC",
                IF(ISNUMBER(SEARCH("DQ",MAIN!K758)), "DQ",
                IF(ISNUMBER(SEARCH("A",MAIN!K758)), 0,
                IF(OR(MAIN!K758=0,MAIN!K758=""), 0, --TRIM(MAIN!K758)))))))))))),
            0
        )
    ),
    IFERROR(
        UPPER(
            IF(MAX(IFERROR(SEARCH("WD",MAIN!G758:J758), 0))&gt;0, "WD",
            IF(MAX(IFERROR(SEARCH("NS",MAIN!G758:J758), 0))&gt;0, "NS",
            IF(MAX(IFERROR(SEARCH("NC",MAIN!G758:J758), 0))&gt;0, "NC",
            IF(MAX(IFERROR(SEARCH("DQ",MAIN!G758:J758), 0))&gt;0, "DQ",
            IF(ISNUMBER(SEARCH("WD",MAIN!K758)), "WD",
            IF(ISNUMBER(SEARCH("NS",MAIN!K758)), "NS",
            IF(ISNUMBER(SEARCH("NC",MAIN!K758)), "NC",
            IF(ISNUMBER(SEARCH("DQ",MAIN!K758)), "DQ",
            IF(ISNUMBER(SEARCH("A",MAIN!K758)), 0,
            IF(OR(MAIN!K758=0,MAIN!K758=""), 0, --TRIM(MAIN!K758)))))))))))),
        0
    )
)</f>
        <v>0</v>
      </c>
    </row>
    <row r="759" spans="1:11" x14ac:dyDescent="0.25">
      <c r="A759" t="str">
        <f>IF(ISBLANK(MAIN!A759), "--", IFERROR(PROPER(SUBSTITUTE(SUBSTITUTE(SUBSTITUTE(SUBSTITUTE(SUBSTITUTE(SUBSTITUTE(SUBSTITUTE(SUBSTITUTE(SUBSTITUTE(SUBSTITUTE(LEFT(MAIN!A759, FIND(",",MAIN!A759) -1), "0", ""), "1", ""), "2", ""), "3", ""), "4", ""), "5", ""), "6", ""), "7", ""), "8", ""), "9", "")), PROPER(SUBSTITUTE(SUBSTITUTE(SUBSTITUTE(SUBSTITUTE(SUBSTITUTE(SUBSTITUTE(SUBSTITUTE(SUBSTITUTE(SUBSTITUTE(SUBSTITUTE(MAIN!A759, "0", ""), "1", ""), "2", ""), "3", ""), "4", ""), "5", ""), "6", ""), "7", ""), "8", ""), "9", ""))))</f>
        <v>--</v>
      </c>
      <c r="B759" t="str">
        <f>IF(ISBLANK(MAIN!B759), "--", IFERROR(PROPER(SUBSTITUTE(SUBSTITUTE(SUBSTITUTE(SUBSTITUTE(SUBSTITUTE(SUBSTITUTE(SUBSTITUTE(SUBSTITUTE(SUBSTITUTE(SUBSTITUTE(LEFT(MAIN!B759, FIND(",",MAIN!B759) -1), "0", ""), "1", ""), "2", ""), "3", ""), "4", ""), "5", ""), "6", ""), "7", ""), "8", ""), "9", "")), PROPER(SUBSTITUTE(SUBSTITUTE(SUBSTITUTE(SUBSTITUTE(SUBSTITUTE(SUBSTITUTE(SUBSTITUTE(SUBSTITUTE(SUBSTITUTE(SUBSTITUTE(MAIN!B759, "0", ""), "1", ""), "2", ""), "3", ""), "4", ""), "5", ""), "6", ""), "7", ""), "8", ""), "9", ""))))</f>
        <v>--</v>
      </c>
      <c r="C759" t="str">
        <f>IF(ISBLANK(MAIN!C759), "--", IFERROR(PROPER(SUBSTITUTE(SUBSTITUTE(SUBSTITUTE(SUBSTITUTE(SUBSTITUTE(SUBSTITUTE(SUBSTITUTE(SUBSTITUTE(SUBSTITUTE(SUBSTITUTE(LEFT(MAIN!C759, FIND(",",MAIN!C759) -1), "0", ""), "1", ""), "2", ""), "3", ""), "4", ""), "5", ""), "6", ""), "7", ""), "8", ""), "9", "")), PROPER(SUBSTITUTE(SUBSTITUTE(SUBSTITUTE(SUBSTITUTE(SUBSTITUTE(SUBSTITUTE(SUBSTITUTE(SUBSTITUTE(SUBSTITUTE(SUBSTITUTE(MAIN!C759, "0", ""), "1", ""), "2", ""), "3", ""), "4", ""), "5", ""), "6", ""), "7", ""), "8", ""), "9", ""))))</f>
        <v>--</v>
      </c>
      <c r="D759" t="str">
        <f>IF(ISBLANK(MAIN!D759), "--", IF(ISNUMBER(MATCH(SUBSTITUTE(LEFT(MAIN!D759, IFERROR(FIND(",", MAIN!D759)-1, LEN(MAIN!D759))), " ", ""), lookup_values!$B$2:$B$51, 0)), UPPER(SUBSTITUTE(LEFT(MAIN!D759, IFERROR(FIND(",", MAIN!D759)-1, LEN(MAIN!D759))), " ", "")), IF(ISNA(VLOOKUP(SUBSTITUTE(LEFT(MAIN!D759, IFERROR(FIND(",", MAIN!D759)-1, LEN(MAIN!D759))), " ", ""), lookup_values!$A$2:$B$51, 2, FALSE)), "--", VLOOKUP(SUBSTITUTE(LEFT(MAIN!D759, IFERROR(FIND(",", MAIN!D759)-1, LEN(MAIN!D759))), " ", ""), lookup_values!$A$2:$B$51, 2, FALSE))))</f>
        <v>--</v>
      </c>
      <c r="E759" t="str">
        <f>IF(CLEAN_DATA!D759&lt;&gt;"--","US",IF(ISBLANK(MAIN!E759), "--", IF(ISNUMBER(MATCH(SUBSTITUTE(LEFT(MAIN!E759, IFERROR(FIND(",", MAIN!E759)-1, LEN(MAIN!E759))), " ", ""), lookup_values!$E$2:$E$197, 0)), UPPER(SUBSTITUTE(LEFT(MAIN!E759, IFERROR(FIND(",", MAIN!E759)-1, LEN(MAIN!E759))), " ", "")), IF(ISNA(VLOOKUP(SUBSTITUTE(LEFT(MAIN!E759, IFERROR(FIND(",", MAIN!E759)-1, LEN(MAIN!E759))), " ", ""), lookup_values!$D$2:$E$197, 2, FALSE)), "--", VLOOKUP(SUBSTITUTE(LEFT(MAIN!E759, IFERROR(FIND(",", MAIN!E759)-1, LEN(MAIN!E759))), " ", ""), lookup_values!$D$2:$E$197, 2, FALSE)))))</f>
        <v>--</v>
      </c>
      <c r="F759" t="str">
        <f>IF(ISBLANK(MAIN!F759), "", IF(AND(ISNUMBER(VALUE(TRIM(MAIN!F759))), LEN(TRIM(MAIN!F759))=4), VALUE(TRIM(MAIN!F759)), ""))</f>
        <v/>
      </c>
      <c r="G759">
        <f>IF(ISBLANK(MAIN!G759), 0, IF(ISNUMBER(VALUE(TRIM(MAIN!G759))), VALUE(TRIM(MAIN!G759)), 0))</f>
        <v>0</v>
      </c>
      <c r="H759">
        <f>IF(ISBLANK(MAIN!H759), 0, IF(ISNUMBER(VALUE(TRIM(MAIN!H759))), VALUE(TRIM(MAIN!H759)), 0))</f>
        <v>0</v>
      </c>
      <c r="I759">
        <f>IF(ISBLANK(MAIN!I759), 0, IF(ISNUMBER(VALUE(TRIM(MAIN!I759))), VALUE(TRIM(MAIN!I759)), 0))</f>
        <v>0</v>
      </c>
      <c r="J759">
        <f>IF(ISBLANK(MAIN!J759), 0, IF(ISNUMBER(VALUE(TRIM(MAIN!J759))), VALUE(TRIM(MAIN!J759)), 0))</f>
        <v>0</v>
      </c>
      <c r="K759" cm="1">
        <f t="array" ref="K759">IFERROR(
    VALUE(
        IFERROR(
            UPPER(
                IF(MAX(IFERROR(SEARCH("WD",MAIN!G759:J759), 0))&gt;0, "WD",
                IF(MAX(IFERROR(SEARCH("NS",MAIN!G759:J759), 0))&gt;0, "NS",
                IF(MAX(IFERROR(SEARCH("NC",MAIN!G759:J759), 0))&gt;0, "NC",
                IF(MAX(IFERROR(SEARCH("DQ",MAIN!G759:J759), 0))&gt;0, "DQ",
                IF(ISNUMBER(SEARCH("WD",MAIN!K759)), "WD",
                IF(ISNUMBER(SEARCH("NS",MAIN!K759)), "NS",
                IF(ISNUMBER(SEARCH("NC",MAIN!K759)), "NC",
                IF(ISNUMBER(SEARCH("DQ",MAIN!K759)), "DQ",
                IF(ISNUMBER(SEARCH("A",MAIN!K759)), 0,
                IF(OR(MAIN!K759=0,MAIN!K759=""), 0, --TRIM(MAIN!K759)))))))))))),
            0
        )
    ),
    IFERROR(
        UPPER(
            IF(MAX(IFERROR(SEARCH("WD",MAIN!G759:J759), 0))&gt;0, "WD",
            IF(MAX(IFERROR(SEARCH("NS",MAIN!G759:J759), 0))&gt;0, "NS",
            IF(MAX(IFERROR(SEARCH("NC",MAIN!G759:J759), 0))&gt;0, "NC",
            IF(MAX(IFERROR(SEARCH("DQ",MAIN!G759:J759), 0))&gt;0, "DQ",
            IF(ISNUMBER(SEARCH("WD",MAIN!K759)), "WD",
            IF(ISNUMBER(SEARCH("NS",MAIN!K759)), "NS",
            IF(ISNUMBER(SEARCH("NC",MAIN!K759)), "NC",
            IF(ISNUMBER(SEARCH("DQ",MAIN!K759)), "DQ",
            IF(ISNUMBER(SEARCH("A",MAIN!K759)), 0,
            IF(OR(MAIN!K759=0,MAIN!K759=""), 0, --TRIM(MAIN!K759)))))))))))),
        0
    )
)</f>
        <v>0</v>
      </c>
    </row>
    <row r="760" spans="1:11" x14ac:dyDescent="0.25">
      <c r="A760" t="str">
        <f>IF(ISBLANK(MAIN!A760), "--", IFERROR(PROPER(SUBSTITUTE(SUBSTITUTE(SUBSTITUTE(SUBSTITUTE(SUBSTITUTE(SUBSTITUTE(SUBSTITUTE(SUBSTITUTE(SUBSTITUTE(SUBSTITUTE(LEFT(MAIN!A760, FIND(",",MAIN!A760) -1), "0", ""), "1", ""), "2", ""), "3", ""), "4", ""), "5", ""), "6", ""), "7", ""), "8", ""), "9", "")), PROPER(SUBSTITUTE(SUBSTITUTE(SUBSTITUTE(SUBSTITUTE(SUBSTITUTE(SUBSTITUTE(SUBSTITUTE(SUBSTITUTE(SUBSTITUTE(SUBSTITUTE(MAIN!A760, "0", ""), "1", ""), "2", ""), "3", ""), "4", ""), "5", ""), "6", ""), "7", ""), "8", ""), "9", ""))))</f>
        <v>--</v>
      </c>
      <c r="B760" t="str">
        <f>IF(ISBLANK(MAIN!B760), "--", IFERROR(PROPER(SUBSTITUTE(SUBSTITUTE(SUBSTITUTE(SUBSTITUTE(SUBSTITUTE(SUBSTITUTE(SUBSTITUTE(SUBSTITUTE(SUBSTITUTE(SUBSTITUTE(LEFT(MAIN!B760, FIND(",",MAIN!B760) -1), "0", ""), "1", ""), "2", ""), "3", ""), "4", ""), "5", ""), "6", ""), "7", ""), "8", ""), "9", "")), PROPER(SUBSTITUTE(SUBSTITUTE(SUBSTITUTE(SUBSTITUTE(SUBSTITUTE(SUBSTITUTE(SUBSTITUTE(SUBSTITUTE(SUBSTITUTE(SUBSTITUTE(MAIN!B760, "0", ""), "1", ""), "2", ""), "3", ""), "4", ""), "5", ""), "6", ""), "7", ""), "8", ""), "9", ""))))</f>
        <v>--</v>
      </c>
      <c r="C760" t="str">
        <f>IF(ISBLANK(MAIN!C760), "--", IFERROR(PROPER(SUBSTITUTE(SUBSTITUTE(SUBSTITUTE(SUBSTITUTE(SUBSTITUTE(SUBSTITUTE(SUBSTITUTE(SUBSTITUTE(SUBSTITUTE(SUBSTITUTE(LEFT(MAIN!C760, FIND(",",MAIN!C760) -1), "0", ""), "1", ""), "2", ""), "3", ""), "4", ""), "5", ""), "6", ""), "7", ""), "8", ""), "9", "")), PROPER(SUBSTITUTE(SUBSTITUTE(SUBSTITUTE(SUBSTITUTE(SUBSTITUTE(SUBSTITUTE(SUBSTITUTE(SUBSTITUTE(SUBSTITUTE(SUBSTITUTE(MAIN!C760, "0", ""), "1", ""), "2", ""), "3", ""), "4", ""), "5", ""), "6", ""), "7", ""), "8", ""), "9", ""))))</f>
        <v>--</v>
      </c>
      <c r="D760" t="str">
        <f>IF(ISBLANK(MAIN!D760), "--", IF(ISNUMBER(MATCH(SUBSTITUTE(LEFT(MAIN!D760, IFERROR(FIND(",", MAIN!D760)-1, LEN(MAIN!D760))), " ", ""), lookup_values!$B$2:$B$51, 0)), UPPER(SUBSTITUTE(LEFT(MAIN!D760, IFERROR(FIND(",", MAIN!D760)-1, LEN(MAIN!D760))), " ", "")), IF(ISNA(VLOOKUP(SUBSTITUTE(LEFT(MAIN!D760, IFERROR(FIND(",", MAIN!D760)-1, LEN(MAIN!D760))), " ", ""), lookup_values!$A$2:$B$51, 2, FALSE)), "--", VLOOKUP(SUBSTITUTE(LEFT(MAIN!D760, IFERROR(FIND(",", MAIN!D760)-1, LEN(MAIN!D760))), " ", ""), lookup_values!$A$2:$B$51, 2, FALSE))))</f>
        <v>--</v>
      </c>
      <c r="E760" t="str">
        <f>IF(CLEAN_DATA!D760&lt;&gt;"--","US",IF(ISBLANK(MAIN!E760), "--", IF(ISNUMBER(MATCH(SUBSTITUTE(LEFT(MAIN!E760, IFERROR(FIND(",", MAIN!E760)-1, LEN(MAIN!E760))), " ", ""), lookup_values!$E$2:$E$197, 0)), UPPER(SUBSTITUTE(LEFT(MAIN!E760, IFERROR(FIND(",", MAIN!E760)-1, LEN(MAIN!E760))), " ", "")), IF(ISNA(VLOOKUP(SUBSTITUTE(LEFT(MAIN!E760, IFERROR(FIND(",", MAIN!E760)-1, LEN(MAIN!E760))), " ", ""), lookup_values!$D$2:$E$197, 2, FALSE)), "--", VLOOKUP(SUBSTITUTE(LEFT(MAIN!E760, IFERROR(FIND(",", MAIN!E760)-1, LEN(MAIN!E760))), " ", ""), lookup_values!$D$2:$E$197, 2, FALSE)))))</f>
        <v>--</v>
      </c>
      <c r="F760" t="str">
        <f>IF(ISBLANK(MAIN!F760), "", IF(AND(ISNUMBER(VALUE(TRIM(MAIN!F760))), LEN(TRIM(MAIN!F760))=4), VALUE(TRIM(MAIN!F760)), ""))</f>
        <v/>
      </c>
      <c r="G760">
        <f>IF(ISBLANK(MAIN!G760), 0, IF(ISNUMBER(VALUE(TRIM(MAIN!G760))), VALUE(TRIM(MAIN!G760)), 0))</f>
        <v>0</v>
      </c>
      <c r="H760">
        <f>IF(ISBLANK(MAIN!H760), 0, IF(ISNUMBER(VALUE(TRIM(MAIN!H760))), VALUE(TRIM(MAIN!H760)), 0))</f>
        <v>0</v>
      </c>
      <c r="I760">
        <f>IF(ISBLANK(MAIN!I760), 0, IF(ISNUMBER(VALUE(TRIM(MAIN!I760))), VALUE(TRIM(MAIN!I760)), 0))</f>
        <v>0</v>
      </c>
      <c r="J760">
        <f>IF(ISBLANK(MAIN!J760), 0, IF(ISNUMBER(VALUE(TRIM(MAIN!J760))), VALUE(TRIM(MAIN!J760)), 0))</f>
        <v>0</v>
      </c>
      <c r="K760" cm="1">
        <f t="array" ref="K760">IFERROR(
    VALUE(
        IFERROR(
            UPPER(
                IF(MAX(IFERROR(SEARCH("WD",MAIN!G760:J760), 0))&gt;0, "WD",
                IF(MAX(IFERROR(SEARCH("NS",MAIN!G760:J760), 0))&gt;0, "NS",
                IF(MAX(IFERROR(SEARCH("NC",MAIN!G760:J760), 0))&gt;0, "NC",
                IF(MAX(IFERROR(SEARCH("DQ",MAIN!G760:J760), 0))&gt;0, "DQ",
                IF(ISNUMBER(SEARCH("WD",MAIN!K760)), "WD",
                IF(ISNUMBER(SEARCH("NS",MAIN!K760)), "NS",
                IF(ISNUMBER(SEARCH("NC",MAIN!K760)), "NC",
                IF(ISNUMBER(SEARCH("DQ",MAIN!K760)), "DQ",
                IF(ISNUMBER(SEARCH("A",MAIN!K760)), 0,
                IF(OR(MAIN!K760=0,MAIN!K760=""), 0, --TRIM(MAIN!K760)))))))))))),
            0
        )
    ),
    IFERROR(
        UPPER(
            IF(MAX(IFERROR(SEARCH("WD",MAIN!G760:J760), 0))&gt;0, "WD",
            IF(MAX(IFERROR(SEARCH("NS",MAIN!G760:J760), 0))&gt;0, "NS",
            IF(MAX(IFERROR(SEARCH("NC",MAIN!G760:J760), 0))&gt;0, "NC",
            IF(MAX(IFERROR(SEARCH("DQ",MAIN!G760:J760), 0))&gt;0, "DQ",
            IF(ISNUMBER(SEARCH("WD",MAIN!K760)), "WD",
            IF(ISNUMBER(SEARCH("NS",MAIN!K760)), "NS",
            IF(ISNUMBER(SEARCH("NC",MAIN!K760)), "NC",
            IF(ISNUMBER(SEARCH("DQ",MAIN!K760)), "DQ",
            IF(ISNUMBER(SEARCH("A",MAIN!K760)), 0,
            IF(OR(MAIN!K760=0,MAIN!K760=""), 0, --TRIM(MAIN!K760)))))))))))),
        0
    )
)</f>
        <v>0</v>
      </c>
    </row>
    <row r="761" spans="1:11" x14ac:dyDescent="0.25">
      <c r="A761" t="str">
        <f>IF(ISBLANK(MAIN!A761), "--", IFERROR(PROPER(SUBSTITUTE(SUBSTITUTE(SUBSTITUTE(SUBSTITUTE(SUBSTITUTE(SUBSTITUTE(SUBSTITUTE(SUBSTITUTE(SUBSTITUTE(SUBSTITUTE(LEFT(MAIN!A761, FIND(",",MAIN!A761) -1), "0", ""), "1", ""), "2", ""), "3", ""), "4", ""), "5", ""), "6", ""), "7", ""), "8", ""), "9", "")), PROPER(SUBSTITUTE(SUBSTITUTE(SUBSTITUTE(SUBSTITUTE(SUBSTITUTE(SUBSTITUTE(SUBSTITUTE(SUBSTITUTE(SUBSTITUTE(SUBSTITUTE(MAIN!A761, "0", ""), "1", ""), "2", ""), "3", ""), "4", ""), "5", ""), "6", ""), "7", ""), "8", ""), "9", ""))))</f>
        <v>--</v>
      </c>
      <c r="B761" t="str">
        <f>IF(ISBLANK(MAIN!B761), "--", IFERROR(PROPER(SUBSTITUTE(SUBSTITUTE(SUBSTITUTE(SUBSTITUTE(SUBSTITUTE(SUBSTITUTE(SUBSTITUTE(SUBSTITUTE(SUBSTITUTE(SUBSTITUTE(LEFT(MAIN!B761, FIND(",",MAIN!B761) -1), "0", ""), "1", ""), "2", ""), "3", ""), "4", ""), "5", ""), "6", ""), "7", ""), "8", ""), "9", "")), PROPER(SUBSTITUTE(SUBSTITUTE(SUBSTITUTE(SUBSTITUTE(SUBSTITUTE(SUBSTITUTE(SUBSTITUTE(SUBSTITUTE(SUBSTITUTE(SUBSTITUTE(MAIN!B761, "0", ""), "1", ""), "2", ""), "3", ""), "4", ""), "5", ""), "6", ""), "7", ""), "8", ""), "9", ""))))</f>
        <v>--</v>
      </c>
      <c r="C761" t="str">
        <f>IF(ISBLANK(MAIN!C761), "--", IFERROR(PROPER(SUBSTITUTE(SUBSTITUTE(SUBSTITUTE(SUBSTITUTE(SUBSTITUTE(SUBSTITUTE(SUBSTITUTE(SUBSTITUTE(SUBSTITUTE(SUBSTITUTE(LEFT(MAIN!C761, FIND(",",MAIN!C761) -1), "0", ""), "1", ""), "2", ""), "3", ""), "4", ""), "5", ""), "6", ""), "7", ""), "8", ""), "9", "")), PROPER(SUBSTITUTE(SUBSTITUTE(SUBSTITUTE(SUBSTITUTE(SUBSTITUTE(SUBSTITUTE(SUBSTITUTE(SUBSTITUTE(SUBSTITUTE(SUBSTITUTE(MAIN!C761, "0", ""), "1", ""), "2", ""), "3", ""), "4", ""), "5", ""), "6", ""), "7", ""), "8", ""), "9", ""))))</f>
        <v>--</v>
      </c>
      <c r="D761" t="str">
        <f>IF(ISBLANK(MAIN!D761), "--", IF(ISNUMBER(MATCH(SUBSTITUTE(LEFT(MAIN!D761, IFERROR(FIND(",", MAIN!D761)-1, LEN(MAIN!D761))), " ", ""), lookup_values!$B$2:$B$51, 0)), UPPER(SUBSTITUTE(LEFT(MAIN!D761, IFERROR(FIND(",", MAIN!D761)-1, LEN(MAIN!D761))), " ", "")), IF(ISNA(VLOOKUP(SUBSTITUTE(LEFT(MAIN!D761, IFERROR(FIND(",", MAIN!D761)-1, LEN(MAIN!D761))), " ", ""), lookup_values!$A$2:$B$51, 2, FALSE)), "--", VLOOKUP(SUBSTITUTE(LEFT(MAIN!D761, IFERROR(FIND(",", MAIN!D761)-1, LEN(MAIN!D761))), " ", ""), lookup_values!$A$2:$B$51, 2, FALSE))))</f>
        <v>--</v>
      </c>
      <c r="E761" t="str">
        <f>IF(CLEAN_DATA!D761&lt;&gt;"--","US",IF(ISBLANK(MAIN!E761), "--", IF(ISNUMBER(MATCH(SUBSTITUTE(LEFT(MAIN!E761, IFERROR(FIND(",", MAIN!E761)-1, LEN(MAIN!E761))), " ", ""), lookup_values!$E$2:$E$197, 0)), UPPER(SUBSTITUTE(LEFT(MAIN!E761, IFERROR(FIND(",", MAIN!E761)-1, LEN(MAIN!E761))), " ", "")), IF(ISNA(VLOOKUP(SUBSTITUTE(LEFT(MAIN!E761, IFERROR(FIND(",", MAIN!E761)-1, LEN(MAIN!E761))), " ", ""), lookup_values!$D$2:$E$197, 2, FALSE)), "--", VLOOKUP(SUBSTITUTE(LEFT(MAIN!E761, IFERROR(FIND(",", MAIN!E761)-1, LEN(MAIN!E761))), " ", ""), lookup_values!$D$2:$E$197, 2, FALSE)))))</f>
        <v>--</v>
      </c>
      <c r="F761" t="str">
        <f>IF(ISBLANK(MAIN!F761), "", IF(AND(ISNUMBER(VALUE(TRIM(MAIN!F761))), LEN(TRIM(MAIN!F761))=4), VALUE(TRIM(MAIN!F761)), ""))</f>
        <v/>
      </c>
      <c r="G761">
        <f>IF(ISBLANK(MAIN!G761), 0, IF(ISNUMBER(VALUE(TRIM(MAIN!G761))), VALUE(TRIM(MAIN!G761)), 0))</f>
        <v>0</v>
      </c>
      <c r="H761">
        <f>IF(ISBLANK(MAIN!H761), 0, IF(ISNUMBER(VALUE(TRIM(MAIN!H761))), VALUE(TRIM(MAIN!H761)), 0))</f>
        <v>0</v>
      </c>
      <c r="I761">
        <f>IF(ISBLANK(MAIN!I761), 0, IF(ISNUMBER(VALUE(TRIM(MAIN!I761))), VALUE(TRIM(MAIN!I761)), 0))</f>
        <v>0</v>
      </c>
      <c r="J761">
        <f>IF(ISBLANK(MAIN!J761), 0, IF(ISNUMBER(VALUE(TRIM(MAIN!J761))), VALUE(TRIM(MAIN!J761)), 0))</f>
        <v>0</v>
      </c>
      <c r="K761" cm="1">
        <f t="array" ref="K761">IFERROR(
    VALUE(
        IFERROR(
            UPPER(
                IF(MAX(IFERROR(SEARCH("WD",MAIN!G761:J761), 0))&gt;0, "WD",
                IF(MAX(IFERROR(SEARCH("NS",MAIN!G761:J761), 0))&gt;0, "NS",
                IF(MAX(IFERROR(SEARCH("NC",MAIN!G761:J761), 0))&gt;0, "NC",
                IF(MAX(IFERROR(SEARCH("DQ",MAIN!G761:J761), 0))&gt;0, "DQ",
                IF(ISNUMBER(SEARCH("WD",MAIN!K761)), "WD",
                IF(ISNUMBER(SEARCH("NS",MAIN!K761)), "NS",
                IF(ISNUMBER(SEARCH("NC",MAIN!K761)), "NC",
                IF(ISNUMBER(SEARCH("DQ",MAIN!K761)), "DQ",
                IF(ISNUMBER(SEARCH("A",MAIN!K761)), 0,
                IF(OR(MAIN!K761=0,MAIN!K761=""), 0, --TRIM(MAIN!K761)))))))))))),
            0
        )
    ),
    IFERROR(
        UPPER(
            IF(MAX(IFERROR(SEARCH("WD",MAIN!G761:J761), 0))&gt;0, "WD",
            IF(MAX(IFERROR(SEARCH("NS",MAIN!G761:J761), 0))&gt;0, "NS",
            IF(MAX(IFERROR(SEARCH("NC",MAIN!G761:J761), 0))&gt;0, "NC",
            IF(MAX(IFERROR(SEARCH("DQ",MAIN!G761:J761), 0))&gt;0, "DQ",
            IF(ISNUMBER(SEARCH("WD",MAIN!K761)), "WD",
            IF(ISNUMBER(SEARCH("NS",MAIN!K761)), "NS",
            IF(ISNUMBER(SEARCH("NC",MAIN!K761)), "NC",
            IF(ISNUMBER(SEARCH("DQ",MAIN!K761)), "DQ",
            IF(ISNUMBER(SEARCH("A",MAIN!K761)), 0,
            IF(OR(MAIN!K761=0,MAIN!K761=""), 0, --TRIM(MAIN!K761)))))))))))),
        0
    )
)</f>
        <v>0</v>
      </c>
    </row>
    <row r="762" spans="1:11" x14ac:dyDescent="0.25">
      <c r="A762" t="str">
        <f>IF(ISBLANK(MAIN!A762), "--", IFERROR(PROPER(SUBSTITUTE(SUBSTITUTE(SUBSTITUTE(SUBSTITUTE(SUBSTITUTE(SUBSTITUTE(SUBSTITUTE(SUBSTITUTE(SUBSTITUTE(SUBSTITUTE(LEFT(MAIN!A762, FIND(",",MAIN!A762) -1), "0", ""), "1", ""), "2", ""), "3", ""), "4", ""), "5", ""), "6", ""), "7", ""), "8", ""), "9", "")), PROPER(SUBSTITUTE(SUBSTITUTE(SUBSTITUTE(SUBSTITUTE(SUBSTITUTE(SUBSTITUTE(SUBSTITUTE(SUBSTITUTE(SUBSTITUTE(SUBSTITUTE(MAIN!A762, "0", ""), "1", ""), "2", ""), "3", ""), "4", ""), "5", ""), "6", ""), "7", ""), "8", ""), "9", ""))))</f>
        <v>--</v>
      </c>
      <c r="B762" t="str">
        <f>IF(ISBLANK(MAIN!B762), "--", IFERROR(PROPER(SUBSTITUTE(SUBSTITUTE(SUBSTITUTE(SUBSTITUTE(SUBSTITUTE(SUBSTITUTE(SUBSTITUTE(SUBSTITUTE(SUBSTITUTE(SUBSTITUTE(LEFT(MAIN!B762, FIND(",",MAIN!B762) -1), "0", ""), "1", ""), "2", ""), "3", ""), "4", ""), "5", ""), "6", ""), "7", ""), "8", ""), "9", "")), PROPER(SUBSTITUTE(SUBSTITUTE(SUBSTITUTE(SUBSTITUTE(SUBSTITUTE(SUBSTITUTE(SUBSTITUTE(SUBSTITUTE(SUBSTITUTE(SUBSTITUTE(MAIN!B762, "0", ""), "1", ""), "2", ""), "3", ""), "4", ""), "5", ""), "6", ""), "7", ""), "8", ""), "9", ""))))</f>
        <v>--</v>
      </c>
      <c r="C762" t="str">
        <f>IF(ISBLANK(MAIN!C762), "--", IFERROR(PROPER(SUBSTITUTE(SUBSTITUTE(SUBSTITUTE(SUBSTITUTE(SUBSTITUTE(SUBSTITUTE(SUBSTITUTE(SUBSTITUTE(SUBSTITUTE(SUBSTITUTE(LEFT(MAIN!C762, FIND(",",MAIN!C762) -1), "0", ""), "1", ""), "2", ""), "3", ""), "4", ""), "5", ""), "6", ""), "7", ""), "8", ""), "9", "")), PROPER(SUBSTITUTE(SUBSTITUTE(SUBSTITUTE(SUBSTITUTE(SUBSTITUTE(SUBSTITUTE(SUBSTITUTE(SUBSTITUTE(SUBSTITUTE(SUBSTITUTE(MAIN!C762, "0", ""), "1", ""), "2", ""), "3", ""), "4", ""), "5", ""), "6", ""), "7", ""), "8", ""), "9", ""))))</f>
        <v>--</v>
      </c>
      <c r="D762" t="str">
        <f>IF(ISBLANK(MAIN!D762), "--", IF(ISNUMBER(MATCH(SUBSTITUTE(LEFT(MAIN!D762, IFERROR(FIND(",", MAIN!D762)-1, LEN(MAIN!D762))), " ", ""), lookup_values!$B$2:$B$51, 0)), UPPER(SUBSTITUTE(LEFT(MAIN!D762, IFERROR(FIND(",", MAIN!D762)-1, LEN(MAIN!D762))), " ", "")), IF(ISNA(VLOOKUP(SUBSTITUTE(LEFT(MAIN!D762, IFERROR(FIND(",", MAIN!D762)-1, LEN(MAIN!D762))), " ", ""), lookup_values!$A$2:$B$51, 2, FALSE)), "--", VLOOKUP(SUBSTITUTE(LEFT(MAIN!D762, IFERROR(FIND(",", MAIN!D762)-1, LEN(MAIN!D762))), " ", ""), lookup_values!$A$2:$B$51, 2, FALSE))))</f>
        <v>--</v>
      </c>
      <c r="E762" t="str">
        <f>IF(CLEAN_DATA!D762&lt;&gt;"--","US",IF(ISBLANK(MAIN!E762), "--", IF(ISNUMBER(MATCH(SUBSTITUTE(LEFT(MAIN!E762, IFERROR(FIND(",", MAIN!E762)-1, LEN(MAIN!E762))), " ", ""), lookup_values!$E$2:$E$197, 0)), UPPER(SUBSTITUTE(LEFT(MAIN!E762, IFERROR(FIND(",", MAIN!E762)-1, LEN(MAIN!E762))), " ", "")), IF(ISNA(VLOOKUP(SUBSTITUTE(LEFT(MAIN!E762, IFERROR(FIND(",", MAIN!E762)-1, LEN(MAIN!E762))), " ", ""), lookup_values!$D$2:$E$197, 2, FALSE)), "--", VLOOKUP(SUBSTITUTE(LEFT(MAIN!E762, IFERROR(FIND(",", MAIN!E762)-1, LEN(MAIN!E762))), " ", ""), lookup_values!$D$2:$E$197, 2, FALSE)))))</f>
        <v>--</v>
      </c>
      <c r="F762" t="str">
        <f>IF(ISBLANK(MAIN!F762), "", IF(AND(ISNUMBER(VALUE(TRIM(MAIN!F762))), LEN(TRIM(MAIN!F762))=4), VALUE(TRIM(MAIN!F762)), ""))</f>
        <v/>
      </c>
      <c r="G762">
        <f>IF(ISBLANK(MAIN!G762), 0, IF(ISNUMBER(VALUE(TRIM(MAIN!G762))), VALUE(TRIM(MAIN!G762)), 0))</f>
        <v>0</v>
      </c>
      <c r="H762">
        <f>IF(ISBLANK(MAIN!H762), 0, IF(ISNUMBER(VALUE(TRIM(MAIN!H762))), VALUE(TRIM(MAIN!H762)), 0))</f>
        <v>0</v>
      </c>
      <c r="I762">
        <f>IF(ISBLANK(MAIN!I762), 0, IF(ISNUMBER(VALUE(TRIM(MAIN!I762))), VALUE(TRIM(MAIN!I762)), 0))</f>
        <v>0</v>
      </c>
      <c r="J762">
        <f>IF(ISBLANK(MAIN!J762), 0, IF(ISNUMBER(VALUE(TRIM(MAIN!J762))), VALUE(TRIM(MAIN!J762)), 0))</f>
        <v>0</v>
      </c>
      <c r="K762" cm="1">
        <f t="array" ref="K762">IFERROR(
    VALUE(
        IFERROR(
            UPPER(
                IF(MAX(IFERROR(SEARCH("WD",MAIN!G762:J762), 0))&gt;0, "WD",
                IF(MAX(IFERROR(SEARCH("NS",MAIN!G762:J762), 0))&gt;0, "NS",
                IF(MAX(IFERROR(SEARCH("NC",MAIN!G762:J762), 0))&gt;0, "NC",
                IF(MAX(IFERROR(SEARCH("DQ",MAIN!G762:J762), 0))&gt;0, "DQ",
                IF(ISNUMBER(SEARCH("WD",MAIN!K762)), "WD",
                IF(ISNUMBER(SEARCH("NS",MAIN!K762)), "NS",
                IF(ISNUMBER(SEARCH("NC",MAIN!K762)), "NC",
                IF(ISNUMBER(SEARCH("DQ",MAIN!K762)), "DQ",
                IF(ISNUMBER(SEARCH("A",MAIN!K762)), 0,
                IF(OR(MAIN!K762=0,MAIN!K762=""), 0, --TRIM(MAIN!K762)))))))))))),
            0
        )
    ),
    IFERROR(
        UPPER(
            IF(MAX(IFERROR(SEARCH("WD",MAIN!G762:J762), 0))&gt;0, "WD",
            IF(MAX(IFERROR(SEARCH("NS",MAIN!G762:J762), 0))&gt;0, "NS",
            IF(MAX(IFERROR(SEARCH("NC",MAIN!G762:J762), 0))&gt;0, "NC",
            IF(MAX(IFERROR(SEARCH("DQ",MAIN!G762:J762), 0))&gt;0, "DQ",
            IF(ISNUMBER(SEARCH("WD",MAIN!K762)), "WD",
            IF(ISNUMBER(SEARCH("NS",MAIN!K762)), "NS",
            IF(ISNUMBER(SEARCH("NC",MAIN!K762)), "NC",
            IF(ISNUMBER(SEARCH("DQ",MAIN!K762)), "DQ",
            IF(ISNUMBER(SEARCH("A",MAIN!K762)), 0,
            IF(OR(MAIN!K762=0,MAIN!K762=""), 0, --TRIM(MAIN!K762)))))))))))),
        0
    )
)</f>
        <v>0</v>
      </c>
    </row>
    <row r="763" spans="1:11" x14ac:dyDescent="0.25">
      <c r="A763" t="str">
        <f>IF(ISBLANK(MAIN!A763), "--", IFERROR(PROPER(SUBSTITUTE(SUBSTITUTE(SUBSTITUTE(SUBSTITUTE(SUBSTITUTE(SUBSTITUTE(SUBSTITUTE(SUBSTITUTE(SUBSTITUTE(SUBSTITUTE(LEFT(MAIN!A763, FIND(",",MAIN!A763) -1), "0", ""), "1", ""), "2", ""), "3", ""), "4", ""), "5", ""), "6", ""), "7", ""), "8", ""), "9", "")), PROPER(SUBSTITUTE(SUBSTITUTE(SUBSTITUTE(SUBSTITUTE(SUBSTITUTE(SUBSTITUTE(SUBSTITUTE(SUBSTITUTE(SUBSTITUTE(SUBSTITUTE(MAIN!A763, "0", ""), "1", ""), "2", ""), "3", ""), "4", ""), "5", ""), "6", ""), "7", ""), "8", ""), "9", ""))))</f>
        <v>--</v>
      </c>
      <c r="B763" t="str">
        <f>IF(ISBLANK(MAIN!B763), "--", IFERROR(PROPER(SUBSTITUTE(SUBSTITUTE(SUBSTITUTE(SUBSTITUTE(SUBSTITUTE(SUBSTITUTE(SUBSTITUTE(SUBSTITUTE(SUBSTITUTE(SUBSTITUTE(LEFT(MAIN!B763, FIND(",",MAIN!B763) -1), "0", ""), "1", ""), "2", ""), "3", ""), "4", ""), "5", ""), "6", ""), "7", ""), "8", ""), "9", "")), PROPER(SUBSTITUTE(SUBSTITUTE(SUBSTITUTE(SUBSTITUTE(SUBSTITUTE(SUBSTITUTE(SUBSTITUTE(SUBSTITUTE(SUBSTITUTE(SUBSTITUTE(MAIN!B763, "0", ""), "1", ""), "2", ""), "3", ""), "4", ""), "5", ""), "6", ""), "7", ""), "8", ""), "9", ""))))</f>
        <v>--</v>
      </c>
      <c r="C763" t="str">
        <f>IF(ISBLANK(MAIN!C763), "--", IFERROR(PROPER(SUBSTITUTE(SUBSTITUTE(SUBSTITUTE(SUBSTITUTE(SUBSTITUTE(SUBSTITUTE(SUBSTITUTE(SUBSTITUTE(SUBSTITUTE(SUBSTITUTE(LEFT(MAIN!C763, FIND(",",MAIN!C763) -1), "0", ""), "1", ""), "2", ""), "3", ""), "4", ""), "5", ""), "6", ""), "7", ""), "8", ""), "9", "")), PROPER(SUBSTITUTE(SUBSTITUTE(SUBSTITUTE(SUBSTITUTE(SUBSTITUTE(SUBSTITUTE(SUBSTITUTE(SUBSTITUTE(SUBSTITUTE(SUBSTITUTE(MAIN!C763, "0", ""), "1", ""), "2", ""), "3", ""), "4", ""), "5", ""), "6", ""), "7", ""), "8", ""), "9", ""))))</f>
        <v>--</v>
      </c>
      <c r="D763" t="str">
        <f>IF(ISBLANK(MAIN!D763), "--", IF(ISNUMBER(MATCH(SUBSTITUTE(LEFT(MAIN!D763, IFERROR(FIND(",", MAIN!D763)-1, LEN(MAIN!D763))), " ", ""), lookup_values!$B$2:$B$51, 0)), UPPER(SUBSTITUTE(LEFT(MAIN!D763, IFERROR(FIND(",", MAIN!D763)-1, LEN(MAIN!D763))), " ", "")), IF(ISNA(VLOOKUP(SUBSTITUTE(LEFT(MAIN!D763, IFERROR(FIND(",", MAIN!D763)-1, LEN(MAIN!D763))), " ", ""), lookup_values!$A$2:$B$51, 2, FALSE)), "--", VLOOKUP(SUBSTITUTE(LEFT(MAIN!D763, IFERROR(FIND(",", MAIN!D763)-1, LEN(MAIN!D763))), " ", ""), lookup_values!$A$2:$B$51, 2, FALSE))))</f>
        <v>--</v>
      </c>
      <c r="E763" t="str">
        <f>IF(CLEAN_DATA!D763&lt;&gt;"--","US",IF(ISBLANK(MAIN!E763), "--", IF(ISNUMBER(MATCH(SUBSTITUTE(LEFT(MAIN!E763, IFERROR(FIND(",", MAIN!E763)-1, LEN(MAIN!E763))), " ", ""), lookup_values!$E$2:$E$197, 0)), UPPER(SUBSTITUTE(LEFT(MAIN!E763, IFERROR(FIND(",", MAIN!E763)-1, LEN(MAIN!E763))), " ", "")), IF(ISNA(VLOOKUP(SUBSTITUTE(LEFT(MAIN!E763, IFERROR(FIND(",", MAIN!E763)-1, LEN(MAIN!E763))), " ", ""), lookup_values!$D$2:$E$197, 2, FALSE)), "--", VLOOKUP(SUBSTITUTE(LEFT(MAIN!E763, IFERROR(FIND(",", MAIN!E763)-1, LEN(MAIN!E763))), " ", ""), lookup_values!$D$2:$E$197, 2, FALSE)))))</f>
        <v>--</v>
      </c>
      <c r="F763" t="str">
        <f>IF(ISBLANK(MAIN!F763), "", IF(AND(ISNUMBER(VALUE(TRIM(MAIN!F763))), LEN(TRIM(MAIN!F763))=4), VALUE(TRIM(MAIN!F763)), ""))</f>
        <v/>
      </c>
      <c r="G763">
        <f>IF(ISBLANK(MAIN!G763), 0, IF(ISNUMBER(VALUE(TRIM(MAIN!G763))), VALUE(TRIM(MAIN!G763)), 0))</f>
        <v>0</v>
      </c>
      <c r="H763">
        <f>IF(ISBLANK(MAIN!H763), 0, IF(ISNUMBER(VALUE(TRIM(MAIN!H763))), VALUE(TRIM(MAIN!H763)), 0))</f>
        <v>0</v>
      </c>
      <c r="I763">
        <f>IF(ISBLANK(MAIN!I763), 0, IF(ISNUMBER(VALUE(TRIM(MAIN!I763))), VALUE(TRIM(MAIN!I763)), 0))</f>
        <v>0</v>
      </c>
      <c r="J763">
        <f>IF(ISBLANK(MAIN!J763), 0, IF(ISNUMBER(VALUE(TRIM(MAIN!J763))), VALUE(TRIM(MAIN!J763)), 0))</f>
        <v>0</v>
      </c>
      <c r="K763" cm="1">
        <f t="array" ref="K763">IFERROR(
    VALUE(
        IFERROR(
            UPPER(
                IF(MAX(IFERROR(SEARCH("WD",MAIN!G763:J763), 0))&gt;0, "WD",
                IF(MAX(IFERROR(SEARCH("NS",MAIN!G763:J763), 0))&gt;0, "NS",
                IF(MAX(IFERROR(SEARCH("NC",MAIN!G763:J763), 0))&gt;0, "NC",
                IF(MAX(IFERROR(SEARCH("DQ",MAIN!G763:J763), 0))&gt;0, "DQ",
                IF(ISNUMBER(SEARCH("WD",MAIN!K763)), "WD",
                IF(ISNUMBER(SEARCH("NS",MAIN!K763)), "NS",
                IF(ISNUMBER(SEARCH("NC",MAIN!K763)), "NC",
                IF(ISNUMBER(SEARCH("DQ",MAIN!K763)), "DQ",
                IF(ISNUMBER(SEARCH("A",MAIN!K763)), 0,
                IF(OR(MAIN!K763=0,MAIN!K763=""), 0, --TRIM(MAIN!K763)))))))))))),
            0
        )
    ),
    IFERROR(
        UPPER(
            IF(MAX(IFERROR(SEARCH("WD",MAIN!G763:J763), 0))&gt;0, "WD",
            IF(MAX(IFERROR(SEARCH("NS",MAIN!G763:J763), 0))&gt;0, "NS",
            IF(MAX(IFERROR(SEARCH("NC",MAIN!G763:J763), 0))&gt;0, "NC",
            IF(MAX(IFERROR(SEARCH("DQ",MAIN!G763:J763), 0))&gt;0, "DQ",
            IF(ISNUMBER(SEARCH("WD",MAIN!K763)), "WD",
            IF(ISNUMBER(SEARCH("NS",MAIN!K763)), "NS",
            IF(ISNUMBER(SEARCH("NC",MAIN!K763)), "NC",
            IF(ISNUMBER(SEARCH("DQ",MAIN!K763)), "DQ",
            IF(ISNUMBER(SEARCH("A",MAIN!K763)), 0,
            IF(OR(MAIN!K763=0,MAIN!K763=""), 0, --TRIM(MAIN!K763)))))))))))),
        0
    )
)</f>
        <v>0</v>
      </c>
    </row>
    <row r="764" spans="1:11" x14ac:dyDescent="0.25">
      <c r="A764" t="str">
        <f>IF(ISBLANK(MAIN!A764), "--", IFERROR(PROPER(SUBSTITUTE(SUBSTITUTE(SUBSTITUTE(SUBSTITUTE(SUBSTITUTE(SUBSTITUTE(SUBSTITUTE(SUBSTITUTE(SUBSTITUTE(SUBSTITUTE(LEFT(MAIN!A764, FIND(",",MAIN!A764) -1), "0", ""), "1", ""), "2", ""), "3", ""), "4", ""), "5", ""), "6", ""), "7", ""), "8", ""), "9", "")), PROPER(SUBSTITUTE(SUBSTITUTE(SUBSTITUTE(SUBSTITUTE(SUBSTITUTE(SUBSTITUTE(SUBSTITUTE(SUBSTITUTE(SUBSTITUTE(SUBSTITUTE(MAIN!A764, "0", ""), "1", ""), "2", ""), "3", ""), "4", ""), "5", ""), "6", ""), "7", ""), "8", ""), "9", ""))))</f>
        <v>--</v>
      </c>
      <c r="B764" t="str">
        <f>IF(ISBLANK(MAIN!B764), "--", IFERROR(PROPER(SUBSTITUTE(SUBSTITUTE(SUBSTITUTE(SUBSTITUTE(SUBSTITUTE(SUBSTITUTE(SUBSTITUTE(SUBSTITUTE(SUBSTITUTE(SUBSTITUTE(LEFT(MAIN!B764, FIND(",",MAIN!B764) -1), "0", ""), "1", ""), "2", ""), "3", ""), "4", ""), "5", ""), "6", ""), "7", ""), "8", ""), "9", "")), PROPER(SUBSTITUTE(SUBSTITUTE(SUBSTITUTE(SUBSTITUTE(SUBSTITUTE(SUBSTITUTE(SUBSTITUTE(SUBSTITUTE(SUBSTITUTE(SUBSTITUTE(MAIN!B764, "0", ""), "1", ""), "2", ""), "3", ""), "4", ""), "5", ""), "6", ""), "7", ""), "8", ""), "9", ""))))</f>
        <v>--</v>
      </c>
      <c r="C764" t="str">
        <f>IF(ISBLANK(MAIN!C764), "--", IFERROR(PROPER(SUBSTITUTE(SUBSTITUTE(SUBSTITUTE(SUBSTITUTE(SUBSTITUTE(SUBSTITUTE(SUBSTITUTE(SUBSTITUTE(SUBSTITUTE(SUBSTITUTE(LEFT(MAIN!C764, FIND(",",MAIN!C764) -1), "0", ""), "1", ""), "2", ""), "3", ""), "4", ""), "5", ""), "6", ""), "7", ""), "8", ""), "9", "")), PROPER(SUBSTITUTE(SUBSTITUTE(SUBSTITUTE(SUBSTITUTE(SUBSTITUTE(SUBSTITUTE(SUBSTITUTE(SUBSTITUTE(SUBSTITUTE(SUBSTITUTE(MAIN!C764, "0", ""), "1", ""), "2", ""), "3", ""), "4", ""), "5", ""), "6", ""), "7", ""), "8", ""), "9", ""))))</f>
        <v>--</v>
      </c>
      <c r="D764" t="str">
        <f>IF(ISBLANK(MAIN!D764), "--", IF(ISNUMBER(MATCH(SUBSTITUTE(LEFT(MAIN!D764, IFERROR(FIND(",", MAIN!D764)-1, LEN(MAIN!D764))), " ", ""), lookup_values!$B$2:$B$51, 0)), UPPER(SUBSTITUTE(LEFT(MAIN!D764, IFERROR(FIND(",", MAIN!D764)-1, LEN(MAIN!D764))), " ", "")), IF(ISNA(VLOOKUP(SUBSTITUTE(LEFT(MAIN!D764, IFERROR(FIND(",", MAIN!D764)-1, LEN(MAIN!D764))), " ", ""), lookup_values!$A$2:$B$51, 2, FALSE)), "--", VLOOKUP(SUBSTITUTE(LEFT(MAIN!D764, IFERROR(FIND(",", MAIN!D764)-1, LEN(MAIN!D764))), " ", ""), lookup_values!$A$2:$B$51, 2, FALSE))))</f>
        <v>--</v>
      </c>
      <c r="E764" t="str">
        <f>IF(CLEAN_DATA!D764&lt;&gt;"--","US",IF(ISBLANK(MAIN!E764), "--", IF(ISNUMBER(MATCH(SUBSTITUTE(LEFT(MAIN!E764, IFERROR(FIND(",", MAIN!E764)-1, LEN(MAIN!E764))), " ", ""), lookup_values!$E$2:$E$197, 0)), UPPER(SUBSTITUTE(LEFT(MAIN!E764, IFERROR(FIND(",", MAIN!E764)-1, LEN(MAIN!E764))), " ", "")), IF(ISNA(VLOOKUP(SUBSTITUTE(LEFT(MAIN!E764, IFERROR(FIND(",", MAIN!E764)-1, LEN(MAIN!E764))), " ", ""), lookup_values!$D$2:$E$197, 2, FALSE)), "--", VLOOKUP(SUBSTITUTE(LEFT(MAIN!E764, IFERROR(FIND(",", MAIN!E764)-1, LEN(MAIN!E764))), " ", ""), lookup_values!$D$2:$E$197, 2, FALSE)))))</f>
        <v>--</v>
      </c>
      <c r="F764" t="str">
        <f>IF(ISBLANK(MAIN!F764), "", IF(AND(ISNUMBER(VALUE(TRIM(MAIN!F764))), LEN(TRIM(MAIN!F764))=4), VALUE(TRIM(MAIN!F764)), ""))</f>
        <v/>
      </c>
      <c r="G764">
        <f>IF(ISBLANK(MAIN!G764), 0, IF(ISNUMBER(VALUE(TRIM(MAIN!G764))), VALUE(TRIM(MAIN!G764)), 0))</f>
        <v>0</v>
      </c>
      <c r="H764">
        <f>IF(ISBLANK(MAIN!H764), 0, IF(ISNUMBER(VALUE(TRIM(MAIN!H764))), VALUE(TRIM(MAIN!H764)), 0))</f>
        <v>0</v>
      </c>
      <c r="I764">
        <f>IF(ISBLANK(MAIN!I764), 0, IF(ISNUMBER(VALUE(TRIM(MAIN!I764))), VALUE(TRIM(MAIN!I764)), 0))</f>
        <v>0</v>
      </c>
      <c r="J764">
        <f>IF(ISBLANK(MAIN!J764), 0, IF(ISNUMBER(VALUE(TRIM(MAIN!J764))), VALUE(TRIM(MAIN!J764)), 0))</f>
        <v>0</v>
      </c>
      <c r="K764" cm="1">
        <f t="array" ref="K764">IFERROR(
    VALUE(
        IFERROR(
            UPPER(
                IF(MAX(IFERROR(SEARCH("WD",MAIN!G764:J764), 0))&gt;0, "WD",
                IF(MAX(IFERROR(SEARCH("NS",MAIN!G764:J764), 0))&gt;0, "NS",
                IF(MAX(IFERROR(SEARCH("NC",MAIN!G764:J764), 0))&gt;0, "NC",
                IF(MAX(IFERROR(SEARCH("DQ",MAIN!G764:J764), 0))&gt;0, "DQ",
                IF(ISNUMBER(SEARCH("WD",MAIN!K764)), "WD",
                IF(ISNUMBER(SEARCH("NS",MAIN!K764)), "NS",
                IF(ISNUMBER(SEARCH("NC",MAIN!K764)), "NC",
                IF(ISNUMBER(SEARCH("DQ",MAIN!K764)), "DQ",
                IF(ISNUMBER(SEARCH("A",MAIN!K764)), 0,
                IF(OR(MAIN!K764=0,MAIN!K764=""), 0, --TRIM(MAIN!K764)))))))))))),
            0
        )
    ),
    IFERROR(
        UPPER(
            IF(MAX(IFERROR(SEARCH("WD",MAIN!G764:J764), 0))&gt;0, "WD",
            IF(MAX(IFERROR(SEARCH("NS",MAIN!G764:J764), 0))&gt;0, "NS",
            IF(MAX(IFERROR(SEARCH("NC",MAIN!G764:J764), 0))&gt;0, "NC",
            IF(MAX(IFERROR(SEARCH("DQ",MAIN!G764:J764), 0))&gt;0, "DQ",
            IF(ISNUMBER(SEARCH("WD",MAIN!K764)), "WD",
            IF(ISNUMBER(SEARCH("NS",MAIN!K764)), "NS",
            IF(ISNUMBER(SEARCH("NC",MAIN!K764)), "NC",
            IF(ISNUMBER(SEARCH("DQ",MAIN!K764)), "DQ",
            IF(ISNUMBER(SEARCH("A",MAIN!K764)), 0,
            IF(OR(MAIN!K764=0,MAIN!K764=""), 0, --TRIM(MAIN!K764)))))))))))),
        0
    )
)</f>
        <v>0</v>
      </c>
    </row>
    <row r="765" spans="1:11" x14ac:dyDescent="0.25">
      <c r="A765" t="str">
        <f>IF(ISBLANK(MAIN!A765), "--", IFERROR(PROPER(SUBSTITUTE(SUBSTITUTE(SUBSTITUTE(SUBSTITUTE(SUBSTITUTE(SUBSTITUTE(SUBSTITUTE(SUBSTITUTE(SUBSTITUTE(SUBSTITUTE(LEFT(MAIN!A765, FIND(",",MAIN!A765) -1), "0", ""), "1", ""), "2", ""), "3", ""), "4", ""), "5", ""), "6", ""), "7", ""), "8", ""), "9", "")), PROPER(SUBSTITUTE(SUBSTITUTE(SUBSTITUTE(SUBSTITUTE(SUBSTITUTE(SUBSTITUTE(SUBSTITUTE(SUBSTITUTE(SUBSTITUTE(SUBSTITUTE(MAIN!A765, "0", ""), "1", ""), "2", ""), "3", ""), "4", ""), "5", ""), "6", ""), "7", ""), "8", ""), "9", ""))))</f>
        <v>--</v>
      </c>
      <c r="B765" t="str">
        <f>IF(ISBLANK(MAIN!B765), "--", IFERROR(PROPER(SUBSTITUTE(SUBSTITUTE(SUBSTITUTE(SUBSTITUTE(SUBSTITUTE(SUBSTITUTE(SUBSTITUTE(SUBSTITUTE(SUBSTITUTE(SUBSTITUTE(LEFT(MAIN!B765, FIND(",",MAIN!B765) -1), "0", ""), "1", ""), "2", ""), "3", ""), "4", ""), "5", ""), "6", ""), "7", ""), "8", ""), "9", "")), PROPER(SUBSTITUTE(SUBSTITUTE(SUBSTITUTE(SUBSTITUTE(SUBSTITUTE(SUBSTITUTE(SUBSTITUTE(SUBSTITUTE(SUBSTITUTE(SUBSTITUTE(MAIN!B765, "0", ""), "1", ""), "2", ""), "3", ""), "4", ""), "5", ""), "6", ""), "7", ""), "8", ""), "9", ""))))</f>
        <v>--</v>
      </c>
      <c r="C765" t="str">
        <f>IF(ISBLANK(MAIN!C765), "--", IFERROR(PROPER(SUBSTITUTE(SUBSTITUTE(SUBSTITUTE(SUBSTITUTE(SUBSTITUTE(SUBSTITUTE(SUBSTITUTE(SUBSTITUTE(SUBSTITUTE(SUBSTITUTE(LEFT(MAIN!C765, FIND(",",MAIN!C765) -1), "0", ""), "1", ""), "2", ""), "3", ""), "4", ""), "5", ""), "6", ""), "7", ""), "8", ""), "9", "")), PROPER(SUBSTITUTE(SUBSTITUTE(SUBSTITUTE(SUBSTITUTE(SUBSTITUTE(SUBSTITUTE(SUBSTITUTE(SUBSTITUTE(SUBSTITUTE(SUBSTITUTE(MAIN!C765, "0", ""), "1", ""), "2", ""), "3", ""), "4", ""), "5", ""), "6", ""), "7", ""), "8", ""), "9", ""))))</f>
        <v>--</v>
      </c>
      <c r="D765" t="str">
        <f>IF(ISBLANK(MAIN!D765), "--", IF(ISNUMBER(MATCH(SUBSTITUTE(LEFT(MAIN!D765, IFERROR(FIND(",", MAIN!D765)-1, LEN(MAIN!D765))), " ", ""), lookup_values!$B$2:$B$51, 0)), UPPER(SUBSTITUTE(LEFT(MAIN!D765, IFERROR(FIND(",", MAIN!D765)-1, LEN(MAIN!D765))), " ", "")), IF(ISNA(VLOOKUP(SUBSTITUTE(LEFT(MAIN!D765, IFERROR(FIND(",", MAIN!D765)-1, LEN(MAIN!D765))), " ", ""), lookup_values!$A$2:$B$51, 2, FALSE)), "--", VLOOKUP(SUBSTITUTE(LEFT(MAIN!D765, IFERROR(FIND(",", MAIN!D765)-1, LEN(MAIN!D765))), " ", ""), lookup_values!$A$2:$B$51, 2, FALSE))))</f>
        <v>--</v>
      </c>
      <c r="E765" t="str">
        <f>IF(CLEAN_DATA!D765&lt;&gt;"--","US",IF(ISBLANK(MAIN!E765), "--", IF(ISNUMBER(MATCH(SUBSTITUTE(LEFT(MAIN!E765, IFERROR(FIND(",", MAIN!E765)-1, LEN(MAIN!E765))), " ", ""), lookup_values!$E$2:$E$197, 0)), UPPER(SUBSTITUTE(LEFT(MAIN!E765, IFERROR(FIND(",", MAIN!E765)-1, LEN(MAIN!E765))), " ", "")), IF(ISNA(VLOOKUP(SUBSTITUTE(LEFT(MAIN!E765, IFERROR(FIND(",", MAIN!E765)-1, LEN(MAIN!E765))), " ", ""), lookup_values!$D$2:$E$197, 2, FALSE)), "--", VLOOKUP(SUBSTITUTE(LEFT(MAIN!E765, IFERROR(FIND(",", MAIN!E765)-1, LEN(MAIN!E765))), " ", ""), lookup_values!$D$2:$E$197, 2, FALSE)))))</f>
        <v>--</v>
      </c>
      <c r="F765" t="str">
        <f>IF(ISBLANK(MAIN!F765), "", IF(AND(ISNUMBER(VALUE(TRIM(MAIN!F765))), LEN(TRIM(MAIN!F765))=4), VALUE(TRIM(MAIN!F765)), ""))</f>
        <v/>
      </c>
      <c r="G765">
        <f>IF(ISBLANK(MAIN!G765), 0, IF(ISNUMBER(VALUE(TRIM(MAIN!G765))), VALUE(TRIM(MAIN!G765)), 0))</f>
        <v>0</v>
      </c>
      <c r="H765">
        <f>IF(ISBLANK(MAIN!H765), 0, IF(ISNUMBER(VALUE(TRIM(MAIN!H765))), VALUE(TRIM(MAIN!H765)), 0))</f>
        <v>0</v>
      </c>
      <c r="I765">
        <f>IF(ISBLANK(MAIN!I765), 0, IF(ISNUMBER(VALUE(TRIM(MAIN!I765))), VALUE(TRIM(MAIN!I765)), 0))</f>
        <v>0</v>
      </c>
      <c r="J765">
        <f>IF(ISBLANK(MAIN!J765), 0, IF(ISNUMBER(VALUE(TRIM(MAIN!J765))), VALUE(TRIM(MAIN!J765)), 0))</f>
        <v>0</v>
      </c>
      <c r="K765" cm="1">
        <f t="array" ref="K765">IFERROR(
    VALUE(
        IFERROR(
            UPPER(
                IF(MAX(IFERROR(SEARCH("WD",MAIN!G765:J765), 0))&gt;0, "WD",
                IF(MAX(IFERROR(SEARCH("NS",MAIN!G765:J765), 0))&gt;0, "NS",
                IF(MAX(IFERROR(SEARCH("NC",MAIN!G765:J765), 0))&gt;0, "NC",
                IF(MAX(IFERROR(SEARCH("DQ",MAIN!G765:J765), 0))&gt;0, "DQ",
                IF(ISNUMBER(SEARCH("WD",MAIN!K765)), "WD",
                IF(ISNUMBER(SEARCH("NS",MAIN!K765)), "NS",
                IF(ISNUMBER(SEARCH("NC",MAIN!K765)), "NC",
                IF(ISNUMBER(SEARCH("DQ",MAIN!K765)), "DQ",
                IF(ISNUMBER(SEARCH("A",MAIN!K765)), 0,
                IF(OR(MAIN!K765=0,MAIN!K765=""), 0, --TRIM(MAIN!K765)))))))))))),
            0
        )
    ),
    IFERROR(
        UPPER(
            IF(MAX(IFERROR(SEARCH("WD",MAIN!G765:J765), 0))&gt;0, "WD",
            IF(MAX(IFERROR(SEARCH("NS",MAIN!G765:J765), 0))&gt;0, "NS",
            IF(MAX(IFERROR(SEARCH("NC",MAIN!G765:J765), 0))&gt;0, "NC",
            IF(MAX(IFERROR(SEARCH("DQ",MAIN!G765:J765), 0))&gt;0, "DQ",
            IF(ISNUMBER(SEARCH("WD",MAIN!K765)), "WD",
            IF(ISNUMBER(SEARCH("NS",MAIN!K765)), "NS",
            IF(ISNUMBER(SEARCH("NC",MAIN!K765)), "NC",
            IF(ISNUMBER(SEARCH("DQ",MAIN!K765)), "DQ",
            IF(ISNUMBER(SEARCH("A",MAIN!K765)), 0,
            IF(OR(MAIN!K765=0,MAIN!K765=""), 0, --TRIM(MAIN!K765)))))))))))),
        0
    )
)</f>
        <v>0</v>
      </c>
    </row>
    <row r="766" spans="1:11" x14ac:dyDescent="0.25">
      <c r="A766" t="str">
        <f>IF(ISBLANK(MAIN!A766), "--", IFERROR(PROPER(SUBSTITUTE(SUBSTITUTE(SUBSTITUTE(SUBSTITUTE(SUBSTITUTE(SUBSTITUTE(SUBSTITUTE(SUBSTITUTE(SUBSTITUTE(SUBSTITUTE(LEFT(MAIN!A766, FIND(",",MAIN!A766) -1), "0", ""), "1", ""), "2", ""), "3", ""), "4", ""), "5", ""), "6", ""), "7", ""), "8", ""), "9", "")), PROPER(SUBSTITUTE(SUBSTITUTE(SUBSTITUTE(SUBSTITUTE(SUBSTITUTE(SUBSTITUTE(SUBSTITUTE(SUBSTITUTE(SUBSTITUTE(SUBSTITUTE(MAIN!A766, "0", ""), "1", ""), "2", ""), "3", ""), "4", ""), "5", ""), "6", ""), "7", ""), "8", ""), "9", ""))))</f>
        <v>--</v>
      </c>
      <c r="B766" t="str">
        <f>IF(ISBLANK(MAIN!B766), "--", IFERROR(PROPER(SUBSTITUTE(SUBSTITUTE(SUBSTITUTE(SUBSTITUTE(SUBSTITUTE(SUBSTITUTE(SUBSTITUTE(SUBSTITUTE(SUBSTITUTE(SUBSTITUTE(LEFT(MAIN!B766, FIND(",",MAIN!B766) -1), "0", ""), "1", ""), "2", ""), "3", ""), "4", ""), "5", ""), "6", ""), "7", ""), "8", ""), "9", "")), PROPER(SUBSTITUTE(SUBSTITUTE(SUBSTITUTE(SUBSTITUTE(SUBSTITUTE(SUBSTITUTE(SUBSTITUTE(SUBSTITUTE(SUBSTITUTE(SUBSTITUTE(MAIN!B766, "0", ""), "1", ""), "2", ""), "3", ""), "4", ""), "5", ""), "6", ""), "7", ""), "8", ""), "9", ""))))</f>
        <v>--</v>
      </c>
      <c r="C766" t="str">
        <f>IF(ISBLANK(MAIN!C766), "--", IFERROR(PROPER(SUBSTITUTE(SUBSTITUTE(SUBSTITUTE(SUBSTITUTE(SUBSTITUTE(SUBSTITUTE(SUBSTITUTE(SUBSTITUTE(SUBSTITUTE(SUBSTITUTE(LEFT(MAIN!C766, FIND(",",MAIN!C766) -1), "0", ""), "1", ""), "2", ""), "3", ""), "4", ""), "5", ""), "6", ""), "7", ""), "8", ""), "9", "")), PROPER(SUBSTITUTE(SUBSTITUTE(SUBSTITUTE(SUBSTITUTE(SUBSTITUTE(SUBSTITUTE(SUBSTITUTE(SUBSTITUTE(SUBSTITUTE(SUBSTITUTE(MAIN!C766, "0", ""), "1", ""), "2", ""), "3", ""), "4", ""), "5", ""), "6", ""), "7", ""), "8", ""), "9", ""))))</f>
        <v>--</v>
      </c>
      <c r="D766" t="str">
        <f>IF(ISBLANK(MAIN!D766), "--", IF(ISNUMBER(MATCH(SUBSTITUTE(LEFT(MAIN!D766, IFERROR(FIND(",", MAIN!D766)-1, LEN(MAIN!D766))), " ", ""), lookup_values!$B$2:$B$51, 0)), UPPER(SUBSTITUTE(LEFT(MAIN!D766, IFERROR(FIND(",", MAIN!D766)-1, LEN(MAIN!D766))), " ", "")), IF(ISNA(VLOOKUP(SUBSTITUTE(LEFT(MAIN!D766, IFERROR(FIND(",", MAIN!D766)-1, LEN(MAIN!D766))), " ", ""), lookup_values!$A$2:$B$51, 2, FALSE)), "--", VLOOKUP(SUBSTITUTE(LEFT(MAIN!D766, IFERROR(FIND(",", MAIN!D766)-1, LEN(MAIN!D766))), " ", ""), lookup_values!$A$2:$B$51, 2, FALSE))))</f>
        <v>--</v>
      </c>
      <c r="E766" t="str">
        <f>IF(CLEAN_DATA!D766&lt;&gt;"--","US",IF(ISBLANK(MAIN!E766), "--", IF(ISNUMBER(MATCH(SUBSTITUTE(LEFT(MAIN!E766, IFERROR(FIND(",", MAIN!E766)-1, LEN(MAIN!E766))), " ", ""), lookup_values!$E$2:$E$197, 0)), UPPER(SUBSTITUTE(LEFT(MAIN!E766, IFERROR(FIND(",", MAIN!E766)-1, LEN(MAIN!E766))), " ", "")), IF(ISNA(VLOOKUP(SUBSTITUTE(LEFT(MAIN!E766, IFERROR(FIND(",", MAIN!E766)-1, LEN(MAIN!E766))), " ", ""), lookup_values!$D$2:$E$197, 2, FALSE)), "--", VLOOKUP(SUBSTITUTE(LEFT(MAIN!E766, IFERROR(FIND(",", MAIN!E766)-1, LEN(MAIN!E766))), " ", ""), lookup_values!$D$2:$E$197, 2, FALSE)))))</f>
        <v>--</v>
      </c>
      <c r="F766" t="str">
        <f>IF(ISBLANK(MAIN!F766), "", IF(AND(ISNUMBER(VALUE(TRIM(MAIN!F766))), LEN(TRIM(MAIN!F766))=4), VALUE(TRIM(MAIN!F766)), ""))</f>
        <v/>
      </c>
      <c r="G766">
        <f>IF(ISBLANK(MAIN!G766), 0, IF(ISNUMBER(VALUE(TRIM(MAIN!G766))), VALUE(TRIM(MAIN!G766)), 0))</f>
        <v>0</v>
      </c>
      <c r="H766">
        <f>IF(ISBLANK(MAIN!H766), 0, IF(ISNUMBER(VALUE(TRIM(MAIN!H766))), VALUE(TRIM(MAIN!H766)), 0))</f>
        <v>0</v>
      </c>
      <c r="I766">
        <f>IF(ISBLANK(MAIN!I766), 0, IF(ISNUMBER(VALUE(TRIM(MAIN!I766))), VALUE(TRIM(MAIN!I766)), 0))</f>
        <v>0</v>
      </c>
      <c r="J766">
        <f>IF(ISBLANK(MAIN!J766), 0, IF(ISNUMBER(VALUE(TRIM(MAIN!J766))), VALUE(TRIM(MAIN!J766)), 0))</f>
        <v>0</v>
      </c>
      <c r="K766" cm="1">
        <f t="array" ref="K766">IFERROR(
    VALUE(
        IFERROR(
            UPPER(
                IF(MAX(IFERROR(SEARCH("WD",MAIN!G766:J766), 0))&gt;0, "WD",
                IF(MAX(IFERROR(SEARCH("NS",MAIN!G766:J766), 0))&gt;0, "NS",
                IF(MAX(IFERROR(SEARCH("NC",MAIN!G766:J766), 0))&gt;0, "NC",
                IF(MAX(IFERROR(SEARCH("DQ",MAIN!G766:J766), 0))&gt;0, "DQ",
                IF(ISNUMBER(SEARCH("WD",MAIN!K766)), "WD",
                IF(ISNUMBER(SEARCH("NS",MAIN!K766)), "NS",
                IF(ISNUMBER(SEARCH("NC",MAIN!K766)), "NC",
                IF(ISNUMBER(SEARCH("DQ",MAIN!K766)), "DQ",
                IF(ISNUMBER(SEARCH("A",MAIN!K766)), 0,
                IF(OR(MAIN!K766=0,MAIN!K766=""), 0, --TRIM(MAIN!K766)))))))))))),
            0
        )
    ),
    IFERROR(
        UPPER(
            IF(MAX(IFERROR(SEARCH("WD",MAIN!G766:J766), 0))&gt;0, "WD",
            IF(MAX(IFERROR(SEARCH("NS",MAIN!G766:J766), 0))&gt;0, "NS",
            IF(MAX(IFERROR(SEARCH("NC",MAIN!G766:J766), 0))&gt;0, "NC",
            IF(MAX(IFERROR(SEARCH("DQ",MAIN!G766:J766), 0))&gt;0, "DQ",
            IF(ISNUMBER(SEARCH("WD",MAIN!K766)), "WD",
            IF(ISNUMBER(SEARCH("NS",MAIN!K766)), "NS",
            IF(ISNUMBER(SEARCH("NC",MAIN!K766)), "NC",
            IF(ISNUMBER(SEARCH("DQ",MAIN!K766)), "DQ",
            IF(ISNUMBER(SEARCH("A",MAIN!K766)), 0,
            IF(OR(MAIN!K766=0,MAIN!K766=""), 0, --TRIM(MAIN!K766)))))))))))),
        0
    )
)</f>
        <v>0</v>
      </c>
    </row>
    <row r="767" spans="1:11" x14ac:dyDescent="0.25">
      <c r="A767" t="str">
        <f>IF(ISBLANK(MAIN!A767), "--", IFERROR(PROPER(SUBSTITUTE(SUBSTITUTE(SUBSTITUTE(SUBSTITUTE(SUBSTITUTE(SUBSTITUTE(SUBSTITUTE(SUBSTITUTE(SUBSTITUTE(SUBSTITUTE(LEFT(MAIN!A767, FIND(",",MAIN!A767) -1), "0", ""), "1", ""), "2", ""), "3", ""), "4", ""), "5", ""), "6", ""), "7", ""), "8", ""), "9", "")), PROPER(SUBSTITUTE(SUBSTITUTE(SUBSTITUTE(SUBSTITUTE(SUBSTITUTE(SUBSTITUTE(SUBSTITUTE(SUBSTITUTE(SUBSTITUTE(SUBSTITUTE(MAIN!A767, "0", ""), "1", ""), "2", ""), "3", ""), "4", ""), "5", ""), "6", ""), "7", ""), "8", ""), "9", ""))))</f>
        <v>--</v>
      </c>
      <c r="B767" t="str">
        <f>IF(ISBLANK(MAIN!B767), "--", IFERROR(PROPER(SUBSTITUTE(SUBSTITUTE(SUBSTITUTE(SUBSTITUTE(SUBSTITUTE(SUBSTITUTE(SUBSTITUTE(SUBSTITUTE(SUBSTITUTE(SUBSTITUTE(LEFT(MAIN!B767, FIND(",",MAIN!B767) -1), "0", ""), "1", ""), "2", ""), "3", ""), "4", ""), "5", ""), "6", ""), "7", ""), "8", ""), "9", "")), PROPER(SUBSTITUTE(SUBSTITUTE(SUBSTITUTE(SUBSTITUTE(SUBSTITUTE(SUBSTITUTE(SUBSTITUTE(SUBSTITUTE(SUBSTITUTE(SUBSTITUTE(MAIN!B767, "0", ""), "1", ""), "2", ""), "3", ""), "4", ""), "5", ""), "6", ""), "7", ""), "8", ""), "9", ""))))</f>
        <v>--</v>
      </c>
      <c r="C767" t="str">
        <f>IF(ISBLANK(MAIN!C767), "--", IFERROR(PROPER(SUBSTITUTE(SUBSTITUTE(SUBSTITUTE(SUBSTITUTE(SUBSTITUTE(SUBSTITUTE(SUBSTITUTE(SUBSTITUTE(SUBSTITUTE(SUBSTITUTE(LEFT(MAIN!C767, FIND(",",MAIN!C767) -1), "0", ""), "1", ""), "2", ""), "3", ""), "4", ""), "5", ""), "6", ""), "7", ""), "8", ""), "9", "")), PROPER(SUBSTITUTE(SUBSTITUTE(SUBSTITUTE(SUBSTITUTE(SUBSTITUTE(SUBSTITUTE(SUBSTITUTE(SUBSTITUTE(SUBSTITUTE(SUBSTITUTE(MAIN!C767, "0", ""), "1", ""), "2", ""), "3", ""), "4", ""), "5", ""), "6", ""), "7", ""), "8", ""), "9", ""))))</f>
        <v>--</v>
      </c>
      <c r="D767" t="str">
        <f>IF(ISBLANK(MAIN!D767), "--", IF(ISNUMBER(MATCH(SUBSTITUTE(LEFT(MAIN!D767, IFERROR(FIND(",", MAIN!D767)-1, LEN(MAIN!D767))), " ", ""), lookup_values!$B$2:$B$51, 0)), UPPER(SUBSTITUTE(LEFT(MAIN!D767, IFERROR(FIND(",", MAIN!D767)-1, LEN(MAIN!D767))), " ", "")), IF(ISNA(VLOOKUP(SUBSTITUTE(LEFT(MAIN!D767, IFERROR(FIND(",", MAIN!D767)-1, LEN(MAIN!D767))), " ", ""), lookup_values!$A$2:$B$51, 2, FALSE)), "--", VLOOKUP(SUBSTITUTE(LEFT(MAIN!D767, IFERROR(FIND(",", MAIN!D767)-1, LEN(MAIN!D767))), " ", ""), lookup_values!$A$2:$B$51, 2, FALSE))))</f>
        <v>--</v>
      </c>
      <c r="E767" t="str">
        <f>IF(CLEAN_DATA!D767&lt;&gt;"--","US",IF(ISBLANK(MAIN!E767), "--", IF(ISNUMBER(MATCH(SUBSTITUTE(LEFT(MAIN!E767, IFERROR(FIND(",", MAIN!E767)-1, LEN(MAIN!E767))), " ", ""), lookup_values!$E$2:$E$197, 0)), UPPER(SUBSTITUTE(LEFT(MAIN!E767, IFERROR(FIND(",", MAIN!E767)-1, LEN(MAIN!E767))), " ", "")), IF(ISNA(VLOOKUP(SUBSTITUTE(LEFT(MAIN!E767, IFERROR(FIND(",", MAIN!E767)-1, LEN(MAIN!E767))), " ", ""), lookup_values!$D$2:$E$197, 2, FALSE)), "--", VLOOKUP(SUBSTITUTE(LEFT(MAIN!E767, IFERROR(FIND(",", MAIN!E767)-1, LEN(MAIN!E767))), " ", ""), lookup_values!$D$2:$E$197, 2, FALSE)))))</f>
        <v>--</v>
      </c>
      <c r="F767" t="str">
        <f>IF(ISBLANK(MAIN!F767), "", IF(AND(ISNUMBER(VALUE(TRIM(MAIN!F767))), LEN(TRIM(MAIN!F767))=4), VALUE(TRIM(MAIN!F767)), ""))</f>
        <v/>
      </c>
      <c r="G767">
        <f>IF(ISBLANK(MAIN!G767), 0, IF(ISNUMBER(VALUE(TRIM(MAIN!G767))), VALUE(TRIM(MAIN!G767)), 0))</f>
        <v>0</v>
      </c>
      <c r="H767">
        <f>IF(ISBLANK(MAIN!H767), 0, IF(ISNUMBER(VALUE(TRIM(MAIN!H767))), VALUE(TRIM(MAIN!H767)), 0))</f>
        <v>0</v>
      </c>
      <c r="I767">
        <f>IF(ISBLANK(MAIN!I767), 0, IF(ISNUMBER(VALUE(TRIM(MAIN!I767))), VALUE(TRIM(MAIN!I767)), 0))</f>
        <v>0</v>
      </c>
      <c r="J767">
        <f>IF(ISBLANK(MAIN!J767), 0, IF(ISNUMBER(VALUE(TRIM(MAIN!J767))), VALUE(TRIM(MAIN!J767)), 0))</f>
        <v>0</v>
      </c>
      <c r="K767" cm="1">
        <f t="array" ref="K767">IFERROR(
    VALUE(
        IFERROR(
            UPPER(
                IF(MAX(IFERROR(SEARCH("WD",MAIN!G767:J767), 0))&gt;0, "WD",
                IF(MAX(IFERROR(SEARCH("NS",MAIN!G767:J767), 0))&gt;0, "NS",
                IF(MAX(IFERROR(SEARCH("NC",MAIN!G767:J767), 0))&gt;0, "NC",
                IF(MAX(IFERROR(SEARCH("DQ",MAIN!G767:J767), 0))&gt;0, "DQ",
                IF(ISNUMBER(SEARCH("WD",MAIN!K767)), "WD",
                IF(ISNUMBER(SEARCH("NS",MAIN!K767)), "NS",
                IF(ISNUMBER(SEARCH("NC",MAIN!K767)), "NC",
                IF(ISNUMBER(SEARCH("DQ",MAIN!K767)), "DQ",
                IF(ISNUMBER(SEARCH("A",MAIN!K767)), 0,
                IF(OR(MAIN!K767=0,MAIN!K767=""), 0, --TRIM(MAIN!K767)))))))))))),
            0
        )
    ),
    IFERROR(
        UPPER(
            IF(MAX(IFERROR(SEARCH("WD",MAIN!G767:J767), 0))&gt;0, "WD",
            IF(MAX(IFERROR(SEARCH("NS",MAIN!G767:J767), 0))&gt;0, "NS",
            IF(MAX(IFERROR(SEARCH("NC",MAIN!G767:J767), 0))&gt;0, "NC",
            IF(MAX(IFERROR(SEARCH("DQ",MAIN!G767:J767), 0))&gt;0, "DQ",
            IF(ISNUMBER(SEARCH("WD",MAIN!K767)), "WD",
            IF(ISNUMBER(SEARCH("NS",MAIN!K767)), "NS",
            IF(ISNUMBER(SEARCH("NC",MAIN!K767)), "NC",
            IF(ISNUMBER(SEARCH("DQ",MAIN!K767)), "DQ",
            IF(ISNUMBER(SEARCH("A",MAIN!K767)), 0,
            IF(OR(MAIN!K767=0,MAIN!K767=""), 0, --TRIM(MAIN!K767)))))))))))),
        0
    )
)</f>
        <v>0</v>
      </c>
    </row>
    <row r="768" spans="1:11" x14ac:dyDescent="0.25">
      <c r="A768" t="str">
        <f>IF(ISBLANK(MAIN!A768), "--", IFERROR(PROPER(SUBSTITUTE(SUBSTITUTE(SUBSTITUTE(SUBSTITUTE(SUBSTITUTE(SUBSTITUTE(SUBSTITUTE(SUBSTITUTE(SUBSTITUTE(SUBSTITUTE(LEFT(MAIN!A768, FIND(",",MAIN!A768) -1), "0", ""), "1", ""), "2", ""), "3", ""), "4", ""), "5", ""), "6", ""), "7", ""), "8", ""), "9", "")), PROPER(SUBSTITUTE(SUBSTITUTE(SUBSTITUTE(SUBSTITUTE(SUBSTITUTE(SUBSTITUTE(SUBSTITUTE(SUBSTITUTE(SUBSTITUTE(SUBSTITUTE(MAIN!A768, "0", ""), "1", ""), "2", ""), "3", ""), "4", ""), "5", ""), "6", ""), "7", ""), "8", ""), "9", ""))))</f>
        <v>--</v>
      </c>
      <c r="B768" t="str">
        <f>IF(ISBLANK(MAIN!B768), "--", IFERROR(PROPER(SUBSTITUTE(SUBSTITUTE(SUBSTITUTE(SUBSTITUTE(SUBSTITUTE(SUBSTITUTE(SUBSTITUTE(SUBSTITUTE(SUBSTITUTE(SUBSTITUTE(LEFT(MAIN!B768, FIND(",",MAIN!B768) -1), "0", ""), "1", ""), "2", ""), "3", ""), "4", ""), "5", ""), "6", ""), "7", ""), "8", ""), "9", "")), PROPER(SUBSTITUTE(SUBSTITUTE(SUBSTITUTE(SUBSTITUTE(SUBSTITUTE(SUBSTITUTE(SUBSTITUTE(SUBSTITUTE(SUBSTITUTE(SUBSTITUTE(MAIN!B768, "0", ""), "1", ""), "2", ""), "3", ""), "4", ""), "5", ""), "6", ""), "7", ""), "8", ""), "9", ""))))</f>
        <v>--</v>
      </c>
      <c r="C768" t="str">
        <f>IF(ISBLANK(MAIN!C768), "--", IFERROR(PROPER(SUBSTITUTE(SUBSTITUTE(SUBSTITUTE(SUBSTITUTE(SUBSTITUTE(SUBSTITUTE(SUBSTITUTE(SUBSTITUTE(SUBSTITUTE(SUBSTITUTE(LEFT(MAIN!C768, FIND(",",MAIN!C768) -1), "0", ""), "1", ""), "2", ""), "3", ""), "4", ""), "5", ""), "6", ""), "7", ""), "8", ""), "9", "")), PROPER(SUBSTITUTE(SUBSTITUTE(SUBSTITUTE(SUBSTITUTE(SUBSTITUTE(SUBSTITUTE(SUBSTITUTE(SUBSTITUTE(SUBSTITUTE(SUBSTITUTE(MAIN!C768, "0", ""), "1", ""), "2", ""), "3", ""), "4", ""), "5", ""), "6", ""), "7", ""), "8", ""), "9", ""))))</f>
        <v>--</v>
      </c>
      <c r="D768" t="str">
        <f>IF(ISBLANK(MAIN!D768), "--", IF(ISNUMBER(MATCH(SUBSTITUTE(LEFT(MAIN!D768, IFERROR(FIND(",", MAIN!D768)-1, LEN(MAIN!D768))), " ", ""), lookup_values!$B$2:$B$51, 0)), UPPER(SUBSTITUTE(LEFT(MAIN!D768, IFERROR(FIND(",", MAIN!D768)-1, LEN(MAIN!D768))), " ", "")), IF(ISNA(VLOOKUP(SUBSTITUTE(LEFT(MAIN!D768, IFERROR(FIND(",", MAIN!D768)-1, LEN(MAIN!D768))), " ", ""), lookup_values!$A$2:$B$51, 2, FALSE)), "--", VLOOKUP(SUBSTITUTE(LEFT(MAIN!D768, IFERROR(FIND(",", MAIN!D768)-1, LEN(MAIN!D768))), " ", ""), lookup_values!$A$2:$B$51, 2, FALSE))))</f>
        <v>--</v>
      </c>
      <c r="E768" t="str">
        <f>IF(CLEAN_DATA!D768&lt;&gt;"--","US",IF(ISBLANK(MAIN!E768), "--", IF(ISNUMBER(MATCH(SUBSTITUTE(LEFT(MAIN!E768, IFERROR(FIND(",", MAIN!E768)-1, LEN(MAIN!E768))), " ", ""), lookup_values!$E$2:$E$197, 0)), UPPER(SUBSTITUTE(LEFT(MAIN!E768, IFERROR(FIND(",", MAIN!E768)-1, LEN(MAIN!E768))), " ", "")), IF(ISNA(VLOOKUP(SUBSTITUTE(LEFT(MAIN!E768, IFERROR(FIND(",", MAIN!E768)-1, LEN(MAIN!E768))), " ", ""), lookup_values!$D$2:$E$197, 2, FALSE)), "--", VLOOKUP(SUBSTITUTE(LEFT(MAIN!E768, IFERROR(FIND(",", MAIN!E768)-1, LEN(MAIN!E768))), " ", ""), lookup_values!$D$2:$E$197, 2, FALSE)))))</f>
        <v>--</v>
      </c>
      <c r="F768" t="str">
        <f>IF(ISBLANK(MAIN!F768), "", IF(AND(ISNUMBER(VALUE(TRIM(MAIN!F768))), LEN(TRIM(MAIN!F768))=4), VALUE(TRIM(MAIN!F768)), ""))</f>
        <v/>
      </c>
      <c r="G768">
        <f>IF(ISBLANK(MAIN!G768), 0, IF(ISNUMBER(VALUE(TRIM(MAIN!G768))), VALUE(TRIM(MAIN!G768)), 0))</f>
        <v>0</v>
      </c>
      <c r="H768">
        <f>IF(ISBLANK(MAIN!H768), 0, IF(ISNUMBER(VALUE(TRIM(MAIN!H768))), VALUE(TRIM(MAIN!H768)), 0))</f>
        <v>0</v>
      </c>
      <c r="I768">
        <f>IF(ISBLANK(MAIN!I768), 0, IF(ISNUMBER(VALUE(TRIM(MAIN!I768))), VALUE(TRIM(MAIN!I768)), 0))</f>
        <v>0</v>
      </c>
      <c r="J768">
        <f>IF(ISBLANK(MAIN!J768), 0, IF(ISNUMBER(VALUE(TRIM(MAIN!J768))), VALUE(TRIM(MAIN!J768)), 0))</f>
        <v>0</v>
      </c>
      <c r="K768" cm="1">
        <f t="array" ref="K768">IFERROR(
    VALUE(
        IFERROR(
            UPPER(
                IF(MAX(IFERROR(SEARCH("WD",MAIN!G768:J768), 0))&gt;0, "WD",
                IF(MAX(IFERROR(SEARCH("NS",MAIN!G768:J768), 0))&gt;0, "NS",
                IF(MAX(IFERROR(SEARCH("NC",MAIN!G768:J768), 0))&gt;0, "NC",
                IF(MAX(IFERROR(SEARCH("DQ",MAIN!G768:J768), 0))&gt;0, "DQ",
                IF(ISNUMBER(SEARCH("WD",MAIN!K768)), "WD",
                IF(ISNUMBER(SEARCH("NS",MAIN!K768)), "NS",
                IF(ISNUMBER(SEARCH("NC",MAIN!K768)), "NC",
                IF(ISNUMBER(SEARCH("DQ",MAIN!K768)), "DQ",
                IF(ISNUMBER(SEARCH("A",MAIN!K768)), 0,
                IF(OR(MAIN!K768=0,MAIN!K768=""), 0, --TRIM(MAIN!K768)))))))))))),
            0
        )
    ),
    IFERROR(
        UPPER(
            IF(MAX(IFERROR(SEARCH("WD",MAIN!G768:J768), 0))&gt;0, "WD",
            IF(MAX(IFERROR(SEARCH("NS",MAIN!G768:J768), 0))&gt;0, "NS",
            IF(MAX(IFERROR(SEARCH("NC",MAIN!G768:J768), 0))&gt;0, "NC",
            IF(MAX(IFERROR(SEARCH("DQ",MAIN!G768:J768), 0))&gt;0, "DQ",
            IF(ISNUMBER(SEARCH("WD",MAIN!K768)), "WD",
            IF(ISNUMBER(SEARCH("NS",MAIN!K768)), "NS",
            IF(ISNUMBER(SEARCH("NC",MAIN!K768)), "NC",
            IF(ISNUMBER(SEARCH("DQ",MAIN!K768)), "DQ",
            IF(ISNUMBER(SEARCH("A",MAIN!K768)), 0,
            IF(OR(MAIN!K768=0,MAIN!K768=""), 0, --TRIM(MAIN!K768)))))))))))),
        0
    )
)</f>
        <v>0</v>
      </c>
    </row>
    <row r="769" spans="1:11" x14ac:dyDescent="0.25">
      <c r="A769" t="str">
        <f>IF(ISBLANK(MAIN!A769), "--", IFERROR(PROPER(SUBSTITUTE(SUBSTITUTE(SUBSTITUTE(SUBSTITUTE(SUBSTITUTE(SUBSTITUTE(SUBSTITUTE(SUBSTITUTE(SUBSTITUTE(SUBSTITUTE(LEFT(MAIN!A769, FIND(",",MAIN!A769) -1), "0", ""), "1", ""), "2", ""), "3", ""), "4", ""), "5", ""), "6", ""), "7", ""), "8", ""), "9", "")), PROPER(SUBSTITUTE(SUBSTITUTE(SUBSTITUTE(SUBSTITUTE(SUBSTITUTE(SUBSTITUTE(SUBSTITUTE(SUBSTITUTE(SUBSTITUTE(SUBSTITUTE(MAIN!A769, "0", ""), "1", ""), "2", ""), "3", ""), "4", ""), "5", ""), "6", ""), "7", ""), "8", ""), "9", ""))))</f>
        <v>--</v>
      </c>
      <c r="B769" t="str">
        <f>IF(ISBLANK(MAIN!B769), "--", IFERROR(PROPER(SUBSTITUTE(SUBSTITUTE(SUBSTITUTE(SUBSTITUTE(SUBSTITUTE(SUBSTITUTE(SUBSTITUTE(SUBSTITUTE(SUBSTITUTE(SUBSTITUTE(LEFT(MAIN!B769, FIND(",",MAIN!B769) -1), "0", ""), "1", ""), "2", ""), "3", ""), "4", ""), "5", ""), "6", ""), "7", ""), "8", ""), "9", "")), PROPER(SUBSTITUTE(SUBSTITUTE(SUBSTITUTE(SUBSTITUTE(SUBSTITUTE(SUBSTITUTE(SUBSTITUTE(SUBSTITUTE(SUBSTITUTE(SUBSTITUTE(MAIN!B769, "0", ""), "1", ""), "2", ""), "3", ""), "4", ""), "5", ""), "6", ""), "7", ""), "8", ""), "9", ""))))</f>
        <v>--</v>
      </c>
      <c r="C769" t="str">
        <f>IF(ISBLANK(MAIN!C769), "--", IFERROR(PROPER(SUBSTITUTE(SUBSTITUTE(SUBSTITUTE(SUBSTITUTE(SUBSTITUTE(SUBSTITUTE(SUBSTITUTE(SUBSTITUTE(SUBSTITUTE(SUBSTITUTE(LEFT(MAIN!C769, FIND(",",MAIN!C769) -1), "0", ""), "1", ""), "2", ""), "3", ""), "4", ""), "5", ""), "6", ""), "7", ""), "8", ""), "9", "")), PROPER(SUBSTITUTE(SUBSTITUTE(SUBSTITUTE(SUBSTITUTE(SUBSTITUTE(SUBSTITUTE(SUBSTITUTE(SUBSTITUTE(SUBSTITUTE(SUBSTITUTE(MAIN!C769, "0", ""), "1", ""), "2", ""), "3", ""), "4", ""), "5", ""), "6", ""), "7", ""), "8", ""), "9", ""))))</f>
        <v>--</v>
      </c>
      <c r="D769" t="str">
        <f>IF(ISBLANK(MAIN!D769), "--", IF(ISNUMBER(MATCH(SUBSTITUTE(LEFT(MAIN!D769, IFERROR(FIND(",", MAIN!D769)-1, LEN(MAIN!D769))), " ", ""), lookup_values!$B$2:$B$51, 0)), UPPER(SUBSTITUTE(LEFT(MAIN!D769, IFERROR(FIND(",", MAIN!D769)-1, LEN(MAIN!D769))), " ", "")), IF(ISNA(VLOOKUP(SUBSTITUTE(LEFT(MAIN!D769, IFERROR(FIND(",", MAIN!D769)-1, LEN(MAIN!D769))), " ", ""), lookup_values!$A$2:$B$51, 2, FALSE)), "--", VLOOKUP(SUBSTITUTE(LEFT(MAIN!D769, IFERROR(FIND(",", MAIN!D769)-1, LEN(MAIN!D769))), " ", ""), lookup_values!$A$2:$B$51, 2, FALSE))))</f>
        <v>--</v>
      </c>
      <c r="E769" t="str">
        <f>IF(CLEAN_DATA!D769&lt;&gt;"--","US",IF(ISBLANK(MAIN!E769), "--", IF(ISNUMBER(MATCH(SUBSTITUTE(LEFT(MAIN!E769, IFERROR(FIND(",", MAIN!E769)-1, LEN(MAIN!E769))), " ", ""), lookup_values!$E$2:$E$197, 0)), UPPER(SUBSTITUTE(LEFT(MAIN!E769, IFERROR(FIND(",", MAIN!E769)-1, LEN(MAIN!E769))), " ", "")), IF(ISNA(VLOOKUP(SUBSTITUTE(LEFT(MAIN!E769, IFERROR(FIND(",", MAIN!E769)-1, LEN(MAIN!E769))), " ", ""), lookup_values!$D$2:$E$197, 2, FALSE)), "--", VLOOKUP(SUBSTITUTE(LEFT(MAIN!E769, IFERROR(FIND(",", MAIN!E769)-1, LEN(MAIN!E769))), " ", ""), lookup_values!$D$2:$E$197, 2, FALSE)))))</f>
        <v>--</v>
      </c>
      <c r="F769" t="str">
        <f>IF(ISBLANK(MAIN!F769), "", IF(AND(ISNUMBER(VALUE(TRIM(MAIN!F769))), LEN(TRIM(MAIN!F769))=4), VALUE(TRIM(MAIN!F769)), ""))</f>
        <v/>
      </c>
      <c r="G769">
        <f>IF(ISBLANK(MAIN!G769), 0, IF(ISNUMBER(VALUE(TRIM(MAIN!G769))), VALUE(TRIM(MAIN!G769)), 0))</f>
        <v>0</v>
      </c>
      <c r="H769">
        <f>IF(ISBLANK(MAIN!H769), 0, IF(ISNUMBER(VALUE(TRIM(MAIN!H769))), VALUE(TRIM(MAIN!H769)), 0))</f>
        <v>0</v>
      </c>
      <c r="I769">
        <f>IF(ISBLANK(MAIN!I769), 0, IF(ISNUMBER(VALUE(TRIM(MAIN!I769))), VALUE(TRIM(MAIN!I769)), 0))</f>
        <v>0</v>
      </c>
      <c r="J769">
        <f>IF(ISBLANK(MAIN!J769), 0, IF(ISNUMBER(VALUE(TRIM(MAIN!J769))), VALUE(TRIM(MAIN!J769)), 0))</f>
        <v>0</v>
      </c>
      <c r="K769" cm="1">
        <f t="array" ref="K769">IFERROR(
    VALUE(
        IFERROR(
            UPPER(
                IF(MAX(IFERROR(SEARCH("WD",MAIN!G769:J769), 0))&gt;0, "WD",
                IF(MAX(IFERROR(SEARCH("NS",MAIN!G769:J769), 0))&gt;0, "NS",
                IF(MAX(IFERROR(SEARCH("NC",MAIN!G769:J769), 0))&gt;0, "NC",
                IF(MAX(IFERROR(SEARCH("DQ",MAIN!G769:J769), 0))&gt;0, "DQ",
                IF(ISNUMBER(SEARCH("WD",MAIN!K769)), "WD",
                IF(ISNUMBER(SEARCH("NS",MAIN!K769)), "NS",
                IF(ISNUMBER(SEARCH("NC",MAIN!K769)), "NC",
                IF(ISNUMBER(SEARCH("DQ",MAIN!K769)), "DQ",
                IF(ISNUMBER(SEARCH("A",MAIN!K769)), 0,
                IF(OR(MAIN!K769=0,MAIN!K769=""), 0, --TRIM(MAIN!K769)))))))))))),
            0
        )
    ),
    IFERROR(
        UPPER(
            IF(MAX(IFERROR(SEARCH("WD",MAIN!G769:J769), 0))&gt;0, "WD",
            IF(MAX(IFERROR(SEARCH("NS",MAIN!G769:J769), 0))&gt;0, "NS",
            IF(MAX(IFERROR(SEARCH("NC",MAIN!G769:J769), 0))&gt;0, "NC",
            IF(MAX(IFERROR(SEARCH("DQ",MAIN!G769:J769), 0))&gt;0, "DQ",
            IF(ISNUMBER(SEARCH("WD",MAIN!K769)), "WD",
            IF(ISNUMBER(SEARCH("NS",MAIN!K769)), "NS",
            IF(ISNUMBER(SEARCH("NC",MAIN!K769)), "NC",
            IF(ISNUMBER(SEARCH("DQ",MAIN!K769)), "DQ",
            IF(ISNUMBER(SEARCH("A",MAIN!K769)), 0,
            IF(OR(MAIN!K769=0,MAIN!K769=""), 0, --TRIM(MAIN!K769)))))))))))),
        0
    )
)</f>
        <v>0</v>
      </c>
    </row>
    <row r="770" spans="1:11" x14ac:dyDescent="0.25">
      <c r="A770" t="str">
        <f>IF(ISBLANK(MAIN!A770), "--", IFERROR(PROPER(SUBSTITUTE(SUBSTITUTE(SUBSTITUTE(SUBSTITUTE(SUBSTITUTE(SUBSTITUTE(SUBSTITUTE(SUBSTITUTE(SUBSTITUTE(SUBSTITUTE(LEFT(MAIN!A770, FIND(",",MAIN!A770) -1), "0", ""), "1", ""), "2", ""), "3", ""), "4", ""), "5", ""), "6", ""), "7", ""), "8", ""), "9", "")), PROPER(SUBSTITUTE(SUBSTITUTE(SUBSTITUTE(SUBSTITUTE(SUBSTITUTE(SUBSTITUTE(SUBSTITUTE(SUBSTITUTE(SUBSTITUTE(SUBSTITUTE(MAIN!A770, "0", ""), "1", ""), "2", ""), "3", ""), "4", ""), "5", ""), "6", ""), "7", ""), "8", ""), "9", ""))))</f>
        <v>--</v>
      </c>
      <c r="B770" t="str">
        <f>IF(ISBLANK(MAIN!B770), "--", IFERROR(PROPER(SUBSTITUTE(SUBSTITUTE(SUBSTITUTE(SUBSTITUTE(SUBSTITUTE(SUBSTITUTE(SUBSTITUTE(SUBSTITUTE(SUBSTITUTE(SUBSTITUTE(LEFT(MAIN!B770, FIND(",",MAIN!B770) -1), "0", ""), "1", ""), "2", ""), "3", ""), "4", ""), "5", ""), "6", ""), "7", ""), "8", ""), "9", "")), PROPER(SUBSTITUTE(SUBSTITUTE(SUBSTITUTE(SUBSTITUTE(SUBSTITUTE(SUBSTITUTE(SUBSTITUTE(SUBSTITUTE(SUBSTITUTE(SUBSTITUTE(MAIN!B770, "0", ""), "1", ""), "2", ""), "3", ""), "4", ""), "5", ""), "6", ""), "7", ""), "8", ""), "9", ""))))</f>
        <v>--</v>
      </c>
      <c r="C770" t="str">
        <f>IF(ISBLANK(MAIN!C770), "--", IFERROR(PROPER(SUBSTITUTE(SUBSTITUTE(SUBSTITUTE(SUBSTITUTE(SUBSTITUTE(SUBSTITUTE(SUBSTITUTE(SUBSTITUTE(SUBSTITUTE(SUBSTITUTE(LEFT(MAIN!C770, FIND(",",MAIN!C770) -1), "0", ""), "1", ""), "2", ""), "3", ""), "4", ""), "5", ""), "6", ""), "7", ""), "8", ""), "9", "")), PROPER(SUBSTITUTE(SUBSTITUTE(SUBSTITUTE(SUBSTITUTE(SUBSTITUTE(SUBSTITUTE(SUBSTITUTE(SUBSTITUTE(SUBSTITUTE(SUBSTITUTE(MAIN!C770, "0", ""), "1", ""), "2", ""), "3", ""), "4", ""), "5", ""), "6", ""), "7", ""), "8", ""), "9", ""))))</f>
        <v>--</v>
      </c>
      <c r="D770" t="str">
        <f>IF(ISBLANK(MAIN!D770), "--", IF(ISNUMBER(MATCH(SUBSTITUTE(LEFT(MAIN!D770, IFERROR(FIND(",", MAIN!D770)-1, LEN(MAIN!D770))), " ", ""), lookup_values!$B$2:$B$51, 0)), UPPER(SUBSTITUTE(LEFT(MAIN!D770, IFERROR(FIND(",", MAIN!D770)-1, LEN(MAIN!D770))), " ", "")), IF(ISNA(VLOOKUP(SUBSTITUTE(LEFT(MAIN!D770, IFERROR(FIND(",", MAIN!D770)-1, LEN(MAIN!D770))), " ", ""), lookup_values!$A$2:$B$51, 2, FALSE)), "--", VLOOKUP(SUBSTITUTE(LEFT(MAIN!D770, IFERROR(FIND(",", MAIN!D770)-1, LEN(MAIN!D770))), " ", ""), lookup_values!$A$2:$B$51, 2, FALSE))))</f>
        <v>--</v>
      </c>
      <c r="E770" t="str">
        <f>IF(CLEAN_DATA!D770&lt;&gt;"--","US",IF(ISBLANK(MAIN!E770), "--", IF(ISNUMBER(MATCH(SUBSTITUTE(LEFT(MAIN!E770, IFERROR(FIND(",", MAIN!E770)-1, LEN(MAIN!E770))), " ", ""), lookup_values!$E$2:$E$197, 0)), UPPER(SUBSTITUTE(LEFT(MAIN!E770, IFERROR(FIND(",", MAIN!E770)-1, LEN(MAIN!E770))), " ", "")), IF(ISNA(VLOOKUP(SUBSTITUTE(LEFT(MAIN!E770, IFERROR(FIND(",", MAIN!E770)-1, LEN(MAIN!E770))), " ", ""), lookup_values!$D$2:$E$197, 2, FALSE)), "--", VLOOKUP(SUBSTITUTE(LEFT(MAIN!E770, IFERROR(FIND(",", MAIN!E770)-1, LEN(MAIN!E770))), " ", ""), lookup_values!$D$2:$E$197, 2, FALSE)))))</f>
        <v>--</v>
      </c>
      <c r="F770" t="str">
        <f>IF(ISBLANK(MAIN!F770), "", IF(AND(ISNUMBER(VALUE(TRIM(MAIN!F770))), LEN(TRIM(MAIN!F770))=4), VALUE(TRIM(MAIN!F770)), ""))</f>
        <v/>
      </c>
      <c r="G770">
        <f>IF(ISBLANK(MAIN!G770), 0, IF(ISNUMBER(VALUE(TRIM(MAIN!G770))), VALUE(TRIM(MAIN!G770)), 0))</f>
        <v>0</v>
      </c>
      <c r="H770">
        <f>IF(ISBLANK(MAIN!H770), 0, IF(ISNUMBER(VALUE(TRIM(MAIN!H770))), VALUE(TRIM(MAIN!H770)), 0))</f>
        <v>0</v>
      </c>
      <c r="I770">
        <f>IF(ISBLANK(MAIN!I770), 0, IF(ISNUMBER(VALUE(TRIM(MAIN!I770))), VALUE(TRIM(MAIN!I770)), 0))</f>
        <v>0</v>
      </c>
      <c r="J770">
        <f>IF(ISBLANK(MAIN!J770), 0, IF(ISNUMBER(VALUE(TRIM(MAIN!J770))), VALUE(TRIM(MAIN!J770)), 0))</f>
        <v>0</v>
      </c>
      <c r="K770" cm="1">
        <f t="array" ref="K770">IFERROR(
    VALUE(
        IFERROR(
            UPPER(
                IF(MAX(IFERROR(SEARCH("WD",MAIN!G770:J770), 0))&gt;0, "WD",
                IF(MAX(IFERROR(SEARCH("NS",MAIN!G770:J770), 0))&gt;0, "NS",
                IF(MAX(IFERROR(SEARCH("NC",MAIN!G770:J770), 0))&gt;0, "NC",
                IF(MAX(IFERROR(SEARCH("DQ",MAIN!G770:J770), 0))&gt;0, "DQ",
                IF(ISNUMBER(SEARCH("WD",MAIN!K770)), "WD",
                IF(ISNUMBER(SEARCH("NS",MAIN!K770)), "NS",
                IF(ISNUMBER(SEARCH("NC",MAIN!K770)), "NC",
                IF(ISNUMBER(SEARCH("DQ",MAIN!K770)), "DQ",
                IF(ISNUMBER(SEARCH("A",MAIN!K770)), 0,
                IF(OR(MAIN!K770=0,MAIN!K770=""), 0, --TRIM(MAIN!K770)))))))))))),
            0
        )
    ),
    IFERROR(
        UPPER(
            IF(MAX(IFERROR(SEARCH("WD",MAIN!G770:J770), 0))&gt;0, "WD",
            IF(MAX(IFERROR(SEARCH("NS",MAIN!G770:J770), 0))&gt;0, "NS",
            IF(MAX(IFERROR(SEARCH("NC",MAIN!G770:J770), 0))&gt;0, "NC",
            IF(MAX(IFERROR(SEARCH("DQ",MAIN!G770:J770), 0))&gt;0, "DQ",
            IF(ISNUMBER(SEARCH("WD",MAIN!K770)), "WD",
            IF(ISNUMBER(SEARCH("NS",MAIN!K770)), "NS",
            IF(ISNUMBER(SEARCH("NC",MAIN!K770)), "NC",
            IF(ISNUMBER(SEARCH("DQ",MAIN!K770)), "DQ",
            IF(ISNUMBER(SEARCH("A",MAIN!K770)), 0,
            IF(OR(MAIN!K770=0,MAIN!K770=""), 0, --TRIM(MAIN!K770)))))))))))),
        0
    )
)</f>
        <v>0</v>
      </c>
    </row>
    <row r="771" spans="1:11" x14ac:dyDescent="0.25">
      <c r="A771" t="str">
        <f>IF(ISBLANK(MAIN!A771), "--", IFERROR(PROPER(SUBSTITUTE(SUBSTITUTE(SUBSTITUTE(SUBSTITUTE(SUBSTITUTE(SUBSTITUTE(SUBSTITUTE(SUBSTITUTE(SUBSTITUTE(SUBSTITUTE(LEFT(MAIN!A771, FIND(",",MAIN!A771) -1), "0", ""), "1", ""), "2", ""), "3", ""), "4", ""), "5", ""), "6", ""), "7", ""), "8", ""), "9", "")), PROPER(SUBSTITUTE(SUBSTITUTE(SUBSTITUTE(SUBSTITUTE(SUBSTITUTE(SUBSTITUTE(SUBSTITUTE(SUBSTITUTE(SUBSTITUTE(SUBSTITUTE(MAIN!A771, "0", ""), "1", ""), "2", ""), "3", ""), "4", ""), "5", ""), "6", ""), "7", ""), "8", ""), "9", ""))))</f>
        <v>--</v>
      </c>
      <c r="B771" t="str">
        <f>IF(ISBLANK(MAIN!B771), "--", IFERROR(PROPER(SUBSTITUTE(SUBSTITUTE(SUBSTITUTE(SUBSTITUTE(SUBSTITUTE(SUBSTITUTE(SUBSTITUTE(SUBSTITUTE(SUBSTITUTE(SUBSTITUTE(LEFT(MAIN!B771, FIND(",",MAIN!B771) -1), "0", ""), "1", ""), "2", ""), "3", ""), "4", ""), "5", ""), "6", ""), "7", ""), "8", ""), "9", "")), PROPER(SUBSTITUTE(SUBSTITUTE(SUBSTITUTE(SUBSTITUTE(SUBSTITUTE(SUBSTITUTE(SUBSTITUTE(SUBSTITUTE(SUBSTITUTE(SUBSTITUTE(MAIN!B771, "0", ""), "1", ""), "2", ""), "3", ""), "4", ""), "5", ""), "6", ""), "7", ""), "8", ""), "9", ""))))</f>
        <v>--</v>
      </c>
      <c r="C771" t="str">
        <f>IF(ISBLANK(MAIN!C771), "--", IFERROR(PROPER(SUBSTITUTE(SUBSTITUTE(SUBSTITUTE(SUBSTITUTE(SUBSTITUTE(SUBSTITUTE(SUBSTITUTE(SUBSTITUTE(SUBSTITUTE(SUBSTITUTE(LEFT(MAIN!C771, FIND(",",MAIN!C771) -1), "0", ""), "1", ""), "2", ""), "3", ""), "4", ""), "5", ""), "6", ""), "7", ""), "8", ""), "9", "")), PROPER(SUBSTITUTE(SUBSTITUTE(SUBSTITUTE(SUBSTITUTE(SUBSTITUTE(SUBSTITUTE(SUBSTITUTE(SUBSTITUTE(SUBSTITUTE(SUBSTITUTE(MAIN!C771, "0", ""), "1", ""), "2", ""), "3", ""), "4", ""), "5", ""), "6", ""), "7", ""), "8", ""), "9", ""))))</f>
        <v>--</v>
      </c>
      <c r="D771" t="str">
        <f>IF(ISBLANK(MAIN!D771), "--", IF(ISNUMBER(MATCH(SUBSTITUTE(LEFT(MAIN!D771, IFERROR(FIND(",", MAIN!D771)-1, LEN(MAIN!D771))), " ", ""), lookup_values!$B$2:$B$51, 0)), UPPER(SUBSTITUTE(LEFT(MAIN!D771, IFERROR(FIND(",", MAIN!D771)-1, LEN(MAIN!D771))), " ", "")), IF(ISNA(VLOOKUP(SUBSTITUTE(LEFT(MAIN!D771, IFERROR(FIND(",", MAIN!D771)-1, LEN(MAIN!D771))), " ", ""), lookup_values!$A$2:$B$51, 2, FALSE)), "--", VLOOKUP(SUBSTITUTE(LEFT(MAIN!D771, IFERROR(FIND(",", MAIN!D771)-1, LEN(MAIN!D771))), " ", ""), lookup_values!$A$2:$B$51, 2, FALSE))))</f>
        <v>--</v>
      </c>
      <c r="E771" t="str">
        <f>IF(CLEAN_DATA!D771&lt;&gt;"--","US",IF(ISBLANK(MAIN!E771), "--", IF(ISNUMBER(MATCH(SUBSTITUTE(LEFT(MAIN!E771, IFERROR(FIND(",", MAIN!E771)-1, LEN(MAIN!E771))), " ", ""), lookup_values!$E$2:$E$197, 0)), UPPER(SUBSTITUTE(LEFT(MAIN!E771, IFERROR(FIND(",", MAIN!E771)-1, LEN(MAIN!E771))), " ", "")), IF(ISNA(VLOOKUP(SUBSTITUTE(LEFT(MAIN!E771, IFERROR(FIND(",", MAIN!E771)-1, LEN(MAIN!E771))), " ", ""), lookup_values!$D$2:$E$197, 2, FALSE)), "--", VLOOKUP(SUBSTITUTE(LEFT(MAIN!E771, IFERROR(FIND(",", MAIN!E771)-1, LEN(MAIN!E771))), " ", ""), lookup_values!$D$2:$E$197, 2, FALSE)))))</f>
        <v>--</v>
      </c>
      <c r="F771" t="str">
        <f>IF(ISBLANK(MAIN!F771), "", IF(AND(ISNUMBER(VALUE(TRIM(MAIN!F771))), LEN(TRIM(MAIN!F771))=4), VALUE(TRIM(MAIN!F771)), ""))</f>
        <v/>
      </c>
      <c r="G771">
        <f>IF(ISBLANK(MAIN!G771), 0, IF(ISNUMBER(VALUE(TRIM(MAIN!G771))), VALUE(TRIM(MAIN!G771)), 0))</f>
        <v>0</v>
      </c>
      <c r="H771">
        <f>IF(ISBLANK(MAIN!H771), 0, IF(ISNUMBER(VALUE(TRIM(MAIN!H771))), VALUE(TRIM(MAIN!H771)), 0))</f>
        <v>0</v>
      </c>
      <c r="I771">
        <f>IF(ISBLANK(MAIN!I771), 0, IF(ISNUMBER(VALUE(TRIM(MAIN!I771))), VALUE(TRIM(MAIN!I771)), 0))</f>
        <v>0</v>
      </c>
      <c r="J771">
        <f>IF(ISBLANK(MAIN!J771), 0, IF(ISNUMBER(VALUE(TRIM(MAIN!J771))), VALUE(TRIM(MAIN!J771)), 0))</f>
        <v>0</v>
      </c>
      <c r="K771" cm="1">
        <f t="array" ref="K771">IFERROR(
    VALUE(
        IFERROR(
            UPPER(
                IF(MAX(IFERROR(SEARCH("WD",MAIN!G771:J771), 0))&gt;0, "WD",
                IF(MAX(IFERROR(SEARCH("NS",MAIN!G771:J771), 0))&gt;0, "NS",
                IF(MAX(IFERROR(SEARCH("NC",MAIN!G771:J771), 0))&gt;0, "NC",
                IF(MAX(IFERROR(SEARCH("DQ",MAIN!G771:J771), 0))&gt;0, "DQ",
                IF(ISNUMBER(SEARCH("WD",MAIN!K771)), "WD",
                IF(ISNUMBER(SEARCH("NS",MAIN!K771)), "NS",
                IF(ISNUMBER(SEARCH("NC",MAIN!K771)), "NC",
                IF(ISNUMBER(SEARCH("DQ",MAIN!K771)), "DQ",
                IF(ISNUMBER(SEARCH("A",MAIN!K771)), 0,
                IF(OR(MAIN!K771=0,MAIN!K771=""), 0, --TRIM(MAIN!K771)))))))))))),
            0
        )
    ),
    IFERROR(
        UPPER(
            IF(MAX(IFERROR(SEARCH("WD",MAIN!G771:J771), 0))&gt;0, "WD",
            IF(MAX(IFERROR(SEARCH("NS",MAIN!G771:J771), 0))&gt;0, "NS",
            IF(MAX(IFERROR(SEARCH("NC",MAIN!G771:J771), 0))&gt;0, "NC",
            IF(MAX(IFERROR(SEARCH("DQ",MAIN!G771:J771), 0))&gt;0, "DQ",
            IF(ISNUMBER(SEARCH("WD",MAIN!K771)), "WD",
            IF(ISNUMBER(SEARCH("NS",MAIN!K771)), "NS",
            IF(ISNUMBER(SEARCH("NC",MAIN!K771)), "NC",
            IF(ISNUMBER(SEARCH("DQ",MAIN!K771)), "DQ",
            IF(ISNUMBER(SEARCH("A",MAIN!K771)), 0,
            IF(OR(MAIN!K771=0,MAIN!K771=""), 0, --TRIM(MAIN!K771)))))))))))),
        0
    )
)</f>
        <v>0</v>
      </c>
    </row>
    <row r="772" spans="1:11" x14ac:dyDescent="0.25">
      <c r="A772" t="str">
        <f>IF(ISBLANK(MAIN!A772), "--", IFERROR(PROPER(SUBSTITUTE(SUBSTITUTE(SUBSTITUTE(SUBSTITUTE(SUBSTITUTE(SUBSTITUTE(SUBSTITUTE(SUBSTITUTE(SUBSTITUTE(SUBSTITUTE(LEFT(MAIN!A772, FIND(",",MAIN!A772) -1), "0", ""), "1", ""), "2", ""), "3", ""), "4", ""), "5", ""), "6", ""), "7", ""), "8", ""), "9", "")), PROPER(SUBSTITUTE(SUBSTITUTE(SUBSTITUTE(SUBSTITUTE(SUBSTITUTE(SUBSTITUTE(SUBSTITUTE(SUBSTITUTE(SUBSTITUTE(SUBSTITUTE(MAIN!A772, "0", ""), "1", ""), "2", ""), "3", ""), "4", ""), "5", ""), "6", ""), "7", ""), "8", ""), "9", ""))))</f>
        <v>--</v>
      </c>
      <c r="B772" t="str">
        <f>IF(ISBLANK(MAIN!B772), "--", IFERROR(PROPER(SUBSTITUTE(SUBSTITUTE(SUBSTITUTE(SUBSTITUTE(SUBSTITUTE(SUBSTITUTE(SUBSTITUTE(SUBSTITUTE(SUBSTITUTE(SUBSTITUTE(LEFT(MAIN!B772, FIND(",",MAIN!B772) -1), "0", ""), "1", ""), "2", ""), "3", ""), "4", ""), "5", ""), "6", ""), "7", ""), "8", ""), "9", "")), PROPER(SUBSTITUTE(SUBSTITUTE(SUBSTITUTE(SUBSTITUTE(SUBSTITUTE(SUBSTITUTE(SUBSTITUTE(SUBSTITUTE(SUBSTITUTE(SUBSTITUTE(MAIN!B772, "0", ""), "1", ""), "2", ""), "3", ""), "4", ""), "5", ""), "6", ""), "7", ""), "8", ""), "9", ""))))</f>
        <v>--</v>
      </c>
      <c r="C772" t="str">
        <f>IF(ISBLANK(MAIN!C772), "--", IFERROR(PROPER(SUBSTITUTE(SUBSTITUTE(SUBSTITUTE(SUBSTITUTE(SUBSTITUTE(SUBSTITUTE(SUBSTITUTE(SUBSTITUTE(SUBSTITUTE(SUBSTITUTE(LEFT(MAIN!C772, FIND(",",MAIN!C772) -1), "0", ""), "1", ""), "2", ""), "3", ""), "4", ""), "5", ""), "6", ""), "7", ""), "8", ""), "9", "")), PROPER(SUBSTITUTE(SUBSTITUTE(SUBSTITUTE(SUBSTITUTE(SUBSTITUTE(SUBSTITUTE(SUBSTITUTE(SUBSTITUTE(SUBSTITUTE(SUBSTITUTE(MAIN!C772, "0", ""), "1", ""), "2", ""), "3", ""), "4", ""), "5", ""), "6", ""), "7", ""), "8", ""), "9", ""))))</f>
        <v>--</v>
      </c>
      <c r="D772" t="str">
        <f>IF(ISBLANK(MAIN!D772), "--", IF(ISNUMBER(MATCH(SUBSTITUTE(LEFT(MAIN!D772, IFERROR(FIND(",", MAIN!D772)-1, LEN(MAIN!D772))), " ", ""), lookup_values!$B$2:$B$51, 0)), UPPER(SUBSTITUTE(LEFT(MAIN!D772, IFERROR(FIND(",", MAIN!D772)-1, LEN(MAIN!D772))), " ", "")), IF(ISNA(VLOOKUP(SUBSTITUTE(LEFT(MAIN!D772, IFERROR(FIND(",", MAIN!D772)-1, LEN(MAIN!D772))), " ", ""), lookup_values!$A$2:$B$51, 2, FALSE)), "--", VLOOKUP(SUBSTITUTE(LEFT(MAIN!D772, IFERROR(FIND(",", MAIN!D772)-1, LEN(MAIN!D772))), " ", ""), lookup_values!$A$2:$B$51, 2, FALSE))))</f>
        <v>--</v>
      </c>
      <c r="E772" t="str">
        <f>IF(CLEAN_DATA!D772&lt;&gt;"--","US",IF(ISBLANK(MAIN!E772), "--", IF(ISNUMBER(MATCH(SUBSTITUTE(LEFT(MAIN!E772, IFERROR(FIND(",", MAIN!E772)-1, LEN(MAIN!E772))), " ", ""), lookup_values!$E$2:$E$197, 0)), UPPER(SUBSTITUTE(LEFT(MAIN!E772, IFERROR(FIND(",", MAIN!E772)-1, LEN(MAIN!E772))), " ", "")), IF(ISNA(VLOOKUP(SUBSTITUTE(LEFT(MAIN!E772, IFERROR(FIND(",", MAIN!E772)-1, LEN(MAIN!E772))), " ", ""), lookup_values!$D$2:$E$197, 2, FALSE)), "--", VLOOKUP(SUBSTITUTE(LEFT(MAIN!E772, IFERROR(FIND(",", MAIN!E772)-1, LEN(MAIN!E772))), " ", ""), lookup_values!$D$2:$E$197, 2, FALSE)))))</f>
        <v>--</v>
      </c>
      <c r="F772" t="str">
        <f>IF(ISBLANK(MAIN!F772), "", IF(AND(ISNUMBER(VALUE(TRIM(MAIN!F772))), LEN(TRIM(MAIN!F772))=4), VALUE(TRIM(MAIN!F772)), ""))</f>
        <v/>
      </c>
      <c r="G772">
        <f>IF(ISBLANK(MAIN!G772), 0, IF(ISNUMBER(VALUE(TRIM(MAIN!G772))), VALUE(TRIM(MAIN!G772)), 0))</f>
        <v>0</v>
      </c>
      <c r="H772">
        <f>IF(ISBLANK(MAIN!H772), 0, IF(ISNUMBER(VALUE(TRIM(MAIN!H772))), VALUE(TRIM(MAIN!H772)), 0))</f>
        <v>0</v>
      </c>
      <c r="I772">
        <f>IF(ISBLANK(MAIN!I772), 0, IF(ISNUMBER(VALUE(TRIM(MAIN!I772))), VALUE(TRIM(MAIN!I772)), 0))</f>
        <v>0</v>
      </c>
      <c r="J772">
        <f>IF(ISBLANK(MAIN!J772), 0, IF(ISNUMBER(VALUE(TRIM(MAIN!J772))), VALUE(TRIM(MAIN!J772)), 0))</f>
        <v>0</v>
      </c>
      <c r="K772" cm="1">
        <f t="array" ref="K772">IFERROR(
    VALUE(
        IFERROR(
            UPPER(
                IF(MAX(IFERROR(SEARCH("WD",MAIN!G772:J772), 0))&gt;0, "WD",
                IF(MAX(IFERROR(SEARCH("NS",MAIN!G772:J772), 0))&gt;0, "NS",
                IF(MAX(IFERROR(SEARCH("NC",MAIN!G772:J772), 0))&gt;0, "NC",
                IF(MAX(IFERROR(SEARCH("DQ",MAIN!G772:J772), 0))&gt;0, "DQ",
                IF(ISNUMBER(SEARCH("WD",MAIN!K772)), "WD",
                IF(ISNUMBER(SEARCH("NS",MAIN!K772)), "NS",
                IF(ISNUMBER(SEARCH("NC",MAIN!K772)), "NC",
                IF(ISNUMBER(SEARCH("DQ",MAIN!K772)), "DQ",
                IF(ISNUMBER(SEARCH("A",MAIN!K772)), 0,
                IF(OR(MAIN!K772=0,MAIN!K772=""), 0, --TRIM(MAIN!K772)))))))))))),
            0
        )
    ),
    IFERROR(
        UPPER(
            IF(MAX(IFERROR(SEARCH("WD",MAIN!G772:J772), 0))&gt;0, "WD",
            IF(MAX(IFERROR(SEARCH("NS",MAIN!G772:J772), 0))&gt;0, "NS",
            IF(MAX(IFERROR(SEARCH("NC",MAIN!G772:J772), 0))&gt;0, "NC",
            IF(MAX(IFERROR(SEARCH("DQ",MAIN!G772:J772), 0))&gt;0, "DQ",
            IF(ISNUMBER(SEARCH("WD",MAIN!K772)), "WD",
            IF(ISNUMBER(SEARCH("NS",MAIN!K772)), "NS",
            IF(ISNUMBER(SEARCH("NC",MAIN!K772)), "NC",
            IF(ISNUMBER(SEARCH("DQ",MAIN!K772)), "DQ",
            IF(ISNUMBER(SEARCH("A",MAIN!K772)), 0,
            IF(OR(MAIN!K772=0,MAIN!K772=""), 0, --TRIM(MAIN!K772)))))))))))),
        0
    )
)</f>
        <v>0</v>
      </c>
    </row>
    <row r="773" spans="1:11" x14ac:dyDescent="0.25">
      <c r="A773" t="str">
        <f>IF(ISBLANK(MAIN!A773), "--", IFERROR(PROPER(SUBSTITUTE(SUBSTITUTE(SUBSTITUTE(SUBSTITUTE(SUBSTITUTE(SUBSTITUTE(SUBSTITUTE(SUBSTITUTE(SUBSTITUTE(SUBSTITUTE(LEFT(MAIN!A773, FIND(",",MAIN!A773) -1), "0", ""), "1", ""), "2", ""), "3", ""), "4", ""), "5", ""), "6", ""), "7", ""), "8", ""), "9", "")), PROPER(SUBSTITUTE(SUBSTITUTE(SUBSTITUTE(SUBSTITUTE(SUBSTITUTE(SUBSTITUTE(SUBSTITUTE(SUBSTITUTE(SUBSTITUTE(SUBSTITUTE(MAIN!A773, "0", ""), "1", ""), "2", ""), "3", ""), "4", ""), "5", ""), "6", ""), "7", ""), "8", ""), "9", ""))))</f>
        <v>--</v>
      </c>
      <c r="B773" t="str">
        <f>IF(ISBLANK(MAIN!B773), "--", IFERROR(PROPER(SUBSTITUTE(SUBSTITUTE(SUBSTITUTE(SUBSTITUTE(SUBSTITUTE(SUBSTITUTE(SUBSTITUTE(SUBSTITUTE(SUBSTITUTE(SUBSTITUTE(LEFT(MAIN!B773, FIND(",",MAIN!B773) -1), "0", ""), "1", ""), "2", ""), "3", ""), "4", ""), "5", ""), "6", ""), "7", ""), "8", ""), "9", "")), PROPER(SUBSTITUTE(SUBSTITUTE(SUBSTITUTE(SUBSTITUTE(SUBSTITUTE(SUBSTITUTE(SUBSTITUTE(SUBSTITUTE(SUBSTITUTE(SUBSTITUTE(MAIN!B773, "0", ""), "1", ""), "2", ""), "3", ""), "4", ""), "5", ""), "6", ""), "7", ""), "8", ""), "9", ""))))</f>
        <v>--</v>
      </c>
      <c r="C773" t="str">
        <f>IF(ISBLANK(MAIN!C773), "--", IFERROR(PROPER(SUBSTITUTE(SUBSTITUTE(SUBSTITUTE(SUBSTITUTE(SUBSTITUTE(SUBSTITUTE(SUBSTITUTE(SUBSTITUTE(SUBSTITUTE(SUBSTITUTE(LEFT(MAIN!C773, FIND(",",MAIN!C773) -1), "0", ""), "1", ""), "2", ""), "3", ""), "4", ""), "5", ""), "6", ""), "7", ""), "8", ""), "9", "")), PROPER(SUBSTITUTE(SUBSTITUTE(SUBSTITUTE(SUBSTITUTE(SUBSTITUTE(SUBSTITUTE(SUBSTITUTE(SUBSTITUTE(SUBSTITUTE(SUBSTITUTE(MAIN!C773, "0", ""), "1", ""), "2", ""), "3", ""), "4", ""), "5", ""), "6", ""), "7", ""), "8", ""), "9", ""))))</f>
        <v>--</v>
      </c>
      <c r="D773" t="str">
        <f>IF(ISBLANK(MAIN!D773), "--", IF(ISNUMBER(MATCH(SUBSTITUTE(LEFT(MAIN!D773, IFERROR(FIND(",", MAIN!D773)-1, LEN(MAIN!D773))), " ", ""), lookup_values!$B$2:$B$51, 0)), UPPER(SUBSTITUTE(LEFT(MAIN!D773, IFERROR(FIND(",", MAIN!D773)-1, LEN(MAIN!D773))), " ", "")), IF(ISNA(VLOOKUP(SUBSTITUTE(LEFT(MAIN!D773, IFERROR(FIND(",", MAIN!D773)-1, LEN(MAIN!D773))), " ", ""), lookup_values!$A$2:$B$51, 2, FALSE)), "--", VLOOKUP(SUBSTITUTE(LEFT(MAIN!D773, IFERROR(FIND(",", MAIN!D773)-1, LEN(MAIN!D773))), " ", ""), lookup_values!$A$2:$B$51, 2, FALSE))))</f>
        <v>--</v>
      </c>
      <c r="E773" t="str">
        <f>IF(CLEAN_DATA!D773&lt;&gt;"--","US",IF(ISBLANK(MAIN!E773), "--", IF(ISNUMBER(MATCH(SUBSTITUTE(LEFT(MAIN!E773, IFERROR(FIND(",", MAIN!E773)-1, LEN(MAIN!E773))), " ", ""), lookup_values!$E$2:$E$197, 0)), UPPER(SUBSTITUTE(LEFT(MAIN!E773, IFERROR(FIND(",", MAIN!E773)-1, LEN(MAIN!E773))), " ", "")), IF(ISNA(VLOOKUP(SUBSTITUTE(LEFT(MAIN!E773, IFERROR(FIND(",", MAIN!E773)-1, LEN(MAIN!E773))), " ", ""), lookup_values!$D$2:$E$197, 2, FALSE)), "--", VLOOKUP(SUBSTITUTE(LEFT(MAIN!E773, IFERROR(FIND(",", MAIN!E773)-1, LEN(MAIN!E773))), " ", ""), lookup_values!$D$2:$E$197, 2, FALSE)))))</f>
        <v>--</v>
      </c>
      <c r="F773" t="str">
        <f>IF(ISBLANK(MAIN!F773), "", IF(AND(ISNUMBER(VALUE(TRIM(MAIN!F773))), LEN(TRIM(MAIN!F773))=4), VALUE(TRIM(MAIN!F773)), ""))</f>
        <v/>
      </c>
      <c r="G773">
        <f>IF(ISBLANK(MAIN!G773), 0, IF(ISNUMBER(VALUE(TRIM(MAIN!G773))), VALUE(TRIM(MAIN!G773)), 0))</f>
        <v>0</v>
      </c>
      <c r="H773">
        <f>IF(ISBLANK(MAIN!H773), 0, IF(ISNUMBER(VALUE(TRIM(MAIN!H773))), VALUE(TRIM(MAIN!H773)), 0))</f>
        <v>0</v>
      </c>
      <c r="I773">
        <f>IF(ISBLANK(MAIN!I773), 0, IF(ISNUMBER(VALUE(TRIM(MAIN!I773))), VALUE(TRIM(MAIN!I773)), 0))</f>
        <v>0</v>
      </c>
      <c r="J773">
        <f>IF(ISBLANK(MAIN!J773), 0, IF(ISNUMBER(VALUE(TRIM(MAIN!J773))), VALUE(TRIM(MAIN!J773)), 0))</f>
        <v>0</v>
      </c>
      <c r="K773" cm="1">
        <f t="array" ref="K773">IFERROR(
    VALUE(
        IFERROR(
            UPPER(
                IF(MAX(IFERROR(SEARCH("WD",MAIN!G773:J773), 0))&gt;0, "WD",
                IF(MAX(IFERROR(SEARCH("NS",MAIN!G773:J773), 0))&gt;0, "NS",
                IF(MAX(IFERROR(SEARCH("NC",MAIN!G773:J773), 0))&gt;0, "NC",
                IF(MAX(IFERROR(SEARCH("DQ",MAIN!G773:J773), 0))&gt;0, "DQ",
                IF(ISNUMBER(SEARCH("WD",MAIN!K773)), "WD",
                IF(ISNUMBER(SEARCH("NS",MAIN!K773)), "NS",
                IF(ISNUMBER(SEARCH("NC",MAIN!K773)), "NC",
                IF(ISNUMBER(SEARCH("DQ",MAIN!K773)), "DQ",
                IF(ISNUMBER(SEARCH("A",MAIN!K773)), 0,
                IF(OR(MAIN!K773=0,MAIN!K773=""), 0, --TRIM(MAIN!K773)))))))))))),
            0
        )
    ),
    IFERROR(
        UPPER(
            IF(MAX(IFERROR(SEARCH("WD",MAIN!G773:J773), 0))&gt;0, "WD",
            IF(MAX(IFERROR(SEARCH("NS",MAIN!G773:J773), 0))&gt;0, "NS",
            IF(MAX(IFERROR(SEARCH("NC",MAIN!G773:J773), 0))&gt;0, "NC",
            IF(MAX(IFERROR(SEARCH("DQ",MAIN!G773:J773), 0))&gt;0, "DQ",
            IF(ISNUMBER(SEARCH("WD",MAIN!K773)), "WD",
            IF(ISNUMBER(SEARCH("NS",MAIN!K773)), "NS",
            IF(ISNUMBER(SEARCH("NC",MAIN!K773)), "NC",
            IF(ISNUMBER(SEARCH("DQ",MAIN!K773)), "DQ",
            IF(ISNUMBER(SEARCH("A",MAIN!K773)), 0,
            IF(OR(MAIN!K773=0,MAIN!K773=""), 0, --TRIM(MAIN!K773)))))))))))),
        0
    )
)</f>
        <v>0</v>
      </c>
    </row>
    <row r="774" spans="1:11" x14ac:dyDescent="0.25">
      <c r="A774" t="str">
        <f>IF(ISBLANK(MAIN!A774), "--", IFERROR(PROPER(SUBSTITUTE(SUBSTITUTE(SUBSTITUTE(SUBSTITUTE(SUBSTITUTE(SUBSTITUTE(SUBSTITUTE(SUBSTITUTE(SUBSTITUTE(SUBSTITUTE(LEFT(MAIN!A774, FIND(",",MAIN!A774) -1), "0", ""), "1", ""), "2", ""), "3", ""), "4", ""), "5", ""), "6", ""), "7", ""), "8", ""), "9", "")), PROPER(SUBSTITUTE(SUBSTITUTE(SUBSTITUTE(SUBSTITUTE(SUBSTITUTE(SUBSTITUTE(SUBSTITUTE(SUBSTITUTE(SUBSTITUTE(SUBSTITUTE(MAIN!A774, "0", ""), "1", ""), "2", ""), "3", ""), "4", ""), "5", ""), "6", ""), "7", ""), "8", ""), "9", ""))))</f>
        <v>--</v>
      </c>
      <c r="B774" t="str">
        <f>IF(ISBLANK(MAIN!B774), "--", IFERROR(PROPER(SUBSTITUTE(SUBSTITUTE(SUBSTITUTE(SUBSTITUTE(SUBSTITUTE(SUBSTITUTE(SUBSTITUTE(SUBSTITUTE(SUBSTITUTE(SUBSTITUTE(LEFT(MAIN!B774, FIND(",",MAIN!B774) -1), "0", ""), "1", ""), "2", ""), "3", ""), "4", ""), "5", ""), "6", ""), "7", ""), "8", ""), "9", "")), PROPER(SUBSTITUTE(SUBSTITUTE(SUBSTITUTE(SUBSTITUTE(SUBSTITUTE(SUBSTITUTE(SUBSTITUTE(SUBSTITUTE(SUBSTITUTE(SUBSTITUTE(MAIN!B774, "0", ""), "1", ""), "2", ""), "3", ""), "4", ""), "5", ""), "6", ""), "7", ""), "8", ""), "9", ""))))</f>
        <v>--</v>
      </c>
      <c r="C774" t="str">
        <f>IF(ISBLANK(MAIN!C774), "--", IFERROR(PROPER(SUBSTITUTE(SUBSTITUTE(SUBSTITUTE(SUBSTITUTE(SUBSTITUTE(SUBSTITUTE(SUBSTITUTE(SUBSTITUTE(SUBSTITUTE(SUBSTITUTE(LEFT(MAIN!C774, FIND(",",MAIN!C774) -1), "0", ""), "1", ""), "2", ""), "3", ""), "4", ""), "5", ""), "6", ""), "7", ""), "8", ""), "9", "")), PROPER(SUBSTITUTE(SUBSTITUTE(SUBSTITUTE(SUBSTITUTE(SUBSTITUTE(SUBSTITUTE(SUBSTITUTE(SUBSTITUTE(SUBSTITUTE(SUBSTITUTE(MAIN!C774, "0", ""), "1", ""), "2", ""), "3", ""), "4", ""), "5", ""), "6", ""), "7", ""), "8", ""), "9", ""))))</f>
        <v>--</v>
      </c>
      <c r="D774" t="str">
        <f>IF(ISBLANK(MAIN!D774), "--", IF(ISNUMBER(MATCH(SUBSTITUTE(LEFT(MAIN!D774, IFERROR(FIND(",", MAIN!D774)-1, LEN(MAIN!D774))), " ", ""), lookup_values!$B$2:$B$51, 0)), UPPER(SUBSTITUTE(LEFT(MAIN!D774, IFERROR(FIND(",", MAIN!D774)-1, LEN(MAIN!D774))), " ", "")), IF(ISNA(VLOOKUP(SUBSTITUTE(LEFT(MAIN!D774, IFERROR(FIND(",", MAIN!D774)-1, LEN(MAIN!D774))), " ", ""), lookup_values!$A$2:$B$51, 2, FALSE)), "--", VLOOKUP(SUBSTITUTE(LEFT(MAIN!D774, IFERROR(FIND(",", MAIN!D774)-1, LEN(MAIN!D774))), " ", ""), lookup_values!$A$2:$B$51, 2, FALSE))))</f>
        <v>--</v>
      </c>
      <c r="E774" t="str">
        <f>IF(CLEAN_DATA!D774&lt;&gt;"--","US",IF(ISBLANK(MAIN!E774), "--", IF(ISNUMBER(MATCH(SUBSTITUTE(LEFT(MAIN!E774, IFERROR(FIND(",", MAIN!E774)-1, LEN(MAIN!E774))), " ", ""), lookup_values!$E$2:$E$197, 0)), UPPER(SUBSTITUTE(LEFT(MAIN!E774, IFERROR(FIND(",", MAIN!E774)-1, LEN(MAIN!E774))), " ", "")), IF(ISNA(VLOOKUP(SUBSTITUTE(LEFT(MAIN!E774, IFERROR(FIND(",", MAIN!E774)-1, LEN(MAIN!E774))), " ", ""), lookup_values!$D$2:$E$197, 2, FALSE)), "--", VLOOKUP(SUBSTITUTE(LEFT(MAIN!E774, IFERROR(FIND(",", MAIN!E774)-1, LEN(MAIN!E774))), " ", ""), lookup_values!$D$2:$E$197, 2, FALSE)))))</f>
        <v>--</v>
      </c>
      <c r="F774" t="str">
        <f>IF(ISBLANK(MAIN!F774), "", IF(AND(ISNUMBER(VALUE(TRIM(MAIN!F774))), LEN(TRIM(MAIN!F774))=4), VALUE(TRIM(MAIN!F774)), ""))</f>
        <v/>
      </c>
      <c r="G774">
        <f>IF(ISBLANK(MAIN!G774), 0, IF(ISNUMBER(VALUE(TRIM(MAIN!G774))), VALUE(TRIM(MAIN!G774)), 0))</f>
        <v>0</v>
      </c>
      <c r="H774">
        <f>IF(ISBLANK(MAIN!H774), 0, IF(ISNUMBER(VALUE(TRIM(MAIN!H774))), VALUE(TRIM(MAIN!H774)), 0))</f>
        <v>0</v>
      </c>
      <c r="I774">
        <f>IF(ISBLANK(MAIN!I774), 0, IF(ISNUMBER(VALUE(TRIM(MAIN!I774))), VALUE(TRIM(MAIN!I774)), 0))</f>
        <v>0</v>
      </c>
      <c r="J774">
        <f>IF(ISBLANK(MAIN!J774), 0, IF(ISNUMBER(VALUE(TRIM(MAIN!J774))), VALUE(TRIM(MAIN!J774)), 0))</f>
        <v>0</v>
      </c>
      <c r="K774" cm="1">
        <f t="array" ref="K774">IFERROR(
    VALUE(
        IFERROR(
            UPPER(
                IF(MAX(IFERROR(SEARCH("WD",MAIN!G774:J774), 0))&gt;0, "WD",
                IF(MAX(IFERROR(SEARCH("NS",MAIN!G774:J774), 0))&gt;0, "NS",
                IF(MAX(IFERROR(SEARCH("NC",MAIN!G774:J774), 0))&gt;0, "NC",
                IF(MAX(IFERROR(SEARCH("DQ",MAIN!G774:J774), 0))&gt;0, "DQ",
                IF(ISNUMBER(SEARCH("WD",MAIN!K774)), "WD",
                IF(ISNUMBER(SEARCH("NS",MAIN!K774)), "NS",
                IF(ISNUMBER(SEARCH("NC",MAIN!K774)), "NC",
                IF(ISNUMBER(SEARCH("DQ",MAIN!K774)), "DQ",
                IF(ISNUMBER(SEARCH("A",MAIN!K774)), 0,
                IF(OR(MAIN!K774=0,MAIN!K774=""), 0, --TRIM(MAIN!K774)))))))))))),
            0
        )
    ),
    IFERROR(
        UPPER(
            IF(MAX(IFERROR(SEARCH("WD",MAIN!G774:J774), 0))&gt;0, "WD",
            IF(MAX(IFERROR(SEARCH("NS",MAIN!G774:J774), 0))&gt;0, "NS",
            IF(MAX(IFERROR(SEARCH("NC",MAIN!G774:J774), 0))&gt;0, "NC",
            IF(MAX(IFERROR(SEARCH("DQ",MAIN!G774:J774), 0))&gt;0, "DQ",
            IF(ISNUMBER(SEARCH("WD",MAIN!K774)), "WD",
            IF(ISNUMBER(SEARCH("NS",MAIN!K774)), "NS",
            IF(ISNUMBER(SEARCH("NC",MAIN!K774)), "NC",
            IF(ISNUMBER(SEARCH("DQ",MAIN!K774)), "DQ",
            IF(ISNUMBER(SEARCH("A",MAIN!K774)), 0,
            IF(OR(MAIN!K774=0,MAIN!K774=""), 0, --TRIM(MAIN!K774)))))))))))),
        0
    )
)</f>
        <v>0</v>
      </c>
    </row>
    <row r="775" spans="1:11" x14ac:dyDescent="0.25">
      <c r="A775" t="str">
        <f>IF(ISBLANK(MAIN!A775), "--", IFERROR(PROPER(SUBSTITUTE(SUBSTITUTE(SUBSTITUTE(SUBSTITUTE(SUBSTITUTE(SUBSTITUTE(SUBSTITUTE(SUBSTITUTE(SUBSTITUTE(SUBSTITUTE(LEFT(MAIN!A775, FIND(",",MAIN!A775) -1), "0", ""), "1", ""), "2", ""), "3", ""), "4", ""), "5", ""), "6", ""), "7", ""), "8", ""), "9", "")), PROPER(SUBSTITUTE(SUBSTITUTE(SUBSTITUTE(SUBSTITUTE(SUBSTITUTE(SUBSTITUTE(SUBSTITUTE(SUBSTITUTE(SUBSTITUTE(SUBSTITUTE(MAIN!A775, "0", ""), "1", ""), "2", ""), "3", ""), "4", ""), "5", ""), "6", ""), "7", ""), "8", ""), "9", ""))))</f>
        <v>--</v>
      </c>
      <c r="B775" t="str">
        <f>IF(ISBLANK(MAIN!B775), "--", IFERROR(PROPER(SUBSTITUTE(SUBSTITUTE(SUBSTITUTE(SUBSTITUTE(SUBSTITUTE(SUBSTITUTE(SUBSTITUTE(SUBSTITUTE(SUBSTITUTE(SUBSTITUTE(LEFT(MAIN!B775, FIND(",",MAIN!B775) -1), "0", ""), "1", ""), "2", ""), "3", ""), "4", ""), "5", ""), "6", ""), "7", ""), "8", ""), "9", "")), PROPER(SUBSTITUTE(SUBSTITUTE(SUBSTITUTE(SUBSTITUTE(SUBSTITUTE(SUBSTITUTE(SUBSTITUTE(SUBSTITUTE(SUBSTITUTE(SUBSTITUTE(MAIN!B775, "0", ""), "1", ""), "2", ""), "3", ""), "4", ""), "5", ""), "6", ""), "7", ""), "8", ""), "9", ""))))</f>
        <v>--</v>
      </c>
      <c r="C775" t="str">
        <f>IF(ISBLANK(MAIN!C775), "--", IFERROR(PROPER(SUBSTITUTE(SUBSTITUTE(SUBSTITUTE(SUBSTITUTE(SUBSTITUTE(SUBSTITUTE(SUBSTITUTE(SUBSTITUTE(SUBSTITUTE(SUBSTITUTE(LEFT(MAIN!C775, FIND(",",MAIN!C775) -1), "0", ""), "1", ""), "2", ""), "3", ""), "4", ""), "5", ""), "6", ""), "7", ""), "8", ""), "9", "")), PROPER(SUBSTITUTE(SUBSTITUTE(SUBSTITUTE(SUBSTITUTE(SUBSTITUTE(SUBSTITUTE(SUBSTITUTE(SUBSTITUTE(SUBSTITUTE(SUBSTITUTE(MAIN!C775, "0", ""), "1", ""), "2", ""), "3", ""), "4", ""), "5", ""), "6", ""), "7", ""), "8", ""), "9", ""))))</f>
        <v>--</v>
      </c>
      <c r="D775" t="str">
        <f>IF(ISBLANK(MAIN!D775), "--", IF(ISNUMBER(MATCH(SUBSTITUTE(LEFT(MAIN!D775, IFERROR(FIND(",", MAIN!D775)-1, LEN(MAIN!D775))), " ", ""), lookup_values!$B$2:$B$51, 0)), UPPER(SUBSTITUTE(LEFT(MAIN!D775, IFERROR(FIND(",", MAIN!D775)-1, LEN(MAIN!D775))), " ", "")), IF(ISNA(VLOOKUP(SUBSTITUTE(LEFT(MAIN!D775, IFERROR(FIND(",", MAIN!D775)-1, LEN(MAIN!D775))), " ", ""), lookup_values!$A$2:$B$51, 2, FALSE)), "--", VLOOKUP(SUBSTITUTE(LEFT(MAIN!D775, IFERROR(FIND(",", MAIN!D775)-1, LEN(MAIN!D775))), " ", ""), lookup_values!$A$2:$B$51, 2, FALSE))))</f>
        <v>--</v>
      </c>
      <c r="E775" t="str">
        <f>IF(CLEAN_DATA!D775&lt;&gt;"--","US",IF(ISBLANK(MAIN!E775), "--", IF(ISNUMBER(MATCH(SUBSTITUTE(LEFT(MAIN!E775, IFERROR(FIND(",", MAIN!E775)-1, LEN(MAIN!E775))), " ", ""), lookup_values!$E$2:$E$197, 0)), UPPER(SUBSTITUTE(LEFT(MAIN!E775, IFERROR(FIND(",", MAIN!E775)-1, LEN(MAIN!E775))), " ", "")), IF(ISNA(VLOOKUP(SUBSTITUTE(LEFT(MAIN!E775, IFERROR(FIND(",", MAIN!E775)-1, LEN(MAIN!E775))), " ", ""), lookup_values!$D$2:$E$197, 2, FALSE)), "--", VLOOKUP(SUBSTITUTE(LEFT(MAIN!E775, IFERROR(FIND(",", MAIN!E775)-1, LEN(MAIN!E775))), " ", ""), lookup_values!$D$2:$E$197, 2, FALSE)))))</f>
        <v>--</v>
      </c>
      <c r="F775" t="str">
        <f>IF(ISBLANK(MAIN!F775), "", IF(AND(ISNUMBER(VALUE(TRIM(MAIN!F775))), LEN(TRIM(MAIN!F775))=4), VALUE(TRIM(MAIN!F775)), ""))</f>
        <v/>
      </c>
      <c r="G775">
        <f>IF(ISBLANK(MAIN!G775), 0, IF(ISNUMBER(VALUE(TRIM(MAIN!G775))), VALUE(TRIM(MAIN!G775)), 0))</f>
        <v>0</v>
      </c>
      <c r="H775">
        <f>IF(ISBLANK(MAIN!H775), 0, IF(ISNUMBER(VALUE(TRIM(MAIN!H775))), VALUE(TRIM(MAIN!H775)), 0))</f>
        <v>0</v>
      </c>
      <c r="I775">
        <f>IF(ISBLANK(MAIN!I775), 0, IF(ISNUMBER(VALUE(TRIM(MAIN!I775))), VALUE(TRIM(MAIN!I775)), 0))</f>
        <v>0</v>
      </c>
      <c r="J775">
        <f>IF(ISBLANK(MAIN!J775), 0, IF(ISNUMBER(VALUE(TRIM(MAIN!J775))), VALUE(TRIM(MAIN!J775)), 0))</f>
        <v>0</v>
      </c>
      <c r="K775" cm="1">
        <f t="array" ref="K775">IFERROR(
    VALUE(
        IFERROR(
            UPPER(
                IF(MAX(IFERROR(SEARCH("WD",MAIN!G775:J775), 0))&gt;0, "WD",
                IF(MAX(IFERROR(SEARCH("NS",MAIN!G775:J775), 0))&gt;0, "NS",
                IF(MAX(IFERROR(SEARCH("NC",MAIN!G775:J775), 0))&gt;0, "NC",
                IF(MAX(IFERROR(SEARCH("DQ",MAIN!G775:J775), 0))&gt;0, "DQ",
                IF(ISNUMBER(SEARCH("WD",MAIN!K775)), "WD",
                IF(ISNUMBER(SEARCH("NS",MAIN!K775)), "NS",
                IF(ISNUMBER(SEARCH("NC",MAIN!K775)), "NC",
                IF(ISNUMBER(SEARCH("DQ",MAIN!K775)), "DQ",
                IF(ISNUMBER(SEARCH("A",MAIN!K775)), 0,
                IF(OR(MAIN!K775=0,MAIN!K775=""), 0, --TRIM(MAIN!K775)))))))))))),
            0
        )
    ),
    IFERROR(
        UPPER(
            IF(MAX(IFERROR(SEARCH("WD",MAIN!G775:J775), 0))&gt;0, "WD",
            IF(MAX(IFERROR(SEARCH("NS",MAIN!G775:J775), 0))&gt;0, "NS",
            IF(MAX(IFERROR(SEARCH("NC",MAIN!G775:J775), 0))&gt;0, "NC",
            IF(MAX(IFERROR(SEARCH("DQ",MAIN!G775:J775), 0))&gt;0, "DQ",
            IF(ISNUMBER(SEARCH("WD",MAIN!K775)), "WD",
            IF(ISNUMBER(SEARCH("NS",MAIN!K775)), "NS",
            IF(ISNUMBER(SEARCH("NC",MAIN!K775)), "NC",
            IF(ISNUMBER(SEARCH("DQ",MAIN!K775)), "DQ",
            IF(ISNUMBER(SEARCH("A",MAIN!K775)), 0,
            IF(OR(MAIN!K775=0,MAIN!K775=""), 0, --TRIM(MAIN!K775)))))))))))),
        0
    )
)</f>
        <v>0</v>
      </c>
    </row>
    <row r="776" spans="1:11" x14ac:dyDescent="0.25">
      <c r="A776" t="str">
        <f>IF(ISBLANK(MAIN!A776), "--", IFERROR(PROPER(SUBSTITUTE(SUBSTITUTE(SUBSTITUTE(SUBSTITUTE(SUBSTITUTE(SUBSTITUTE(SUBSTITUTE(SUBSTITUTE(SUBSTITUTE(SUBSTITUTE(LEFT(MAIN!A776, FIND(",",MAIN!A776) -1), "0", ""), "1", ""), "2", ""), "3", ""), "4", ""), "5", ""), "6", ""), "7", ""), "8", ""), "9", "")), PROPER(SUBSTITUTE(SUBSTITUTE(SUBSTITUTE(SUBSTITUTE(SUBSTITUTE(SUBSTITUTE(SUBSTITUTE(SUBSTITUTE(SUBSTITUTE(SUBSTITUTE(MAIN!A776, "0", ""), "1", ""), "2", ""), "3", ""), "4", ""), "5", ""), "6", ""), "7", ""), "8", ""), "9", ""))))</f>
        <v>--</v>
      </c>
      <c r="B776" t="str">
        <f>IF(ISBLANK(MAIN!B776), "--", IFERROR(PROPER(SUBSTITUTE(SUBSTITUTE(SUBSTITUTE(SUBSTITUTE(SUBSTITUTE(SUBSTITUTE(SUBSTITUTE(SUBSTITUTE(SUBSTITUTE(SUBSTITUTE(LEFT(MAIN!B776, FIND(",",MAIN!B776) -1), "0", ""), "1", ""), "2", ""), "3", ""), "4", ""), "5", ""), "6", ""), "7", ""), "8", ""), "9", "")), PROPER(SUBSTITUTE(SUBSTITUTE(SUBSTITUTE(SUBSTITUTE(SUBSTITUTE(SUBSTITUTE(SUBSTITUTE(SUBSTITUTE(SUBSTITUTE(SUBSTITUTE(MAIN!B776, "0", ""), "1", ""), "2", ""), "3", ""), "4", ""), "5", ""), "6", ""), "7", ""), "8", ""), "9", ""))))</f>
        <v>--</v>
      </c>
      <c r="C776" t="str">
        <f>IF(ISBLANK(MAIN!C776), "--", IFERROR(PROPER(SUBSTITUTE(SUBSTITUTE(SUBSTITUTE(SUBSTITUTE(SUBSTITUTE(SUBSTITUTE(SUBSTITUTE(SUBSTITUTE(SUBSTITUTE(SUBSTITUTE(LEFT(MAIN!C776, FIND(",",MAIN!C776) -1), "0", ""), "1", ""), "2", ""), "3", ""), "4", ""), "5", ""), "6", ""), "7", ""), "8", ""), "9", "")), PROPER(SUBSTITUTE(SUBSTITUTE(SUBSTITUTE(SUBSTITUTE(SUBSTITUTE(SUBSTITUTE(SUBSTITUTE(SUBSTITUTE(SUBSTITUTE(SUBSTITUTE(MAIN!C776, "0", ""), "1", ""), "2", ""), "3", ""), "4", ""), "5", ""), "6", ""), "7", ""), "8", ""), "9", ""))))</f>
        <v>--</v>
      </c>
      <c r="D776" t="str">
        <f>IF(ISBLANK(MAIN!D776), "--", IF(ISNUMBER(MATCH(SUBSTITUTE(LEFT(MAIN!D776, IFERROR(FIND(",", MAIN!D776)-1, LEN(MAIN!D776))), " ", ""), lookup_values!$B$2:$B$51, 0)), UPPER(SUBSTITUTE(LEFT(MAIN!D776, IFERROR(FIND(",", MAIN!D776)-1, LEN(MAIN!D776))), " ", "")), IF(ISNA(VLOOKUP(SUBSTITUTE(LEFT(MAIN!D776, IFERROR(FIND(",", MAIN!D776)-1, LEN(MAIN!D776))), " ", ""), lookup_values!$A$2:$B$51, 2, FALSE)), "--", VLOOKUP(SUBSTITUTE(LEFT(MAIN!D776, IFERROR(FIND(",", MAIN!D776)-1, LEN(MAIN!D776))), " ", ""), lookup_values!$A$2:$B$51, 2, FALSE))))</f>
        <v>--</v>
      </c>
      <c r="E776" t="str">
        <f>IF(CLEAN_DATA!D776&lt;&gt;"--","US",IF(ISBLANK(MAIN!E776), "--", IF(ISNUMBER(MATCH(SUBSTITUTE(LEFT(MAIN!E776, IFERROR(FIND(",", MAIN!E776)-1, LEN(MAIN!E776))), " ", ""), lookup_values!$E$2:$E$197, 0)), UPPER(SUBSTITUTE(LEFT(MAIN!E776, IFERROR(FIND(",", MAIN!E776)-1, LEN(MAIN!E776))), " ", "")), IF(ISNA(VLOOKUP(SUBSTITUTE(LEFT(MAIN!E776, IFERROR(FIND(",", MAIN!E776)-1, LEN(MAIN!E776))), " ", ""), lookup_values!$D$2:$E$197, 2, FALSE)), "--", VLOOKUP(SUBSTITUTE(LEFT(MAIN!E776, IFERROR(FIND(",", MAIN!E776)-1, LEN(MAIN!E776))), " ", ""), lookup_values!$D$2:$E$197, 2, FALSE)))))</f>
        <v>--</v>
      </c>
      <c r="F776" t="str">
        <f>IF(ISBLANK(MAIN!F776), "", IF(AND(ISNUMBER(VALUE(TRIM(MAIN!F776))), LEN(TRIM(MAIN!F776))=4), VALUE(TRIM(MAIN!F776)), ""))</f>
        <v/>
      </c>
      <c r="G776">
        <f>IF(ISBLANK(MAIN!G776), 0, IF(ISNUMBER(VALUE(TRIM(MAIN!G776))), VALUE(TRIM(MAIN!G776)), 0))</f>
        <v>0</v>
      </c>
      <c r="H776">
        <f>IF(ISBLANK(MAIN!H776), 0, IF(ISNUMBER(VALUE(TRIM(MAIN!H776))), VALUE(TRIM(MAIN!H776)), 0))</f>
        <v>0</v>
      </c>
      <c r="I776">
        <f>IF(ISBLANK(MAIN!I776), 0, IF(ISNUMBER(VALUE(TRIM(MAIN!I776))), VALUE(TRIM(MAIN!I776)), 0))</f>
        <v>0</v>
      </c>
      <c r="J776">
        <f>IF(ISBLANK(MAIN!J776), 0, IF(ISNUMBER(VALUE(TRIM(MAIN!J776))), VALUE(TRIM(MAIN!J776)), 0))</f>
        <v>0</v>
      </c>
      <c r="K776" cm="1">
        <f t="array" ref="K776">IFERROR(
    VALUE(
        IFERROR(
            UPPER(
                IF(MAX(IFERROR(SEARCH("WD",MAIN!G776:J776), 0))&gt;0, "WD",
                IF(MAX(IFERROR(SEARCH("NS",MAIN!G776:J776), 0))&gt;0, "NS",
                IF(MAX(IFERROR(SEARCH("NC",MAIN!G776:J776), 0))&gt;0, "NC",
                IF(MAX(IFERROR(SEARCH("DQ",MAIN!G776:J776), 0))&gt;0, "DQ",
                IF(ISNUMBER(SEARCH("WD",MAIN!K776)), "WD",
                IF(ISNUMBER(SEARCH("NS",MAIN!K776)), "NS",
                IF(ISNUMBER(SEARCH("NC",MAIN!K776)), "NC",
                IF(ISNUMBER(SEARCH("DQ",MAIN!K776)), "DQ",
                IF(ISNUMBER(SEARCH("A",MAIN!K776)), 0,
                IF(OR(MAIN!K776=0,MAIN!K776=""), 0, --TRIM(MAIN!K776)))))))))))),
            0
        )
    ),
    IFERROR(
        UPPER(
            IF(MAX(IFERROR(SEARCH("WD",MAIN!G776:J776), 0))&gt;0, "WD",
            IF(MAX(IFERROR(SEARCH("NS",MAIN!G776:J776), 0))&gt;0, "NS",
            IF(MAX(IFERROR(SEARCH("NC",MAIN!G776:J776), 0))&gt;0, "NC",
            IF(MAX(IFERROR(SEARCH("DQ",MAIN!G776:J776), 0))&gt;0, "DQ",
            IF(ISNUMBER(SEARCH("WD",MAIN!K776)), "WD",
            IF(ISNUMBER(SEARCH("NS",MAIN!K776)), "NS",
            IF(ISNUMBER(SEARCH("NC",MAIN!K776)), "NC",
            IF(ISNUMBER(SEARCH("DQ",MAIN!K776)), "DQ",
            IF(ISNUMBER(SEARCH("A",MAIN!K776)), 0,
            IF(OR(MAIN!K776=0,MAIN!K776=""), 0, --TRIM(MAIN!K776)))))))))))),
        0
    )
)</f>
        <v>0</v>
      </c>
    </row>
    <row r="777" spans="1:11" x14ac:dyDescent="0.25">
      <c r="A777" t="str">
        <f>IF(ISBLANK(MAIN!A777), "--", IFERROR(PROPER(SUBSTITUTE(SUBSTITUTE(SUBSTITUTE(SUBSTITUTE(SUBSTITUTE(SUBSTITUTE(SUBSTITUTE(SUBSTITUTE(SUBSTITUTE(SUBSTITUTE(LEFT(MAIN!A777, FIND(",",MAIN!A777) -1), "0", ""), "1", ""), "2", ""), "3", ""), "4", ""), "5", ""), "6", ""), "7", ""), "8", ""), "9", "")), PROPER(SUBSTITUTE(SUBSTITUTE(SUBSTITUTE(SUBSTITUTE(SUBSTITUTE(SUBSTITUTE(SUBSTITUTE(SUBSTITUTE(SUBSTITUTE(SUBSTITUTE(MAIN!A777, "0", ""), "1", ""), "2", ""), "3", ""), "4", ""), "5", ""), "6", ""), "7", ""), "8", ""), "9", ""))))</f>
        <v>--</v>
      </c>
      <c r="B777" t="str">
        <f>IF(ISBLANK(MAIN!B777), "--", IFERROR(PROPER(SUBSTITUTE(SUBSTITUTE(SUBSTITUTE(SUBSTITUTE(SUBSTITUTE(SUBSTITUTE(SUBSTITUTE(SUBSTITUTE(SUBSTITUTE(SUBSTITUTE(LEFT(MAIN!B777, FIND(",",MAIN!B777) -1), "0", ""), "1", ""), "2", ""), "3", ""), "4", ""), "5", ""), "6", ""), "7", ""), "8", ""), "9", "")), PROPER(SUBSTITUTE(SUBSTITUTE(SUBSTITUTE(SUBSTITUTE(SUBSTITUTE(SUBSTITUTE(SUBSTITUTE(SUBSTITUTE(SUBSTITUTE(SUBSTITUTE(MAIN!B777, "0", ""), "1", ""), "2", ""), "3", ""), "4", ""), "5", ""), "6", ""), "7", ""), "8", ""), "9", ""))))</f>
        <v>--</v>
      </c>
      <c r="C777" t="str">
        <f>IF(ISBLANK(MAIN!C777), "--", IFERROR(PROPER(SUBSTITUTE(SUBSTITUTE(SUBSTITUTE(SUBSTITUTE(SUBSTITUTE(SUBSTITUTE(SUBSTITUTE(SUBSTITUTE(SUBSTITUTE(SUBSTITUTE(LEFT(MAIN!C777, FIND(",",MAIN!C777) -1), "0", ""), "1", ""), "2", ""), "3", ""), "4", ""), "5", ""), "6", ""), "7", ""), "8", ""), "9", "")), PROPER(SUBSTITUTE(SUBSTITUTE(SUBSTITUTE(SUBSTITUTE(SUBSTITUTE(SUBSTITUTE(SUBSTITUTE(SUBSTITUTE(SUBSTITUTE(SUBSTITUTE(MAIN!C777, "0", ""), "1", ""), "2", ""), "3", ""), "4", ""), "5", ""), "6", ""), "7", ""), "8", ""), "9", ""))))</f>
        <v>--</v>
      </c>
      <c r="D777" t="str">
        <f>IF(ISBLANK(MAIN!D777), "--", IF(ISNUMBER(MATCH(SUBSTITUTE(LEFT(MAIN!D777, IFERROR(FIND(",", MAIN!D777)-1, LEN(MAIN!D777))), " ", ""), lookup_values!$B$2:$B$51, 0)), UPPER(SUBSTITUTE(LEFT(MAIN!D777, IFERROR(FIND(",", MAIN!D777)-1, LEN(MAIN!D777))), " ", "")), IF(ISNA(VLOOKUP(SUBSTITUTE(LEFT(MAIN!D777, IFERROR(FIND(",", MAIN!D777)-1, LEN(MAIN!D777))), " ", ""), lookup_values!$A$2:$B$51, 2, FALSE)), "--", VLOOKUP(SUBSTITUTE(LEFT(MAIN!D777, IFERROR(FIND(",", MAIN!D777)-1, LEN(MAIN!D777))), " ", ""), lookup_values!$A$2:$B$51, 2, FALSE))))</f>
        <v>--</v>
      </c>
      <c r="E777" t="str">
        <f>IF(CLEAN_DATA!D777&lt;&gt;"--","US",IF(ISBLANK(MAIN!E777), "--", IF(ISNUMBER(MATCH(SUBSTITUTE(LEFT(MAIN!E777, IFERROR(FIND(",", MAIN!E777)-1, LEN(MAIN!E777))), " ", ""), lookup_values!$E$2:$E$197, 0)), UPPER(SUBSTITUTE(LEFT(MAIN!E777, IFERROR(FIND(",", MAIN!E777)-1, LEN(MAIN!E777))), " ", "")), IF(ISNA(VLOOKUP(SUBSTITUTE(LEFT(MAIN!E777, IFERROR(FIND(",", MAIN!E777)-1, LEN(MAIN!E777))), " ", ""), lookup_values!$D$2:$E$197, 2, FALSE)), "--", VLOOKUP(SUBSTITUTE(LEFT(MAIN!E777, IFERROR(FIND(",", MAIN!E777)-1, LEN(MAIN!E777))), " ", ""), lookup_values!$D$2:$E$197, 2, FALSE)))))</f>
        <v>--</v>
      </c>
      <c r="F777" t="str">
        <f>IF(ISBLANK(MAIN!F777), "", IF(AND(ISNUMBER(VALUE(TRIM(MAIN!F777))), LEN(TRIM(MAIN!F777))=4), VALUE(TRIM(MAIN!F777)), ""))</f>
        <v/>
      </c>
      <c r="G777">
        <f>IF(ISBLANK(MAIN!G777), 0, IF(ISNUMBER(VALUE(TRIM(MAIN!G777))), VALUE(TRIM(MAIN!G777)), 0))</f>
        <v>0</v>
      </c>
      <c r="H777">
        <f>IF(ISBLANK(MAIN!H777), 0, IF(ISNUMBER(VALUE(TRIM(MAIN!H777))), VALUE(TRIM(MAIN!H777)), 0))</f>
        <v>0</v>
      </c>
      <c r="I777">
        <f>IF(ISBLANK(MAIN!I777), 0, IF(ISNUMBER(VALUE(TRIM(MAIN!I777))), VALUE(TRIM(MAIN!I777)), 0))</f>
        <v>0</v>
      </c>
      <c r="J777">
        <f>IF(ISBLANK(MAIN!J777), 0, IF(ISNUMBER(VALUE(TRIM(MAIN!J777))), VALUE(TRIM(MAIN!J777)), 0))</f>
        <v>0</v>
      </c>
      <c r="K777" cm="1">
        <f t="array" ref="K777">IFERROR(
    VALUE(
        IFERROR(
            UPPER(
                IF(MAX(IFERROR(SEARCH("WD",MAIN!G777:J777), 0))&gt;0, "WD",
                IF(MAX(IFERROR(SEARCH("NS",MAIN!G777:J777), 0))&gt;0, "NS",
                IF(MAX(IFERROR(SEARCH("NC",MAIN!G777:J777), 0))&gt;0, "NC",
                IF(MAX(IFERROR(SEARCH("DQ",MAIN!G777:J777), 0))&gt;0, "DQ",
                IF(ISNUMBER(SEARCH("WD",MAIN!K777)), "WD",
                IF(ISNUMBER(SEARCH("NS",MAIN!K777)), "NS",
                IF(ISNUMBER(SEARCH("NC",MAIN!K777)), "NC",
                IF(ISNUMBER(SEARCH("DQ",MAIN!K777)), "DQ",
                IF(ISNUMBER(SEARCH("A",MAIN!K777)), 0,
                IF(OR(MAIN!K777=0,MAIN!K777=""), 0, --TRIM(MAIN!K777)))))))))))),
            0
        )
    ),
    IFERROR(
        UPPER(
            IF(MAX(IFERROR(SEARCH("WD",MAIN!G777:J777), 0))&gt;0, "WD",
            IF(MAX(IFERROR(SEARCH("NS",MAIN!G777:J777), 0))&gt;0, "NS",
            IF(MAX(IFERROR(SEARCH("NC",MAIN!G777:J777), 0))&gt;0, "NC",
            IF(MAX(IFERROR(SEARCH("DQ",MAIN!G777:J777), 0))&gt;0, "DQ",
            IF(ISNUMBER(SEARCH("WD",MAIN!K777)), "WD",
            IF(ISNUMBER(SEARCH("NS",MAIN!K777)), "NS",
            IF(ISNUMBER(SEARCH("NC",MAIN!K777)), "NC",
            IF(ISNUMBER(SEARCH("DQ",MAIN!K777)), "DQ",
            IF(ISNUMBER(SEARCH("A",MAIN!K777)), 0,
            IF(OR(MAIN!K777=0,MAIN!K777=""), 0, --TRIM(MAIN!K777)))))))))))),
        0
    )
)</f>
        <v>0</v>
      </c>
    </row>
    <row r="778" spans="1:11" x14ac:dyDescent="0.25">
      <c r="A778" t="str">
        <f>IF(ISBLANK(MAIN!A778), "--", IFERROR(PROPER(SUBSTITUTE(SUBSTITUTE(SUBSTITUTE(SUBSTITUTE(SUBSTITUTE(SUBSTITUTE(SUBSTITUTE(SUBSTITUTE(SUBSTITUTE(SUBSTITUTE(LEFT(MAIN!A778, FIND(",",MAIN!A778) -1), "0", ""), "1", ""), "2", ""), "3", ""), "4", ""), "5", ""), "6", ""), "7", ""), "8", ""), "9", "")), PROPER(SUBSTITUTE(SUBSTITUTE(SUBSTITUTE(SUBSTITUTE(SUBSTITUTE(SUBSTITUTE(SUBSTITUTE(SUBSTITUTE(SUBSTITUTE(SUBSTITUTE(MAIN!A778, "0", ""), "1", ""), "2", ""), "3", ""), "4", ""), "5", ""), "6", ""), "7", ""), "8", ""), "9", ""))))</f>
        <v>--</v>
      </c>
      <c r="B778" t="str">
        <f>IF(ISBLANK(MAIN!B778), "--", IFERROR(PROPER(SUBSTITUTE(SUBSTITUTE(SUBSTITUTE(SUBSTITUTE(SUBSTITUTE(SUBSTITUTE(SUBSTITUTE(SUBSTITUTE(SUBSTITUTE(SUBSTITUTE(LEFT(MAIN!B778, FIND(",",MAIN!B778) -1), "0", ""), "1", ""), "2", ""), "3", ""), "4", ""), "5", ""), "6", ""), "7", ""), "8", ""), "9", "")), PROPER(SUBSTITUTE(SUBSTITUTE(SUBSTITUTE(SUBSTITUTE(SUBSTITUTE(SUBSTITUTE(SUBSTITUTE(SUBSTITUTE(SUBSTITUTE(SUBSTITUTE(MAIN!B778, "0", ""), "1", ""), "2", ""), "3", ""), "4", ""), "5", ""), "6", ""), "7", ""), "8", ""), "9", ""))))</f>
        <v>--</v>
      </c>
      <c r="C778" t="str">
        <f>IF(ISBLANK(MAIN!C778), "--", IFERROR(PROPER(SUBSTITUTE(SUBSTITUTE(SUBSTITUTE(SUBSTITUTE(SUBSTITUTE(SUBSTITUTE(SUBSTITUTE(SUBSTITUTE(SUBSTITUTE(SUBSTITUTE(LEFT(MAIN!C778, FIND(",",MAIN!C778) -1), "0", ""), "1", ""), "2", ""), "3", ""), "4", ""), "5", ""), "6", ""), "7", ""), "8", ""), "9", "")), PROPER(SUBSTITUTE(SUBSTITUTE(SUBSTITUTE(SUBSTITUTE(SUBSTITUTE(SUBSTITUTE(SUBSTITUTE(SUBSTITUTE(SUBSTITUTE(SUBSTITUTE(MAIN!C778, "0", ""), "1", ""), "2", ""), "3", ""), "4", ""), "5", ""), "6", ""), "7", ""), "8", ""), "9", ""))))</f>
        <v>--</v>
      </c>
      <c r="D778" t="str">
        <f>IF(ISBLANK(MAIN!D778), "--", IF(ISNUMBER(MATCH(SUBSTITUTE(LEFT(MAIN!D778, IFERROR(FIND(",", MAIN!D778)-1, LEN(MAIN!D778))), " ", ""), lookup_values!$B$2:$B$51, 0)), UPPER(SUBSTITUTE(LEFT(MAIN!D778, IFERROR(FIND(",", MAIN!D778)-1, LEN(MAIN!D778))), " ", "")), IF(ISNA(VLOOKUP(SUBSTITUTE(LEFT(MAIN!D778, IFERROR(FIND(",", MAIN!D778)-1, LEN(MAIN!D778))), " ", ""), lookup_values!$A$2:$B$51, 2, FALSE)), "--", VLOOKUP(SUBSTITUTE(LEFT(MAIN!D778, IFERROR(FIND(",", MAIN!D778)-1, LEN(MAIN!D778))), " ", ""), lookup_values!$A$2:$B$51, 2, FALSE))))</f>
        <v>--</v>
      </c>
      <c r="E778" t="str">
        <f>IF(CLEAN_DATA!D778&lt;&gt;"--","US",IF(ISBLANK(MAIN!E778), "--", IF(ISNUMBER(MATCH(SUBSTITUTE(LEFT(MAIN!E778, IFERROR(FIND(",", MAIN!E778)-1, LEN(MAIN!E778))), " ", ""), lookup_values!$E$2:$E$197, 0)), UPPER(SUBSTITUTE(LEFT(MAIN!E778, IFERROR(FIND(",", MAIN!E778)-1, LEN(MAIN!E778))), " ", "")), IF(ISNA(VLOOKUP(SUBSTITUTE(LEFT(MAIN!E778, IFERROR(FIND(",", MAIN!E778)-1, LEN(MAIN!E778))), " ", ""), lookup_values!$D$2:$E$197, 2, FALSE)), "--", VLOOKUP(SUBSTITUTE(LEFT(MAIN!E778, IFERROR(FIND(",", MAIN!E778)-1, LEN(MAIN!E778))), " ", ""), lookup_values!$D$2:$E$197, 2, FALSE)))))</f>
        <v>--</v>
      </c>
      <c r="F778" t="str">
        <f>IF(ISBLANK(MAIN!F778), "", IF(AND(ISNUMBER(VALUE(TRIM(MAIN!F778))), LEN(TRIM(MAIN!F778))=4), VALUE(TRIM(MAIN!F778)), ""))</f>
        <v/>
      </c>
      <c r="G778">
        <f>IF(ISBLANK(MAIN!G778), 0, IF(ISNUMBER(VALUE(TRIM(MAIN!G778))), VALUE(TRIM(MAIN!G778)), 0))</f>
        <v>0</v>
      </c>
      <c r="H778">
        <f>IF(ISBLANK(MAIN!H778), 0, IF(ISNUMBER(VALUE(TRIM(MAIN!H778))), VALUE(TRIM(MAIN!H778)), 0))</f>
        <v>0</v>
      </c>
      <c r="I778">
        <f>IF(ISBLANK(MAIN!I778), 0, IF(ISNUMBER(VALUE(TRIM(MAIN!I778))), VALUE(TRIM(MAIN!I778)), 0))</f>
        <v>0</v>
      </c>
      <c r="J778">
        <f>IF(ISBLANK(MAIN!J778), 0, IF(ISNUMBER(VALUE(TRIM(MAIN!J778))), VALUE(TRIM(MAIN!J778)), 0))</f>
        <v>0</v>
      </c>
      <c r="K778" cm="1">
        <f t="array" ref="K778">IFERROR(
    VALUE(
        IFERROR(
            UPPER(
                IF(MAX(IFERROR(SEARCH("WD",MAIN!G778:J778), 0))&gt;0, "WD",
                IF(MAX(IFERROR(SEARCH("NS",MAIN!G778:J778), 0))&gt;0, "NS",
                IF(MAX(IFERROR(SEARCH("NC",MAIN!G778:J778), 0))&gt;0, "NC",
                IF(MAX(IFERROR(SEARCH("DQ",MAIN!G778:J778), 0))&gt;0, "DQ",
                IF(ISNUMBER(SEARCH("WD",MAIN!K778)), "WD",
                IF(ISNUMBER(SEARCH("NS",MAIN!K778)), "NS",
                IF(ISNUMBER(SEARCH("NC",MAIN!K778)), "NC",
                IF(ISNUMBER(SEARCH("DQ",MAIN!K778)), "DQ",
                IF(ISNUMBER(SEARCH("A",MAIN!K778)), 0,
                IF(OR(MAIN!K778=0,MAIN!K778=""), 0, --TRIM(MAIN!K778)))))))))))),
            0
        )
    ),
    IFERROR(
        UPPER(
            IF(MAX(IFERROR(SEARCH("WD",MAIN!G778:J778), 0))&gt;0, "WD",
            IF(MAX(IFERROR(SEARCH("NS",MAIN!G778:J778), 0))&gt;0, "NS",
            IF(MAX(IFERROR(SEARCH("NC",MAIN!G778:J778), 0))&gt;0, "NC",
            IF(MAX(IFERROR(SEARCH("DQ",MAIN!G778:J778), 0))&gt;0, "DQ",
            IF(ISNUMBER(SEARCH("WD",MAIN!K778)), "WD",
            IF(ISNUMBER(SEARCH("NS",MAIN!K778)), "NS",
            IF(ISNUMBER(SEARCH("NC",MAIN!K778)), "NC",
            IF(ISNUMBER(SEARCH("DQ",MAIN!K778)), "DQ",
            IF(ISNUMBER(SEARCH("A",MAIN!K778)), 0,
            IF(OR(MAIN!K778=0,MAIN!K778=""), 0, --TRIM(MAIN!K778)))))))))))),
        0
    )
)</f>
        <v>0</v>
      </c>
    </row>
    <row r="779" spans="1:11" x14ac:dyDescent="0.25">
      <c r="A779" t="str">
        <f>IF(ISBLANK(MAIN!A779), "--", IFERROR(PROPER(SUBSTITUTE(SUBSTITUTE(SUBSTITUTE(SUBSTITUTE(SUBSTITUTE(SUBSTITUTE(SUBSTITUTE(SUBSTITUTE(SUBSTITUTE(SUBSTITUTE(LEFT(MAIN!A779, FIND(",",MAIN!A779) -1), "0", ""), "1", ""), "2", ""), "3", ""), "4", ""), "5", ""), "6", ""), "7", ""), "8", ""), "9", "")), PROPER(SUBSTITUTE(SUBSTITUTE(SUBSTITUTE(SUBSTITUTE(SUBSTITUTE(SUBSTITUTE(SUBSTITUTE(SUBSTITUTE(SUBSTITUTE(SUBSTITUTE(MAIN!A779, "0", ""), "1", ""), "2", ""), "3", ""), "4", ""), "5", ""), "6", ""), "7", ""), "8", ""), "9", ""))))</f>
        <v>--</v>
      </c>
      <c r="B779" t="str">
        <f>IF(ISBLANK(MAIN!B779), "--", IFERROR(PROPER(SUBSTITUTE(SUBSTITUTE(SUBSTITUTE(SUBSTITUTE(SUBSTITUTE(SUBSTITUTE(SUBSTITUTE(SUBSTITUTE(SUBSTITUTE(SUBSTITUTE(LEFT(MAIN!B779, FIND(",",MAIN!B779) -1), "0", ""), "1", ""), "2", ""), "3", ""), "4", ""), "5", ""), "6", ""), "7", ""), "8", ""), "9", "")), PROPER(SUBSTITUTE(SUBSTITUTE(SUBSTITUTE(SUBSTITUTE(SUBSTITUTE(SUBSTITUTE(SUBSTITUTE(SUBSTITUTE(SUBSTITUTE(SUBSTITUTE(MAIN!B779, "0", ""), "1", ""), "2", ""), "3", ""), "4", ""), "5", ""), "6", ""), "7", ""), "8", ""), "9", ""))))</f>
        <v>--</v>
      </c>
      <c r="C779" t="str">
        <f>IF(ISBLANK(MAIN!C779), "--", IFERROR(PROPER(SUBSTITUTE(SUBSTITUTE(SUBSTITUTE(SUBSTITUTE(SUBSTITUTE(SUBSTITUTE(SUBSTITUTE(SUBSTITUTE(SUBSTITUTE(SUBSTITUTE(LEFT(MAIN!C779, FIND(",",MAIN!C779) -1), "0", ""), "1", ""), "2", ""), "3", ""), "4", ""), "5", ""), "6", ""), "7", ""), "8", ""), "9", "")), PROPER(SUBSTITUTE(SUBSTITUTE(SUBSTITUTE(SUBSTITUTE(SUBSTITUTE(SUBSTITUTE(SUBSTITUTE(SUBSTITUTE(SUBSTITUTE(SUBSTITUTE(MAIN!C779, "0", ""), "1", ""), "2", ""), "3", ""), "4", ""), "5", ""), "6", ""), "7", ""), "8", ""), "9", ""))))</f>
        <v>--</v>
      </c>
      <c r="D779" t="str">
        <f>IF(ISBLANK(MAIN!D779), "--", IF(ISNUMBER(MATCH(SUBSTITUTE(LEFT(MAIN!D779, IFERROR(FIND(",", MAIN!D779)-1, LEN(MAIN!D779))), " ", ""), lookup_values!$B$2:$B$51, 0)), UPPER(SUBSTITUTE(LEFT(MAIN!D779, IFERROR(FIND(",", MAIN!D779)-1, LEN(MAIN!D779))), " ", "")), IF(ISNA(VLOOKUP(SUBSTITUTE(LEFT(MAIN!D779, IFERROR(FIND(",", MAIN!D779)-1, LEN(MAIN!D779))), " ", ""), lookup_values!$A$2:$B$51, 2, FALSE)), "--", VLOOKUP(SUBSTITUTE(LEFT(MAIN!D779, IFERROR(FIND(",", MAIN!D779)-1, LEN(MAIN!D779))), " ", ""), lookup_values!$A$2:$B$51, 2, FALSE))))</f>
        <v>--</v>
      </c>
      <c r="E779" t="str">
        <f>IF(CLEAN_DATA!D779&lt;&gt;"--","US",IF(ISBLANK(MAIN!E779), "--", IF(ISNUMBER(MATCH(SUBSTITUTE(LEFT(MAIN!E779, IFERROR(FIND(",", MAIN!E779)-1, LEN(MAIN!E779))), " ", ""), lookup_values!$E$2:$E$197, 0)), UPPER(SUBSTITUTE(LEFT(MAIN!E779, IFERROR(FIND(",", MAIN!E779)-1, LEN(MAIN!E779))), " ", "")), IF(ISNA(VLOOKUP(SUBSTITUTE(LEFT(MAIN!E779, IFERROR(FIND(",", MAIN!E779)-1, LEN(MAIN!E779))), " ", ""), lookup_values!$D$2:$E$197, 2, FALSE)), "--", VLOOKUP(SUBSTITUTE(LEFT(MAIN!E779, IFERROR(FIND(",", MAIN!E779)-1, LEN(MAIN!E779))), " ", ""), lookup_values!$D$2:$E$197, 2, FALSE)))))</f>
        <v>--</v>
      </c>
      <c r="F779" t="str">
        <f>IF(ISBLANK(MAIN!F779), "", IF(AND(ISNUMBER(VALUE(TRIM(MAIN!F779))), LEN(TRIM(MAIN!F779))=4), VALUE(TRIM(MAIN!F779)), ""))</f>
        <v/>
      </c>
      <c r="G779">
        <f>IF(ISBLANK(MAIN!G779), 0, IF(ISNUMBER(VALUE(TRIM(MAIN!G779))), VALUE(TRIM(MAIN!G779)), 0))</f>
        <v>0</v>
      </c>
      <c r="H779">
        <f>IF(ISBLANK(MAIN!H779), 0, IF(ISNUMBER(VALUE(TRIM(MAIN!H779))), VALUE(TRIM(MAIN!H779)), 0))</f>
        <v>0</v>
      </c>
      <c r="I779">
        <f>IF(ISBLANK(MAIN!I779), 0, IF(ISNUMBER(VALUE(TRIM(MAIN!I779))), VALUE(TRIM(MAIN!I779)), 0))</f>
        <v>0</v>
      </c>
      <c r="J779">
        <f>IF(ISBLANK(MAIN!J779), 0, IF(ISNUMBER(VALUE(TRIM(MAIN!J779))), VALUE(TRIM(MAIN!J779)), 0))</f>
        <v>0</v>
      </c>
      <c r="K779" cm="1">
        <f t="array" ref="K779">IFERROR(
    VALUE(
        IFERROR(
            UPPER(
                IF(MAX(IFERROR(SEARCH("WD",MAIN!G779:J779), 0))&gt;0, "WD",
                IF(MAX(IFERROR(SEARCH("NS",MAIN!G779:J779), 0))&gt;0, "NS",
                IF(MAX(IFERROR(SEARCH("NC",MAIN!G779:J779), 0))&gt;0, "NC",
                IF(MAX(IFERROR(SEARCH("DQ",MAIN!G779:J779), 0))&gt;0, "DQ",
                IF(ISNUMBER(SEARCH("WD",MAIN!K779)), "WD",
                IF(ISNUMBER(SEARCH("NS",MAIN!K779)), "NS",
                IF(ISNUMBER(SEARCH("NC",MAIN!K779)), "NC",
                IF(ISNUMBER(SEARCH("DQ",MAIN!K779)), "DQ",
                IF(ISNUMBER(SEARCH("A",MAIN!K779)), 0,
                IF(OR(MAIN!K779=0,MAIN!K779=""), 0, --TRIM(MAIN!K779)))))))))))),
            0
        )
    ),
    IFERROR(
        UPPER(
            IF(MAX(IFERROR(SEARCH("WD",MAIN!G779:J779), 0))&gt;0, "WD",
            IF(MAX(IFERROR(SEARCH("NS",MAIN!G779:J779), 0))&gt;0, "NS",
            IF(MAX(IFERROR(SEARCH("NC",MAIN!G779:J779), 0))&gt;0, "NC",
            IF(MAX(IFERROR(SEARCH("DQ",MAIN!G779:J779), 0))&gt;0, "DQ",
            IF(ISNUMBER(SEARCH("WD",MAIN!K779)), "WD",
            IF(ISNUMBER(SEARCH("NS",MAIN!K779)), "NS",
            IF(ISNUMBER(SEARCH("NC",MAIN!K779)), "NC",
            IF(ISNUMBER(SEARCH("DQ",MAIN!K779)), "DQ",
            IF(ISNUMBER(SEARCH("A",MAIN!K779)), 0,
            IF(OR(MAIN!K779=0,MAIN!K779=""), 0, --TRIM(MAIN!K779)))))))))))),
        0
    )
)</f>
        <v>0</v>
      </c>
    </row>
    <row r="780" spans="1:11" x14ac:dyDescent="0.25">
      <c r="A780" t="str">
        <f>IF(ISBLANK(MAIN!A780), "--", IFERROR(PROPER(SUBSTITUTE(SUBSTITUTE(SUBSTITUTE(SUBSTITUTE(SUBSTITUTE(SUBSTITUTE(SUBSTITUTE(SUBSTITUTE(SUBSTITUTE(SUBSTITUTE(LEFT(MAIN!A780, FIND(",",MAIN!A780) -1), "0", ""), "1", ""), "2", ""), "3", ""), "4", ""), "5", ""), "6", ""), "7", ""), "8", ""), "9", "")), PROPER(SUBSTITUTE(SUBSTITUTE(SUBSTITUTE(SUBSTITUTE(SUBSTITUTE(SUBSTITUTE(SUBSTITUTE(SUBSTITUTE(SUBSTITUTE(SUBSTITUTE(MAIN!A780, "0", ""), "1", ""), "2", ""), "3", ""), "4", ""), "5", ""), "6", ""), "7", ""), "8", ""), "9", ""))))</f>
        <v>--</v>
      </c>
      <c r="B780" t="str">
        <f>IF(ISBLANK(MAIN!B780), "--", IFERROR(PROPER(SUBSTITUTE(SUBSTITUTE(SUBSTITUTE(SUBSTITUTE(SUBSTITUTE(SUBSTITUTE(SUBSTITUTE(SUBSTITUTE(SUBSTITUTE(SUBSTITUTE(LEFT(MAIN!B780, FIND(",",MAIN!B780) -1), "0", ""), "1", ""), "2", ""), "3", ""), "4", ""), "5", ""), "6", ""), "7", ""), "8", ""), "9", "")), PROPER(SUBSTITUTE(SUBSTITUTE(SUBSTITUTE(SUBSTITUTE(SUBSTITUTE(SUBSTITUTE(SUBSTITUTE(SUBSTITUTE(SUBSTITUTE(SUBSTITUTE(MAIN!B780, "0", ""), "1", ""), "2", ""), "3", ""), "4", ""), "5", ""), "6", ""), "7", ""), "8", ""), "9", ""))))</f>
        <v>--</v>
      </c>
      <c r="C780" t="str">
        <f>IF(ISBLANK(MAIN!C780), "--", IFERROR(PROPER(SUBSTITUTE(SUBSTITUTE(SUBSTITUTE(SUBSTITUTE(SUBSTITUTE(SUBSTITUTE(SUBSTITUTE(SUBSTITUTE(SUBSTITUTE(SUBSTITUTE(LEFT(MAIN!C780, FIND(",",MAIN!C780) -1), "0", ""), "1", ""), "2", ""), "3", ""), "4", ""), "5", ""), "6", ""), "7", ""), "8", ""), "9", "")), PROPER(SUBSTITUTE(SUBSTITUTE(SUBSTITUTE(SUBSTITUTE(SUBSTITUTE(SUBSTITUTE(SUBSTITUTE(SUBSTITUTE(SUBSTITUTE(SUBSTITUTE(MAIN!C780, "0", ""), "1", ""), "2", ""), "3", ""), "4", ""), "5", ""), "6", ""), "7", ""), "8", ""), "9", ""))))</f>
        <v>--</v>
      </c>
      <c r="D780" t="str">
        <f>IF(ISBLANK(MAIN!D780), "--", IF(ISNUMBER(MATCH(SUBSTITUTE(LEFT(MAIN!D780, IFERROR(FIND(",", MAIN!D780)-1, LEN(MAIN!D780))), " ", ""), lookup_values!$B$2:$B$51, 0)), UPPER(SUBSTITUTE(LEFT(MAIN!D780, IFERROR(FIND(",", MAIN!D780)-1, LEN(MAIN!D780))), " ", "")), IF(ISNA(VLOOKUP(SUBSTITUTE(LEFT(MAIN!D780, IFERROR(FIND(",", MAIN!D780)-1, LEN(MAIN!D780))), " ", ""), lookup_values!$A$2:$B$51, 2, FALSE)), "--", VLOOKUP(SUBSTITUTE(LEFT(MAIN!D780, IFERROR(FIND(",", MAIN!D780)-1, LEN(MAIN!D780))), " ", ""), lookup_values!$A$2:$B$51, 2, FALSE))))</f>
        <v>--</v>
      </c>
      <c r="E780" t="str">
        <f>IF(CLEAN_DATA!D780&lt;&gt;"--","US",IF(ISBLANK(MAIN!E780), "--", IF(ISNUMBER(MATCH(SUBSTITUTE(LEFT(MAIN!E780, IFERROR(FIND(",", MAIN!E780)-1, LEN(MAIN!E780))), " ", ""), lookup_values!$E$2:$E$197, 0)), UPPER(SUBSTITUTE(LEFT(MAIN!E780, IFERROR(FIND(",", MAIN!E780)-1, LEN(MAIN!E780))), " ", "")), IF(ISNA(VLOOKUP(SUBSTITUTE(LEFT(MAIN!E780, IFERROR(FIND(",", MAIN!E780)-1, LEN(MAIN!E780))), " ", ""), lookup_values!$D$2:$E$197, 2, FALSE)), "--", VLOOKUP(SUBSTITUTE(LEFT(MAIN!E780, IFERROR(FIND(",", MAIN!E780)-1, LEN(MAIN!E780))), " ", ""), lookup_values!$D$2:$E$197, 2, FALSE)))))</f>
        <v>--</v>
      </c>
      <c r="F780" t="str">
        <f>IF(ISBLANK(MAIN!F780), "", IF(AND(ISNUMBER(VALUE(TRIM(MAIN!F780))), LEN(TRIM(MAIN!F780))=4), VALUE(TRIM(MAIN!F780)), ""))</f>
        <v/>
      </c>
      <c r="G780">
        <f>IF(ISBLANK(MAIN!G780), 0, IF(ISNUMBER(VALUE(TRIM(MAIN!G780))), VALUE(TRIM(MAIN!G780)), 0))</f>
        <v>0</v>
      </c>
      <c r="H780">
        <f>IF(ISBLANK(MAIN!H780), 0, IF(ISNUMBER(VALUE(TRIM(MAIN!H780))), VALUE(TRIM(MAIN!H780)), 0))</f>
        <v>0</v>
      </c>
      <c r="I780">
        <f>IF(ISBLANK(MAIN!I780), 0, IF(ISNUMBER(VALUE(TRIM(MAIN!I780))), VALUE(TRIM(MAIN!I780)), 0))</f>
        <v>0</v>
      </c>
      <c r="J780">
        <f>IF(ISBLANK(MAIN!J780), 0, IF(ISNUMBER(VALUE(TRIM(MAIN!J780))), VALUE(TRIM(MAIN!J780)), 0))</f>
        <v>0</v>
      </c>
      <c r="K780" cm="1">
        <f t="array" ref="K780">IFERROR(
    VALUE(
        IFERROR(
            UPPER(
                IF(MAX(IFERROR(SEARCH("WD",MAIN!G780:J780), 0))&gt;0, "WD",
                IF(MAX(IFERROR(SEARCH("NS",MAIN!G780:J780), 0))&gt;0, "NS",
                IF(MAX(IFERROR(SEARCH("NC",MAIN!G780:J780), 0))&gt;0, "NC",
                IF(MAX(IFERROR(SEARCH("DQ",MAIN!G780:J780), 0))&gt;0, "DQ",
                IF(ISNUMBER(SEARCH("WD",MAIN!K780)), "WD",
                IF(ISNUMBER(SEARCH("NS",MAIN!K780)), "NS",
                IF(ISNUMBER(SEARCH("NC",MAIN!K780)), "NC",
                IF(ISNUMBER(SEARCH("DQ",MAIN!K780)), "DQ",
                IF(ISNUMBER(SEARCH("A",MAIN!K780)), 0,
                IF(OR(MAIN!K780=0,MAIN!K780=""), 0, --TRIM(MAIN!K780)))))))))))),
            0
        )
    ),
    IFERROR(
        UPPER(
            IF(MAX(IFERROR(SEARCH("WD",MAIN!G780:J780), 0))&gt;0, "WD",
            IF(MAX(IFERROR(SEARCH("NS",MAIN!G780:J780), 0))&gt;0, "NS",
            IF(MAX(IFERROR(SEARCH("NC",MAIN!G780:J780), 0))&gt;0, "NC",
            IF(MAX(IFERROR(SEARCH("DQ",MAIN!G780:J780), 0))&gt;0, "DQ",
            IF(ISNUMBER(SEARCH("WD",MAIN!K780)), "WD",
            IF(ISNUMBER(SEARCH("NS",MAIN!K780)), "NS",
            IF(ISNUMBER(SEARCH("NC",MAIN!K780)), "NC",
            IF(ISNUMBER(SEARCH("DQ",MAIN!K780)), "DQ",
            IF(ISNUMBER(SEARCH("A",MAIN!K780)), 0,
            IF(OR(MAIN!K780=0,MAIN!K780=""), 0, --TRIM(MAIN!K780)))))))))))),
        0
    )
)</f>
        <v>0</v>
      </c>
    </row>
    <row r="781" spans="1:11" x14ac:dyDescent="0.25">
      <c r="A781" t="str">
        <f>IF(ISBLANK(MAIN!A781), "--", IFERROR(PROPER(SUBSTITUTE(SUBSTITUTE(SUBSTITUTE(SUBSTITUTE(SUBSTITUTE(SUBSTITUTE(SUBSTITUTE(SUBSTITUTE(SUBSTITUTE(SUBSTITUTE(LEFT(MAIN!A781, FIND(",",MAIN!A781) -1), "0", ""), "1", ""), "2", ""), "3", ""), "4", ""), "5", ""), "6", ""), "7", ""), "8", ""), "9", "")), PROPER(SUBSTITUTE(SUBSTITUTE(SUBSTITUTE(SUBSTITUTE(SUBSTITUTE(SUBSTITUTE(SUBSTITUTE(SUBSTITUTE(SUBSTITUTE(SUBSTITUTE(MAIN!A781, "0", ""), "1", ""), "2", ""), "3", ""), "4", ""), "5", ""), "6", ""), "7", ""), "8", ""), "9", ""))))</f>
        <v>--</v>
      </c>
      <c r="B781" t="str">
        <f>IF(ISBLANK(MAIN!B781), "--", IFERROR(PROPER(SUBSTITUTE(SUBSTITUTE(SUBSTITUTE(SUBSTITUTE(SUBSTITUTE(SUBSTITUTE(SUBSTITUTE(SUBSTITUTE(SUBSTITUTE(SUBSTITUTE(LEFT(MAIN!B781, FIND(",",MAIN!B781) -1), "0", ""), "1", ""), "2", ""), "3", ""), "4", ""), "5", ""), "6", ""), "7", ""), "8", ""), "9", "")), PROPER(SUBSTITUTE(SUBSTITUTE(SUBSTITUTE(SUBSTITUTE(SUBSTITUTE(SUBSTITUTE(SUBSTITUTE(SUBSTITUTE(SUBSTITUTE(SUBSTITUTE(MAIN!B781, "0", ""), "1", ""), "2", ""), "3", ""), "4", ""), "5", ""), "6", ""), "7", ""), "8", ""), "9", ""))))</f>
        <v>--</v>
      </c>
      <c r="C781" t="str">
        <f>IF(ISBLANK(MAIN!C781), "--", IFERROR(PROPER(SUBSTITUTE(SUBSTITUTE(SUBSTITUTE(SUBSTITUTE(SUBSTITUTE(SUBSTITUTE(SUBSTITUTE(SUBSTITUTE(SUBSTITUTE(SUBSTITUTE(LEFT(MAIN!C781, FIND(",",MAIN!C781) -1), "0", ""), "1", ""), "2", ""), "3", ""), "4", ""), "5", ""), "6", ""), "7", ""), "8", ""), "9", "")), PROPER(SUBSTITUTE(SUBSTITUTE(SUBSTITUTE(SUBSTITUTE(SUBSTITUTE(SUBSTITUTE(SUBSTITUTE(SUBSTITUTE(SUBSTITUTE(SUBSTITUTE(MAIN!C781, "0", ""), "1", ""), "2", ""), "3", ""), "4", ""), "5", ""), "6", ""), "7", ""), "8", ""), "9", ""))))</f>
        <v>--</v>
      </c>
      <c r="D781" t="str">
        <f>IF(ISBLANK(MAIN!D781), "--", IF(ISNUMBER(MATCH(SUBSTITUTE(LEFT(MAIN!D781, IFERROR(FIND(",", MAIN!D781)-1, LEN(MAIN!D781))), " ", ""), lookup_values!$B$2:$B$51, 0)), UPPER(SUBSTITUTE(LEFT(MAIN!D781, IFERROR(FIND(",", MAIN!D781)-1, LEN(MAIN!D781))), " ", "")), IF(ISNA(VLOOKUP(SUBSTITUTE(LEFT(MAIN!D781, IFERROR(FIND(",", MAIN!D781)-1, LEN(MAIN!D781))), " ", ""), lookup_values!$A$2:$B$51, 2, FALSE)), "--", VLOOKUP(SUBSTITUTE(LEFT(MAIN!D781, IFERROR(FIND(",", MAIN!D781)-1, LEN(MAIN!D781))), " ", ""), lookup_values!$A$2:$B$51, 2, FALSE))))</f>
        <v>--</v>
      </c>
      <c r="E781" t="str">
        <f>IF(CLEAN_DATA!D781&lt;&gt;"--","US",IF(ISBLANK(MAIN!E781), "--", IF(ISNUMBER(MATCH(SUBSTITUTE(LEFT(MAIN!E781, IFERROR(FIND(",", MAIN!E781)-1, LEN(MAIN!E781))), " ", ""), lookup_values!$E$2:$E$197, 0)), UPPER(SUBSTITUTE(LEFT(MAIN!E781, IFERROR(FIND(",", MAIN!E781)-1, LEN(MAIN!E781))), " ", "")), IF(ISNA(VLOOKUP(SUBSTITUTE(LEFT(MAIN!E781, IFERROR(FIND(",", MAIN!E781)-1, LEN(MAIN!E781))), " ", ""), lookup_values!$D$2:$E$197, 2, FALSE)), "--", VLOOKUP(SUBSTITUTE(LEFT(MAIN!E781, IFERROR(FIND(",", MAIN!E781)-1, LEN(MAIN!E781))), " ", ""), lookup_values!$D$2:$E$197, 2, FALSE)))))</f>
        <v>--</v>
      </c>
      <c r="F781" t="str">
        <f>IF(ISBLANK(MAIN!F781), "", IF(AND(ISNUMBER(VALUE(TRIM(MAIN!F781))), LEN(TRIM(MAIN!F781))=4), VALUE(TRIM(MAIN!F781)), ""))</f>
        <v/>
      </c>
      <c r="G781">
        <f>IF(ISBLANK(MAIN!G781), 0, IF(ISNUMBER(VALUE(TRIM(MAIN!G781))), VALUE(TRIM(MAIN!G781)), 0))</f>
        <v>0</v>
      </c>
      <c r="H781">
        <f>IF(ISBLANK(MAIN!H781), 0, IF(ISNUMBER(VALUE(TRIM(MAIN!H781))), VALUE(TRIM(MAIN!H781)), 0))</f>
        <v>0</v>
      </c>
      <c r="I781">
        <f>IF(ISBLANK(MAIN!I781), 0, IF(ISNUMBER(VALUE(TRIM(MAIN!I781))), VALUE(TRIM(MAIN!I781)), 0))</f>
        <v>0</v>
      </c>
      <c r="J781">
        <f>IF(ISBLANK(MAIN!J781), 0, IF(ISNUMBER(VALUE(TRIM(MAIN!J781))), VALUE(TRIM(MAIN!J781)), 0))</f>
        <v>0</v>
      </c>
      <c r="K781" cm="1">
        <f t="array" ref="K781">IFERROR(
    VALUE(
        IFERROR(
            UPPER(
                IF(MAX(IFERROR(SEARCH("WD",MAIN!G781:J781), 0))&gt;0, "WD",
                IF(MAX(IFERROR(SEARCH("NS",MAIN!G781:J781), 0))&gt;0, "NS",
                IF(MAX(IFERROR(SEARCH("NC",MAIN!G781:J781), 0))&gt;0, "NC",
                IF(MAX(IFERROR(SEARCH("DQ",MAIN!G781:J781), 0))&gt;0, "DQ",
                IF(ISNUMBER(SEARCH("WD",MAIN!K781)), "WD",
                IF(ISNUMBER(SEARCH("NS",MAIN!K781)), "NS",
                IF(ISNUMBER(SEARCH("NC",MAIN!K781)), "NC",
                IF(ISNUMBER(SEARCH("DQ",MAIN!K781)), "DQ",
                IF(ISNUMBER(SEARCH("A",MAIN!K781)), 0,
                IF(OR(MAIN!K781=0,MAIN!K781=""), 0, --TRIM(MAIN!K781)))))))))))),
            0
        )
    ),
    IFERROR(
        UPPER(
            IF(MAX(IFERROR(SEARCH("WD",MAIN!G781:J781), 0))&gt;0, "WD",
            IF(MAX(IFERROR(SEARCH("NS",MAIN!G781:J781), 0))&gt;0, "NS",
            IF(MAX(IFERROR(SEARCH("NC",MAIN!G781:J781), 0))&gt;0, "NC",
            IF(MAX(IFERROR(SEARCH("DQ",MAIN!G781:J781), 0))&gt;0, "DQ",
            IF(ISNUMBER(SEARCH("WD",MAIN!K781)), "WD",
            IF(ISNUMBER(SEARCH("NS",MAIN!K781)), "NS",
            IF(ISNUMBER(SEARCH("NC",MAIN!K781)), "NC",
            IF(ISNUMBER(SEARCH("DQ",MAIN!K781)), "DQ",
            IF(ISNUMBER(SEARCH("A",MAIN!K781)), 0,
            IF(OR(MAIN!K781=0,MAIN!K781=""), 0, --TRIM(MAIN!K781)))))))))))),
        0
    )
)</f>
        <v>0</v>
      </c>
    </row>
    <row r="782" spans="1:11" x14ac:dyDescent="0.25">
      <c r="A782" t="str">
        <f>IF(ISBLANK(MAIN!A782), "--", IFERROR(PROPER(SUBSTITUTE(SUBSTITUTE(SUBSTITUTE(SUBSTITUTE(SUBSTITUTE(SUBSTITUTE(SUBSTITUTE(SUBSTITUTE(SUBSTITUTE(SUBSTITUTE(LEFT(MAIN!A782, FIND(",",MAIN!A782) -1), "0", ""), "1", ""), "2", ""), "3", ""), "4", ""), "5", ""), "6", ""), "7", ""), "8", ""), "9", "")), PROPER(SUBSTITUTE(SUBSTITUTE(SUBSTITUTE(SUBSTITUTE(SUBSTITUTE(SUBSTITUTE(SUBSTITUTE(SUBSTITUTE(SUBSTITUTE(SUBSTITUTE(MAIN!A782, "0", ""), "1", ""), "2", ""), "3", ""), "4", ""), "5", ""), "6", ""), "7", ""), "8", ""), "9", ""))))</f>
        <v>--</v>
      </c>
      <c r="B782" t="str">
        <f>IF(ISBLANK(MAIN!B782), "--", IFERROR(PROPER(SUBSTITUTE(SUBSTITUTE(SUBSTITUTE(SUBSTITUTE(SUBSTITUTE(SUBSTITUTE(SUBSTITUTE(SUBSTITUTE(SUBSTITUTE(SUBSTITUTE(LEFT(MAIN!B782, FIND(",",MAIN!B782) -1), "0", ""), "1", ""), "2", ""), "3", ""), "4", ""), "5", ""), "6", ""), "7", ""), "8", ""), "9", "")), PROPER(SUBSTITUTE(SUBSTITUTE(SUBSTITUTE(SUBSTITUTE(SUBSTITUTE(SUBSTITUTE(SUBSTITUTE(SUBSTITUTE(SUBSTITUTE(SUBSTITUTE(MAIN!B782, "0", ""), "1", ""), "2", ""), "3", ""), "4", ""), "5", ""), "6", ""), "7", ""), "8", ""), "9", ""))))</f>
        <v>--</v>
      </c>
      <c r="C782" t="str">
        <f>IF(ISBLANK(MAIN!C782), "--", IFERROR(PROPER(SUBSTITUTE(SUBSTITUTE(SUBSTITUTE(SUBSTITUTE(SUBSTITUTE(SUBSTITUTE(SUBSTITUTE(SUBSTITUTE(SUBSTITUTE(SUBSTITUTE(LEFT(MAIN!C782, FIND(",",MAIN!C782) -1), "0", ""), "1", ""), "2", ""), "3", ""), "4", ""), "5", ""), "6", ""), "7", ""), "8", ""), "9", "")), PROPER(SUBSTITUTE(SUBSTITUTE(SUBSTITUTE(SUBSTITUTE(SUBSTITUTE(SUBSTITUTE(SUBSTITUTE(SUBSTITUTE(SUBSTITUTE(SUBSTITUTE(MAIN!C782, "0", ""), "1", ""), "2", ""), "3", ""), "4", ""), "5", ""), "6", ""), "7", ""), "8", ""), "9", ""))))</f>
        <v>--</v>
      </c>
      <c r="D782" t="str">
        <f>IF(ISBLANK(MAIN!D782), "--", IF(ISNUMBER(MATCH(SUBSTITUTE(LEFT(MAIN!D782, IFERROR(FIND(",", MAIN!D782)-1, LEN(MAIN!D782))), " ", ""), lookup_values!$B$2:$B$51, 0)), UPPER(SUBSTITUTE(LEFT(MAIN!D782, IFERROR(FIND(",", MAIN!D782)-1, LEN(MAIN!D782))), " ", "")), IF(ISNA(VLOOKUP(SUBSTITUTE(LEFT(MAIN!D782, IFERROR(FIND(",", MAIN!D782)-1, LEN(MAIN!D782))), " ", ""), lookup_values!$A$2:$B$51, 2, FALSE)), "--", VLOOKUP(SUBSTITUTE(LEFT(MAIN!D782, IFERROR(FIND(",", MAIN!D782)-1, LEN(MAIN!D782))), " ", ""), lookup_values!$A$2:$B$51, 2, FALSE))))</f>
        <v>--</v>
      </c>
      <c r="E782" t="str">
        <f>IF(CLEAN_DATA!D782&lt;&gt;"--","US",IF(ISBLANK(MAIN!E782), "--", IF(ISNUMBER(MATCH(SUBSTITUTE(LEFT(MAIN!E782, IFERROR(FIND(",", MAIN!E782)-1, LEN(MAIN!E782))), " ", ""), lookup_values!$E$2:$E$197, 0)), UPPER(SUBSTITUTE(LEFT(MAIN!E782, IFERROR(FIND(",", MAIN!E782)-1, LEN(MAIN!E782))), " ", "")), IF(ISNA(VLOOKUP(SUBSTITUTE(LEFT(MAIN!E782, IFERROR(FIND(",", MAIN!E782)-1, LEN(MAIN!E782))), " ", ""), lookup_values!$D$2:$E$197, 2, FALSE)), "--", VLOOKUP(SUBSTITUTE(LEFT(MAIN!E782, IFERROR(FIND(",", MAIN!E782)-1, LEN(MAIN!E782))), " ", ""), lookup_values!$D$2:$E$197, 2, FALSE)))))</f>
        <v>--</v>
      </c>
      <c r="F782" t="str">
        <f>IF(ISBLANK(MAIN!F782), "", IF(AND(ISNUMBER(VALUE(TRIM(MAIN!F782))), LEN(TRIM(MAIN!F782))=4), VALUE(TRIM(MAIN!F782)), ""))</f>
        <v/>
      </c>
      <c r="G782">
        <f>IF(ISBLANK(MAIN!G782), 0, IF(ISNUMBER(VALUE(TRIM(MAIN!G782))), VALUE(TRIM(MAIN!G782)), 0))</f>
        <v>0</v>
      </c>
      <c r="H782">
        <f>IF(ISBLANK(MAIN!H782), 0, IF(ISNUMBER(VALUE(TRIM(MAIN!H782))), VALUE(TRIM(MAIN!H782)), 0))</f>
        <v>0</v>
      </c>
      <c r="I782">
        <f>IF(ISBLANK(MAIN!I782), 0, IF(ISNUMBER(VALUE(TRIM(MAIN!I782))), VALUE(TRIM(MAIN!I782)), 0))</f>
        <v>0</v>
      </c>
      <c r="J782">
        <f>IF(ISBLANK(MAIN!J782), 0, IF(ISNUMBER(VALUE(TRIM(MAIN!J782))), VALUE(TRIM(MAIN!J782)), 0))</f>
        <v>0</v>
      </c>
      <c r="K782" cm="1">
        <f t="array" ref="K782">IFERROR(
    VALUE(
        IFERROR(
            UPPER(
                IF(MAX(IFERROR(SEARCH("WD",MAIN!G782:J782), 0))&gt;0, "WD",
                IF(MAX(IFERROR(SEARCH("NS",MAIN!G782:J782), 0))&gt;0, "NS",
                IF(MAX(IFERROR(SEARCH("NC",MAIN!G782:J782), 0))&gt;0, "NC",
                IF(MAX(IFERROR(SEARCH("DQ",MAIN!G782:J782), 0))&gt;0, "DQ",
                IF(ISNUMBER(SEARCH("WD",MAIN!K782)), "WD",
                IF(ISNUMBER(SEARCH("NS",MAIN!K782)), "NS",
                IF(ISNUMBER(SEARCH("NC",MAIN!K782)), "NC",
                IF(ISNUMBER(SEARCH("DQ",MAIN!K782)), "DQ",
                IF(ISNUMBER(SEARCH("A",MAIN!K782)), 0,
                IF(OR(MAIN!K782=0,MAIN!K782=""), 0, --TRIM(MAIN!K782)))))))))))),
            0
        )
    ),
    IFERROR(
        UPPER(
            IF(MAX(IFERROR(SEARCH("WD",MAIN!G782:J782), 0))&gt;0, "WD",
            IF(MAX(IFERROR(SEARCH("NS",MAIN!G782:J782), 0))&gt;0, "NS",
            IF(MAX(IFERROR(SEARCH("NC",MAIN!G782:J782), 0))&gt;0, "NC",
            IF(MAX(IFERROR(SEARCH("DQ",MAIN!G782:J782), 0))&gt;0, "DQ",
            IF(ISNUMBER(SEARCH("WD",MAIN!K782)), "WD",
            IF(ISNUMBER(SEARCH("NS",MAIN!K782)), "NS",
            IF(ISNUMBER(SEARCH("NC",MAIN!K782)), "NC",
            IF(ISNUMBER(SEARCH("DQ",MAIN!K782)), "DQ",
            IF(ISNUMBER(SEARCH("A",MAIN!K782)), 0,
            IF(OR(MAIN!K782=0,MAIN!K782=""), 0, --TRIM(MAIN!K782)))))))))))),
        0
    )
)</f>
        <v>0</v>
      </c>
    </row>
    <row r="783" spans="1:11" x14ac:dyDescent="0.25">
      <c r="A783" t="str">
        <f>IF(ISBLANK(MAIN!A783), "--", IFERROR(PROPER(SUBSTITUTE(SUBSTITUTE(SUBSTITUTE(SUBSTITUTE(SUBSTITUTE(SUBSTITUTE(SUBSTITUTE(SUBSTITUTE(SUBSTITUTE(SUBSTITUTE(LEFT(MAIN!A783, FIND(",",MAIN!A783) -1), "0", ""), "1", ""), "2", ""), "3", ""), "4", ""), "5", ""), "6", ""), "7", ""), "8", ""), "9", "")), PROPER(SUBSTITUTE(SUBSTITUTE(SUBSTITUTE(SUBSTITUTE(SUBSTITUTE(SUBSTITUTE(SUBSTITUTE(SUBSTITUTE(SUBSTITUTE(SUBSTITUTE(MAIN!A783, "0", ""), "1", ""), "2", ""), "3", ""), "4", ""), "5", ""), "6", ""), "7", ""), "8", ""), "9", ""))))</f>
        <v>--</v>
      </c>
      <c r="B783" t="str">
        <f>IF(ISBLANK(MAIN!B783), "--", IFERROR(PROPER(SUBSTITUTE(SUBSTITUTE(SUBSTITUTE(SUBSTITUTE(SUBSTITUTE(SUBSTITUTE(SUBSTITUTE(SUBSTITUTE(SUBSTITUTE(SUBSTITUTE(LEFT(MAIN!B783, FIND(",",MAIN!B783) -1), "0", ""), "1", ""), "2", ""), "3", ""), "4", ""), "5", ""), "6", ""), "7", ""), "8", ""), "9", "")), PROPER(SUBSTITUTE(SUBSTITUTE(SUBSTITUTE(SUBSTITUTE(SUBSTITUTE(SUBSTITUTE(SUBSTITUTE(SUBSTITUTE(SUBSTITUTE(SUBSTITUTE(MAIN!B783, "0", ""), "1", ""), "2", ""), "3", ""), "4", ""), "5", ""), "6", ""), "7", ""), "8", ""), "9", ""))))</f>
        <v>--</v>
      </c>
      <c r="C783" t="str">
        <f>IF(ISBLANK(MAIN!C783), "--", IFERROR(PROPER(SUBSTITUTE(SUBSTITUTE(SUBSTITUTE(SUBSTITUTE(SUBSTITUTE(SUBSTITUTE(SUBSTITUTE(SUBSTITUTE(SUBSTITUTE(SUBSTITUTE(LEFT(MAIN!C783, FIND(",",MAIN!C783) -1), "0", ""), "1", ""), "2", ""), "3", ""), "4", ""), "5", ""), "6", ""), "7", ""), "8", ""), "9", "")), PROPER(SUBSTITUTE(SUBSTITUTE(SUBSTITUTE(SUBSTITUTE(SUBSTITUTE(SUBSTITUTE(SUBSTITUTE(SUBSTITUTE(SUBSTITUTE(SUBSTITUTE(MAIN!C783, "0", ""), "1", ""), "2", ""), "3", ""), "4", ""), "5", ""), "6", ""), "7", ""), "8", ""), "9", ""))))</f>
        <v>--</v>
      </c>
      <c r="D783" t="str">
        <f>IF(ISBLANK(MAIN!D783), "--", IF(ISNUMBER(MATCH(SUBSTITUTE(LEFT(MAIN!D783, IFERROR(FIND(",", MAIN!D783)-1, LEN(MAIN!D783))), " ", ""), lookup_values!$B$2:$B$51, 0)), UPPER(SUBSTITUTE(LEFT(MAIN!D783, IFERROR(FIND(",", MAIN!D783)-1, LEN(MAIN!D783))), " ", "")), IF(ISNA(VLOOKUP(SUBSTITUTE(LEFT(MAIN!D783, IFERROR(FIND(",", MAIN!D783)-1, LEN(MAIN!D783))), " ", ""), lookup_values!$A$2:$B$51, 2, FALSE)), "--", VLOOKUP(SUBSTITUTE(LEFT(MAIN!D783, IFERROR(FIND(",", MAIN!D783)-1, LEN(MAIN!D783))), " ", ""), lookup_values!$A$2:$B$51, 2, FALSE))))</f>
        <v>--</v>
      </c>
      <c r="E783" t="str">
        <f>IF(CLEAN_DATA!D783&lt;&gt;"--","US",IF(ISBLANK(MAIN!E783), "--", IF(ISNUMBER(MATCH(SUBSTITUTE(LEFT(MAIN!E783, IFERROR(FIND(",", MAIN!E783)-1, LEN(MAIN!E783))), " ", ""), lookup_values!$E$2:$E$197, 0)), UPPER(SUBSTITUTE(LEFT(MAIN!E783, IFERROR(FIND(",", MAIN!E783)-1, LEN(MAIN!E783))), " ", "")), IF(ISNA(VLOOKUP(SUBSTITUTE(LEFT(MAIN!E783, IFERROR(FIND(",", MAIN!E783)-1, LEN(MAIN!E783))), " ", ""), lookup_values!$D$2:$E$197, 2, FALSE)), "--", VLOOKUP(SUBSTITUTE(LEFT(MAIN!E783, IFERROR(FIND(",", MAIN!E783)-1, LEN(MAIN!E783))), " ", ""), lookup_values!$D$2:$E$197, 2, FALSE)))))</f>
        <v>--</v>
      </c>
      <c r="F783" t="str">
        <f>IF(ISBLANK(MAIN!F783), "", IF(AND(ISNUMBER(VALUE(TRIM(MAIN!F783))), LEN(TRIM(MAIN!F783))=4), VALUE(TRIM(MAIN!F783)), ""))</f>
        <v/>
      </c>
      <c r="G783">
        <f>IF(ISBLANK(MAIN!G783), 0, IF(ISNUMBER(VALUE(TRIM(MAIN!G783))), VALUE(TRIM(MAIN!G783)), 0))</f>
        <v>0</v>
      </c>
      <c r="H783">
        <f>IF(ISBLANK(MAIN!H783), 0, IF(ISNUMBER(VALUE(TRIM(MAIN!H783))), VALUE(TRIM(MAIN!H783)), 0))</f>
        <v>0</v>
      </c>
      <c r="I783">
        <f>IF(ISBLANK(MAIN!I783), 0, IF(ISNUMBER(VALUE(TRIM(MAIN!I783))), VALUE(TRIM(MAIN!I783)), 0))</f>
        <v>0</v>
      </c>
      <c r="J783">
        <f>IF(ISBLANK(MAIN!J783), 0, IF(ISNUMBER(VALUE(TRIM(MAIN!J783))), VALUE(TRIM(MAIN!J783)), 0))</f>
        <v>0</v>
      </c>
      <c r="K783" cm="1">
        <f t="array" ref="K783">IFERROR(
    VALUE(
        IFERROR(
            UPPER(
                IF(MAX(IFERROR(SEARCH("WD",MAIN!G783:J783), 0))&gt;0, "WD",
                IF(MAX(IFERROR(SEARCH("NS",MAIN!G783:J783), 0))&gt;0, "NS",
                IF(MAX(IFERROR(SEARCH("NC",MAIN!G783:J783), 0))&gt;0, "NC",
                IF(MAX(IFERROR(SEARCH("DQ",MAIN!G783:J783), 0))&gt;0, "DQ",
                IF(ISNUMBER(SEARCH("WD",MAIN!K783)), "WD",
                IF(ISNUMBER(SEARCH("NS",MAIN!K783)), "NS",
                IF(ISNUMBER(SEARCH("NC",MAIN!K783)), "NC",
                IF(ISNUMBER(SEARCH("DQ",MAIN!K783)), "DQ",
                IF(ISNUMBER(SEARCH("A",MAIN!K783)), 0,
                IF(OR(MAIN!K783=0,MAIN!K783=""), 0, --TRIM(MAIN!K783)))))))))))),
            0
        )
    ),
    IFERROR(
        UPPER(
            IF(MAX(IFERROR(SEARCH("WD",MAIN!G783:J783), 0))&gt;0, "WD",
            IF(MAX(IFERROR(SEARCH("NS",MAIN!G783:J783), 0))&gt;0, "NS",
            IF(MAX(IFERROR(SEARCH("NC",MAIN!G783:J783), 0))&gt;0, "NC",
            IF(MAX(IFERROR(SEARCH("DQ",MAIN!G783:J783), 0))&gt;0, "DQ",
            IF(ISNUMBER(SEARCH("WD",MAIN!K783)), "WD",
            IF(ISNUMBER(SEARCH("NS",MAIN!K783)), "NS",
            IF(ISNUMBER(SEARCH("NC",MAIN!K783)), "NC",
            IF(ISNUMBER(SEARCH("DQ",MAIN!K783)), "DQ",
            IF(ISNUMBER(SEARCH("A",MAIN!K783)), 0,
            IF(OR(MAIN!K783=0,MAIN!K783=""), 0, --TRIM(MAIN!K783)))))))))))),
        0
    )
)</f>
        <v>0</v>
      </c>
    </row>
    <row r="784" spans="1:11" x14ac:dyDescent="0.25">
      <c r="A784" t="str">
        <f>IF(ISBLANK(MAIN!A784), "--", IFERROR(PROPER(SUBSTITUTE(SUBSTITUTE(SUBSTITUTE(SUBSTITUTE(SUBSTITUTE(SUBSTITUTE(SUBSTITUTE(SUBSTITUTE(SUBSTITUTE(SUBSTITUTE(LEFT(MAIN!A784, FIND(",",MAIN!A784) -1), "0", ""), "1", ""), "2", ""), "3", ""), "4", ""), "5", ""), "6", ""), "7", ""), "8", ""), "9", "")), PROPER(SUBSTITUTE(SUBSTITUTE(SUBSTITUTE(SUBSTITUTE(SUBSTITUTE(SUBSTITUTE(SUBSTITUTE(SUBSTITUTE(SUBSTITUTE(SUBSTITUTE(MAIN!A784, "0", ""), "1", ""), "2", ""), "3", ""), "4", ""), "5", ""), "6", ""), "7", ""), "8", ""), "9", ""))))</f>
        <v>--</v>
      </c>
      <c r="B784" t="str">
        <f>IF(ISBLANK(MAIN!B784), "--", IFERROR(PROPER(SUBSTITUTE(SUBSTITUTE(SUBSTITUTE(SUBSTITUTE(SUBSTITUTE(SUBSTITUTE(SUBSTITUTE(SUBSTITUTE(SUBSTITUTE(SUBSTITUTE(LEFT(MAIN!B784, FIND(",",MAIN!B784) -1), "0", ""), "1", ""), "2", ""), "3", ""), "4", ""), "5", ""), "6", ""), "7", ""), "8", ""), "9", "")), PROPER(SUBSTITUTE(SUBSTITUTE(SUBSTITUTE(SUBSTITUTE(SUBSTITUTE(SUBSTITUTE(SUBSTITUTE(SUBSTITUTE(SUBSTITUTE(SUBSTITUTE(MAIN!B784, "0", ""), "1", ""), "2", ""), "3", ""), "4", ""), "5", ""), "6", ""), "7", ""), "8", ""), "9", ""))))</f>
        <v>--</v>
      </c>
      <c r="C784" t="str">
        <f>IF(ISBLANK(MAIN!C784), "--", IFERROR(PROPER(SUBSTITUTE(SUBSTITUTE(SUBSTITUTE(SUBSTITUTE(SUBSTITUTE(SUBSTITUTE(SUBSTITUTE(SUBSTITUTE(SUBSTITUTE(SUBSTITUTE(LEFT(MAIN!C784, FIND(",",MAIN!C784) -1), "0", ""), "1", ""), "2", ""), "3", ""), "4", ""), "5", ""), "6", ""), "7", ""), "8", ""), "9", "")), PROPER(SUBSTITUTE(SUBSTITUTE(SUBSTITUTE(SUBSTITUTE(SUBSTITUTE(SUBSTITUTE(SUBSTITUTE(SUBSTITUTE(SUBSTITUTE(SUBSTITUTE(MAIN!C784, "0", ""), "1", ""), "2", ""), "3", ""), "4", ""), "5", ""), "6", ""), "7", ""), "8", ""), "9", ""))))</f>
        <v>--</v>
      </c>
      <c r="D784" t="str">
        <f>IF(ISBLANK(MAIN!D784), "--", IF(ISNUMBER(MATCH(SUBSTITUTE(LEFT(MAIN!D784, IFERROR(FIND(",", MAIN!D784)-1, LEN(MAIN!D784))), " ", ""), lookup_values!$B$2:$B$51, 0)), UPPER(SUBSTITUTE(LEFT(MAIN!D784, IFERROR(FIND(",", MAIN!D784)-1, LEN(MAIN!D784))), " ", "")), IF(ISNA(VLOOKUP(SUBSTITUTE(LEFT(MAIN!D784, IFERROR(FIND(",", MAIN!D784)-1, LEN(MAIN!D784))), " ", ""), lookup_values!$A$2:$B$51, 2, FALSE)), "--", VLOOKUP(SUBSTITUTE(LEFT(MAIN!D784, IFERROR(FIND(",", MAIN!D784)-1, LEN(MAIN!D784))), " ", ""), lookup_values!$A$2:$B$51, 2, FALSE))))</f>
        <v>--</v>
      </c>
      <c r="E784" t="str">
        <f>IF(CLEAN_DATA!D784&lt;&gt;"--","US",IF(ISBLANK(MAIN!E784), "--", IF(ISNUMBER(MATCH(SUBSTITUTE(LEFT(MAIN!E784, IFERROR(FIND(",", MAIN!E784)-1, LEN(MAIN!E784))), " ", ""), lookup_values!$E$2:$E$197, 0)), UPPER(SUBSTITUTE(LEFT(MAIN!E784, IFERROR(FIND(",", MAIN!E784)-1, LEN(MAIN!E784))), " ", "")), IF(ISNA(VLOOKUP(SUBSTITUTE(LEFT(MAIN!E784, IFERROR(FIND(",", MAIN!E784)-1, LEN(MAIN!E784))), " ", ""), lookup_values!$D$2:$E$197, 2, FALSE)), "--", VLOOKUP(SUBSTITUTE(LEFT(MAIN!E784, IFERROR(FIND(",", MAIN!E784)-1, LEN(MAIN!E784))), " ", ""), lookup_values!$D$2:$E$197, 2, FALSE)))))</f>
        <v>--</v>
      </c>
      <c r="F784" t="str">
        <f>IF(ISBLANK(MAIN!F784), "", IF(AND(ISNUMBER(VALUE(TRIM(MAIN!F784))), LEN(TRIM(MAIN!F784))=4), VALUE(TRIM(MAIN!F784)), ""))</f>
        <v/>
      </c>
      <c r="G784">
        <f>IF(ISBLANK(MAIN!G784), 0, IF(ISNUMBER(VALUE(TRIM(MAIN!G784))), VALUE(TRIM(MAIN!G784)), 0))</f>
        <v>0</v>
      </c>
      <c r="H784">
        <f>IF(ISBLANK(MAIN!H784), 0, IF(ISNUMBER(VALUE(TRIM(MAIN!H784))), VALUE(TRIM(MAIN!H784)), 0))</f>
        <v>0</v>
      </c>
      <c r="I784">
        <f>IF(ISBLANK(MAIN!I784), 0, IF(ISNUMBER(VALUE(TRIM(MAIN!I784))), VALUE(TRIM(MAIN!I784)), 0))</f>
        <v>0</v>
      </c>
      <c r="J784">
        <f>IF(ISBLANK(MAIN!J784), 0, IF(ISNUMBER(VALUE(TRIM(MAIN!J784))), VALUE(TRIM(MAIN!J784)), 0))</f>
        <v>0</v>
      </c>
      <c r="K784" cm="1">
        <f t="array" ref="K784">IFERROR(
    VALUE(
        IFERROR(
            UPPER(
                IF(MAX(IFERROR(SEARCH("WD",MAIN!G784:J784), 0))&gt;0, "WD",
                IF(MAX(IFERROR(SEARCH("NS",MAIN!G784:J784), 0))&gt;0, "NS",
                IF(MAX(IFERROR(SEARCH("NC",MAIN!G784:J784), 0))&gt;0, "NC",
                IF(MAX(IFERROR(SEARCH("DQ",MAIN!G784:J784), 0))&gt;0, "DQ",
                IF(ISNUMBER(SEARCH("WD",MAIN!K784)), "WD",
                IF(ISNUMBER(SEARCH("NS",MAIN!K784)), "NS",
                IF(ISNUMBER(SEARCH("NC",MAIN!K784)), "NC",
                IF(ISNUMBER(SEARCH("DQ",MAIN!K784)), "DQ",
                IF(ISNUMBER(SEARCH("A",MAIN!K784)), 0,
                IF(OR(MAIN!K784=0,MAIN!K784=""), 0, --TRIM(MAIN!K784)))))))))))),
            0
        )
    ),
    IFERROR(
        UPPER(
            IF(MAX(IFERROR(SEARCH("WD",MAIN!G784:J784), 0))&gt;0, "WD",
            IF(MAX(IFERROR(SEARCH("NS",MAIN!G784:J784), 0))&gt;0, "NS",
            IF(MAX(IFERROR(SEARCH("NC",MAIN!G784:J784), 0))&gt;0, "NC",
            IF(MAX(IFERROR(SEARCH("DQ",MAIN!G784:J784), 0))&gt;0, "DQ",
            IF(ISNUMBER(SEARCH("WD",MAIN!K784)), "WD",
            IF(ISNUMBER(SEARCH("NS",MAIN!K784)), "NS",
            IF(ISNUMBER(SEARCH("NC",MAIN!K784)), "NC",
            IF(ISNUMBER(SEARCH("DQ",MAIN!K784)), "DQ",
            IF(ISNUMBER(SEARCH("A",MAIN!K784)), 0,
            IF(OR(MAIN!K784=0,MAIN!K784=""), 0, --TRIM(MAIN!K784)))))))))))),
        0
    )
)</f>
        <v>0</v>
      </c>
    </row>
    <row r="785" spans="1:11" x14ac:dyDescent="0.25">
      <c r="A785" t="str">
        <f>IF(ISBLANK(MAIN!A785), "--", IFERROR(PROPER(SUBSTITUTE(SUBSTITUTE(SUBSTITUTE(SUBSTITUTE(SUBSTITUTE(SUBSTITUTE(SUBSTITUTE(SUBSTITUTE(SUBSTITUTE(SUBSTITUTE(LEFT(MAIN!A785, FIND(",",MAIN!A785) -1), "0", ""), "1", ""), "2", ""), "3", ""), "4", ""), "5", ""), "6", ""), "7", ""), "8", ""), "9", "")), PROPER(SUBSTITUTE(SUBSTITUTE(SUBSTITUTE(SUBSTITUTE(SUBSTITUTE(SUBSTITUTE(SUBSTITUTE(SUBSTITUTE(SUBSTITUTE(SUBSTITUTE(MAIN!A785, "0", ""), "1", ""), "2", ""), "3", ""), "4", ""), "5", ""), "6", ""), "7", ""), "8", ""), "9", ""))))</f>
        <v>--</v>
      </c>
      <c r="B785" t="str">
        <f>IF(ISBLANK(MAIN!B785), "--", IFERROR(PROPER(SUBSTITUTE(SUBSTITUTE(SUBSTITUTE(SUBSTITUTE(SUBSTITUTE(SUBSTITUTE(SUBSTITUTE(SUBSTITUTE(SUBSTITUTE(SUBSTITUTE(LEFT(MAIN!B785, FIND(",",MAIN!B785) -1), "0", ""), "1", ""), "2", ""), "3", ""), "4", ""), "5", ""), "6", ""), "7", ""), "8", ""), "9", "")), PROPER(SUBSTITUTE(SUBSTITUTE(SUBSTITUTE(SUBSTITUTE(SUBSTITUTE(SUBSTITUTE(SUBSTITUTE(SUBSTITUTE(SUBSTITUTE(SUBSTITUTE(MAIN!B785, "0", ""), "1", ""), "2", ""), "3", ""), "4", ""), "5", ""), "6", ""), "7", ""), "8", ""), "9", ""))))</f>
        <v>--</v>
      </c>
      <c r="C785" t="str">
        <f>IF(ISBLANK(MAIN!C785), "--", IFERROR(PROPER(SUBSTITUTE(SUBSTITUTE(SUBSTITUTE(SUBSTITUTE(SUBSTITUTE(SUBSTITUTE(SUBSTITUTE(SUBSTITUTE(SUBSTITUTE(SUBSTITUTE(LEFT(MAIN!C785, FIND(",",MAIN!C785) -1), "0", ""), "1", ""), "2", ""), "3", ""), "4", ""), "5", ""), "6", ""), "7", ""), "8", ""), "9", "")), PROPER(SUBSTITUTE(SUBSTITUTE(SUBSTITUTE(SUBSTITUTE(SUBSTITUTE(SUBSTITUTE(SUBSTITUTE(SUBSTITUTE(SUBSTITUTE(SUBSTITUTE(MAIN!C785, "0", ""), "1", ""), "2", ""), "3", ""), "4", ""), "5", ""), "6", ""), "7", ""), "8", ""), "9", ""))))</f>
        <v>--</v>
      </c>
      <c r="D785" t="str">
        <f>IF(ISBLANK(MAIN!D785), "--", IF(ISNUMBER(MATCH(SUBSTITUTE(LEFT(MAIN!D785, IFERROR(FIND(",", MAIN!D785)-1, LEN(MAIN!D785))), " ", ""), lookup_values!$B$2:$B$51, 0)), UPPER(SUBSTITUTE(LEFT(MAIN!D785, IFERROR(FIND(",", MAIN!D785)-1, LEN(MAIN!D785))), " ", "")), IF(ISNA(VLOOKUP(SUBSTITUTE(LEFT(MAIN!D785, IFERROR(FIND(",", MAIN!D785)-1, LEN(MAIN!D785))), " ", ""), lookup_values!$A$2:$B$51, 2, FALSE)), "--", VLOOKUP(SUBSTITUTE(LEFT(MAIN!D785, IFERROR(FIND(",", MAIN!D785)-1, LEN(MAIN!D785))), " ", ""), lookup_values!$A$2:$B$51, 2, FALSE))))</f>
        <v>--</v>
      </c>
      <c r="E785" t="str">
        <f>IF(CLEAN_DATA!D785&lt;&gt;"--","US",IF(ISBLANK(MAIN!E785), "--", IF(ISNUMBER(MATCH(SUBSTITUTE(LEFT(MAIN!E785, IFERROR(FIND(",", MAIN!E785)-1, LEN(MAIN!E785))), " ", ""), lookup_values!$E$2:$E$197, 0)), UPPER(SUBSTITUTE(LEFT(MAIN!E785, IFERROR(FIND(",", MAIN!E785)-1, LEN(MAIN!E785))), " ", "")), IF(ISNA(VLOOKUP(SUBSTITUTE(LEFT(MAIN!E785, IFERROR(FIND(",", MAIN!E785)-1, LEN(MAIN!E785))), " ", ""), lookup_values!$D$2:$E$197, 2, FALSE)), "--", VLOOKUP(SUBSTITUTE(LEFT(MAIN!E785, IFERROR(FIND(",", MAIN!E785)-1, LEN(MAIN!E785))), " ", ""), lookup_values!$D$2:$E$197, 2, FALSE)))))</f>
        <v>--</v>
      </c>
      <c r="F785" t="str">
        <f>IF(ISBLANK(MAIN!F785), "", IF(AND(ISNUMBER(VALUE(TRIM(MAIN!F785))), LEN(TRIM(MAIN!F785))=4), VALUE(TRIM(MAIN!F785)), ""))</f>
        <v/>
      </c>
      <c r="G785">
        <f>IF(ISBLANK(MAIN!G785), 0, IF(ISNUMBER(VALUE(TRIM(MAIN!G785))), VALUE(TRIM(MAIN!G785)), 0))</f>
        <v>0</v>
      </c>
      <c r="H785">
        <f>IF(ISBLANK(MAIN!H785), 0, IF(ISNUMBER(VALUE(TRIM(MAIN!H785))), VALUE(TRIM(MAIN!H785)), 0))</f>
        <v>0</v>
      </c>
      <c r="I785">
        <f>IF(ISBLANK(MAIN!I785), 0, IF(ISNUMBER(VALUE(TRIM(MAIN!I785))), VALUE(TRIM(MAIN!I785)), 0))</f>
        <v>0</v>
      </c>
      <c r="J785">
        <f>IF(ISBLANK(MAIN!J785), 0, IF(ISNUMBER(VALUE(TRIM(MAIN!J785))), VALUE(TRIM(MAIN!J785)), 0))</f>
        <v>0</v>
      </c>
      <c r="K785" cm="1">
        <f t="array" ref="K785">IFERROR(
    VALUE(
        IFERROR(
            UPPER(
                IF(MAX(IFERROR(SEARCH("WD",MAIN!G785:J785), 0))&gt;0, "WD",
                IF(MAX(IFERROR(SEARCH("NS",MAIN!G785:J785), 0))&gt;0, "NS",
                IF(MAX(IFERROR(SEARCH("NC",MAIN!G785:J785), 0))&gt;0, "NC",
                IF(MAX(IFERROR(SEARCH("DQ",MAIN!G785:J785), 0))&gt;0, "DQ",
                IF(ISNUMBER(SEARCH("WD",MAIN!K785)), "WD",
                IF(ISNUMBER(SEARCH("NS",MAIN!K785)), "NS",
                IF(ISNUMBER(SEARCH("NC",MAIN!K785)), "NC",
                IF(ISNUMBER(SEARCH("DQ",MAIN!K785)), "DQ",
                IF(ISNUMBER(SEARCH("A",MAIN!K785)), 0,
                IF(OR(MAIN!K785=0,MAIN!K785=""), 0, --TRIM(MAIN!K785)))))))))))),
            0
        )
    ),
    IFERROR(
        UPPER(
            IF(MAX(IFERROR(SEARCH("WD",MAIN!G785:J785), 0))&gt;0, "WD",
            IF(MAX(IFERROR(SEARCH("NS",MAIN!G785:J785), 0))&gt;0, "NS",
            IF(MAX(IFERROR(SEARCH("NC",MAIN!G785:J785), 0))&gt;0, "NC",
            IF(MAX(IFERROR(SEARCH("DQ",MAIN!G785:J785), 0))&gt;0, "DQ",
            IF(ISNUMBER(SEARCH("WD",MAIN!K785)), "WD",
            IF(ISNUMBER(SEARCH("NS",MAIN!K785)), "NS",
            IF(ISNUMBER(SEARCH("NC",MAIN!K785)), "NC",
            IF(ISNUMBER(SEARCH("DQ",MAIN!K785)), "DQ",
            IF(ISNUMBER(SEARCH("A",MAIN!K785)), 0,
            IF(OR(MAIN!K785=0,MAIN!K785=""), 0, --TRIM(MAIN!K785)))))))))))),
        0
    )
)</f>
        <v>0</v>
      </c>
    </row>
    <row r="786" spans="1:11" x14ac:dyDescent="0.25">
      <c r="A786" t="str">
        <f>IF(ISBLANK(MAIN!A786), "--", IFERROR(PROPER(SUBSTITUTE(SUBSTITUTE(SUBSTITUTE(SUBSTITUTE(SUBSTITUTE(SUBSTITUTE(SUBSTITUTE(SUBSTITUTE(SUBSTITUTE(SUBSTITUTE(LEFT(MAIN!A786, FIND(",",MAIN!A786) -1), "0", ""), "1", ""), "2", ""), "3", ""), "4", ""), "5", ""), "6", ""), "7", ""), "8", ""), "9", "")), PROPER(SUBSTITUTE(SUBSTITUTE(SUBSTITUTE(SUBSTITUTE(SUBSTITUTE(SUBSTITUTE(SUBSTITUTE(SUBSTITUTE(SUBSTITUTE(SUBSTITUTE(MAIN!A786, "0", ""), "1", ""), "2", ""), "3", ""), "4", ""), "5", ""), "6", ""), "7", ""), "8", ""), "9", ""))))</f>
        <v>--</v>
      </c>
      <c r="B786" t="str">
        <f>IF(ISBLANK(MAIN!B786), "--", IFERROR(PROPER(SUBSTITUTE(SUBSTITUTE(SUBSTITUTE(SUBSTITUTE(SUBSTITUTE(SUBSTITUTE(SUBSTITUTE(SUBSTITUTE(SUBSTITUTE(SUBSTITUTE(LEFT(MAIN!B786, FIND(",",MAIN!B786) -1), "0", ""), "1", ""), "2", ""), "3", ""), "4", ""), "5", ""), "6", ""), "7", ""), "8", ""), "9", "")), PROPER(SUBSTITUTE(SUBSTITUTE(SUBSTITUTE(SUBSTITUTE(SUBSTITUTE(SUBSTITUTE(SUBSTITUTE(SUBSTITUTE(SUBSTITUTE(SUBSTITUTE(MAIN!B786, "0", ""), "1", ""), "2", ""), "3", ""), "4", ""), "5", ""), "6", ""), "7", ""), "8", ""), "9", ""))))</f>
        <v>--</v>
      </c>
      <c r="C786" t="str">
        <f>IF(ISBLANK(MAIN!C786), "--", IFERROR(PROPER(SUBSTITUTE(SUBSTITUTE(SUBSTITUTE(SUBSTITUTE(SUBSTITUTE(SUBSTITUTE(SUBSTITUTE(SUBSTITUTE(SUBSTITUTE(SUBSTITUTE(LEFT(MAIN!C786, FIND(",",MAIN!C786) -1), "0", ""), "1", ""), "2", ""), "3", ""), "4", ""), "5", ""), "6", ""), "7", ""), "8", ""), "9", "")), PROPER(SUBSTITUTE(SUBSTITUTE(SUBSTITUTE(SUBSTITUTE(SUBSTITUTE(SUBSTITUTE(SUBSTITUTE(SUBSTITUTE(SUBSTITUTE(SUBSTITUTE(MAIN!C786, "0", ""), "1", ""), "2", ""), "3", ""), "4", ""), "5", ""), "6", ""), "7", ""), "8", ""), "9", ""))))</f>
        <v>--</v>
      </c>
      <c r="D786" t="str">
        <f>IF(ISBLANK(MAIN!D786), "--", IF(ISNUMBER(MATCH(SUBSTITUTE(LEFT(MAIN!D786, IFERROR(FIND(",", MAIN!D786)-1, LEN(MAIN!D786))), " ", ""), lookup_values!$B$2:$B$51, 0)), UPPER(SUBSTITUTE(LEFT(MAIN!D786, IFERROR(FIND(",", MAIN!D786)-1, LEN(MAIN!D786))), " ", "")), IF(ISNA(VLOOKUP(SUBSTITUTE(LEFT(MAIN!D786, IFERROR(FIND(",", MAIN!D786)-1, LEN(MAIN!D786))), " ", ""), lookup_values!$A$2:$B$51, 2, FALSE)), "--", VLOOKUP(SUBSTITUTE(LEFT(MAIN!D786, IFERROR(FIND(",", MAIN!D786)-1, LEN(MAIN!D786))), " ", ""), lookup_values!$A$2:$B$51, 2, FALSE))))</f>
        <v>--</v>
      </c>
      <c r="E786" t="str">
        <f>IF(CLEAN_DATA!D786&lt;&gt;"--","US",IF(ISBLANK(MAIN!E786), "--", IF(ISNUMBER(MATCH(SUBSTITUTE(LEFT(MAIN!E786, IFERROR(FIND(",", MAIN!E786)-1, LEN(MAIN!E786))), " ", ""), lookup_values!$E$2:$E$197, 0)), UPPER(SUBSTITUTE(LEFT(MAIN!E786, IFERROR(FIND(",", MAIN!E786)-1, LEN(MAIN!E786))), " ", "")), IF(ISNA(VLOOKUP(SUBSTITUTE(LEFT(MAIN!E786, IFERROR(FIND(",", MAIN!E786)-1, LEN(MAIN!E786))), " ", ""), lookup_values!$D$2:$E$197, 2, FALSE)), "--", VLOOKUP(SUBSTITUTE(LEFT(MAIN!E786, IFERROR(FIND(",", MAIN!E786)-1, LEN(MAIN!E786))), " ", ""), lookup_values!$D$2:$E$197, 2, FALSE)))))</f>
        <v>--</v>
      </c>
      <c r="F786" t="str">
        <f>IF(ISBLANK(MAIN!F786), "", IF(AND(ISNUMBER(VALUE(TRIM(MAIN!F786))), LEN(TRIM(MAIN!F786))=4), VALUE(TRIM(MAIN!F786)), ""))</f>
        <v/>
      </c>
      <c r="G786">
        <f>IF(ISBLANK(MAIN!G786), 0, IF(ISNUMBER(VALUE(TRIM(MAIN!G786))), VALUE(TRIM(MAIN!G786)), 0))</f>
        <v>0</v>
      </c>
      <c r="H786">
        <f>IF(ISBLANK(MAIN!H786), 0, IF(ISNUMBER(VALUE(TRIM(MAIN!H786))), VALUE(TRIM(MAIN!H786)), 0))</f>
        <v>0</v>
      </c>
      <c r="I786">
        <f>IF(ISBLANK(MAIN!I786), 0, IF(ISNUMBER(VALUE(TRIM(MAIN!I786))), VALUE(TRIM(MAIN!I786)), 0))</f>
        <v>0</v>
      </c>
      <c r="J786">
        <f>IF(ISBLANK(MAIN!J786), 0, IF(ISNUMBER(VALUE(TRIM(MAIN!J786))), VALUE(TRIM(MAIN!J786)), 0))</f>
        <v>0</v>
      </c>
      <c r="K786" cm="1">
        <f t="array" ref="K786">IFERROR(
    VALUE(
        IFERROR(
            UPPER(
                IF(MAX(IFERROR(SEARCH("WD",MAIN!G786:J786), 0))&gt;0, "WD",
                IF(MAX(IFERROR(SEARCH("NS",MAIN!G786:J786), 0))&gt;0, "NS",
                IF(MAX(IFERROR(SEARCH("NC",MAIN!G786:J786), 0))&gt;0, "NC",
                IF(MAX(IFERROR(SEARCH("DQ",MAIN!G786:J786), 0))&gt;0, "DQ",
                IF(ISNUMBER(SEARCH("WD",MAIN!K786)), "WD",
                IF(ISNUMBER(SEARCH("NS",MAIN!K786)), "NS",
                IF(ISNUMBER(SEARCH("NC",MAIN!K786)), "NC",
                IF(ISNUMBER(SEARCH("DQ",MAIN!K786)), "DQ",
                IF(ISNUMBER(SEARCH("A",MAIN!K786)), 0,
                IF(OR(MAIN!K786=0,MAIN!K786=""), 0, --TRIM(MAIN!K786)))))))))))),
            0
        )
    ),
    IFERROR(
        UPPER(
            IF(MAX(IFERROR(SEARCH("WD",MAIN!G786:J786), 0))&gt;0, "WD",
            IF(MAX(IFERROR(SEARCH("NS",MAIN!G786:J786), 0))&gt;0, "NS",
            IF(MAX(IFERROR(SEARCH("NC",MAIN!G786:J786), 0))&gt;0, "NC",
            IF(MAX(IFERROR(SEARCH("DQ",MAIN!G786:J786), 0))&gt;0, "DQ",
            IF(ISNUMBER(SEARCH("WD",MAIN!K786)), "WD",
            IF(ISNUMBER(SEARCH("NS",MAIN!K786)), "NS",
            IF(ISNUMBER(SEARCH("NC",MAIN!K786)), "NC",
            IF(ISNUMBER(SEARCH("DQ",MAIN!K786)), "DQ",
            IF(ISNUMBER(SEARCH("A",MAIN!K786)), 0,
            IF(OR(MAIN!K786=0,MAIN!K786=""), 0, --TRIM(MAIN!K786)))))))))))),
        0
    )
)</f>
        <v>0</v>
      </c>
    </row>
    <row r="787" spans="1:11" x14ac:dyDescent="0.25">
      <c r="A787" t="str">
        <f>IF(ISBLANK(MAIN!A787), "--", IFERROR(PROPER(SUBSTITUTE(SUBSTITUTE(SUBSTITUTE(SUBSTITUTE(SUBSTITUTE(SUBSTITUTE(SUBSTITUTE(SUBSTITUTE(SUBSTITUTE(SUBSTITUTE(LEFT(MAIN!A787, FIND(",",MAIN!A787) -1), "0", ""), "1", ""), "2", ""), "3", ""), "4", ""), "5", ""), "6", ""), "7", ""), "8", ""), "9", "")), PROPER(SUBSTITUTE(SUBSTITUTE(SUBSTITUTE(SUBSTITUTE(SUBSTITUTE(SUBSTITUTE(SUBSTITUTE(SUBSTITUTE(SUBSTITUTE(SUBSTITUTE(MAIN!A787, "0", ""), "1", ""), "2", ""), "3", ""), "4", ""), "5", ""), "6", ""), "7", ""), "8", ""), "9", ""))))</f>
        <v>--</v>
      </c>
      <c r="B787" t="str">
        <f>IF(ISBLANK(MAIN!B787), "--", IFERROR(PROPER(SUBSTITUTE(SUBSTITUTE(SUBSTITUTE(SUBSTITUTE(SUBSTITUTE(SUBSTITUTE(SUBSTITUTE(SUBSTITUTE(SUBSTITUTE(SUBSTITUTE(LEFT(MAIN!B787, FIND(",",MAIN!B787) -1), "0", ""), "1", ""), "2", ""), "3", ""), "4", ""), "5", ""), "6", ""), "7", ""), "8", ""), "9", "")), PROPER(SUBSTITUTE(SUBSTITUTE(SUBSTITUTE(SUBSTITUTE(SUBSTITUTE(SUBSTITUTE(SUBSTITUTE(SUBSTITUTE(SUBSTITUTE(SUBSTITUTE(MAIN!B787, "0", ""), "1", ""), "2", ""), "3", ""), "4", ""), "5", ""), "6", ""), "7", ""), "8", ""), "9", ""))))</f>
        <v>--</v>
      </c>
      <c r="C787" t="str">
        <f>IF(ISBLANK(MAIN!C787), "--", IFERROR(PROPER(SUBSTITUTE(SUBSTITUTE(SUBSTITUTE(SUBSTITUTE(SUBSTITUTE(SUBSTITUTE(SUBSTITUTE(SUBSTITUTE(SUBSTITUTE(SUBSTITUTE(LEFT(MAIN!C787, FIND(",",MAIN!C787) -1), "0", ""), "1", ""), "2", ""), "3", ""), "4", ""), "5", ""), "6", ""), "7", ""), "8", ""), "9", "")), PROPER(SUBSTITUTE(SUBSTITUTE(SUBSTITUTE(SUBSTITUTE(SUBSTITUTE(SUBSTITUTE(SUBSTITUTE(SUBSTITUTE(SUBSTITUTE(SUBSTITUTE(MAIN!C787, "0", ""), "1", ""), "2", ""), "3", ""), "4", ""), "5", ""), "6", ""), "7", ""), "8", ""), "9", ""))))</f>
        <v>--</v>
      </c>
      <c r="D787" t="str">
        <f>IF(ISBLANK(MAIN!D787), "--", IF(ISNUMBER(MATCH(SUBSTITUTE(LEFT(MAIN!D787, IFERROR(FIND(",", MAIN!D787)-1, LEN(MAIN!D787))), " ", ""), lookup_values!$B$2:$B$51, 0)), UPPER(SUBSTITUTE(LEFT(MAIN!D787, IFERROR(FIND(",", MAIN!D787)-1, LEN(MAIN!D787))), " ", "")), IF(ISNA(VLOOKUP(SUBSTITUTE(LEFT(MAIN!D787, IFERROR(FIND(",", MAIN!D787)-1, LEN(MAIN!D787))), " ", ""), lookup_values!$A$2:$B$51, 2, FALSE)), "--", VLOOKUP(SUBSTITUTE(LEFT(MAIN!D787, IFERROR(FIND(",", MAIN!D787)-1, LEN(MAIN!D787))), " ", ""), lookup_values!$A$2:$B$51, 2, FALSE))))</f>
        <v>--</v>
      </c>
      <c r="E787" t="str">
        <f>IF(CLEAN_DATA!D787&lt;&gt;"--","US",IF(ISBLANK(MAIN!E787), "--", IF(ISNUMBER(MATCH(SUBSTITUTE(LEFT(MAIN!E787, IFERROR(FIND(",", MAIN!E787)-1, LEN(MAIN!E787))), " ", ""), lookup_values!$E$2:$E$197, 0)), UPPER(SUBSTITUTE(LEFT(MAIN!E787, IFERROR(FIND(",", MAIN!E787)-1, LEN(MAIN!E787))), " ", "")), IF(ISNA(VLOOKUP(SUBSTITUTE(LEFT(MAIN!E787, IFERROR(FIND(",", MAIN!E787)-1, LEN(MAIN!E787))), " ", ""), lookup_values!$D$2:$E$197, 2, FALSE)), "--", VLOOKUP(SUBSTITUTE(LEFT(MAIN!E787, IFERROR(FIND(",", MAIN!E787)-1, LEN(MAIN!E787))), " ", ""), lookup_values!$D$2:$E$197, 2, FALSE)))))</f>
        <v>--</v>
      </c>
      <c r="F787" t="str">
        <f>IF(ISBLANK(MAIN!F787), "", IF(AND(ISNUMBER(VALUE(TRIM(MAIN!F787))), LEN(TRIM(MAIN!F787))=4), VALUE(TRIM(MAIN!F787)), ""))</f>
        <v/>
      </c>
      <c r="G787">
        <f>IF(ISBLANK(MAIN!G787), 0, IF(ISNUMBER(VALUE(TRIM(MAIN!G787))), VALUE(TRIM(MAIN!G787)), 0))</f>
        <v>0</v>
      </c>
      <c r="H787">
        <f>IF(ISBLANK(MAIN!H787), 0, IF(ISNUMBER(VALUE(TRIM(MAIN!H787))), VALUE(TRIM(MAIN!H787)), 0))</f>
        <v>0</v>
      </c>
      <c r="I787">
        <f>IF(ISBLANK(MAIN!I787), 0, IF(ISNUMBER(VALUE(TRIM(MAIN!I787))), VALUE(TRIM(MAIN!I787)), 0))</f>
        <v>0</v>
      </c>
      <c r="J787">
        <f>IF(ISBLANK(MAIN!J787), 0, IF(ISNUMBER(VALUE(TRIM(MAIN!J787))), VALUE(TRIM(MAIN!J787)), 0))</f>
        <v>0</v>
      </c>
      <c r="K787" cm="1">
        <f t="array" ref="K787">IFERROR(
    VALUE(
        IFERROR(
            UPPER(
                IF(MAX(IFERROR(SEARCH("WD",MAIN!G787:J787), 0))&gt;0, "WD",
                IF(MAX(IFERROR(SEARCH("NS",MAIN!G787:J787), 0))&gt;0, "NS",
                IF(MAX(IFERROR(SEARCH("NC",MAIN!G787:J787), 0))&gt;0, "NC",
                IF(MAX(IFERROR(SEARCH("DQ",MAIN!G787:J787), 0))&gt;0, "DQ",
                IF(ISNUMBER(SEARCH("WD",MAIN!K787)), "WD",
                IF(ISNUMBER(SEARCH("NS",MAIN!K787)), "NS",
                IF(ISNUMBER(SEARCH("NC",MAIN!K787)), "NC",
                IF(ISNUMBER(SEARCH("DQ",MAIN!K787)), "DQ",
                IF(ISNUMBER(SEARCH("A",MAIN!K787)), 0,
                IF(OR(MAIN!K787=0,MAIN!K787=""), 0, --TRIM(MAIN!K787)))))))))))),
            0
        )
    ),
    IFERROR(
        UPPER(
            IF(MAX(IFERROR(SEARCH("WD",MAIN!G787:J787), 0))&gt;0, "WD",
            IF(MAX(IFERROR(SEARCH("NS",MAIN!G787:J787), 0))&gt;0, "NS",
            IF(MAX(IFERROR(SEARCH("NC",MAIN!G787:J787), 0))&gt;0, "NC",
            IF(MAX(IFERROR(SEARCH("DQ",MAIN!G787:J787), 0))&gt;0, "DQ",
            IF(ISNUMBER(SEARCH("WD",MAIN!K787)), "WD",
            IF(ISNUMBER(SEARCH("NS",MAIN!K787)), "NS",
            IF(ISNUMBER(SEARCH("NC",MAIN!K787)), "NC",
            IF(ISNUMBER(SEARCH("DQ",MAIN!K787)), "DQ",
            IF(ISNUMBER(SEARCH("A",MAIN!K787)), 0,
            IF(OR(MAIN!K787=0,MAIN!K787=""), 0, --TRIM(MAIN!K787)))))))))))),
        0
    )
)</f>
        <v>0</v>
      </c>
    </row>
    <row r="788" spans="1:11" x14ac:dyDescent="0.25">
      <c r="A788" t="str">
        <f>IF(ISBLANK(MAIN!A788), "--", IFERROR(PROPER(SUBSTITUTE(SUBSTITUTE(SUBSTITUTE(SUBSTITUTE(SUBSTITUTE(SUBSTITUTE(SUBSTITUTE(SUBSTITUTE(SUBSTITUTE(SUBSTITUTE(LEFT(MAIN!A788, FIND(",",MAIN!A788) -1), "0", ""), "1", ""), "2", ""), "3", ""), "4", ""), "5", ""), "6", ""), "7", ""), "8", ""), "9", "")), PROPER(SUBSTITUTE(SUBSTITUTE(SUBSTITUTE(SUBSTITUTE(SUBSTITUTE(SUBSTITUTE(SUBSTITUTE(SUBSTITUTE(SUBSTITUTE(SUBSTITUTE(MAIN!A788, "0", ""), "1", ""), "2", ""), "3", ""), "4", ""), "5", ""), "6", ""), "7", ""), "8", ""), "9", ""))))</f>
        <v>--</v>
      </c>
      <c r="B788" t="str">
        <f>IF(ISBLANK(MAIN!B788), "--", IFERROR(PROPER(SUBSTITUTE(SUBSTITUTE(SUBSTITUTE(SUBSTITUTE(SUBSTITUTE(SUBSTITUTE(SUBSTITUTE(SUBSTITUTE(SUBSTITUTE(SUBSTITUTE(LEFT(MAIN!B788, FIND(",",MAIN!B788) -1), "0", ""), "1", ""), "2", ""), "3", ""), "4", ""), "5", ""), "6", ""), "7", ""), "8", ""), "9", "")), PROPER(SUBSTITUTE(SUBSTITUTE(SUBSTITUTE(SUBSTITUTE(SUBSTITUTE(SUBSTITUTE(SUBSTITUTE(SUBSTITUTE(SUBSTITUTE(SUBSTITUTE(MAIN!B788, "0", ""), "1", ""), "2", ""), "3", ""), "4", ""), "5", ""), "6", ""), "7", ""), "8", ""), "9", ""))))</f>
        <v>--</v>
      </c>
      <c r="C788" t="str">
        <f>IF(ISBLANK(MAIN!C788), "--", IFERROR(PROPER(SUBSTITUTE(SUBSTITUTE(SUBSTITUTE(SUBSTITUTE(SUBSTITUTE(SUBSTITUTE(SUBSTITUTE(SUBSTITUTE(SUBSTITUTE(SUBSTITUTE(LEFT(MAIN!C788, FIND(",",MAIN!C788) -1), "0", ""), "1", ""), "2", ""), "3", ""), "4", ""), "5", ""), "6", ""), "7", ""), "8", ""), "9", "")), PROPER(SUBSTITUTE(SUBSTITUTE(SUBSTITUTE(SUBSTITUTE(SUBSTITUTE(SUBSTITUTE(SUBSTITUTE(SUBSTITUTE(SUBSTITUTE(SUBSTITUTE(MAIN!C788, "0", ""), "1", ""), "2", ""), "3", ""), "4", ""), "5", ""), "6", ""), "7", ""), "8", ""), "9", ""))))</f>
        <v>--</v>
      </c>
      <c r="D788" t="str">
        <f>IF(ISBLANK(MAIN!D788), "--", IF(ISNUMBER(MATCH(SUBSTITUTE(LEFT(MAIN!D788, IFERROR(FIND(",", MAIN!D788)-1, LEN(MAIN!D788))), " ", ""), lookup_values!$B$2:$B$51, 0)), UPPER(SUBSTITUTE(LEFT(MAIN!D788, IFERROR(FIND(",", MAIN!D788)-1, LEN(MAIN!D788))), " ", "")), IF(ISNA(VLOOKUP(SUBSTITUTE(LEFT(MAIN!D788, IFERROR(FIND(",", MAIN!D788)-1, LEN(MAIN!D788))), " ", ""), lookup_values!$A$2:$B$51, 2, FALSE)), "--", VLOOKUP(SUBSTITUTE(LEFT(MAIN!D788, IFERROR(FIND(",", MAIN!D788)-1, LEN(MAIN!D788))), " ", ""), lookup_values!$A$2:$B$51, 2, FALSE))))</f>
        <v>--</v>
      </c>
      <c r="E788" t="str">
        <f>IF(CLEAN_DATA!D788&lt;&gt;"--","US",IF(ISBLANK(MAIN!E788), "--", IF(ISNUMBER(MATCH(SUBSTITUTE(LEFT(MAIN!E788, IFERROR(FIND(",", MAIN!E788)-1, LEN(MAIN!E788))), " ", ""), lookup_values!$E$2:$E$197, 0)), UPPER(SUBSTITUTE(LEFT(MAIN!E788, IFERROR(FIND(",", MAIN!E788)-1, LEN(MAIN!E788))), " ", "")), IF(ISNA(VLOOKUP(SUBSTITUTE(LEFT(MAIN!E788, IFERROR(FIND(",", MAIN!E788)-1, LEN(MAIN!E788))), " ", ""), lookup_values!$D$2:$E$197, 2, FALSE)), "--", VLOOKUP(SUBSTITUTE(LEFT(MAIN!E788, IFERROR(FIND(",", MAIN!E788)-1, LEN(MAIN!E788))), " ", ""), lookup_values!$D$2:$E$197, 2, FALSE)))))</f>
        <v>--</v>
      </c>
      <c r="F788" t="str">
        <f>IF(ISBLANK(MAIN!F788), "", IF(AND(ISNUMBER(VALUE(TRIM(MAIN!F788))), LEN(TRIM(MAIN!F788))=4), VALUE(TRIM(MAIN!F788)), ""))</f>
        <v/>
      </c>
      <c r="G788">
        <f>IF(ISBLANK(MAIN!G788), 0, IF(ISNUMBER(VALUE(TRIM(MAIN!G788))), VALUE(TRIM(MAIN!G788)), 0))</f>
        <v>0</v>
      </c>
      <c r="H788">
        <f>IF(ISBLANK(MAIN!H788), 0, IF(ISNUMBER(VALUE(TRIM(MAIN!H788))), VALUE(TRIM(MAIN!H788)), 0))</f>
        <v>0</v>
      </c>
      <c r="I788">
        <f>IF(ISBLANK(MAIN!I788), 0, IF(ISNUMBER(VALUE(TRIM(MAIN!I788))), VALUE(TRIM(MAIN!I788)), 0))</f>
        <v>0</v>
      </c>
      <c r="J788">
        <f>IF(ISBLANK(MAIN!J788), 0, IF(ISNUMBER(VALUE(TRIM(MAIN!J788))), VALUE(TRIM(MAIN!J788)), 0))</f>
        <v>0</v>
      </c>
      <c r="K788" cm="1">
        <f t="array" ref="K788">IFERROR(
    VALUE(
        IFERROR(
            UPPER(
                IF(MAX(IFERROR(SEARCH("WD",MAIN!G788:J788), 0))&gt;0, "WD",
                IF(MAX(IFERROR(SEARCH("NS",MAIN!G788:J788), 0))&gt;0, "NS",
                IF(MAX(IFERROR(SEARCH("NC",MAIN!G788:J788), 0))&gt;0, "NC",
                IF(MAX(IFERROR(SEARCH("DQ",MAIN!G788:J788), 0))&gt;0, "DQ",
                IF(ISNUMBER(SEARCH("WD",MAIN!K788)), "WD",
                IF(ISNUMBER(SEARCH("NS",MAIN!K788)), "NS",
                IF(ISNUMBER(SEARCH("NC",MAIN!K788)), "NC",
                IF(ISNUMBER(SEARCH("DQ",MAIN!K788)), "DQ",
                IF(ISNUMBER(SEARCH("A",MAIN!K788)), 0,
                IF(OR(MAIN!K788=0,MAIN!K788=""), 0, --TRIM(MAIN!K788)))))))))))),
            0
        )
    ),
    IFERROR(
        UPPER(
            IF(MAX(IFERROR(SEARCH("WD",MAIN!G788:J788), 0))&gt;0, "WD",
            IF(MAX(IFERROR(SEARCH("NS",MAIN!G788:J788), 0))&gt;0, "NS",
            IF(MAX(IFERROR(SEARCH("NC",MAIN!G788:J788), 0))&gt;0, "NC",
            IF(MAX(IFERROR(SEARCH("DQ",MAIN!G788:J788), 0))&gt;0, "DQ",
            IF(ISNUMBER(SEARCH("WD",MAIN!K788)), "WD",
            IF(ISNUMBER(SEARCH("NS",MAIN!K788)), "NS",
            IF(ISNUMBER(SEARCH("NC",MAIN!K788)), "NC",
            IF(ISNUMBER(SEARCH("DQ",MAIN!K788)), "DQ",
            IF(ISNUMBER(SEARCH("A",MAIN!K788)), 0,
            IF(OR(MAIN!K788=0,MAIN!K788=""), 0, --TRIM(MAIN!K788)))))))))))),
        0
    )
)</f>
        <v>0</v>
      </c>
    </row>
    <row r="789" spans="1:11" x14ac:dyDescent="0.25">
      <c r="A789" t="str">
        <f>IF(ISBLANK(MAIN!A789), "--", IFERROR(PROPER(SUBSTITUTE(SUBSTITUTE(SUBSTITUTE(SUBSTITUTE(SUBSTITUTE(SUBSTITUTE(SUBSTITUTE(SUBSTITUTE(SUBSTITUTE(SUBSTITUTE(LEFT(MAIN!A789, FIND(",",MAIN!A789) -1), "0", ""), "1", ""), "2", ""), "3", ""), "4", ""), "5", ""), "6", ""), "7", ""), "8", ""), "9", "")), PROPER(SUBSTITUTE(SUBSTITUTE(SUBSTITUTE(SUBSTITUTE(SUBSTITUTE(SUBSTITUTE(SUBSTITUTE(SUBSTITUTE(SUBSTITUTE(SUBSTITUTE(MAIN!A789, "0", ""), "1", ""), "2", ""), "3", ""), "4", ""), "5", ""), "6", ""), "7", ""), "8", ""), "9", ""))))</f>
        <v>--</v>
      </c>
      <c r="B789" t="str">
        <f>IF(ISBLANK(MAIN!B789), "--", IFERROR(PROPER(SUBSTITUTE(SUBSTITUTE(SUBSTITUTE(SUBSTITUTE(SUBSTITUTE(SUBSTITUTE(SUBSTITUTE(SUBSTITUTE(SUBSTITUTE(SUBSTITUTE(LEFT(MAIN!B789, FIND(",",MAIN!B789) -1), "0", ""), "1", ""), "2", ""), "3", ""), "4", ""), "5", ""), "6", ""), "7", ""), "8", ""), "9", "")), PROPER(SUBSTITUTE(SUBSTITUTE(SUBSTITUTE(SUBSTITUTE(SUBSTITUTE(SUBSTITUTE(SUBSTITUTE(SUBSTITUTE(SUBSTITUTE(SUBSTITUTE(MAIN!B789, "0", ""), "1", ""), "2", ""), "3", ""), "4", ""), "5", ""), "6", ""), "7", ""), "8", ""), "9", ""))))</f>
        <v>--</v>
      </c>
      <c r="C789" t="str">
        <f>IF(ISBLANK(MAIN!C789), "--", IFERROR(PROPER(SUBSTITUTE(SUBSTITUTE(SUBSTITUTE(SUBSTITUTE(SUBSTITUTE(SUBSTITUTE(SUBSTITUTE(SUBSTITUTE(SUBSTITUTE(SUBSTITUTE(LEFT(MAIN!C789, FIND(",",MAIN!C789) -1), "0", ""), "1", ""), "2", ""), "3", ""), "4", ""), "5", ""), "6", ""), "7", ""), "8", ""), "9", "")), PROPER(SUBSTITUTE(SUBSTITUTE(SUBSTITUTE(SUBSTITUTE(SUBSTITUTE(SUBSTITUTE(SUBSTITUTE(SUBSTITUTE(SUBSTITUTE(SUBSTITUTE(MAIN!C789, "0", ""), "1", ""), "2", ""), "3", ""), "4", ""), "5", ""), "6", ""), "7", ""), "8", ""), "9", ""))))</f>
        <v>--</v>
      </c>
      <c r="D789" t="str">
        <f>IF(ISBLANK(MAIN!D789), "--", IF(ISNUMBER(MATCH(SUBSTITUTE(LEFT(MAIN!D789, IFERROR(FIND(",", MAIN!D789)-1, LEN(MAIN!D789))), " ", ""), lookup_values!$B$2:$B$51, 0)), UPPER(SUBSTITUTE(LEFT(MAIN!D789, IFERROR(FIND(",", MAIN!D789)-1, LEN(MAIN!D789))), " ", "")), IF(ISNA(VLOOKUP(SUBSTITUTE(LEFT(MAIN!D789, IFERROR(FIND(",", MAIN!D789)-1, LEN(MAIN!D789))), " ", ""), lookup_values!$A$2:$B$51, 2, FALSE)), "--", VLOOKUP(SUBSTITUTE(LEFT(MAIN!D789, IFERROR(FIND(",", MAIN!D789)-1, LEN(MAIN!D789))), " ", ""), lookup_values!$A$2:$B$51, 2, FALSE))))</f>
        <v>--</v>
      </c>
      <c r="E789" t="str">
        <f>IF(CLEAN_DATA!D789&lt;&gt;"--","US",IF(ISBLANK(MAIN!E789), "--", IF(ISNUMBER(MATCH(SUBSTITUTE(LEFT(MAIN!E789, IFERROR(FIND(",", MAIN!E789)-1, LEN(MAIN!E789))), " ", ""), lookup_values!$E$2:$E$197, 0)), UPPER(SUBSTITUTE(LEFT(MAIN!E789, IFERROR(FIND(",", MAIN!E789)-1, LEN(MAIN!E789))), " ", "")), IF(ISNA(VLOOKUP(SUBSTITUTE(LEFT(MAIN!E789, IFERROR(FIND(",", MAIN!E789)-1, LEN(MAIN!E789))), " ", ""), lookup_values!$D$2:$E$197, 2, FALSE)), "--", VLOOKUP(SUBSTITUTE(LEFT(MAIN!E789, IFERROR(FIND(",", MAIN!E789)-1, LEN(MAIN!E789))), " ", ""), lookup_values!$D$2:$E$197, 2, FALSE)))))</f>
        <v>--</v>
      </c>
      <c r="F789" t="str">
        <f>IF(ISBLANK(MAIN!F789), "", IF(AND(ISNUMBER(VALUE(TRIM(MAIN!F789))), LEN(TRIM(MAIN!F789))=4), VALUE(TRIM(MAIN!F789)), ""))</f>
        <v/>
      </c>
      <c r="G789">
        <f>IF(ISBLANK(MAIN!G789), 0, IF(ISNUMBER(VALUE(TRIM(MAIN!G789))), VALUE(TRIM(MAIN!G789)), 0))</f>
        <v>0</v>
      </c>
      <c r="H789">
        <f>IF(ISBLANK(MAIN!H789), 0, IF(ISNUMBER(VALUE(TRIM(MAIN!H789))), VALUE(TRIM(MAIN!H789)), 0))</f>
        <v>0</v>
      </c>
      <c r="I789">
        <f>IF(ISBLANK(MAIN!I789), 0, IF(ISNUMBER(VALUE(TRIM(MAIN!I789))), VALUE(TRIM(MAIN!I789)), 0))</f>
        <v>0</v>
      </c>
      <c r="J789">
        <f>IF(ISBLANK(MAIN!J789), 0, IF(ISNUMBER(VALUE(TRIM(MAIN!J789))), VALUE(TRIM(MAIN!J789)), 0))</f>
        <v>0</v>
      </c>
      <c r="K789" cm="1">
        <f t="array" ref="K789">IFERROR(
    VALUE(
        IFERROR(
            UPPER(
                IF(MAX(IFERROR(SEARCH("WD",MAIN!G789:J789), 0))&gt;0, "WD",
                IF(MAX(IFERROR(SEARCH("NS",MAIN!G789:J789), 0))&gt;0, "NS",
                IF(MAX(IFERROR(SEARCH("NC",MAIN!G789:J789), 0))&gt;0, "NC",
                IF(MAX(IFERROR(SEARCH("DQ",MAIN!G789:J789), 0))&gt;0, "DQ",
                IF(ISNUMBER(SEARCH("WD",MAIN!K789)), "WD",
                IF(ISNUMBER(SEARCH("NS",MAIN!K789)), "NS",
                IF(ISNUMBER(SEARCH("NC",MAIN!K789)), "NC",
                IF(ISNUMBER(SEARCH("DQ",MAIN!K789)), "DQ",
                IF(ISNUMBER(SEARCH("A",MAIN!K789)), 0,
                IF(OR(MAIN!K789=0,MAIN!K789=""), 0, --TRIM(MAIN!K789)))))))))))),
            0
        )
    ),
    IFERROR(
        UPPER(
            IF(MAX(IFERROR(SEARCH("WD",MAIN!G789:J789), 0))&gt;0, "WD",
            IF(MAX(IFERROR(SEARCH("NS",MAIN!G789:J789), 0))&gt;0, "NS",
            IF(MAX(IFERROR(SEARCH("NC",MAIN!G789:J789), 0))&gt;0, "NC",
            IF(MAX(IFERROR(SEARCH("DQ",MAIN!G789:J789), 0))&gt;0, "DQ",
            IF(ISNUMBER(SEARCH("WD",MAIN!K789)), "WD",
            IF(ISNUMBER(SEARCH("NS",MAIN!K789)), "NS",
            IF(ISNUMBER(SEARCH("NC",MAIN!K789)), "NC",
            IF(ISNUMBER(SEARCH("DQ",MAIN!K789)), "DQ",
            IF(ISNUMBER(SEARCH("A",MAIN!K789)), 0,
            IF(OR(MAIN!K789=0,MAIN!K789=""), 0, --TRIM(MAIN!K789)))))))))))),
        0
    )
)</f>
        <v>0</v>
      </c>
    </row>
    <row r="790" spans="1:11" x14ac:dyDescent="0.25">
      <c r="A790" t="str">
        <f>IF(ISBLANK(MAIN!A790), "--", IFERROR(PROPER(SUBSTITUTE(SUBSTITUTE(SUBSTITUTE(SUBSTITUTE(SUBSTITUTE(SUBSTITUTE(SUBSTITUTE(SUBSTITUTE(SUBSTITUTE(SUBSTITUTE(LEFT(MAIN!A790, FIND(",",MAIN!A790) -1), "0", ""), "1", ""), "2", ""), "3", ""), "4", ""), "5", ""), "6", ""), "7", ""), "8", ""), "9", "")), PROPER(SUBSTITUTE(SUBSTITUTE(SUBSTITUTE(SUBSTITUTE(SUBSTITUTE(SUBSTITUTE(SUBSTITUTE(SUBSTITUTE(SUBSTITUTE(SUBSTITUTE(MAIN!A790, "0", ""), "1", ""), "2", ""), "3", ""), "4", ""), "5", ""), "6", ""), "7", ""), "8", ""), "9", ""))))</f>
        <v>--</v>
      </c>
      <c r="B790" t="str">
        <f>IF(ISBLANK(MAIN!B790), "--", IFERROR(PROPER(SUBSTITUTE(SUBSTITUTE(SUBSTITUTE(SUBSTITUTE(SUBSTITUTE(SUBSTITUTE(SUBSTITUTE(SUBSTITUTE(SUBSTITUTE(SUBSTITUTE(LEFT(MAIN!B790, FIND(",",MAIN!B790) -1), "0", ""), "1", ""), "2", ""), "3", ""), "4", ""), "5", ""), "6", ""), "7", ""), "8", ""), "9", "")), PROPER(SUBSTITUTE(SUBSTITUTE(SUBSTITUTE(SUBSTITUTE(SUBSTITUTE(SUBSTITUTE(SUBSTITUTE(SUBSTITUTE(SUBSTITUTE(SUBSTITUTE(MAIN!B790, "0", ""), "1", ""), "2", ""), "3", ""), "4", ""), "5", ""), "6", ""), "7", ""), "8", ""), "9", ""))))</f>
        <v>--</v>
      </c>
      <c r="C790" t="str">
        <f>IF(ISBLANK(MAIN!C790), "--", IFERROR(PROPER(SUBSTITUTE(SUBSTITUTE(SUBSTITUTE(SUBSTITUTE(SUBSTITUTE(SUBSTITUTE(SUBSTITUTE(SUBSTITUTE(SUBSTITUTE(SUBSTITUTE(LEFT(MAIN!C790, FIND(",",MAIN!C790) -1), "0", ""), "1", ""), "2", ""), "3", ""), "4", ""), "5", ""), "6", ""), "7", ""), "8", ""), "9", "")), PROPER(SUBSTITUTE(SUBSTITUTE(SUBSTITUTE(SUBSTITUTE(SUBSTITUTE(SUBSTITUTE(SUBSTITUTE(SUBSTITUTE(SUBSTITUTE(SUBSTITUTE(MAIN!C790, "0", ""), "1", ""), "2", ""), "3", ""), "4", ""), "5", ""), "6", ""), "7", ""), "8", ""), "9", ""))))</f>
        <v>--</v>
      </c>
      <c r="D790" t="str">
        <f>IF(ISBLANK(MAIN!D790), "--", IF(ISNUMBER(MATCH(SUBSTITUTE(LEFT(MAIN!D790, IFERROR(FIND(",", MAIN!D790)-1, LEN(MAIN!D790))), " ", ""), lookup_values!$B$2:$B$51, 0)), UPPER(SUBSTITUTE(LEFT(MAIN!D790, IFERROR(FIND(",", MAIN!D790)-1, LEN(MAIN!D790))), " ", "")), IF(ISNA(VLOOKUP(SUBSTITUTE(LEFT(MAIN!D790, IFERROR(FIND(",", MAIN!D790)-1, LEN(MAIN!D790))), " ", ""), lookup_values!$A$2:$B$51, 2, FALSE)), "--", VLOOKUP(SUBSTITUTE(LEFT(MAIN!D790, IFERROR(FIND(",", MAIN!D790)-1, LEN(MAIN!D790))), " ", ""), lookup_values!$A$2:$B$51, 2, FALSE))))</f>
        <v>--</v>
      </c>
      <c r="E790" t="str">
        <f>IF(CLEAN_DATA!D790&lt;&gt;"--","US",IF(ISBLANK(MAIN!E790), "--", IF(ISNUMBER(MATCH(SUBSTITUTE(LEFT(MAIN!E790, IFERROR(FIND(",", MAIN!E790)-1, LEN(MAIN!E790))), " ", ""), lookup_values!$E$2:$E$197, 0)), UPPER(SUBSTITUTE(LEFT(MAIN!E790, IFERROR(FIND(",", MAIN!E790)-1, LEN(MAIN!E790))), " ", "")), IF(ISNA(VLOOKUP(SUBSTITUTE(LEFT(MAIN!E790, IFERROR(FIND(",", MAIN!E790)-1, LEN(MAIN!E790))), " ", ""), lookup_values!$D$2:$E$197, 2, FALSE)), "--", VLOOKUP(SUBSTITUTE(LEFT(MAIN!E790, IFERROR(FIND(",", MAIN!E790)-1, LEN(MAIN!E790))), " ", ""), lookup_values!$D$2:$E$197, 2, FALSE)))))</f>
        <v>--</v>
      </c>
      <c r="F790" t="str">
        <f>IF(ISBLANK(MAIN!F790), "", IF(AND(ISNUMBER(VALUE(TRIM(MAIN!F790))), LEN(TRIM(MAIN!F790))=4), VALUE(TRIM(MAIN!F790)), ""))</f>
        <v/>
      </c>
      <c r="G790">
        <f>IF(ISBLANK(MAIN!G790), 0, IF(ISNUMBER(VALUE(TRIM(MAIN!G790))), VALUE(TRIM(MAIN!G790)), 0))</f>
        <v>0</v>
      </c>
      <c r="H790">
        <f>IF(ISBLANK(MAIN!H790), 0, IF(ISNUMBER(VALUE(TRIM(MAIN!H790))), VALUE(TRIM(MAIN!H790)), 0))</f>
        <v>0</v>
      </c>
      <c r="I790">
        <f>IF(ISBLANK(MAIN!I790), 0, IF(ISNUMBER(VALUE(TRIM(MAIN!I790))), VALUE(TRIM(MAIN!I790)), 0))</f>
        <v>0</v>
      </c>
      <c r="J790">
        <f>IF(ISBLANK(MAIN!J790), 0, IF(ISNUMBER(VALUE(TRIM(MAIN!J790))), VALUE(TRIM(MAIN!J790)), 0))</f>
        <v>0</v>
      </c>
      <c r="K790" cm="1">
        <f t="array" ref="K790">IFERROR(
    VALUE(
        IFERROR(
            UPPER(
                IF(MAX(IFERROR(SEARCH("WD",MAIN!G790:J790), 0))&gt;0, "WD",
                IF(MAX(IFERROR(SEARCH("NS",MAIN!G790:J790), 0))&gt;0, "NS",
                IF(MAX(IFERROR(SEARCH("NC",MAIN!G790:J790), 0))&gt;0, "NC",
                IF(MAX(IFERROR(SEARCH("DQ",MAIN!G790:J790), 0))&gt;0, "DQ",
                IF(ISNUMBER(SEARCH("WD",MAIN!K790)), "WD",
                IF(ISNUMBER(SEARCH("NS",MAIN!K790)), "NS",
                IF(ISNUMBER(SEARCH("NC",MAIN!K790)), "NC",
                IF(ISNUMBER(SEARCH("DQ",MAIN!K790)), "DQ",
                IF(ISNUMBER(SEARCH("A",MAIN!K790)), 0,
                IF(OR(MAIN!K790=0,MAIN!K790=""), 0, --TRIM(MAIN!K790)))))))))))),
            0
        )
    ),
    IFERROR(
        UPPER(
            IF(MAX(IFERROR(SEARCH("WD",MAIN!G790:J790), 0))&gt;0, "WD",
            IF(MAX(IFERROR(SEARCH("NS",MAIN!G790:J790), 0))&gt;0, "NS",
            IF(MAX(IFERROR(SEARCH("NC",MAIN!G790:J790), 0))&gt;0, "NC",
            IF(MAX(IFERROR(SEARCH("DQ",MAIN!G790:J790), 0))&gt;0, "DQ",
            IF(ISNUMBER(SEARCH("WD",MAIN!K790)), "WD",
            IF(ISNUMBER(SEARCH("NS",MAIN!K790)), "NS",
            IF(ISNUMBER(SEARCH("NC",MAIN!K790)), "NC",
            IF(ISNUMBER(SEARCH("DQ",MAIN!K790)), "DQ",
            IF(ISNUMBER(SEARCH("A",MAIN!K790)), 0,
            IF(OR(MAIN!K790=0,MAIN!K790=""), 0, --TRIM(MAIN!K790)))))))))))),
        0
    )
)</f>
        <v>0</v>
      </c>
    </row>
    <row r="791" spans="1:11" x14ac:dyDescent="0.25">
      <c r="A791" t="str">
        <f>IF(ISBLANK(MAIN!A791), "--", IFERROR(PROPER(SUBSTITUTE(SUBSTITUTE(SUBSTITUTE(SUBSTITUTE(SUBSTITUTE(SUBSTITUTE(SUBSTITUTE(SUBSTITUTE(SUBSTITUTE(SUBSTITUTE(LEFT(MAIN!A791, FIND(",",MAIN!A791) -1), "0", ""), "1", ""), "2", ""), "3", ""), "4", ""), "5", ""), "6", ""), "7", ""), "8", ""), "9", "")), PROPER(SUBSTITUTE(SUBSTITUTE(SUBSTITUTE(SUBSTITUTE(SUBSTITUTE(SUBSTITUTE(SUBSTITUTE(SUBSTITUTE(SUBSTITUTE(SUBSTITUTE(MAIN!A791, "0", ""), "1", ""), "2", ""), "3", ""), "4", ""), "5", ""), "6", ""), "7", ""), "8", ""), "9", ""))))</f>
        <v>--</v>
      </c>
      <c r="B791" t="str">
        <f>IF(ISBLANK(MAIN!B791), "--", IFERROR(PROPER(SUBSTITUTE(SUBSTITUTE(SUBSTITUTE(SUBSTITUTE(SUBSTITUTE(SUBSTITUTE(SUBSTITUTE(SUBSTITUTE(SUBSTITUTE(SUBSTITUTE(LEFT(MAIN!B791, FIND(",",MAIN!B791) -1), "0", ""), "1", ""), "2", ""), "3", ""), "4", ""), "5", ""), "6", ""), "7", ""), "8", ""), "9", "")), PROPER(SUBSTITUTE(SUBSTITUTE(SUBSTITUTE(SUBSTITUTE(SUBSTITUTE(SUBSTITUTE(SUBSTITUTE(SUBSTITUTE(SUBSTITUTE(SUBSTITUTE(MAIN!B791, "0", ""), "1", ""), "2", ""), "3", ""), "4", ""), "5", ""), "6", ""), "7", ""), "8", ""), "9", ""))))</f>
        <v>--</v>
      </c>
      <c r="C791" t="str">
        <f>IF(ISBLANK(MAIN!C791), "--", IFERROR(PROPER(SUBSTITUTE(SUBSTITUTE(SUBSTITUTE(SUBSTITUTE(SUBSTITUTE(SUBSTITUTE(SUBSTITUTE(SUBSTITUTE(SUBSTITUTE(SUBSTITUTE(LEFT(MAIN!C791, FIND(",",MAIN!C791) -1), "0", ""), "1", ""), "2", ""), "3", ""), "4", ""), "5", ""), "6", ""), "7", ""), "8", ""), "9", "")), PROPER(SUBSTITUTE(SUBSTITUTE(SUBSTITUTE(SUBSTITUTE(SUBSTITUTE(SUBSTITUTE(SUBSTITUTE(SUBSTITUTE(SUBSTITUTE(SUBSTITUTE(MAIN!C791, "0", ""), "1", ""), "2", ""), "3", ""), "4", ""), "5", ""), "6", ""), "7", ""), "8", ""), "9", ""))))</f>
        <v>--</v>
      </c>
      <c r="D791" t="str">
        <f>IF(ISBLANK(MAIN!D791), "--", IF(ISNUMBER(MATCH(SUBSTITUTE(LEFT(MAIN!D791, IFERROR(FIND(",", MAIN!D791)-1, LEN(MAIN!D791))), " ", ""), lookup_values!$B$2:$B$51, 0)), UPPER(SUBSTITUTE(LEFT(MAIN!D791, IFERROR(FIND(",", MAIN!D791)-1, LEN(MAIN!D791))), " ", "")), IF(ISNA(VLOOKUP(SUBSTITUTE(LEFT(MAIN!D791, IFERROR(FIND(",", MAIN!D791)-1, LEN(MAIN!D791))), " ", ""), lookup_values!$A$2:$B$51, 2, FALSE)), "--", VLOOKUP(SUBSTITUTE(LEFT(MAIN!D791, IFERROR(FIND(",", MAIN!D791)-1, LEN(MAIN!D791))), " ", ""), lookup_values!$A$2:$B$51, 2, FALSE))))</f>
        <v>--</v>
      </c>
      <c r="E791" t="str">
        <f>IF(CLEAN_DATA!D791&lt;&gt;"--","US",IF(ISBLANK(MAIN!E791), "--", IF(ISNUMBER(MATCH(SUBSTITUTE(LEFT(MAIN!E791, IFERROR(FIND(",", MAIN!E791)-1, LEN(MAIN!E791))), " ", ""), lookup_values!$E$2:$E$197, 0)), UPPER(SUBSTITUTE(LEFT(MAIN!E791, IFERROR(FIND(",", MAIN!E791)-1, LEN(MAIN!E791))), " ", "")), IF(ISNA(VLOOKUP(SUBSTITUTE(LEFT(MAIN!E791, IFERROR(FIND(",", MAIN!E791)-1, LEN(MAIN!E791))), " ", ""), lookup_values!$D$2:$E$197, 2, FALSE)), "--", VLOOKUP(SUBSTITUTE(LEFT(MAIN!E791, IFERROR(FIND(",", MAIN!E791)-1, LEN(MAIN!E791))), " ", ""), lookup_values!$D$2:$E$197, 2, FALSE)))))</f>
        <v>--</v>
      </c>
      <c r="F791" t="str">
        <f>IF(ISBLANK(MAIN!F791), "", IF(AND(ISNUMBER(VALUE(TRIM(MAIN!F791))), LEN(TRIM(MAIN!F791))=4), VALUE(TRIM(MAIN!F791)), ""))</f>
        <v/>
      </c>
      <c r="G791">
        <f>IF(ISBLANK(MAIN!G791), 0, IF(ISNUMBER(VALUE(TRIM(MAIN!G791))), VALUE(TRIM(MAIN!G791)), 0))</f>
        <v>0</v>
      </c>
      <c r="H791">
        <f>IF(ISBLANK(MAIN!H791), 0, IF(ISNUMBER(VALUE(TRIM(MAIN!H791))), VALUE(TRIM(MAIN!H791)), 0))</f>
        <v>0</v>
      </c>
      <c r="I791">
        <f>IF(ISBLANK(MAIN!I791), 0, IF(ISNUMBER(VALUE(TRIM(MAIN!I791))), VALUE(TRIM(MAIN!I791)), 0))</f>
        <v>0</v>
      </c>
      <c r="J791">
        <f>IF(ISBLANK(MAIN!J791), 0, IF(ISNUMBER(VALUE(TRIM(MAIN!J791))), VALUE(TRIM(MAIN!J791)), 0))</f>
        <v>0</v>
      </c>
      <c r="K791" cm="1">
        <f t="array" ref="K791">IFERROR(
    VALUE(
        IFERROR(
            UPPER(
                IF(MAX(IFERROR(SEARCH("WD",MAIN!G791:J791), 0))&gt;0, "WD",
                IF(MAX(IFERROR(SEARCH("NS",MAIN!G791:J791), 0))&gt;0, "NS",
                IF(MAX(IFERROR(SEARCH("NC",MAIN!G791:J791), 0))&gt;0, "NC",
                IF(MAX(IFERROR(SEARCH("DQ",MAIN!G791:J791), 0))&gt;0, "DQ",
                IF(ISNUMBER(SEARCH("WD",MAIN!K791)), "WD",
                IF(ISNUMBER(SEARCH("NS",MAIN!K791)), "NS",
                IF(ISNUMBER(SEARCH("NC",MAIN!K791)), "NC",
                IF(ISNUMBER(SEARCH("DQ",MAIN!K791)), "DQ",
                IF(ISNUMBER(SEARCH("A",MAIN!K791)), 0,
                IF(OR(MAIN!K791=0,MAIN!K791=""), 0, --TRIM(MAIN!K791)))))))))))),
            0
        )
    ),
    IFERROR(
        UPPER(
            IF(MAX(IFERROR(SEARCH("WD",MAIN!G791:J791), 0))&gt;0, "WD",
            IF(MAX(IFERROR(SEARCH("NS",MAIN!G791:J791), 0))&gt;0, "NS",
            IF(MAX(IFERROR(SEARCH("NC",MAIN!G791:J791), 0))&gt;0, "NC",
            IF(MAX(IFERROR(SEARCH("DQ",MAIN!G791:J791), 0))&gt;0, "DQ",
            IF(ISNUMBER(SEARCH("WD",MAIN!K791)), "WD",
            IF(ISNUMBER(SEARCH("NS",MAIN!K791)), "NS",
            IF(ISNUMBER(SEARCH("NC",MAIN!K791)), "NC",
            IF(ISNUMBER(SEARCH("DQ",MAIN!K791)), "DQ",
            IF(ISNUMBER(SEARCH("A",MAIN!K791)), 0,
            IF(OR(MAIN!K791=0,MAIN!K791=""), 0, --TRIM(MAIN!K791)))))))))))),
        0
    )
)</f>
        <v>0</v>
      </c>
    </row>
    <row r="792" spans="1:11" x14ac:dyDescent="0.25">
      <c r="A792" t="str">
        <f>IF(ISBLANK(MAIN!A792), "--", IFERROR(PROPER(SUBSTITUTE(SUBSTITUTE(SUBSTITUTE(SUBSTITUTE(SUBSTITUTE(SUBSTITUTE(SUBSTITUTE(SUBSTITUTE(SUBSTITUTE(SUBSTITUTE(LEFT(MAIN!A792, FIND(",",MAIN!A792) -1), "0", ""), "1", ""), "2", ""), "3", ""), "4", ""), "5", ""), "6", ""), "7", ""), "8", ""), "9", "")), PROPER(SUBSTITUTE(SUBSTITUTE(SUBSTITUTE(SUBSTITUTE(SUBSTITUTE(SUBSTITUTE(SUBSTITUTE(SUBSTITUTE(SUBSTITUTE(SUBSTITUTE(MAIN!A792, "0", ""), "1", ""), "2", ""), "3", ""), "4", ""), "5", ""), "6", ""), "7", ""), "8", ""), "9", ""))))</f>
        <v>--</v>
      </c>
      <c r="B792" t="str">
        <f>IF(ISBLANK(MAIN!B792), "--", IFERROR(PROPER(SUBSTITUTE(SUBSTITUTE(SUBSTITUTE(SUBSTITUTE(SUBSTITUTE(SUBSTITUTE(SUBSTITUTE(SUBSTITUTE(SUBSTITUTE(SUBSTITUTE(LEFT(MAIN!B792, FIND(",",MAIN!B792) -1), "0", ""), "1", ""), "2", ""), "3", ""), "4", ""), "5", ""), "6", ""), "7", ""), "8", ""), "9", "")), PROPER(SUBSTITUTE(SUBSTITUTE(SUBSTITUTE(SUBSTITUTE(SUBSTITUTE(SUBSTITUTE(SUBSTITUTE(SUBSTITUTE(SUBSTITUTE(SUBSTITUTE(MAIN!B792, "0", ""), "1", ""), "2", ""), "3", ""), "4", ""), "5", ""), "6", ""), "7", ""), "8", ""), "9", ""))))</f>
        <v>--</v>
      </c>
      <c r="C792" t="str">
        <f>IF(ISBLANK(MAIN!C792), "--", IFERROR(PROPER(SUBSTITUTE(SUBSTITUTE(SUBSTITUTE(SUBSTITUTE(SUBSTITUTE(SUBSTITUTE(SUBSTITUTE(SUBSTITUTE(SUBSTITUTE(SUBSTITUTE(LEFT(MAIN!C792, FIND(",",MAIN!C792) -1), "0", ""), "1", ""), "2", ""), "3", ""), "4", ""), "5", ""), "6", ""), "7", ""), "8", ""), "9", "")), PROPER(SUBSTITUTE(SUBSTITUTE(SUBSTITUTE(SUBSTITUTE(SUBSTITUTE(SUBSTITUTE(SUBSTITUTE(SUBSTITUTE(SUBSTITUTE(SUBSTITUTE(MAIN!C792, "0", ""), "1", ""), "2", ""), "3", ""), "4", ""), "5", ""), "6", ""), "7", ""), "8", ""), "9", ""))))</f>
        <v>--</v>
      </c>
      <c r="D792" t="str">
        <f>IF(ISBLANK(MAIN!D792), "--", IF(ISNUMBER(MATCH(SUBSTITUTE(LEFT(MAIN!D792, IFERROR(FIND(",", MAIN!D792)-1, LEN(MAIN!D792))), " ", ""), lookup_values!$B$2:$B$51, 0)), UPPER(SUBSTITUTE(LEFT(MAIN!D792, IFERROR(FIND(",", MAIN!D792)-1, LEN(MAIN!D792))), " ", "")), IF(ISNA(VLOOKUP(SUBSTITUTE(LEFT(MAIN!D792, IFERROR(FIND(",", MAIN!D792)-1, LEN(MAIN!D792))), " ", ""), lookup_values!$A$2:$B$51, 2, FALSE)), "--", VLOOKUP(SUBSTITUTE(LEFT(MAIN!D792, IFERROR(FIND(",", MAIN!D792)-1, LEN(MAIN!D792))), " ", ""), lookup_values!$A$2:$B$51, 2, FALSE))))</f>
        <v>--</v>
      </c>
      <c r="E792" t="str">
        <f>IF(CLEAN_DATA!D792&lt;&gt;"--","US",IF(ISBLANK(MAIN!E792), "--", IF(ISNUMBER(MATCH(SUBSTITUTE(LEFT(MAIN!E792, IFERROR(FIND(",", MAIN!E792)-1, LEN(MAIN!E792))), " ", ""), lookup_values!$E$2:$E$197, 0)), UPPER(SUBSTITUTE(LEFT(MAIN!E792, IFERROR(FIND(",", MAIN!E792)-1, LEN(MAIN!E792))), " ", "")), IF(ISNA(VLOOKUP(SUBSTITUTE(LEFT(MAIN!E792, IFERROR(FIND(",", MAIN!E792)-1, LEN(MAIN!E792))), " ", ""), lookup_values!$D$2:$E$197, 2, FALSE)), "--", VLOOKUP(SUBSTITUTE(LEFT(MAIN!E792, IFERROR(FIND(",", MAIN!E792)-1, LEN(MAIN!E792))), " ", ""), lookup_values!$D$2:$E$197, 2, FALSE)))))</f>
        <v>--</v>
      </c>
      <c r="F792" t="str">
        <f>IF(ISBLANK(MAIN!F792), "", IF(AND(ISNUMBER(VALUE(TRIM(MAIN!F792))), LEN(TRIM(MAIN!F792))=4), VALUE(TRIM(MAIN!F792)), ""))</f>
        <v/>
      </c>
      <c r="G792">
        <f>IF(ISBLANK(MAIN!G792), 0, IF(ISNUMBER(VALUE(TRIM(MAIN!G792))), VALUE(TRIM(MAIN!G792)), 0))</f>
        <v>0</v>
      </c>
      <c r="H792">
        <f>IF(ISBLANK(MAIN!H792), 0, IF(ISNUMBER(VALUE(TRIM(MAIN!H792))), VALUE(TRIM(MAIN!H792)), 0))</f>
        <v>0</v>
      </c>
      <c r="I792">
        <f>IF(ISBLANK(MAIN!I792), 0, IF(ISNUMBER(VALUE(TRIM(MAIN!I792))), VALUE(TRIM(MAIN!I792)), 0))</f>
        <v>0</v>
      </c>
      <c r="J792">
        <f>IF(ISBLANK(MAIN!J792), 0, IF(ISNUMBER(VALUE(TRIM(MAIN!J792))), VALUE(TRIM(MAIN!J792)), 0))</f>
        <v>0</v>
      </c>
      <c r="K792" cm="1">
        <f t="array" ref="K792">IFERROR(
    VALUE(
        IFERROR(
            UPPER(
                IF(MAX(IFERROR(SEARCH("WD",MAIN!G792:J792), 0))&gt;0, "WD",
                IF(MAX(IFERROR(SEARCH("NS",MAIN!G792:J792), 0))&gt;0, "NS",
                IF(MAX(IFERROR(SEARCH("NC",MAIN!G792:J792), 0))&gt;0, "NC",
                IF(MAX(IFERROR(SEARCH("DQ",MAIN!G792:J792), 0))&gt;0, "DQ",
                IF(ISNUMBER(SEARCH("WD",MAIN!K792)), "WD",
                IF(ISNUMBER(SEARCH("NS",MAIN!K792)), "NS",
                IF(ISNUMBER(SEARCH("NC",MAIN!K792)), "NC",
                IF(ISNUMBER(SEARCH("DQ",MAIN!K792)), "DQ",
                IF(ISNUMBER(SEARCH("A",MAIN!K792)), 0,
                IF(OR(MAIN!K792=0,MAIN!K792=""), 0, --TRIM(MAIN!K792)))))))))))),
            0
        )
    ),
    IFERROR(
        UPPER(
            IF(MAX(IFERROR(SEARCH("WD",MAIN!G792:J792), 0))&gt;0, "WD",
            IF(MAX(IFERROR(SEARCH("NS",MAIN!G792:J792), 0))&gt;0, "NS",
            IF(MAX(IFERROR(SEARCH("NC",MAIN!G792:J792), 0))&gt;0, "NC",
            IF(MAX(IFERROR(SEARCH("DQ",MAIN!G792:J792), 0))&gt;0, "DQ",
            IF(ISNUMBER(SEARCH("WD",MAIN!K792)), "WD",
            IF(ISNUMBER(SEARCH("NS",MAIN!K792)), "NS",
            IF(ISNUMBER(SEARCH("NC",MAIN!K792)), "NC",
            IF(ISNUMBER(SEARCH("DQ",MAIN!K792)), "DQ",
            IF(ISNUMBER(SEARCH("A",MAIN!K792)), 0,
            IF(OR(MAIN!K792=0,MAIN!K792=""), 0, --TRIM(MAIN!K792)))))))))))),
        0
    )
)</f>
        <v>0</v>
      </c>
    </row>
    <row r="793" spans="1:11" x14ac:dyDescent="0.25">
      <c r="A793" t="str">
        <f>IF(ISBLANK(MAIN!A793), "--", IFERROR(PROPER(SUBSTITUTE(SUBSTITUTE(SUBSTITUTE(SUBSTITUTE(SUBSTITUTE(SUBSTITUTE(SUBSTITUTE(SUBSTITUTE(SUBSTITUTE(SUBSTITUTE(LEFT(MAIN!A793, FIND(",",MAIN!A793) -1), "0", ""), "1", ""), "2", ""), "3", ""), "4", ""), "5", ""), "6", ""), "7", ""), "8", ""), "9", "")), PROPER(SUBSTITUTE(SUBSTITUTE(SUBSTITUTE(SUBSTITUTE(SUBSTITUTE(SUBSTITUTE(SUBSTITUTE(SUBSTITUTE(SUBSTITUTE(SUBSTITUTE(MAIN!A793, "0", ""), "1", ""), "2", ""), "3", ""), "4", ""), "5", ""), "6", ""), "7", ""), "8", ""), "9", ""))))</f>
        <v>--</v>
      </c>
      <c r="B793" t="str">
        <f>IF(ISBLANK(MAIN!B793), "--", IFERROR(PROPER(SUBSTITUTE(SUBSTITUTE(SUBSTITUTE(SUBSTITUTE(SUBSTITUTE(SUBSTITUTE(SUBSTITUTE(SUBSTITUTE(SUBSTITUTE(SUBSTITUTE(LEFT(MAIN!B793, FIND(",",MAIN!B793) -1), "0", ""), "1", ""), "2", ""), "3", ""), "4", ""), "5", ""), "6", ""), "7", ""), "8", ""), "9", "")), PROPER(SUBSTITUTE(SUBSTITUTE(SUBSTITUTE(SUBSTITUTE(SUBSTITUTE(SUBSTITUTE(SUBSTITUTE(SUBSTITUTE(SUBSTITUTE(SUBSTITUTE(MAIN!B793, "0", ""), "1", ""), "2", ""), "3", ""), "4", ""), "5", ""), "6", ""), "7", ""), "8", ""), "9", ""))))</f>
        <v>--</v>
      </c>
      <c r="C793" t="str">
        <f>IF(ISBLANK(MAIN!C793), "--", IFERROR(PROPER(SUBSTITUTE(SUBSTITUTE(SUBSTITUTE(SUBSTITUTE(SUBSTITUTE(SUBSTITUTE(SUBSTITUTE(SUBSTITUTE(SUBSTITUTE(SUBSTITUTE(LEFT(MAIN!C793, FIND(",",MAIN!C793) -1), "0", ""), "1", ""), "2", ""), "3", ""), "4", ""), "5", ""), "6", ""), "7", ""), "8", ""), "9", "")), PROPER(SUBSTITUTE(SUBSTITUTE(SUBSTITUTE(SUBSTITUTE(SUBSTITUTE(SUBSTITUTE(SUBSTITUTE(SUBSTITUTE(SUBSTITUTE(SUBSTITUTE(MAIN!C793, "0", ""), "1", ""), "2", ""), "3", ""), "4", ""), "5", ""), "6", ""), "7", ""), "8", ""), "9", ""))))</f>
        <v>--</v>
      </c>
      <c r="D793" t="str">
        <f>IF(ISBLANK(MAIN!D793), "--", IF(ISNUMBER(MATCH(SUBSTITUTE(LEFT(MAIN!D793, IFERROR(FIND(",", MAIN!D793)-1, LEN(MAIN!D793))), " ", ""), lookup_values!$B$2:$B$51, 0)), UPPER(SUBSTITUTE(LEFT(MAIN!D793, IFERROR(FIND(",", MAIN!D793)-1, LEN(MAIN!D793))), " ", "")), IF(ISNA(VLOOKUP(SUBSTITUTE(LEFT(MAIN!D793, IFERROR(FIND(",", MAIN!D793)-1, LEN(MAIN!D793))), " ", ""), lookup_values!$A$2:$B$51, 2, FALSE)), "--", VLOOKUP(SUBSTITUTE(LEFT(MAIN!D793, IFERROR(FIND(",", MAIN!D793)-1, LEN(MAIN!D793))), " ", ""), lookup_values!$A$2:$B$51, 2, FALSE))))</f>
        <v>--</v>
      </c>
      <c r="E793" t="str">
        <f>IF(CLEAN_DATA!D793&lt;&gt;"--","US",IF(ISBLANK(MAIN!E793), "--", IF(ISNUMBER(MATCH(SUBSTITUTE(LEFT(MAIN!E793, IFERROR(FIND(",", MAIN!E793)-1, LEN(MAIN!E793))), " ", ""), lookup_values!$E$2:$E$197, 0)), UPPER(SUBSTITUTE(LEFT(MAIN!E793, IFERROR(FIND(",", MAIN!E793)-1, LEN(MAIN!E793))), " ", "")), IF(ISNA(VLOOKUP(SUBSTITUTE(LEFT(MAIN!E793, IFERROR(FIND(",", MAIN!E793)-1, LEN(MAIN!E793))), " ", ""), lookup_values!$D$2:$E$197, 2, FALSE)), "--", VLOOKUP(SUBSTITUTE(LEFT(MAIN!E793, IFERROR(FIND(",", MAIN!E793)-1, LEN(MAIN!E793))), " ", ""), lookup_values!$D$2:$E$197, 2, FALSE)))))</f>
        <v>--</v>
      </c>
      <c r="F793" t="str">
        <f>IF(ISBLANK(MAIN!F793), "", IF(AND(ISNUMBER(VALUE(TRIM(MAIN!F793))), LEN(TRIM(MAIN!F793))=4), VALUE(TRIM(MAIN!F793)), ""))</f>
        <v/>
      </c>
      <c r="G793">
        <f>IF(ISBLANK(MAIN!G793), 0, IF(ISNUMBER(VALUE(TRIM(MAIN!G793))), VALUE(TRIM(MAIN!G793)), 0))</f>
        <v>0</v>
      </c>
      <c r="H793">
        <f>IF(ISBLANK(MAIN!H793), 0, IF(ISNUMBER(VALUE(TRIM(MAIN!H793))), VALUE(TRIM(MAIN!H793)), 0))</f>
        <v>0</v>
      </c>
      <c r="I793">
        <f>IF(ISBLANK(MAIN!I793), 0, IF(ISNUMBER(VALUE(TRIM(MAIN!I793))), VALUE(TRIM(MAIN!I793)), 0))</f>
        <v>0</v>
      </c>
      <c r="J793">
        <f>IF(ISBLANK(MAIN!J793), 0, IF(ISNUMBER(VALUE(TRIM(MAIN!J793))), VALUE(TRIM(MAIN!J793)), 0))</f>
        <v>0</v>
      </c>
      <c r="K793" cm="1">
        <f t="array" ref="K793">IFERROR(
    VALUE(
        IFERROR(
            UPPER(
                IF(MAX(IFERROR(SEARCH("WD",MAIN!G793:J793), 0))&gt;0, "WD",
                IF(MAX(IFERROR(SEARCH("NS",MAIN!G793:J793), 0))&gt;0, "NS",
                IF(MAX(IFERROR(SEARCH("NC",MAIN!G793:J793), 0))&gt;0, "NC",
                IF(MAX(IFERROR(SEARCH("DQ",MAIN!G793:J793), 0))&gt;0, "DQ",
                IF(ISNUMBER(SEARCH("WD",MAIN!K793)), "WD",
                IF(ISNUMBER(SEARCH("NS",MAIN!K793)), "NS",
                IF(ISNUMBER(SEARCH("NC",MAIN!K793)), "NC",
                IF(ISNUMBER(SEARCH("DQ",MAIN!K793)), "DQ",
                IF(ISNUMBER(SEARCH("A",MAIN!K793)), 0,
                IF(OR(MAIN!K793=0,MAIN!K793=""), 0, --TRIM(MAIN!K793)))))))))))),
            0
        )
    ),
    IFERROR(
        UPPER(
            IF(MAX(IFERROR(SEARCH("WD",MAIN!G793:J793), 0))&gt;0, "WD",
            IF(MAX(IFERROR(SEARCH("NS",MAIN!G793:J793), 0))&gt;0, "NS",
            IF(MAX(IFERROR(SEARCH("NC",MAIN!G793:J793), 0))&gt;0, "NC",
            IF(MAX(IFERROR(SEARCH("DQ",MAIN!G793:J793), 0))&gt;0, "DQ",
            IF(ISNUMBER(SEARCH("WD",MAIN!K793)), "WD",
            IF(ISNUMBER(SEARCH("NS",MAIN!K793)), "NS",
            IF(ISNUMBER(SEARCH("NC",MAIN!K793)), "NC",
            IF(ISNUMBER(SEARCH("DQ",MAIN!K793)), "DQ",
            IF(ISNUMBER(SEARCH("A",MAIN!K793)), 0,
            IF(OR(MAIN!K793=0,MAIN!K793=""), 0, --TRIM(MAIN!K793)))))))))))),
        0
    )
)</f>
        <v>0</v>
      </c>
    </row>
    <row r="794" spans="1:11" x14ac:dyDescent="0.25">
      <c r="A794" t="str">
        <f>IF(ISBLANK(MAIN!A794), "--", IFERROR(PROPER(SUBSTITUTE(SUBSTITUTE(SUBSTITUTE(SUBSTITUTE(SUBSTITUTE(SUBSTITUTE(SUBSTITUTE(SUBSTITUTE(SUBSTITUTE(SUBSTITUTE(LEFT(MAIN!A794, FIND(",",MAIN!A794) -1), "0", ""), "1", ""), "2", ""), "3", ""), "4", ""), "5", ""), "6", ""), "7", ""), "8", ""), "9", "")), PROPER(SUBSTITUTE(SUBSTITUTE(SUBSTITUTE(SUBSTITUTE(SUBSTITUTE(SUBSTITUTE(SUBSTITUTE(SUBSTITUTE(SUBSTITUTE(SUBSTITUTE(MAIN!A794, "0", ""), "1", ""), "2", ""), "3", ""), "4", ""), "5", ""), "6", ""), "7", ""), "8", ""), "9", ""))))</f>
        <v>--</v>
      </c>
      <c r="B794" t="str">
        <f>IF(ISBLANK(MAIN!B794), "--", IFERROR(PROPER(SUBSTITUTE(SUBSTITUTE(SUBSTITUTE(SUBSTITUTE(SUBSTITUTE(SUBSTITUTE(SUBSTITUTE(SUBSTITUTE(SUBSTITUTE(SUBSTITUTE(LEFT(MAIN!B794, FIND(",",MAIN!B794) -1), "0", ""), "1", ""), "2", ""), "3", ""), "4", ""), "5", ""), "6", ""), "7", ""), "8", ""), "9", "")), PROPER(SUBSTITUTE(SUBSTITUTE(SUBSTITUTE(SUBSTITUTE(SUBSTITUTE(SUBSTITUTE(SUBSTITUTE(SUBSTITUTE(SUBSTITUTE(SUBSTITUTE(MAIN!B794, "0", ""), "1", ""), "2", ""), "3", ""), "4", ""), "5", ""), "6", ""), "7", ""), "8", ""), "9", ""))))</f>
        <v>--</v>
      </c>
      <c r="C794" t="str">
        <f>IF(ISBLANK(MAIN!C794), "--", IFERROR(PROPER(SUBSTITUTE(SUBSTITUTE(SUBSTITUTE(SUBSTITUTE(SUBSTITUTE(SUBSTITUTE(SUBSTITUTE(SUBSTITUTE(SUBSTITUTE(SUBSTITUTE(LEFT(MAIN!C794, FIND(",",MAIN!C794) -1), "0", ""), "1", ""), "2", ""), "3", ""), "4", ""), "5", ""), "6", ""), "7", ""), "8", ""), "9", "")), PROPER(SUBSTITUTE(SUBSTITUTE(SUBSTITUTE(SUBSTITUTE(SUBSTITUTE(SUBSTITUTE(SUBSTITUTE(SUBSTITUTE(SUBSTITUTE(SUBSTITUTE(MAIN!C794, "0", ""), "1", ""), "2", ""), "3", ""), "4", ""), "5", ""), "6", ""), "7", ""), "8", ""), "9", ""))))</f>
        <v>--</v>
      </c>
      <c r="D794" t="str">
        <f>IF(ISBLANK(MAIN!D794), "--", IF(ISNUMBER(MATCH(SUBSTITUTE(LEFT(MAIN!D794, IFERROR(FIND(",", MAIN!D794)-1, LEN(MAIN!D794))), " ", ""), lookup_values!$B$2:$B$51, 0)), UPPER(SUBSTITUTE(LEFT(MAIN!D794, IFERROR(FIND(",", MAIN!D794)-1, LEN(MAIN!D794))), " ", "")), IF(ISNA(VLOOKUP(SUBSTITUTE(LEFT(MAIN!D794, IFERROR(FIND(",", MAIN!D794)-1, LEN(MAIN!D794))), " ", ""), lookup_values!$A$2:$B$51, 2, FALSE)), "--", VLOOKUP(SUBSTITUTE(LEFT(MAIN!D794, IFERROR(FIND(",", MAIN!D794)-1, LEN(MAIN!D794))), " ", ""), lookup_values!$A$2:$B$51, 2, FALSE))))</f>
        <v>--</v>
      </c>
      <c r="E794" t="str">
        <f>IF(CLEAN_DATA!D794&lt;&gt;"--","US",IF(ISBLANK(MAIN!E794), "--", IF(ISNUMBER(MATCH(SUBSTITUTE(LEFT(MAIN!E794, IFERROR(FIND(",", MAIN!E794)-1, LEN(MAIN!E794))), " ", ""), lookup_values!$E$2:$E$197, 0)), UPPER(SUBSTITUTE(LEFT(MAIN!E794, IFERROR(FIND(",", MAIN!E794)-1, LEN(MAIN!E794))), " ", "")), IF(ISNA(VLOOKUP(SUBSTITUTE(LEFT(MAIN!E794, IFERROR(FIND(",", MAIN!E794)-1, LEN(MAIN!E794))), " ", ""), lookup_values!$D$2:$E$197, 2, FALSE)), "--", VLOOKUP(SUBSTITUTE(LEFT(MAIN!E794, IFERROR(FIND(",", MAIN!E794)-1, LEN(MAIN!E794))), " ", ""), lookup_values!$D$2:$E$197, 2, FALSE)))))</f>
        <v>--</v>
      </c>
      <c r="F794" t="str">
        <f>IF(ISBLANK(MAIN!F794), "", IF(AND(ISNUMBER(VALUE(TRIM(MAIN!F794))), LEN(TRIM(MAIN!F794))=4), VALUE(TRIM(MAIN!F794)), ""))</f>
        <v/>
      </c>
      <c r="G794">
        <f>IF(ISBLANK(MAIN!G794), 0, IF(ISNUMBER(VALUE(TRIM(MAIN!G794))), VALUE(TRIM(MAIN!G794)), 0))</f>
        <v>0</v>
      </c>
      <c r="H794">
        <f>IF(ISBLANK(MAIN!H794), 0, IF(ISNUMBER(VALUE(TRIM(MAIN!H794))), VALUE(TRIM(MAIN!H794)), 0))</f>
        <v>0</v>
      </c>
      <c r="I794">
        <f>IF(ISBLANK(MAIN!I794), 0, IF(ISNUMBER(VALUE(TRIM(MAIN!I794))), VALUE(TRIM(MAIN!I794)), 0))</f>
        <v>0</v>
      </c>
      <c r="J794">
        <f>IF(ISBLANK(MAIN!J794), 0, IF(ISNUMBER(VALUE(TRIM(MAIN!J794))), VALUE(TRIM(MAIN!J794)), 0))</f>
        <v>0</v>
      </c>
      <c r="K794" cm="1">
        <f t="array" ref="K794">IFERROR(
    VALUE(
        IFERROR(
            UPPER(
                IF(MAX(IFERROR(SEARCH("WD",MAIN!G794:J794), 0))&gt;0, "WD",
                IF(MAX(IFERROR(SEARCH("NS",MAIN!G794:J794), 0))&gt;0, "NS",
                IF(MAX(IFERROR(SEARCH("NC",MAIN!G794:J794), 0))&gt;0, "NC",
                IF(MAX(IFERROR(SEARCH("DQ",MAIN!G794:J794), 0))&gt;0, "DQ",
                IF(ISNUMBER(SEARCH("WD",MAIN!K794)), "WD",
                IF(ISNUMBER(SEARCH("NS",MAIN!K794)), "NS",
                IF(ISNUMBER(SEARCH("NC",MAIN!K794)), "NC",
                IF(ISNUMBER(SEARCH("DQ",MAIN!K794)), "DQ",
                IF(ISNUMBER(SEARCH("A",MAIN!K794)), 0,
                IF(OR(MAIN!K794=0,MAIN!K794=""), 0, --TRIM(MAIN!K794)))))))))))),
            0
        )
    ),
    IFERROR(
        UPPER(
            IF(MAX(IFERROR(SEARCH("WD",MAIN!G794:J794), 0))&gt;0, "WD",
            IF(MAX(IFERROR(SEARCH("NS",MAIN!G794:J794), 0))&gt;0, "NS",
            IF(MAX(IFERROR(SEARCH("NC",MAIN!G794:J794), 0))&gt;0, "NC",
            IF(MAX(IFERROR(SEARCH("DQ",MAIN!G794:J794), 0))&gt;0, "DQ",
            IF(ISNUMBER(SEARCH("WD",MAIN!K794)), "WD",
            IF(ISNUMBER(SEARCH("NS",MAIN!K794)), "NS",
            IF(ISNUMBER(SEARCH("NC",MAIN!K794)), "NC",
            IF(ISNUMBER(SEARCH("DQ",MAIN!K794)), "DQ",
            IF(ISNUMBER(SEARCH("A",MAIN!K794)), 0,
            IF(OR(MAIN!K794=0,MAIN!K794=""), 0, --TRIM(MAIN!K794)))))))))))),
        0
    )
)</f>
        <v>0</v>
      </c>
    </row>
    <row r="795" spans="1:11" x14ac:dyDescent="0.25">
      <c r="A795" t="str">
        <f>IF(ISBLANK(MAIN!A795), "--", IFERROR(PROPER(SUBSTITUTE(SUBSTITUTE(SUBSTITUTE(SUBSTITUTE(SUBSTITUTE(SUBSTITUTE(SUBSTITUTE(SUBSTITUTE(SUBSTITUTE(SUBSTITUTE(LEFT(MAIN!A795, FIND(",",MAIN!A795) -1), "0", ""), "1", ""), "2", ""), "3", ""), "4", ""), "5", ""), "6", ""), "7", ""), "8", ""), "9", "")), PROPER(SUBSTITUTE(SUBSTITUTE(SUBSTITUTE(SUBSTITUTE(SUBSTITUTE(SUBSTITUTE(SUBSTITUTE(SUBSTITUTE(SUBSTITUTE(SUBSTITUTE(MAIN!A795, "0", ""), "1", ""), "2", ""), "3", ""), "4", ""), "5", ""), "6", ""), "7", ""), "8", ""), "9", ""))))</f>
        <v>--</v>
      </c>
      <c r="B795" t="str">
        <f>IF(ISBLANK(MAIN!B795), "--", IFERROR(PROPER(SUBSTITUTE(SUBSTITUTE(SUBSTITUTE(SUBSTITUTE(SUBSTITUTE(SUBSTITUTE(SUBSTITUTE(SUBSTITUTE(SUBSTITUTE(SUBSTITUTE(LEFT(MAIN!B795, FIND(",",MAIN!B795) -1), "0", ""), "1", ""), "2", ""), "3", ""), "4", ""), "5", ""), "6", ""), "7", ""), "8", ""), "9", "")), PROPER(SUBSTITUTE(SUBSTITUTE(SUBSTITUTE(SUBSTITUTE(SUBSTITUTE(SUBSTITUTE(SUBSTITUTE(SUBSTITUTE(SUBSTITUTE(SUBSTITUTE(MAIN!B795, "0", ""), "1", ""), "2", ""), "3", ""), "4", ""), "5", ""), "6", ""), "7", ""), "8", ""), "9", ""))))</f>
        <v>--</v>
      </c>
      <c r="C795" t="str">
        <f>IF(ISBLANK(MAIN!C795), "--", IFERROR(PROPER(SUBSTITUTE(SUBSTITUTE(SUBSTITUTE(SUBSTITUTE(SUBSTITUTE(SUBSTITUTE(SUBSTITUTE(SUBSTITUTE(SUBSTITUTE(SUBSTITUTE(LEFT(MAIN!C795, FIND(",",MAIN!C795) -1), "0", ""), "1", ""), "2", ""), "3", ""), "4", ""), "5", ""), "6", ""), "7", ""), "8", ""), "9", "")), PROPER(SUBSTITUTE(SUBSTITUTE(SUBSTITUTE(SUBSTITUTE(SUBSTITUTE(SUBSTITUTE(SUBSTITUTE(SUBSTITUTE(SUBSTITUTE(SUBSTITUTE(MAIN!C795, "0", ""), "1", ""), "2", ""), "3", ""), "4", ""), "5", ""), "6", ""), "7", ""), "8", ""), "9", ""))))</f>
        <v>--</v>
      </c>
      <c r="D795" t="str">
        <f>IF(ISBLANK(MAIN!D795), "--", IF(ISNUMBER(MATCH(SUBSTITUTE(LEFT(MAIN!D795, IFERROR(FIND(",", MAIN!D795)-1, LEN(MAIN!D795))), " ", ""), lookup_values!$B$2:$B$51, 0)), UPPER(SUBSTITUTE(LEFT(MAIN!D795, IFERROR(FIND(",", MAIN!D795)-1, LEN(MAIN!D795))), " ", "")), IF(ISNA(VLOOKUP(SUBSTITUTE(LEFT(MAIN!D795, IFERROR(FIND(",", MAIN!D795)-1, LEN(MAIN!D795))), " ", ""), lookup_values!$A$2:$B$51, 2, FALSE)), "--", VLOOKUP(SUBSTITUTE(LEFT(MAIN!D795, IFERROR(FIND(",", MAIN!D795)-1, LEN(MAIN!D795))), " ", ""), lookup_values!$A$2:$B$51, 2, FALSE))))</f>
        <v>--</v>
      </c>
      <c r="E795" t="str">
        <f>IF(CLEAN_DATA!D795&lt;&gt;"--","US",IF(ISBLANK(MAIN!E795), "--", IF(ISNUMBER(MATCH(SUBSTITUTE(LEFT(MAIN!E795, IFERROR(FIND(",", MAIN!E795)-1, LEN(MAIN!E795))), " ", ""), lookup_values!$E$2:$E$197, 0)), UPPER(SUBSTITUTE(LEFT(MAIN!E795, IFERROR(FIND(",", MAIN!E795)-1, LEN(MAIN!E795))), " ", "")), IF(ISNA(VLOOKUP(SUBSTITUTE(LEFT(MAIN!E795, IFERROR(FIND(",", MAIN!E795)-1, LEN(MAIN!E795))), " ", ""), lookup_values!$D$2:$E$197, 2, FALSE)), "--", VLOOKUP(SUBSTITUTE(LEFT(MAIN!E795, IFERROR(FIND(",", MAIN!E795)-1, LEN(MAIN!E795))), " ", ""), lookup_values!$D$2:$E$197, 2, FALSE)))))</f>
        <v>--</v>
      </c>
      <c r="F795" t="str">
        <f>IF(ISBLANK(MAIN!F795), "", IF(AND(ISNUMBER(VALUE(TRIM(MAIN!F795))), LEN(TRIM(MAIN!F795))=4), VALUE(TRIM(MAIN!F795)), ""))</f>
        <v/>
      </c>
      <c r="G795">
        <f>IF(ISBLANK(MAIN!G795), 0, IF(ISNUMBER(VALUE(TRIM(MAIN!G795))), VALUE(TRIM(MAIN!G795)), 0))</f>
        <v>0</v>
      </c>
      <c r="H795">
        <f>IF(ISBLANK(MAIN!H795), 0, IF(ISNUMBER(VALUE(TRIM(MAIN!H795))), VALUE(TRIM(MAIN!H795)), 0))</f>
        <v>0</v>
      </c>
      <c r="I795">
        <f>IF(ISBLANK(MAIN!I795), 0, IF(ISNUMBER(VALUE(TRIM(MAIN!I795))), VALUE(TRIM(MAIN!I795)), 0))</f>
        <v>0</v>
      </c>
      <c r="J795">
        <f>IF(ISBLANK(MAIN!J795), 0, IF(ISNUMBER(VALUE(TRIM(MAIN!J795))), VALUE(TRIM(MAIN!J795)), 0))</f>
        <v>0</v>
      </c>
      <c r="K795" cm="1">
        <f t="array" ref="K795">IFERROR(
    VALUE(
        IFERROR(
            UPPER(
                IF(MAX(IFERROR(SEARCH("WD",MAIN!G795:J795), 0))&gt;0, "WD",
                IF(MAX(IFERROR(SEARCH("NS",MAIN!G795:J795), 0))&gt;0, "NS",
                IF(MAX(IFERROR(SEARCH("NC",MAIN!G795:J795), 0))&gt;0, "NC",
                IF(MAX(IFERROR(SEARCH("DQ",MAIN!G795:J795), 0))&gt;0, "DQ",
                IF(ISNUMBER(SEARCH("WD",MAIN!K795)), "WD",
                IF(ISNUMBER(SEARCH("NS",MAIN!K795)), "NS",
                IF(ISNUMBER(SEARCH("NC",MAIN!K795)), "NC",
                IF(ISNUMBER(SEARCH("DQ",MAIN!K795)), "DQ",
                IF(ISNUMBER(SEARCH("A",MAIN!K795)), 0,
                IF(OR(MAIN!K795=0,MAIN!K795=""), 0, --TRIM(MAIN!K795)))))))))))),
            0
        )
    ),
    IFERROR(
        UPPER(
            IF(MAX(IFERROR(SEARCH("WD",MAIN!G795:J795), 0))&gt;0, "WD",
            IF(MAX(IFERROR(SEARCH("NS",MAIN!G795:J795), 0))&gt;0, "NS",
            IF(MAX(IFERROR(SEARCH("NC",MAIN!G795:J795), 0))&gt;0, "NC",
            IF(MAX(IFERROR(SEARCH("DQ",MAIN!G795:J795), 0))&gt;0, "DQ",
            IF(ISNUMBER(SEARCH("WD",MAIN!K795)), "WD",
            IF(ISNUMBER(SEARCH("NS",MAIN!K795)), "NS",
            IF(ISNUMBER(SEARCH("NC",MAIN!K795)), "NC",
            IF(ISNUMBER(SEARCH("DQ",MAIN!K795)), "DQ",
            IF(ISNUMBER(SEARCH("A",MAIN!K795)), 0,
            IF(OR(MAIN!K795=0,MAIN!K795=""), 0, --TRIM(MAIN!K795)))))))))))),
        0
    )
)</f>
        <v>0</v>
      </c>
    </row>
    <row r="796" spans="1:11" x14ac:dyDescent="0.25">
      <c r="A796" t="str">
        <f>IF(ISBLANK(MAIN!A796), "--", IFERROR(PROPER(SUBSTITUTE(SUBSTITUTE(SUBSTITUTE(SUBSTITUTE(SUBSTITUTE(SUBSTITUTE(SUBSTITUTE(SUBSTITUTE(SUBSTITUTE(SUBSTITUTE(LEFT(MAIN!A796, FIND(",",MAIN!A796) -1), "0", ""), "1", ""), "2", ""), "3", ""), "4", ""), "5", ""), "6", ""), "7", ""), "8", ""), "9", "")), PROPER(SUBSTITUTE(SUBSTITUTE(SUBSTITUTE(SUBSTITUTE(SUBSTITUTE(SUBSTITUTE(SUBSTITUTE(SUBSTITUTE(SUBSTITUTE(SUBSTITUTE(MAIN!A796, "0", ""), "1", ""), "2", ""), "3", ""), "4", ""), "5", ""), "6", ""), "7", ""), "8", ""), "9", ""))))</f>
        <v>--</v>
      </c>
      <c r="B796" t="str">
        <f>IF(ISBLANK(MAIN!B796), "--", IFERROR(PROPER(SUBSTITUTE(SUBSTITUTE(SUBSTITUTE(SUBSTITUTE(SUBSTITUTE(SUBSTITUTE(SUBSTITUTE(SUBSTITUTE(SUBSTITUTE(SUBSTITUTE(LEFT(MAIN!B796, FIND(",",MAIN!B796) -1), "0", ""), "1", ""), "2", ""), "3", ""), "4", ""), "5", ""), "6", ""), "7", ""), "8", ""), "9", "")), PROPER(SUBSTITUTE(SUBSTITUTE(SUBSTITUTE(SUBSTITUTE(SUBSTITUTE(SUBSTITUTE(SUBSTITUTE(SUBSTITUTE(SUBSTITUTE(SUBSTITUTE(MAIN!B796, "0", ""), "1", ""), "2", ""), "3", ""), "4", ""), "5", ""), "6", ""), "7", ""), "8", ""), "9", ""))))</f>
        <v>--</v>
      </c>
      <c r="C796" t="str">
        <f>IF(ISBLANK(MAIN!C796), "--", IFERROR(PROPER(SUBSTITUTE(SUBSTITUTE(SUBSTITUTE(SUBSTITUTE(SUBSTITUTE(SUBSTITUTE(SUBSTITUTE(SUBSTITUTE(SUBSTITUTE(SUBSTITUTE(LEFT(MAIN!C796, FIND(",",MAIN!C796) -1), "0", ""), "1", ""), "2", ""), "3", ""), "4", ""), "5", ""), "6", ""), "7", ""), "8", ""), "9", "")), PROPER(SUBSTITUTE(SUBSTITUTE(SUBSTITUTE(SUBSTITUTE(SUBSTITUTE(SUBSTITUTE(SUBSTITUTE(SUBSTITUTE(SUBSTITUTE(SUBSTITUTE(MAIN!C796, "0", ""), "1", ""), "2", ""), "3", ""), "4", ""), "5", ""), "6", ""), "7", ""), "8", ""), "9", ""))))</f>
        <v>--</v>
      </c>
      <c r="D796" t="str">
        <f>IF(ISBLANK(MAIN!D796), "--", IF(ISNUMBER(MATCH(SUBSTITUTE(LEFT(MAIN!D796, IFERROR(FIND(",", MAIN!D796)-1, LEN(MAIN!D796))), " ", ""), lookup_values!$B$2:$B$51, 0)), UPPER(SUBSTITUTE(LEFT(MAIN!D796, IFERROR(FIND(",", MAIN!D796)-1, LEN(MAIN!D796))), " ", "")), IF(ISNA(VLOOKUP(SUBSTITUTE(LEFT(MAIN!D796, IFERROR(FIND(",", MAIN!D796)-1, LEN(MAIN!D796))), " ", ""), lookup_values!$A$2:$B$51, 2, FALSE)), "--", VLOOKUP(SUBSTITUTE(LEFT(MAIN!D796, IFERROR(FIND(",", MAIN!D796)-1, LEN(MAIN!D796))), " ", ""), lookup_values!$A$2:$B$51, 2, FALSE))))</f>
        <v>--</v>
      </c>
      <c r="E796" t="str">
        <f>IF(CLEAN_DATA!D796&lt;&gt;"--","US",IF(ISBLANK(MAIN!E796), "--", IF(ISNUMBER(MATCH(SUBSTITUTE(LEFT(MAIN!E796, IFERROR(FIND(",", MAIN!E796)-1, LEN(MAIN!E796))), " ", ""), lookup_values!$E$2:$E$197, 0)), UPPER(SUBSTITUTE(LEFT(MAIN!E796, IFERROR(FIND(",", MAIN!E796)-1, LEN(MAIN!E796))), " ", "")), IF(ISNA(VLOOKUP(SUBSTITUTE(LEFT(MAIN!E796, IFERROR(FIND(",", MAIN!E796)-1, LEN(MAIN!E796))), " ", ""), lookup_values!$D$2:$E$197, 2, FALSE)), "--", VLOOKUP(SUBSTITUTE(LEFT(MAIN!E796, IFERROR(FIND(",", MAIN!E796)-1, LEN(MAIN!E796))), " ", ""), lookup_values!$D$2:$E$197, 2, FALSE)))))</f>
        <v>--</v>
      </c>
      <c r="F796" t="str">
        <f>IF(ISBLANK(MAIN!F796), "", IF(AND(ISNUMBER(VALUE(TRIM(MAIN!F796))), LEN(TRIM(MAIN!F796))=4), VALUE(TRIM(MAIN!F796)), ""))</f>
        <v/>
      </c>
      <c r="G796">
        <f>IF(ISBLANK(MAIN!G796), 0, IF(ISNUMBER(VALUE(TRIM(MAIN!G796))), VALUE(TRIM(MAIN!G796)), 0))</f>
        <v>0</v>
      </c>
      <c r="H796">
        <f>IF(ISBLANK(MAIN!H796), 0, IF(ISNUMBER(VALUE(TRIM(MAIN!H796))), VALUE(TRIM(MAIN!H796)), 0))</f>
        <v>0</v>
      </c>
      <c r="I796">
        <f>IF(ISBLANK(MAIN!I796), 0, IF(ISNUMBER(VALUE(TRIM(MAIN!I796))), VALUE(TRIM(MAIN!I796)), 0))</f>
        <v>0</v>
      </c>
      <c r="J796">
        <f>IF(ISBLANK(MAIN!J796), 0, IF(ISNUMBER(VALUE(TRIM(MAIN!J796))), VALUE(TRIM(MAIN!J796)), 0))</f>
        <v>0</v>
      </c>
      <c r="K796" cm="1">
        <f t="array" ref="K796">IFERROR(
    VALUE(
        IFERROR(
            UPPER(
                IF(MAX(IFERROR(SEARCH("WD",MAIN!G796:J796), 0))&gt;0, "WD",
                IF(MAX(IFERROR(SEARCH("NS",MAIN!G796:J796), 0))&gt;0, "NS",
                IF(MAX(IFERROR(SEARCH("NC",MAIN!G796:J796), 0))&gt;0, "NC",
                IF(MAX(IFERROR(SEARCH("DQ",MAIN!G796:J796), 0))&gt;0, "DQ",
                IF(ISNUMBER(SEARCH("WD",MAIN!K796)), "WD",
                IF(ISNUMBER(SEARCH("NS",MAIN!K796)), "NS",
                IF(ISNUMBER(SEARCH("NC",MAIN!K796)), "NC",
                IF(ISNUMBER(SEARCH("DQ",MAIN!K796)), "DQ",
                IF(ISNUMBER(SEARCH("A",MAIN!K796)), 0,
                IF(OR(MAIN!K796=0,MAIN!K796=""), 0, --TRIM(MAIN!K796)))))))))))),
            0
        )
    ),
    IFERROR(
        UPPER(
            IF(MAX(IFERROR(SEARCH("WD",MAIN!G796:J796), 0))&gt;0, "WD",
            IF(MAX(IFERROR(SEARCH("NS",MAIN!G796:J796), 0))&gt;0, "NS",
            IF(MAX(IFERROR(SEARCH("NC",MAIN!G796:J796), 0))&gt;0, "NC",
            IF(MAX(IFERROR(SEARCH("DQ",MAIN!G796:J796), 0))&gt;0, "DQ",
            IF(ISNUMBER(SEARCH("WD",MAIN!K796)), "WD",
            IF(ISNUMBER(SEARCH("NS",MAIN!K796)), "NS",
            IF(ISNUMBER(SEARCH("NC",MAIN!K796)), "NC",
            IF(ISNUMBER(SEARCH("DQ",MAIN!K796)), "DQ",
            IF(ISNUMBER(SEARCH("A",MAIN!K796)), 0,
            IF(OR(MAIN!K796=0,MAIN!K796=""), 0, --TRIM(MAIN!K796)))))))))))),
        0
    )
)</f>
        <v>0</v>
      </c>
    </row>
    <row r="797" spans="1:11" x14ac:dyDescent="0.25">
      <c r="A797" t="str">
        <f>IF(ISBLANK(MAIN!A797), "--", IFERROR(PROPER(SUBSTITUTE(SUBSTITUTE(SUBSTITUTE(SUBSTITUTE(SUBSTITUTE(SUBSTITUTE(SUBSTITUTE(SUBSTITUTE(SUBSTITUTE(SUBSTITUTE(LEFT(MAIN!A797, FIND(",",MAIN!A797) -1), "0", ""), "1", ""), "2", ""), "3", ""), "4", ""), "5", ""), "6", ""), "7", ""), "8", ""), "9", "")), PROPER(SUBSTITUTE(SUBSTITUTE(SUBSTITUTE(SUBSTITUTE(SUBSTITUTE(SUBSTITUTE(SUBSTITUTE(SUBSTITUTE(SUBSTITUTE(SUBSTITUTE(MAIN!A797, "0", ""), "1", ""), "2", ""), "3", ""), "4", ""), "5", ""), "6", ""), "7", ""), "8", ""), "9", ""))))</f>
        <v>--</v>
      </c>
      <c r="B797" t="str">
        <f>IF(ISBLANK(MAIN!B797), "--", IFERROR(PROPER(SUBSTITUTE(SUBSTITUTE(SUBSTITUTE(SUBSTITUTE(SUBSTITUTE(SUBSTITUTE(SUBSTITUTE(SUBSTITUTE(SUBSTITUTE(SUBSTITUTE(LEFT(MAIN!B797, FIND(",",MAIN!B797) -1), "0", ""), "1", ""), "2", ""), "3", ""), "4", ""), "5", ""), "6", ""), "7", ""), "8", ""), "9", "")), PROPER(SUBSTITUTE(SUBSTITUTE(SUBSTITUTE(SUBSTITUTE(SUBSTITUTE(SUBSTITUTE(SUBSTITUTE(SUBSTITUTE(SUBSTITUTE(SUBSTITUTE(MAIN!B797, "0", ""), "1", ""), "2", ""), "3", ""), "4", ""), "5", ""), "6", ""), "7", ""), "8", ""), "9", ""))))</f>
        <v>--</v>
      </c>
      <c r="C797" t="str">
        <f>IF(ISBLANK(MAIN!C797), "--", IFERROR(PROPER(SUBSTITUTE(SUBSTITUTE(SUBSTITUTE(SUBSTITUTE(SUBSTITUTE(SUBSTITUTE(SUBSTITUTE(SUBSTITUTE(SUBSTITUTE(SUBSTITUTE(LEFT(MAIN!C797, FIND(",",MAIN!C797) -1), "0", ""), "1", ""), "2", ""), "3", ""), "4", ""), "5", ""), "6", ""), "7", ""), "8", ""), "9", "")), PROPER(SUBSTITUTE(SUBSTITUTE(SUBSTITUTE(SUBSTITUTE(SUBSTITUTE(SUBSTITUTE(SUBSTITUTE(SUBSTITUTE(SUBSTITUTE(SUBSTITUTE(MAIN!C797, "0", ""), "1", ""), "2", ""), "3", ""), "4", ""), "5", ""), "6", ""), "7", ""), "8", ""), "9", ""))))</f>
        <v>--</v>
      </c>
      <c r="D797" t="str">
        <f>IF(ISBLANK(MAIN!D797), "--", IF(ISNUMBER(MATCH(SUBSTITUTE(LEFT(MAIN!D797, IFERROR(FIND(",", MAIN!D797)-1, LEN(MAIN!D797))), " ", ""), lookup_values!$B$2:$B$51, 0)), UPPER(SUBSTITUTE(LEFT(MAIN!D797, IFERROR(FIND(",", MAIN!D797)-1, LEN(MAIN!D797))), " ", "")), IF(ISNA(VLOOKUP(SUBSTITUTE(LEFT(MAIN!D797, IFERROR(FIND(",", MAIN!D797)-1, LEN(MAIN!D797))), " ", ""), lookup_values!$A$2:$B$51, 2, FALSE)), "--", VLOOKUP(SUBSTITUTE(LEFT(MAIN!D797, IFERROR(FIND(",", MAIN!D797)-1, LEN(MAIN!D797))), " ", ""), lookup_values!$A$2:$B$51, 2, FALSE))))</f>
        <v>--</v>
      </c>
      <c r="E797" t="str">
        <f>IF(CLEAN_DATA!D797&lt;&gt;"--","US",IF(ISBLANK(MAIN!E797), "--", IF(ISNUMBER(MATCH(SUBSTITUTE(LEFT(MAIN!E797, IFERROR(FIND(",", MAIN!E797)-1, LEN(MAIN!E797))), " ", ""), lookup_values!$E$2:$E$197, 0)), UPPER(SUBSTITUTE(LEFT(MAIN!E797, IFERROR(FIND(",", MAIN!E797)-1, LEN(MAIN!E797))), " ", "")), IF(ISNA(VLOOKUP(SUBSTITUTE(LEFT(MAIN!E797, IFERROR(FIND(",", MAIN!E797)-1, LEN(MAIN!E797))), " ", ""), lookup_values!$D$2:$E$197, 2, FALSE)), "--", VLOOKUP(SUBSTITUTE(LEFT(MAIN!E797, IFERROR(FIND(",", MAIN!E797)-1, LEN(MAIN!E797))), " ", ""), lookup_values!$D$2:$E$197, 2, FALSE)))))</f>
        <v>--</v>
      </c>
      <c r="F797" t="str">
        <f>IF(ISBLANK(MAIN!F797), "", IF(AND(ISNUMBER(VALUE(TRIM(MAIN!F797))), LEN(TRIM(MAIN!F797))=4), VALUE(TRIM(MAIN!F797)), ""))</f>
        <v/>
      </c>
      <c r="G797">
        <f>IF(ISBLANK(MAIN!G797), 0, IF(ISNUMBER(VALUE(TRIM(MAIN!G797))), VALUE(TRIM(MAIN!G797)), 0))</f>
        <v>0</v>
      </c>
      <c r="H797">
        <f>IF(ISBLANK(MAIN!H797), 0, IF(ISNUMBER(VALUE(TRIM(MAIN!H797))), VALUE(TRIM(MAIN!H797)), 0))</f>
        <v>0</v>
      </c>
      <c r="I797">
        <f>IF(ISBLANK(MAIN!I797), 0, IF(ISNUMBER(VALUE(TRIM(MAIN!I797))), VALUE(TRIM(MAIN!I797)), 0))</f>
        <v>0</v>
      </c>
      <c r="J797">
        <f>IF(ISBLANK(MAIN!J797), 0, IF(ISNUMBER(VALUE(TRIM(MAIN!J797))), VALUE(TRIM(MAIN!J797)), 0))</f>
        <v>0</v>
      </c>
      <c r="K797" cm="1">
        <f t="array" ref="K797">IFERROR(
    VALUE(
        IFERROR(
            UPPER(
                IF(MAX(IFERROR(SEARCH("WD",MAIN!G797:J797), 0))&gt;0, "WD",
                IF(MAX(IFERROR(SEARCH("NS",MAIN!G797:J797), 0))&gt;0, "NS",
                IF(MAX(IFERROR(SEARCH("NC",MAIN!G797:J797), 0))&gt;0, "NC",
                IF(MAX(IFERROR(SEARCH("DQ",MAIN!G797:J797), 0))&gt;0, "DQ",
                IF(ISNUMBER(SEARCH("WD",MAIN!K797)), "WD",
                IF(ISNUMBER(SEARCH("NS",MAIN!K797)), "NS",
                IF(ISNUMBER(SEARCH("NC",MAIN!K797)), "NC",
                IF(ISNUMBER(SEARCH("DQ",MAIN!K797)), "DQ",
                IF(ISNUMBER(SEARCH("A",MAIN!K797)), 0,
                IF(OR(MAIN!K797=0,MAIN!K797=""), 0, --TRIM(MAIN!K797)))))))))))),
            0
        )
    ),
    IFERROR(
        UPPER(
            IF(MAX(IFERROR(SEARCH("WD",MAIN!G797:J797), 0))&gt;0, "WD",
            IF(MAX(IFERROR(SEARCH("NS",MAIN!G797:J797), 0))&gt;0, "NS",
            IF(MAX(IFERROR(SEARCH("NC",MAIN!G797:J797), 0))&gt;0, "NC",
            IF(MAX(IFERROR(SEARCH("DQ",MAIN!G797:J797), 0))&gt;0, "DQ",
            IF(ISNUMBER(SEARCH("WD",MAIN!K797)), "WD",
            IF(ISNUMBER(SEARCH("NS",MAIN!K797)), "NS",
            IF(ISNUMBER(SEARCH("NC",MAIN!K797)), "NC",
            IF(ISNUMBER(SEARCH("DQ",MAIN!K797)), "DQ",
            IF(ISNUMBER(SEARCH("A",MAIN!K797)), 0,
            IF(OR(MAIN!K797=0,MAIN!K797=""), 0, --TRIM(MAIN!K797)))))))))))),
        0
    )
)</f>
        <v>0</v>
      </c>
    </row>
    <row r="798" spans="1:11" x14ac:dyDescent="0.25">
      <c r="A798" t="str">
        <f>IF(ISBLANK(MAIN!A798), "--", IFERROR(PROPER(SUBSTITUTE(SUBSTITUTE(SUBSTITUTE(SUBSTITUTE(SUBSTITUTE(SUBSTITUTE(SUBSTITUTE(SUBSTITUTE(SUBSTITUTE(SUBSTITUTE(LEFT(MAIN!A798, FIND(",",MAIN!A798) -1), "0", ""), "1", ""), "2", ""), "3", ""), "4", ""), "5", ""), "6", ""), "7", ""), "8", ""), "9", "")), PROPER(SUBSTITUTE(SUBSTITUTE(SUBSTITUTE(SUBSTITUTE(SUBSTITUTE(SUBSTITUTE(SUBSTITUTE(SUBSTITUTE(SUBSTITUTE(SUBSTITUTE(MAIN!A798, "0", ""), "1", ""), "2", ""), "3", ""), "4", ""), "5", ""), "6", ""), "7", ""), "8", ""), "9", ""))))</f>
        <v>--</v>
      </c>
      <c r="B798" t="str">
        <f>IF(ISBLANK(MAIN!B798), "--", IFERROR(PROPER(SUBSTITUTE(SUBSTITUTE(SUBSTITUTE(SUBSTITUTE(SUBSTITUTE(SUBSTITUTE(SUBSTITUTE(SUBSTITUTE(SUBSTITUTE(SUBSTITUTE(LEFT(MAIN!B798, FIND(",",MAIN!B798) -1), "0", ""), "1", ""), "2", ""), "3", ""), "4", ""), "5", ""), "6", ""), "7", ""), "8", ""), "9", "")), PROPER(SUBSTITUTE(SUBSTITUTE(SUBSTITUTE(SUBSTITUTE(SUBSTITUTE(SUBSTITUTE(SUBSTITUTE(SUBSTITUTE(SUBSTITUTE(SUBSTITUTE(MAIN!B798, "0", ""), "1", ""), "2", ""), "3", ""), "4", ""), "5", ""), "6", ""), "7", ""), "8", ""), "9", ""))))</f>
        <v>--</v>
      </c>
      <c r="C798" t="str">
        <f>IF(ISBLANK(MAIN!C798), "--", IFERROR(PROPER(SUBSTITUTE(SUBSTITUTE(SUBSTITUTE(SUBSTITUTE(SUBSTITUTE(SUBSTITUTE(SUBSTITUTE(SUBSTITUTE(SUBSTITUTE(SUBSTITUTE(LEFT(MAIN!C798, FIND(",",MAIN!C798) -1), "0", ""), "1", ""), "2", ""), "3", ""), "4", ""), "5", ""), "6", ""), "7", ""), "8", ""), "9", "")), PROPER(SUBSTITUTE(SUBSTITUTE(SUBSTITUTE(SUBSTITUTE(SUBSTITUTE(SUBSTITUTE(SUBSTITUTE(SUBSTITUTE(SUBSTITUTE(SUBSTITUTE(MAIN!C798, "0", ""), "1", ""), "2", ""), "3", ""), "4", ""), "5", ""), "6", ""), "7", ""), "8", ""), "9", ""))))</f>
        <v>--</v>
      </c>
      <c r="D798" t="str">
        <f>IF(ISBLANK(MAIN!D798), "--", IF(ISNUMBER(MATCH(SUBSTITUTE(LEFT(MAIN!D798, IFERROR(FIND(",", MAIN!D798)-1, LEN(MAIN!D798))), " ", ""), lookup_values!$B$2:$B$51, 0)), UPPER(SUBSTITUTE(LEFT(MAIN!D798, IFERROR(FIND(",", MAIN!D798)-1, LEN(MAIN!D798))), " ", "")), IF(ISNA(VLOOKUP(SUBSTITUTE(LEFT(MAIN!D798, IFERROR(FIND(",", MAIN!D798)-1, LEN(MAIN!D798))), " ", ""), lookup_values!$A$2:$B$51, 2, FALSE)), "--", VLOOKUP(SUBSTITUTE(LEFT(MAIN!D798, IFERROR(FIND(",", MAIN!D798)-1, LEN(MAIN!D798))), " ", ""), lookup_values!$A$2:$B$51, 2, FALSE))))</f>
        <v>--</v>
      </c>
      <c r="E798" t="str">
        <f>IF(CLEAN_DATA!D798&lt;&gt;"--","US",IF(ISBLANK(MAIN!E798), "--", IF(ISNUMBER(MATCH(SUBSTITUTE(LEFT(MAIN!E798, IFERROR(FIND(",", MAIN!E798)-1, LEN(MAIN!E798))), " ", ""), lookup_values!$E$2:$E$197, 0)), UPPER(SUBSTITUTE(LEFT(MAIN!E798, IFERROR(FIND(",", MAIN!E798)-1, LEN(MAIN!E798))), " ", "")), IF(ISNA(VLOOKUP(SUBSTITUTE(LEFT(MAIN!E798, IFERROR(FIND(",", MAIN!E798)-1, LEN(MAIN!E798))), " ", ""), lookup_values!$D$2:$E$197, 2, FALSE)), "--", VLOOKUP(SUBSTITUTE(LEFT(MAIN!E798, IFERROR(FIND(",", MAIN!E798)-1, LEN(MAIN!E798))), " ", ""), lookup_values!$D$2:$E$197, 2, FALSE)))))</f>
        <v>--</v>
      </c>
      <c r="F798" t="str">
        <f>IF(ISBLANK(MAIN!F798), "", IF(AND(ISNUMBER(VALUE(TRIM(MAIN!F798))), LEN(TRIM(MAIN!F798))=4), VALUE(TRIM(MAIN!F798)), ""))</f>
        <v/>
      </c>
      <c r="G798">
        <f>IF(ISBLANK(MAIN!G798), 0, IF(ISNUMBER(VALUE(TRIM(MAIN!G798))), VALUE(TRIM(MAIN!G798)), 0))</f>
        <v>0</v>
      </c>
      <c r="H798">
        <f>IF(ISBLANK(MAIN!H798), 0, IF(ISNUMBER(VALUE(TRIM(MAIN!H798))), VALUE(TRIM(MAIN!H798)), 0))</f>
        <v>0</v>
      </c>
      <c r="I798">
        <f>IF(ISBLANK(MAIN!I798), 0, IF(ISNUMBER(VALUE(TRIM(MAIN!I798))), VALUE(TRIM(MAIN!I798)), 0))</f>
        <v>0</v>
      </c>
      <c r="J798">
        <f>IF(ISBLANK(MAIN!J798), 0, IF(ISNUMBER(VALUE(TRIM(MAIN!J798))), VALUE(TRIM(MAIN!J798)), 0))</f>
        <v>0</v>
      </c>
      <c r="K798" cm="1">
        <f t="array" ref="K798">IFERROR(
    VALUE(
        IFERROR(
            UPPER(
                IF(MAX(IFERROR(SEARCH("WD",MAIN!G798:J798), 0))&gt;0, "WD",
                IF(MAX(IFERROR(SEARCH("NS",MAIN!G798:J798), 0))&gt;0, "NS",
                IF(MAX(IFERROR(SEARCH("NC",MAIN!G798:J798), 0))&gt;0, "NC",
                IF(MAX(IFERROR(SEARCH("DQ",MAIN!G798:J798), 0))&gt;0, "DQ",
                IF(ISNUMBER(SEARCH("WD",MAIN!K798)), "WD",
                IF(ISNUMBER(SEARCH("NS",MAIN!K798)), "NS",
                IF(ISNUMBER(SEARCH("NC",MAIN!K798)), "NC",
                IF(ISNUMBER(SEARCH("DQ",MAIN!K798)), "DQ",
                IF(ISNUMBER(SEARCH("A",MAIN!K798)), 0,
                IF(OR(MAIN!K798=0,MAIN!K798=""), 0, --TRIM(MAIN!K798)))))))))))),
            0
        )
    ),
    IFERROR(
        UPPER(
            IF(MAX(IFERROR(SEARCH("WD",MAIN!G798:J798), 0))&gt;0, "WD",
            IF(MAX(IFERROR(SEARCH("NS",MAIN!G798:J798), 0))&gt;0, "NS",
            IF(MAX(IFERROR(SEARCH("NC",MAIN!G798:J798), 0))&gt;0, "NC",
            IF(MAX(IFERROR(SEARCH("DQ",MAIN!G798:J798), 0))&gt;0, "DQ",
            IF(ISNUMBER(SEARCH("WD",MAIN!K798)), "WD",
            IF(ISNUMBER(SEARCH("NS",MAIN!K798)), "NS",
            IF(ISNUMBER(SEARCH("NC",MAIN!K798)), "NC",
            IF(ISNUMBER(SEARCH("DQ",MAIN!K798)), "DQ",
            IF(ISNUMBER(SEARCH("A",MAIN!K798)), 0,
            IF(OR(MAIN!K798=0,MAIN!K798=""), 0, --TRIM(MAIN!K798)))))))))))),
        0
    )
)</f>
        <v>0</v>
      </c>
    </row>
    <row r="799" spans="1:11" x14ac:dyDescent="0.25">
      <c r="A799" t="str">
        <f>IF(ISBLANK(MAIN!A799), "--", IFERROR(PROPER(SUBSTITUTE(SUBSTITUTE(SUBSTITUTE(SUBSTITUTE(SUBSTITUTE(SUBSTITUTE(SUBSTITUTE(SUBSTITUTE(SUBSTITUTE(SUBSTITUTE(LEFT(MAIN!A799, FIND(",",MAIN!A799) -1), "0", ""), "1", ""), "2", ""), "3", ""), "4", ""), "5", ""), "6", ""), "7", ""), "8", ""), "9", "")), PROPER(SUBSTITUTE(SUBSTITUTE(SUBSTITUTE(SUBSTITUTE(SUBSTITUTE(SUBSTITUTE(SUBSTITUTE(SUBSTITUTE(SUBSTITUTE(SUBSTITUTE(MAIN!A799, "0", ""), "1", ""), "2", ""), "3", ""), "4", ""), "5", ""), "6", ""), "7", ""), "8", ""), "9", ""))))</f>
        <v>--</v>
      </c>
      <c r="B799" t="str">
        <f>IF(ISBLANK(MAIN!B799), "--", IFERROR(PROPER(SUBSTITUTE(SUBSTITUTE(SUBSTITUTE(SUBSTITUTE(SUBSTITUTE(SUBSTITUTE(SUBSTITUTE(SUBSTITUTE(SUBSTITUTE(SUBSTITUTE(LEFT(MAIN!B799, FIND(",",MAIN!B799) -1), "0", ""), "1", ""), "2", ""), "3", ""), "4", ""), "5", ""), "6", ""), "7", ""), "8", ""), "9", "")), PROPER(SUBSTITUTE(SUBSTITUTE(SUBSTITUTE(SUBSTITUTE(SUBSTITUTE(SUBSTITUTE(SUBSTITUTE(SUBSTITUTE(SUBSTITUTE(SUBSTITUTE(MAIN!B799, "0", ""), "1", ""), "2", ""), "3", ""), "4", ""), "5", ""), "6", ""), "7", ""), "8", ""), "9", ""))))</f>
        <v>--</v>
      </c>
      <c r="C799" t="str">
        <f>IF(ISBLANK(MAIN!C799), "--", IFERROR(PROPER(SUBSTITUTE(SUBSTITUTE(SUBSTITUTE(SUBSTITUTE(SUBSTITUTE(SUBSTITUTE(SUBSTITUTE(SUBSTITUTE(SUBSTITUTE(SUBSTITUTE(LEFT(MAIN!C799, FIND(",",MAIN!C799) -1), "0", ""), "1", ""), "2", ""), "3", ""), "4", ""), "5", ""), "6", ""), "7", ""), "8", ""), "9", "")), PROPER(SUBSTITUTE(SUBSTITUTE(SUBSTITUTE(SUBSTITUTE(SUBSTITUTE(SUBSTITUTE(SUBSTITUTE(SUBSTITUTE(SUBSTITUTE(SUBSTITUTE(MAIN!C799, "0", ""), "1", ""), "2", ""), "3", ""), "4", ""), "5", ""), "6", ""), "7", ""), "8", ""), "9", ""))))</f>
        <v>--</v>
      </c>
      <c r="D799" t="str">
        <f>IF(ISBLANK(MAIN!D799), "--", IF(ISNUMBER(MATCH(SUBSTITUTE(LEFT(MAIN!D799, IFERROR(FIND(",", MAIN!D799)-1, LEN(MAIN!D799))), " ", ""), lookup_values!$B$2:$B$51, 0)), UPPER(SUBSTITUTE(LEFT(MAIN!D799, IFERROR(FIND(",", MAIN!D799)-1, LEN(MAIN!D799))), " ", "")), IF(ISNA(VLOOKUP(SUBSTITUTE(LEFT(MAIN!D799, IFERROR(FIND(",", MAIN!D799)-1, LEN(MAIN!D799))), " ", ""), lookup_values!$A$2:$B$51, 2, FALSE)), "--", VLOOKUP(SUBSTITUTE(LEFT(MAIN!D799, IFERROR(FIND(",", MAIN!D799)-1, LEN(MAIN!D799))), " ", ""), lookup_values!$A$2:$B$51, 2, FALSE))))</f>
        <v>--</v>
      </c>
      <c r="E799" t="str">
        <f>IF(CLEAN_DATA!D799&lt;&gt;"--","US",IF(ISBLANK(MAIN!E799), "--", IF(ISNUMBER(MATCH(SUBSTITUTE(LEFT(MAIN!E799, IFERROR(FIND(",", MAIN!E799)-1, LEN(MAIN!E799))), " ", ""), lookup_values!$E$2:$E$197, 0)), UPPER(SUBSTITUTE(LEFT(MAIN!E799, IFERROR(FIND(",", MAIN!E799)-1, LEN(MAIN!E799))), " ", "")), IF(ISNA(VLOOKUP(SUBSTITUTE(LEFT(MAIN!E799, IFERROR(FIND(",", MAIN!E799)-1, LEN(MAIN!E799))), " ", ""), lookup_values!$D$2:$E$197, 2, FALSE)), "--", VLOOKUP(SUBSTITUTE(LEFT(MAIN!E799, IFERROR(FIND(",", MAIN!E799)-1, LEN(MAIN!E799))), " ", ""), lookup_values!$D$2:$E$197, 2, FALSE)))))</f>
        <v>--</v>
      </c>
      <c r="F799" t="str">
        <f>IF(ISBLANK(MAIN!F799), "", IF(AND(ISNUMBER(VALUE(TRIM(MAIN!F799))), LEN(TRIM(MAIN!F799))=4), VALUE(TRIM(MAIN!F799)), ""))</f>
        <v/>
      </c>
      <c r="G799">
        <f>IF(ISBLANK(MAIN!G799), 0, IF(ISNUMBER(VALUE(TRIM(MAIN!G799))), VALUE(TRIM(MAIN!G799)), 0))</f>
        <v>0</v>
      </c>
      <c r="H799">
        <f>IF(ISBLANK(MAIN!H799), 0, IF(ISNUMBER(VALUE(TRIM(MAIN!H799))), VALUE(TRIM(MAIN!H799)), 0))</f>
        <v>0</v>
      </c>
      <c r="I799">
        <f>IF(ISBLANK(MAIN!I799), 0, IF(ISNUMBER(VALUE(TRIM(MAIN!I799))), VALUE(TRIM(MAIN!I799)), 0))</f>
        <v>0</v>
      </c>
      <c r="J799">
        <f>IF(ISBLANK(MAIN!J799), 0, IF(ISNUMBER(VALUE(TRIM(MAIN!J799))), VALUE(TRIM(MAIN!J799)), 0))</f>
        <v>0</v>
      </c>
      <c r="K799" cm="1">
        <f t="array" ref="K799">IFERROR(
    VALUE(
        IFERROR(
            UPPER(
                IF(MAX(IFERROR(SEARCH("WD",MAIN!G799:J799), 0))&gt;0, "WD",
                IF(MAX(IFERROR(SEARCH("NS",MAIN!G799:J799), 0))&gt;0, "NS",
                IF(MAX(IFERROR(SEARCH("NC",MAIN!G799:J799), 0))&gt;0, "NC",
                IF(MAX(IFERROR(SEARCH("DQ",MAIN!G799:J799), 0))&gt;0, "DQ",
                IF(ISNUMBER(SEARCH("WD",MAIN!K799)), "WD",
                IF(ISNUMBER(SEARCH("NS",MAIN!K799)), "NS",
                IF(ISNUMBER(SEARCH("NC",MAIN!K799)), "NC",
                IF(ISNUMBER(SEARCH("DQ",MAIN!K799)), "DQ",
                IF(ISNUMBER(SEARCH("A",MAIN!K799)), 0,
                IF(OR(MAIN!K799=0,MAIN!K799=""), 0, --TRIM(MAIN!K799)))))))))))),
            0
        )
    ),
    IFERROR(
        UPPER(
            IF(MAX(IFERROR(SEARCH("WD",MAIN!G799:J799), 0))&gt;0, "WD",
            IF(MAX(IFERROR(SEARCH("NS",MAIN!G799:J799), 0))&gt;0, "NS",
            IF(MAX(IFERROR(SEARCH("NC",MAIN!G799:J799), 0))&gt;0, "NC",
            IF(MAX(IFERROR(SEARCH("DQ",MAIN!G799:J799), 0))&gt;0, "DQ",
            IF(ISNUMBER(SEARCH("WD",MAIN!K799)), "WD",
            IF(ISNUMBER(SEARCH("NS",MAIN!K799)), "NS",
            IF(ISNUMBER(SEARCH("NC",MAIN!K799)), "NC",
            IF(ISNUMBER(SEARCH("DQ",MAIN!K799)), "DQ",
            IF(ISNUMBER(SEARCH("A",MAIN!K799)), 0,
            IF(OR(MAIN!K799=0,MAIN!K799=""), 0, --TRIM(MAIN!K799)))))))))))),
        0
    )
)</f>
        <v>0</v>
      </c>
    </row>
    <row r="800" spans="1:11" x14ac:dyDescent="0.25">
      <c r="A800" t="str">
        <f>IF(ISBLANK(MAIN!A800), "--", IFERROR(PROPER(SUBSTITUTE(SUBSTITUTE(SUBSTITUTE(SUBSTITUTE(SUBSTITUTE(SUBSTITUTE(SUBSTITUTE(SUBSTITUTE(SUBSTITUTE(SUBSTITUTE(LEFT(MAIN!A800, FIND(",",MAIN!A800) -1), "0", ""), "1", ""), "2", ""), "3", ""), "4", ""), "5", ""), "6", ""), "7", ""), "8", ""), "9", "")), PROPER(SUBSTITUTE(SUBSTITUTE(SUBSTITUTE(SUBSTITUTE(SUBSTITUTE(SUBSTITUTE(SUBSTITUTE(SUBSTITUTE(SUBSTITUTE(SUBSTITUTE(MAIN!A800, "0", ""), "1", ""), "2", ""), "3", ""), "4", ""), "5", ""), "6", ""), "7", ""), "8", ""), "9", ""))))</f>
        <v>--</v>
      </c>
      <c r="B800" t="str">
        <f>IF(ISBLANK(MAIN!B800), "--", IFERROR(PROPER(SUBSTITUTE(SUBSTITUTE(SUBSTITUTE(SUBSTITUTE(SUBSTITUTE(SUBSTITUTE(SUBSTITUTE(SUBSTITUTE(SUBSTITUTE(SUBSTITUTE(LEFT(MAIN!B800, FIND(",",MAIN!B800) -1), "0", ""), "1", ""), "2", ""), "3", ""), "4", ""), "5", ""), "6", ""), "7", ""), "8", ""), "9", "")), PROPER(SUBSTITUTE(SUBSTITUTE(SUBSTITUTE(SUBSTITUTE(SUBSTITUTE(SUBSTITUTE(SUBSTITUTE(SUBSTITUTE(SUBSTITUTE(SUBSTITUTE(MAIN!B800, "0", ""), "1", ""), "2", ""), "3", ""), "4", ""), "5", ""), "6", ""), "7", ""), "8", ""), "9", ""))))</f>
        <v>--</v>
      </c>
      <c r="C800" t="str">
        <f>IF(ISBLANK(MAIN!C800), "--", IFERROR(PROPER(SUBSTITUTE(SUBSTITUTE(SUBSTITUTE(SUBSTITUTE(SUBSTITUTE(SUBSTITUTE(SUBSTITUTE(SUBSTITUTE(SUBSTITUTE(SUBSTITUTE(LEFT(MAIN!C800, FIND(",",MAIN!C800) -1), "0", ""), "1", ""), "2", ""), "3", ""), "4", ""), "5", ""), "6", ""), "7", ""), "8", ""), "9", "")), PROPER(SUBSTITUTE(SUBSTITUTE(SUBSTITUTE(SUBSTITUTE(SUBSTITUTE(SUBSTITUTE(SUBSTITUTE(SUBSTITUTE(SUBSTITUTE(SUBSTITUTE(MAIN!C800, "0", ""), "1", ""), "2", ""), "3", ""), "4", ""), "5", ""), "6", ""), "7", ""), "8", ""), "9", ""))))</f>
        <v>--</v>
      </c>
      <c r="D800" t="str">
        <f>IF(ISBLANK(MAIN!D800), "--", IF(ISNUMBER(MATCH(SUBSTITUTE(LEFT(MAIN!D800, IFERROR(FIND(",", MAIN!D800)-1, LEN(MAIN!D800))), " ", ""), lookup_values!$B$2:$B$51, 0)), UPPER(SUBSTITUTE(LEFT(MAIN!D800, IFERROR(FIND(",", MAIN!D800)-1, LEN(MAIN!D800))), " ", "")), IF(ISNA(VLOOKUP(SUBSTITUTE(LEFT(MAIN!D800, IFERROR(FIND(",", MAIN!D800)-1, LEN(MAIN!D800))), " ", ""), lookup_values!$A$2:$B$51, 2, FALSE)), "--", VLOOKUP(SUBSTITUTE(LEFT(MAIN!D800, IFERROR(FIND(",", MAIN!D800)-1, LEN(MAIN!D800))), " ", ""), lookup_values!$A$2:$B$51, 2, FALSE))))</f>
        <v>--</v>
      </c>
      <c r="E800" t="str">
        <f>IF(CLEAN_DATA!D800&lt;&gt;"--","US",IF(ISBLANK(MAIN!E800), "--", IF(ISNUMBER(MATCH(SUBSTITUTE(LEFT(MAIN!E800, IFERROR(FIND(",", MAIN!E800)-1, LEN(MAIN!E800))), " ", ""), lookup_values!$E$2:$E$197, 0)), UPPER(SUBSTITUTE(LEFT(MAIN!E800, IFERROR(FIND(",", MAIN!E800)-1, LEN(MAIN!E800))), " ", "")), IF(ISNA(VLOOKUP(SUBSTITUTE(LEFT(MAIN!E800, IFERROR(FIND(",", MAIN!E800)-1, LEN(MAIN!E800))), " ", ""), lookup_values!$D$2:$E$197, 2, FALSE)), "--", VLOOKUP(SUBSTITUTE(LEFT(MAIN!E800, IFERROR(FIND(",", MAIN!E800)-1, LEN(MAIN!E800))), " ", ""), lookup_values!$D$2:$E$197, 2, FALSE)))))</f>
        <v>--</v>
      </c>
      <c r="F800" t="str">
        <f>IF(ISBLANK(MAIN!F800), "", IF(AND(ISNUMBER(VALUE(TRIM(MAIN!F800))), LEN(TRIM(MAIN!F800))=4), VALUE(TRIM(MAIN!F800)), ""))</f>
        <v/>
      </c>
      <c r="G800">
        <f>IF(ISBLANK(MAIN!G800), 0, IF(ISNUMBER(VALUE(TRIM(MAIN!G800))), VALUE(TRIM(MAIN!G800)), 0))</f>
        <v>0</v>
      </c>
      <c r="H800">
        <f>IF(ISBLANK(MAIN!H800), 0, IF(ISNUMBER(VALUE(TRIM(MAIN!H800))), VALUE(TRIM(MAIN!H800)), 0))</f>
        <v>0</v>
      </c>
      <c r="I800">
        <f>IF(ISBLANK(MAIN!I800), 0, IF(ISNUMBER(VALUE(TRIM(MAIN!I800))), VALUE(TRIM(MAIN!I800)), 0))</f>
        <v>0</v>
      </c>
      <c r="J800">
        <f>IF(ISBLANK(MAIN!J800), 0, IF(ISNUMBER(VALUE(TRIM(MAIN!J800))), VALUE(TRIM(MAIN!J800)), 0))</f>
        <v>0</v>
      </c>
      <c r="K800" cm="1">
        <f t="array" ref="K800">IFERROR(
    VALUE(
        IFERROR(
            UPPER(
                IF(MAX(IFERROR(SEARCH("WD",MAIN!G800:J800), 0))&gt;0, "WD",
                IF(MAX(IFERROR(SEARCH("NS",MAIN!G800:J800), 0))&gt;0, "NS",
                IF(MAX(IFERROR(SEARCH("NC",MAIN!G800:J800), 0))&gt;0, "NC",
                IF(MAX(IFERROR(SEARCH("DQ",MAIN!G800:J800), 0))&gt;0, "DQ",
                IF(ISNUMBER(SEARCH("WD",MAIN!K800)), "WD",
                IF(ISNUMBER(SEARCH("NS",MAIN!K800)), "NS",
                IF(ISNUMBER(SEARCH("NC",MAIN!K800)), "NC",
                IF(ISNUMBER(SEARCH("DQ",MAIN!K800)), "DQ",
                IF(ISNUMBER(SEARCH("A",MAIN!K800)), 0,
                IF(OR(MAIN!K800=0,MAIN!K800=""), 0, --TRIM(MAIN!K800)))))))))))),
            0
        )
    ),
    IFERROR(
        UPPER(
            IF(MAX(IFERROR(SEARCH("WD",MAIN!G800:J800), 0))&gt;0, "WD",
            IF(MAX(IFERROR(SEARCH("NS",MAIN!G800:J800), 0))&gt;0, "NS",
            IF(MAX(IFERROR(SEARCH("NC",MAIN!G800:J800), 0))&gt;0, "NC",
            IF(MAX(IFERROR(SEARCH("DQ",MAIN!G800:J800), 0))&gt;0, "DQ",
            IF(ISNUMBER(SEARCH("WD",MAIN!K800)), "WD",
            IF(ISNUMBER(SEARCH("NS",MAIN!K800)), "NS",
            IF(ISNUMBER(SEARCH("NC",MAIN!K800)), "NC",
            IF(ISNUMBER(SEARCH("DQ",MAIN!K800)), "DQ",
            IF(ISNUMBER(SEARCH("A",MAIN!K800)), 0,
            IF(OR(MAIN!K800=0,MAIN!K800=""), 0, --TRIM(MAIN!K800)))))))))))),
        0
    )
)</f>
        <v>0</v>
      </c>
    </row>
    <row r="801" spans="1:11" x14ac:dyDescent="0.25">
      <c r="A801" t="str">
        <f>IF(ISBLANK(MAIN!A801), "--", IFERROR(PROPER(SUBSTITUTE(SUBSTITUTE(SUBSTITUTE(SUBSTITUTE(SUBSTITUTE(SUBSTITUTE(SUBSTITUTE(SUBSTITUTE(SUBSTITUTE(SUBSTITUTE(LEFT(MAIN!A801, FIND(",",MAIN!A801) -1), "0", ""), "1", ""), "2", ""), "3", ""), "4", ""), "5", ""), "6", ""), "7", ""), "8", ""), "9", "")), PROPER(SUBSTITUTE(SUBSTITUTE(SUBSTITUTE(SUBSTITUTE(SUBSTITUTE(SUBSTITUTE(SUBSTITUTE(SUBSTITUTE(SUBSTITUTE(SUBSTITUTE(MAIN!A801, "0", ""), "1", ""), "2", ""), "3", ""), "4", ""), "5", ""), "6", ""), "7", ""), "8", ""), "9", ""))))</f>
        <v>--</v>
      </c>
      <c r="B801" t="str">
        <f>IF(ISBLANK(MAIN!B801), "--", IFERROR(PROPER(SUBSTITUTE(SUBSTITUTE(SUBSTITUTE(SUBSTITUTE(SUBSTITUTE(SUBSTITUTE(SUBSTITUTE(SUBSTITUTE(SUBSTITUTE(SUBSTITUTE(LEFT(MAIN!B801, FIND(",",MAIN!B801) -1), "0", ""), "1", ""), "2", ""), "3", ""), "4", ""), "5", ""), "6", ""), "7", ""), "8", ""), "9", "")), PROPER(SUBSTITUTE(SUBSTITUTE(SUBSTITUTE(SUBSTITUTE(SUBSTITUTE(SUBSTITUTE(SUBSTITUTE(SUBSTITUTE(SUBSTITUTE(SUBSTITUTE(MAIN!B801, "0", ""), "1", ""), "2", ""), "3", ""), "4", ""), "5", ""), "6", ""), "7", ""), "8", ""), "9", ""))))</f>
        <v>--</v>
      </c>
      <c r="C801" t="str">
        <f>IF(ISBLANK(MAIN!C801), "--", IFERROR(PROPER(SUBSTITUTE(SUBSTITUTE(SUBSTITUTE(SUBSTITUTE(SUBSTITUTE(SUBSTITUTE(SUBSTITUTE(SUBSTITUTE(SUBSTITUTE(SUBSTITUTE(LEFT(MAIN!C801, FIND(",",MAIN!C801) -1), "0", ""), "1", ""), "2", ""), "3", ""), "4", ""), "5", ""), "6", ""), "7", ""), "8", ""), "9", "")), PROPER(SUBSTITUTE(SUBSTITUTE(SUBSTITUTE(SUBSTITUTE(SUBSTITUTE(SUBSTITUTE(SUBSTITUTE(SUBSTITUTE(SUBSTITUTE(SUBSTITUTE(MAIN!C801, "0", ""), "1", ""), "2", ""), "3", ""), "4", ""), "5", ""), "6", ""), "7", ""), "8", ""), "9", ""))))</f>
        <v>--</v>
      </c>
      <c r="D801" t="str">
        <f>IF(ISBLANK(MAIN!D801), "--", IF(ISNUMBER(MATCH(SUBSTITUTE(LEFT(MAIN!D801, IFERROR(FIND(",", MAIN!D801)-1, LEN(MAIN!D801))), " ", ""), lookup_values!$B$2:$B$51, 0)), UPPER(SUBSTITUTE(LEFT(MAIN!D801, IFERROR(FIND(",", MAIN!D801)-1, LEN(MAIN!D801))), " ", "")), IF(ISNA(VLOOKUP(SUBSTITUTE(LEFT(MAIN!D801, IFERROR(FIND(",", MAIN!D801)-1, LEN(MAIN!D801))), " ", ""), lookup_values!$A$2:$B$51, 2, FALSE)), "--", VLOOKUP(SUBSTITUTE(LEFT(MAIN!D801, IFERROR(FIND(",", MAIN!D801)-1, LEN(MAIN!D801))), " ", ""), lookup_values!$A$2:$B$51, 2, FALSE))))</f>
        <v>--</v>
      </c>
      <c r="E801" t="str">
        <f>IF(CLEAN_DATA!D801&lt;&gt;"--","US",IF(ISBLANK(MAIN!E801), "--", IF(ISNUMBER(MATCH(SUBSTITUTE(LEFT(MAIN!E801, IFERROR(FIND(",", MAIN!E801)-1, LEN(MAIN!E801))), " ", ""), lookup_values!$E$2:$E$197, 0)), UPPER(SUBSTITUTE(LEFT(MAIN!E801, IFERROR(FIND(",", MAIN!E801)-1, LEN(MAIN!E801))), " ", "")), IF(ISNA(VLOOKUP(SUBSTITUTE(LEFT(MAIN!E801, IFERROR(FIND(",", MAIN!E801)-1, LEN(MAIN!E801))), " ", ""), lookup_values!$D$2:$E$197, 2, FALSE)), "--", VLOOKUP(SUBSTITUTE(LEFT(MAIN!E801, IFERROR(FIND(",", MAIN!E801)-1, LEN(MAIN!E801))), " ", ""), lookup_values!$D$2:$E$197, 2, FALSE)))))</f>
        <v>--</v>
      </c>
      <c r="F801" t="str">
        <f>IF(ISBLANK(MAIN!F801), "", IF(AND(ISNUMBER(VALUE(TRIM(MAIN!F801))), LEN(TRIM(MAIN!F801))=4), VALUE(TRIM(MAIN!F801)), ""))</f>
        <v/>
      </c>
      <c r="G801">
        <f>IF(ISBLANK(MAIN!G801), 0, IF(ISNUMBER(VALUE(TRIM(MAIN!G801))), VALUE(TRIM(MAIN!G801)), 0))</f>
        <v>0</v>
      </c>
      <c r="H801">
        <f>IF(ISBLANK(MAIN!H801), 0, IF(ISNUMBER(VALUE(TRIM(MAIN!H801))), VALUE(TRIM(MAIN!H801)), 0))</f>
        <v>0</v>
      </c>
      <c r="I801">
        <f>IF(ISBLANK(MAIN!I801), 0, IF(ISNUMBER(VALUE(TRIM(MAIN!I801))), VALUE(TRIM(MAIN!I801)), 0))</f>
        <v>0</v>
      </c>
      <c r="J801">
        <f>IF(ISBLANK(MAIN!J801), 0, IF(ISNUMBER(VALUE(TRIM(MAIN!J801))), VALUE(TRIM(MAIN!J801)), 0))</f>
        <v>0</v>
      </c>
      <c r="K801" cm="1">
        <f t="array" ref="K801">IFERROR(
    VALUE(
        IFERROR(
            UPPER(
                IF(MAX(IFERROR(SEARCH("WD",MAIN!G801:J801), 0))&gt;0, "WD",
                IF(MAX(IFERROR(SEARCH("NS",MAIN!G801:J801), 0))&gt;0, "NS",
                IF(MAX(IFERROR(SEARCH("NC",MAIN!G801:J801), 0))&gt;0, "NC",
                IF(MAX(IFERROR(SEARCH("DQ",MAIN!G801:J801), 0))&gt;0, "DQ",
                IF(ISNUMBER(SEARCH("WD",MAIN!K801)), "WD",
                IF(ISNUMBER(SEARCH("NS",MAIN!K801)), "NS",
                IF(ISNUMBER(SEARCH("NC",MAIN!K801)), "NC",
                IF(ISNUMBER(SEARCH("DQ",MAIN!K801)), "DQ",
                IF(ISNUMBER(SEARCH("A",MAIN!K801)), 0,
                IF(OR(MAIN!K801=0,MAIN!K801=""), 0, --TRIM(MAIN!K801)))))))))))),
            0
        )
    ),
    IFERROR(
        UPPER(
            IF(MAX(IFERROR(SEARCH("WD",MAIN!G801:J801), 0))&gt;0, "WD",
            IF(MAX(IFERROR(SEARCH("NS",MAIN!G801:J801), 0))&gt;0, "NS",
            IF(MAX(IFERROR(SEARCH("NC",MAIN!G801:J801), 0))&gt;0, "NC",
            IF(MAX(IFERROR(SEARCH("DQ",MAIN!G801:J801), 0))&gt;0, "DQ",
            IF(ISNUMBER(SEARCH("WD",MAIN!K801)), "WD",
            IF(ISNUMBER(SEARCH("NS",MAIN!K801)), "NS",
            IF(ISNUMBER(SEARCH("NC",MAIN!K801)), "NC",
            IF(ISNUMBER(SEARCH("DQ",MAIN!K801)), "DQ",
            IF(ISNUMBER(SEARCH("A",MAIN!K801)), 0,
            IF(OR(MAIN!K801=0,MAIN!K801=""), 0, --TRIM(MAIN!K801)))))))))))),
        0
    )
)</f>
        <v>0</v>
      </c>
    </row>
    <row r="802" spans="1:11" x14ac:dyDescent="0.25">
      <c r="A802" t="str">
        <f>IF(ISBLANK(MAIN!A802), "--", IFERROR(PROPER(SUBSTITUTE(SUBSTITUTE(SUBSTITUTE(SUBSTITUTE(SUBSTITUTE(SUBSTITUTE(SUBSTITUTE(SUBSTITUTE(SUBSTITUTE(SUBSTITUTE(LEFT(MAIN!A802, FIND(",",MAIN!A802) -1), "0", ""), "1", ""), "2", ""), "3", ""), "4", ""), "5", ""), "6", ""), "7", ""), "8", ""), "9", "")), PROPER(SUBSTITUTE(SUBSTITUTE(SUBSTITUTE(SUBSTITUTE(SUBSTITUTE(SUBSTITUTE(SUBSTITUTE(SUBSTITUTE(SUBSTITUTE(SUBSTITUTE(MAIN!A802, "0", ""), "1", ""), "2", ""), "3", ""), "4", ""), "5", ""), "6", ""), "7", ""), "8", ""), "9", ""))))</f>
        <v>--</v>
      </c>
      <c r="B802" t="str">
        <f>IF(ISBLANK(MAIN!B802), "--", IFERROR(PROPER(SUBSTITUTE(SUBSTITUTE(SUBSTITUTE(SUBSTITUTE(SUBSTITUTE(SUBSTITUTE(SUBSTITUTE(SUBSTITUTE(SUBSTITUTE(SUBSTITUTE(LEFT(MAIN!B802, FIND(",",MAIN!B802) -1), "0", ""), "1", ""), "2", ""), "3", ""), "4", ""), "5", ""), "6", ""), "7", ""), "8", ""), "9", "")), PROPER(SUBSTITUTE(SUBSTITUTE(SUBSTITUTE(SUBSTITUTE(SUBSTITUTE(SUBSTITUTE(SUBSTITUTE(SUBSTITUTE(SUBSTITUTE(SUBSTITUTE(MAIN!B802, "0", ""), "1", ""), "2", ""), "3", ""), "4", ""), "5", ""), "6", ""), "7", ""), "8", ""), "9", ""))))</f>
        <v>--</v>
      </c>
      <c r="C802" t="str">
        <f>IF(ISBLANK(MAIN!C802), "--", IFERROR(PROPER(SUBSTITUTE(SUBSTITUTE(SUBSTITUTE(SUBSTITUTE(SUBSTITUTE(SUBSTITUTE(SUBSTITUTE(SUBSTITUTE(SUBSTITUTE(SUBSTITUTE(LEFT(MAIN!C802, FIND(",",MAIN!C802) -1), "0", ""), "1", ""), "2", ""), "3", ""), "4", ""), "5", ""), "6", ""), "7", ""), "8", ""), "9", "")), PROPER(SUBSTITUTE(SUBSTITUTE(SUBSTITUTE(SUBSTITUTE(SUBSTITUTE(SUBSTITUTE(SUBSTITUTE(SUBSTITUTE(SUBSTITUTE(SUBSTITUTE(MAIN!C802, "0", ""), "1", ""), "2", ""), "3", ""), "4", ""), "5", ""), "6", ""), "7", ""), "8", ""), "9", ""))))</f>
        <v>--</v>
      </c>
      <c r="D802" t="str">
        <f>IF(ISBLANK(MAIN!D802), "--", IF(ISNUMBER(MATCH(SUBSTITUTE(LEFT(MAIN!D802, IFERROR(FIND(",", MAIN!D802)-1, LEN(MAIN!D802))), " ", ""), lookup_values!$B$2:$B$51, 0)), UPPER(SUBSTITUTE(LEFT(MAIN!D802, IFERROR(FIND(",", MAIN!D802)-1, LEN(MAIN!D802))), " ", "")), IF(ISNA(VLOOKUP(SUBSTITUTE(LEFT(MAIN!D802, IFERROR(FIND(",", MAIN!D802)-1, LEN(MAIN!D802))), " ", ""), lookup_values!$A$2:$B$51, 2, FALSE)), "--", VLOOKUP(SUBSTITUTE(LEFT(MAIN!D802, IFERROR(FIND(",", MAIN!D802)-1, LEN(MAIN!D802))), " ", ""), lookup_values!$A$2:$B$51, 2, FALSE))))</f>
        <v>--</v>
      </c>
      <c r="E802" t="str">
        <f>IF(CLEAN_DATA!D802&lt;&gt;"--","US",IF(ISBLANK(MAIN!E802), "--", IF(ISNUMBER(MATCH(SUBSTITUTE(LEFT(MAIN!E802, IFERROR(FIND(",", MAIN!E802)-1, LEN(MAIN!E802))), " ", ""), lookup_values!$E$2:$E$197, 0)), UPPER(SUBSTITUTE(LEFT(MAIN!E802, IFERROR(FIND(",", MAIN!E802)-1, LEN(MAIN!E802))), " ", "")), IF(ISNA(VLOOKUP(SUBSTITUTE(LEFT(MAIN!E802, IFERROR(FIND(",", MAIN!E802)-1, LEN(MAIN!E802))), " ", ""), lookup_values!$D$2:$E$197, 2, FALSE)), "--", VLOOKUP(SUBSTITUTE(LEFT(MAIN!E802, IFERROR(FIND(",", MAIN!E802)-1, LEN(MAIN!E802))), " ", ""), lookup_values!$D$2:$E$197, 2, FALSE)))))</f>
        <v>--</v>
      </c>
      <c r="F802" t="str">
        <f>IF(ISBLANK(MAIN!F802), "", IF(AND(ISNUMBER(VALUE(TRIM(MAIN!F802))), LEN(TRIM(MAIN!F802))=4), VALUE(TRIM(MAIN!F802)), ""))</f>
        <v/>
      </c>
      <c r="G802">
        <f>IF(ISBLANK(MAIN!G802), 0, IF(ISNUMBER(VALUE(TRIM(MAIN!G802))), VALUE(TRIM(MAIN!G802)), 0))</f>
        <v>0</v>
      </c>
      <c r="H802">
        <f>IF(ISBLANK(MAIN!H802), 0, IF(ISNUMBER(VALUE(TRIM(MAIN!H802))), VALUE(TRIM(MAIN!H802)), 0))</f>
        <v>0</v>
      </c>
      <c r="I802">
        <f>IF(ISBLANK(MAIN!I802), 0, IF(ISNUMBER(VALUE(TRIM(MAIN!I802))), VALUE(TRIM(MAIN!I802)), 0))</f>
        <v>0</v>
      </c>
      <c r="J802">
        <f>IF(ISBLANK(MAIN!J802), 0, IF(ISNUMBER(VALUE(TRIM(MAIN!J802))), VALUE(TRIM(MAIN!J802)), 0))</f>
        <v>0</v>
      </c>
      <c r="K802" cm="1">
        <f t="array" ref="K802">IFERROR(
    VALUE(
        IFERROR(
            UPPER(
                IF(MAX(IFERROR(SEARCH("WD",MAIN!G802:J802), 0))&gt;0, "WD",
                IF(MAX(IFERROR(SEARCH("NS",MAIN!G802:J802), 0))&gt;0, "NS",
                IF(MAX(IFERROR(SEARCH("NC",MAIN!G802:J802), 0))&gt;0, "NC",
                IF(MAX(IFERROR(SEARCH("DQ",MAIN!G802:J802), 0))&gt;0, "DQ",
                IF(ISNUMBER(SEARCH("WD",MAIN!K802)), "WD",
                IF(ISNUMBER(SEARCH("NS",MAIN!K802)), "NS",
                IF(ISNUMBER(SEARCH("NC",MAIN!K802)), "NC",
                IF(ISNUMBER(SEARCH("DQ",MAIN!K802)), "DQ",
                IF(ISNUMBER(SEARCH("A",MAIN!K802)), 0,
                IF(OR(MAIN!K802=0,MAIN!K802=""), 0, --TRIM(MAIN!K802)))))))))))),
            0
        )
    ),
    IFERROR(
        UPPER(
            IF(MAX(IFERROR(SEARCH("WD",MAIN!G802:J802), 0))&gt;0, "WD",
            IF(MAX(IFERROR(SEARCH("NS",MAIN!G802:J802), 0))&gt;0, "NS",
            IF(MAX(IFERROR(SEARCH("NC",MAIN!G802:J802), 0))&gt;0, "NC",
            IF(MAX(IFERROR(SEARCH("DQ",MAIN!G802:J802), 0))&gt;0, "DQ",
            IF(ISNUMBER(SEARCH("WD",MAIN!K802)), "WD",
            IF(ISNUMBER(SEARCH("NS",MAIN!K802)), "NS",
            IF(ISNUMBER(SEARCH("NC",MAIN!K802)), "NC",
            IF(ISNUMBER(SEARCH("DQ",MAIN!K802)), "DQ",
            IF(ISNUMBER(SEARCH("A",MAIN!K802)), 0,
            IF(OR(MAIN!K802=0,MAIN!K802=""), 0, --TRIM(MAIN!K802)))))))))))),
        0
    )
)</f>
        <v>0</v>
      </c>
    </row>
    <row r="803" spans="1:11" x14ac:dyDescent="0.25">
      <c r="A803" t="str">
        <f>IF(ISBLANK(MAIN!A803), "--", IFERROR(PROPER(SUBSTITUTE(SUBSTITUTE(SUBSTITUTE(SUBSTITUTE(SUBSTITUTE(SUBSTITUTE(SUBSTITUTE(SUBSTITUTE(SUBSTITUTE(SUBSTITUTE(LEFT(MAIN!A803, FIND(",",MAIN!A803) -1), "0", ""), "1", ""), "2", ""), "3", ""), "4", ""), "5", ""), "6", ""), "7", ""), "8", ""), "9", "")), PROPER(SUBSTITUTE(SUBSTITUTE(SUBSTITUTE(SUBSTITUTE(SUBSTITUTE(SUBSTITUTE(SUBSTITUTE(SUBSTITUTE(SUBSTITUTE(SUBSTITUTE(MAIN!A803, "0", ""), "1", ""), "2", ""), "3", ""), "4", ""), "5", ""), "6", ""), "7", ""), "8", ""), "9", ""))))</f>
        <v>--</v>
      </c>
      <c r="B803" t="str">
        <f>IF(ISBLANK(MAIN!B803), "--", IFERROR(PROPER(SUBSTITUTE(SUBSTITUTE(SUBSTITUTE(SUBSTITUTE(SUBSTITUTE(SUBSTITUTE(SUBSTITUTE(SUBSTITUTE(SUBSTITUTE(SUBSTITUTE(LEFT(MAIN!B803, FIND(",",MAIN!B803) -1), "0", ""), "1", ""), "2", ""), "3", ""), "4", ""), "5", ""), "6", ""), "7", ""), "8", ""), "9", "")), PROPER(SUBSTITUTE(SUBSTITUTE(SUBSTITUTE(SUBSTITUTE(SUBSTITUTE(SUBSTITUTE(SUBSTITUTE(SUBSTITUTE(SUBSTITUTE(SUBSTITUTE(MAIN!B803, "0", ""), "1", ""), "2", ""), "3", ""), "4", ""), "5", ""), "6", ""), "7", ""), "8", ""), "9", ""))))</f>
        <v>--</v>
      </c>
      <c r="C803" t="str">
        <f>IF(ISBLANK(MAIN!C803), "--", IFERROR(PROPER(SUBSTITUTE(SUBSTITUTE(SUBSTITUTE(SUBSTITUTE(SUBSTITUTE(SUBSTITUTE(SUBSTITUTE(SUBSTITUTE(SUBSTITUTE(SUBSTITUTE(LEFT(MAIN!C803, FIND(",",MAIN!C803) -1), "0", ""), "1", ""), "2", ""), "3", ""), "4", ""), "5", ""), "6", ""), "7", ""), "8", ""), "9", "")), PROPER(SUBSTITUTE(SUBSTITUTE(SUBSTITUTE(SUBSTITUTE(SUBSTITUTE(SUBSTITUTE(SUBSTITUTE(SUBSTITUTE(SUBSTITUTE(SUBSTITUTE(MAIN!C803, "0", ""), "1", ""), "2", ""), "3", ""), "4", ""), "5", ""), "6", ""), "7", ""), "8", ""), "9", ""))))</f>
        <v>--</v>
      </c>
      <c r="D803" t="str">
        <f>IF(ISBLANK(MAIN!D803), "--", IF(ISNUMBER(MATCH(SUBSTITUTE(LEFT(MAIN!D803, IFERROR(FIND(",", MAIN!D803)-1, LEN(MAIN!D803))), " ", ""), lookup_values!$B$2:$B$51, 0)), UPPER(SUBSTITUTE(LEFT(MAIN!D803, IFERROR(FIND(",", MAIN!D803)-1, LEN(MAIN!D803))), " ", "")), IF(ISNA(VLOOKUP(SUBSTITUTE(LEFT(MAIN!D803, IFERROR(FIND(",", MAIN!D803)-1, LEN(MAIN!D803))), " ", ""), lookup_values!$A$2:$B$51, 2, FALSE)), "--", VLOOKUP(SUBSTITUTE(LEFT(MAIN!D803, IFERROR(FIND(",", MAIN!D803)-1, LEN(MAIN!D803))), " ", ""), lookup_values!$A$2:$B$51, 2, FALSE))))</f>
        <v>--</v>
      </c>
      <c r="E803" t="str">
        <f>IF(CLEAN_DATA!D803&lt;&gt;"--","US",IF(ISBLANK(MAIN!E803), "--", IF(ISNUMBER(MATCH(SUBSTITUTE(LEFT(MAIN!E803, IFERROR(FIND(",", MAIN!E803)-1, LEN(MAIN!E803))), " ", ""), lookup_values!$E$2:$E$197, 0)), UPPER(SUBSTITUTE(LEFT(MAIN!E803, IFERROR(FIND(",", MAIN!E803)-1, LEN(MAIN!E803))), " ", "")), IF(ISNA(VLOOKUP(SUBSTITUTE(LEFT(MAIN!E803, IFERROR(FIND(",", MAIN!E803)-1, LEN(MAIN!E803))), " ", ""), lookup_values!$D$2:$E$197, 2, FALSE)), "--", VLOOKUP(SUBSTITUTE(LEFT(MAIN!E803, IFERROR(FIND(",", MAIN!E803)-1, LEN(MAIN!E803))), " ", ""), lookup_values!$D$2:$E$197, 2, FALSE)))))</f>
        <v>--</v>
      </c>
      <c r="F803" t="str">
        <f>IF(ISBLANK(MAIN!F803), "", IF(AND(ISNUMBER(VALUE(TRIM(MAIN!F803))), LEN(TRIM(MAIN!F803))=4), VALUE(TRIM(MAIN!F803)), ""))</f>
        <v/>
      </c>
      <c r="G803">
        <f>IF(ISBLANK(MAIN!G803), 0, IF(ISNUMBER(VALUE(TRIM(MAIN!G803))), VALUE(TRIM(MAIN!G803)), 0))</f>
        <v>0</v>
      </c>
      <c r="H803">
        <f>IF(ISBLANK(MAIN!H803), 0, IF(ISNUMBER(VALUE(TRIM(MAIN!H803))), VALUE(TRIM(MAIN!H803)), 0))</f>
        <v>0</v>
      </c>
      <c r="I803">
        <f>IF(ISBLANK(MAIN!I803), 0, IF(ISNUMBER(VALUE(TRIM(MAIN!I803))), VALUE(TRIM(MAIN!I803)), 0))</f>
        <v>0</v>
      </c>
      <c r="J803">
        <f>IF(ISBLANK(MAIN!J803), 0, IF(ISNUMBER(VALUE(TRIM(MAIN!J803))), VALUE(TRIM(MAIN!J803)), 0))</f>
        <v>0</v>
      </c>
      <c r="K803" cm="1">
        <f t="array" ref="K803">IFERROR(
    VALUE(
        IFERROR(
            UPPER(
                IF(MAX(IFERROR(SEARCH("WD",MAIN!G803:J803), 0))&gt;0, "WD",
                IF(MAX(IFERROR(SEARCH("NS",MAIN!G803:J803), 0))&gt;0, "NS",
                IF(MAX(IFERROR(SEARCH("NC",MAIN!G803:J803), 0))&gt;0, "NC",
                IF(MAX(IFERROR(SEARCH("DQ",MAIN!G803:J803), 0))&gt;0, "DQ",
                IF(ISNUMBER(SEARCH("WD",MAIN!K803)), "WD",
                IF(ISNUMBER(SEARCH("NS",MAIN!K803)), "NS",
                IF(ISNUMBER(SEARCH("NC",MAIN!K803)), "NC",
                IF(ISNUMBER(SEARCH("DQ",MAIN!K803)), "DQ",
                IF(ISNUMBER(SEARCH("A",MAIN!K803)), 0,
                IF(OR(MAIN!K803=0,MAIN!K803=""), 0, --TRIM(MAIN!K803)))))))))))),
            0
        )
    ),
    IFERROR(
        UPPER(
            IF(MAX(IFERROR(SEARCH("WD",MAIN!G803:J803), 0))&gt;0, "WD",
            IF(MAX(IFERROR(SEARCH("NS",MAIN!G803:J803), 0))&gt;0, "NS",
            IF(MAX(IFERROR(SEARCH("NC",MAIN!G803:J803), 0))&gt;0, "NC",
            IF(MAX(IFERROR(SEARCH("DQ",MAIN!G803:J803), 0))&gt;0, "DQ",
            IF(ISNUMBER(SEARCH("WD",MAIN!K803)), "WD",
            IF(ISNUMBER(SEARCH("NS",MAIN!K803)), "NS",
            IF(ISNUMBER(SEARCH("NC",MAIN!K803)), "NC",
            IF(ISNUMBER(SEARCH("DQ",MAIN!K803)), "DQ",
            IF(ISNUMBER(SEARCH("A",MAIN!K803)), 0,
            IF(OR(MAIN!K803=0,MAIN!K803=""), 0, --TRIM(MAIN!K803)))))))))))),
        0
    )
)</f>
        <v>0</v>
      </c>
    </row>
    <row r="804" spans="1:11" x14ac:dyDescent="0.25">
      <c r="A804" t="str">
        <f>IF(ISBLANK(MAIN!A804), "--", IFERROR(PROPER(SUBSTITUTE(SUBSTITUTE(SUBSTITUTE(SUBSTITUTE(SUBSTITUTE(SUBSTITUTE(SUBSTITUTE(SUBSTITUTE(SUBSTITUTE(SUBSTITUTE(LEFT(MAIN!A804, FIND(",",MAIN!A804) -1), "0", ""), "1", ""), "2", ""), "3", ""), "4", ""), "5", ""), "6", ""), "7", ""), "8", ""), "9", "")), PROPER(SUBSTITUTE(SUBSTITUTE(SUBSTITUTE(SUBSTITUTE(SUBSTITUTE(SUBSTITUTE(SUBSTITUTE(SUBSTITUTE(SUBSTITUTE(SUBSTITUTE(MAIN!A804, "0", ""), "1", ""), "2", ""), "3", ""), "4", ""), "5", ""), "6", ""), "7", ""), "8", ""), "9", ""))))</f>
        <v>--</v>
      </c>
      <c r="B804" t="str">
        <f>IF(ISBLANK(MAIN!B804), "--", IFERROR(PROPER(SUBSTITUTE(SUBSTITUTE(SUBSTITUTE(SUBSTITUTE(SUBSTITUTE(SUBSTITUTE(SUBSTITUTE(SUBSTITUTE(SUBSTITUTE(SUBSTITUTE(LEFT(MAIN!B804, FIND(",",MAIN!B804) -1), "0", ""), "1", ""), "2", ""), "3", ""), "4", ""), "5", ""), "6", ""), "7", ""), "8", ""), "9", "")), PROPER(SUBSTITUTE(SUBSTITUTE(SUBSTITUTE(SUBSTITUTE(SUBSTITUTE(SUBSTITUTE(SUBSTITUTE(SUBSTITUTE(SUBSTITUTE(SUBSTITUTE(MAIN!B804, "0", ""), "1", ""), "2", ""), "3", ""), "4", ""), "5", ""), "6", ""), "7", ""), "8", ""), "9", ""))))</f>
        <v>--</v>
      </c>
      <c r="C804" t="str">
        <f>IF(ISBLANK(MAIN!C804), "--", IFERROR(PROPER(SUBSTITUTE(SUBSTITUTE(SUBSTITUTE(SUBSTITUTE(SUBSTITUTE(SUBSTITUTE(SUBSTITUTE(SUBSTITUTE(SUBSTITUTE(SUBSTITUTE(LEFT(MAIN!C804, FIND(",",MAIN!C804) -1), "0", ""), "1", ""), "2", ""), "3", ""), "4", ""), "5", ""), "6", ""), "7", ""), "8", ""), "9", "")), PROPER(SUBSTITUTE(SUBSTITUTE(SUBSTITUTE(SUBSTITUTE(SUBSTITUTE(SUBSTITUTE(SUBSTITUTE(SUBSTITUTE(SUBSTITUTE(SUBSTITUTE(MAIN!C804, "0", ""), "1", ""), "2", ""), "3", ""), "4", ""), "5", ""), "6", ""), "7", ""), "8", ""), "9", ""))))</f>
        <v>--</v>
      </c>
      <c r="D804" t="str">
        <f>IF(ISBLANK(MAIN!D804), "--", IF(ISNUMBER(MATCH(SUBSTITUTE(LEFT(MAIN!D804, IFERROR(FIND(",", MAIN!D804)-1, LEN(MAIN!D804))), " ", ""), lookup_values!$B$2:$B$51, 0)), UPPER(SUBSTITUTE(LEFT(MAIN!D804, IFERROR(FIND(",", MAIN!D804)-1, LEN(MAIN!D804))), " ", "")), IF(ISNA(VLOOKUP(SUBSTITUTE(LEFT(MAIN!D804, IFERROR(FIND(",", MAIN!D804)-1, LEN(MAIN!D804))), " ", ""), lookup_values!$A$2:$B$51, 2, FALSE)), "--", VLOOKUP(SUBSTITUTE(LEFT(MAIN!D804, IFERROR(FIND(",", MAIN!D804)-1, LEN(MAIN!D804))), " ", ""), lookup_values!$A$2:$B$51, 2, FALSE))))</f>
        <v>--</v>
      </c>
      <c r="E804" t="str">
        <f>IF(CLEAN_DATA!D804&lt;&gt;"--","US",IF(ISBLANK(MAIN!E804), "--", IF(ISNUMBER(MATCH(SUBSTITUTE(LEFT(MAIN!E804, IFERROR(FIND(",", MAIN!E804)-1, LEN(MAIN!E804))), " ", ""), lookup_values!$E$2:$E$197, 0)), UPPER(SUBSTITUTE(LEFT(MAIN!E804, IFERROR(FIND(",", MAIN!E804)-1, LEN(MAIN!E804))), " ", "")), IF(ISNA(VLOOKUP(SUBSTITUTE(LEFT(MAIN!E804, IFERROR(FIND(",", MAIN!E804)-1, LEN(MAIN!E804))), " ", ""), lookup_values!$D$2:$E$197, 2, FALSE)), "--", VLOOKUP(SUBSTITUTE(LEFT(MAIN!E804, IFERROR(FIND(",", MAIN!E804)-1, LEN(MAIN!E804))), " ", ""), lookup_values!$D$2:$E$197, 2, FALSE)))))</f>
        <v>--</v>
      </c>
      <c r="F804" t="str">
        <f>IF(ISBLANK(MAIN!F804), "", IF(AND(ISNUMBER(VALUE(TRIM(MAIN!F804))), LEN(TRIM(MAIN!F804))=4), VALUE(TRIM(MAIN!F804)), ""))</f>
        <v/>
      </c>
      <c r="G804">
        <f>IF(ISBLANK(MAIN!G804), 0, IF(ISNUMBER(VALUE(TRIM(MAIN!G804))), VALUE(TRIM(MAIN!G804)), 0))</f>
        <v>0</v>
      </c>
      <c r="H804">
        <f>IF(ISBLANK(MAIN!H804), 0, IF(ISNUMBER(VALUE(TRIM(MAIN!H804))), VALUE(TRIM(MAIN!H804)), 0))</f>
        <v>0</v>
      </c>
      <c r="I804">
        <f>IF(ISBLANK(MAIN!I804), 0, IF(ISNUMBER(VALUE(TRIM(MAIN!I804))), VALUE(TRIM(MAIN!I804)), 0))</f>
        <v>0</v>
      </c>
      <c r="J804">
        <f>IF(ISBLANK(MAIN!J804), 0, IF(ISNUMBER(VALUE(TRIM(MAIN!J804))), VALUE(TRIM(MAIN!J804)), 0))</f>
        <v>0</v>
      </c>
      <c r="K804" cm="1">
        <f t="array" ref="K804">IFERROR(
    VALUE(
        IFERROR(
            UPPER(
                IF(MAX(IFERROR(SEARCH("WD",MAIN!G804:J804), 0))&gt;0, "WD",
                IF(MAX(IFERROR(SEARCH("NS",MAIN!G804:J804), 0))&gt;0, "NS",
                IF(MAX(IFERROR(SEARCH("NC",MAIN!G804:J804), 0))&gt;0, "NC",
                IF(MAX(IFERROR(SEARCH("DQ",MAIN!G804:J804), 0))&gt;0, "DQ",
                IF(ISNUMBER(SEARCH("WD",MAIN!K804)), "WD",
                IF(ISNUMBER(SEARCH("NS",MAIN!K804)), "NS",
                IF(ISNUMBER(SEARCH("NC",MAIN!K804)), "NC",
                IF(ISNUMBER(SEARCH("DQ",MAIN!K804)), "DQ",
                IF(ISNUMBER(SEARCH("A",MAIN!K804)), 0,
                IF(OR(MAIN!K804=0,MAIN!K804=""), 0, --TRIM(MAIN!K804)))))))))))),
            0
        )
    ),
    IFERROR(
        UPPER(
            IF(MAX(IFERROR(SEARCH("WD",MAIN!G804:J804), 0))&gt;0, "WD",
            IF(MAX(IFERROR(SEARCH("NS",MAIN!G804:J804), 0))&gt;0, "NS",
            IF(MAX(IFERROR(SEARCH("NC",MAIN!G804:J804), 0))&gt;0, "NC",
            IF(MAX(IFERROR(SEARCH("DQ",MAIN!G804:J804), 0))&gt;0, "DQ",
            IF(ISNUMBER(SEARCH("WD",MAIN!K804)), "WD",
            IF(ISNUMBER(SEARCH("NS",MAIN!K804)), "NS",
            IF(ISNUMBER(SEARCH("NC",MAIN!K804)), "NC",
            IF(ISNUMBER(SEARCH("DQ",MAIN!K804)), "DQ",
            IF(ISNUMBER(SEARCH("A",MAIN!K804)), 0,
            IF(OR(MAIN!K804=0,MAIN!K804=""), 0, --TRIM(MAIN!K804)))))))))))),
        0
    )
)</f>
        <v>0</v>
      </c>
    </row>
    <row r="805" spans="1:11" x14ac:dyDescent="0.25">
      <c r="A805" t="str">
        <f>IF(ISBLANK(MAIN!A805), "--", IFERROR(PROPER(SUBSTITUTE(SUBSTITUTE(SUBSTITUTE(SUBSTITUTE(SUBSTITUTE(SUBSTITUTE(SUBSTITUTE(SUBSTITUTE(SUBSTITUTE(SUBSTITUTE(LEFT(MAIN!A805, FIND(",",MAIN!A805) -1), "0", ""), "1", ""), "2", ""), "3", ""), "4", ""), "5", ""), "6", ""), "7", ""), "8", ""), "9", "")), PROPER(SUBSTITUTE(SUBSTITUTE(SUBSTITUTE(SUBSTITUTE(SUBSTITUTE(SUBSTITUTE(SUBSTITUTE(SUBSTITUTE(SUBSTITUTE(SUBSTITUTE(MAIN!A805, "0", ""), "1", ""), "2", ""), "3", ""), "4", ""), "5", ""), "6", ""), "7", ""), "8", ""), "9", ""))))</f>
        <v>--</v>
      </c>
      <c r="B805" t="str">
        <f>IF(ISBLANK(MAIN!B805), "--", IFERROR(PROPER(SUBSTITUTE(SUBSTITUTE(SUBSTITUTE(SUBSTITUTE(SUBSTITUTE(SUBSTITUTE(SUBSTITUTE(SUBSTITUTE(SUBSTITUTE(SUBSTITUTE(LEFT(MAIN!B805, FIND(",",MAIN!B805) -1), "0", ""), "1", ""), "2", ""), "3", ""), "4", ""), "5", ""), "6", ""), "7", ""), "8", ""), "9", "")), PROPER(SUBSTITUTE(SUBSTITUTE(SUBSTITUTE(SUBSTITUTE(SUBSTITUTE(SUBSTITUTE(SUBSTITUTE(SUBSTITUTE(SUBSTITUTE(SUBSTITUTE(MAIN!B805, "0", ""), "1", ""), "2", ""), "3", ""), "4", ""), "5", ""), "6", ""), "7", ""), "8", ""), "9", ""))))</f>
        <v>--</v>
      </c>
      <c r="C805" t="str">
        <f>IF(ISBLANK(MAIN!C805), "--", IFERROR(PROPER(SUBSTITUTE(SUBSTITUTE(SUBSTITUTE(SUBSTITUTE(SUBSTITUTE(SUBSTITUTE(SUBSTITUTE(SUBSTITUTE(SUBSTITUTE(SUBSTITUTE(LEFT(MAIN!C805, FIND(",",MAIN!C805) -1), "0", ""), "1", ""), "2", ""), "3", ""), "4", ""), "5", ""), "6", ""), "7", ""), "8", ""), "9", "")), PROPER(SUBSTITUTE(SUBSTITUTE(SUBSTITUTE(SUBSTITUTE(SUBSTITUTE(SUBSTITUTE(SUBSTITUTE(SUBSTITUTE(SUBSTITUTE(SUBSTITUTE(MAIN!C805, "0", ""), "1", ""), "2", ""), "3", ""), "4", ""), "5", ""), "6", ""), "7", ""), "8", ""), "9", ""))))</f>
        <v>--</v>
      </c>
      <c r="D805" t="str">
        <f>IF(ISBLANK(MAIN!D805), "--", IF(ISNUMBER(MATCH(SUBSTITUTE(LEFT(MAIN!D805, IFERROR(FIND(",", MAIN!D805)-1, LEN(MAIN!D805))), " ", ""), lookup_values!$B$2:$B$51, 0)), UPPER(SUBSTITUTE(LEFT(MAIN!D805, IFERROR(FIND(",", MAIN!D805)-1, LEN(MAIN!D805))), " ", "")), IF(ISNA(VLOOKUP(SUBSTITUTE(LEFT(MAIN!D805, IFERROR(FIND(",", MAIN!D805)-1, LEN(MAIN!D805))), " ", ""), lookup_values!$A$2:$B$51, 2, FALSE)), "--", VLOOKUP(SUBSTITUTE(LEFT(MAIN!D805, IFERROR(FIND(",", MAIN!D805)-1, LEN(MAIN!D805))), " ", ""), lookup_values!$A$2:$B$51, 2, FALSE))))</f>
        <v>--</v>
      </c>
      <c r="E805" t="str">
        <f>IF(CLEAN_DATA!D805&lt;&gt;"--","US",IF(ISBLANK(MAIN!E805), "--", IF(ISNUMBER(MATCH(SUBSTITUTE(LEFT(MAIN!E805, IFERROR(FIND(",", MAIN!E805)-1, LEN(MAIN!E805))), " ", ""), lookup_values!$E$2:$E$197, 0)), UPPER(SUBSTITUTE(LEFT(MAIN!E805, IFERROR(FIND(",", MAIN!E805)-1, LEN(MAIN!E805))), " ", "")), IF(ISNA(VLOOKUP(SUBSTITUTE(LEFT(MAIN!E805, IFERROR(FIND(",", MAIN!E805)-1, LEN(MAIN!E805))), " ", ""), lookup_values!$D$2:$E$197, 2, FALSE)), "--", VLOOKUP(SUBSTITUTE(LEFT(MAIN!E805, IFERROR(FIND(",", MAIN!E805)-1, LEN(MAIN!E805))), " ", ""), lookup_values!$D$2:$E$197, 2, FALSE)))))</f>
        <v>--</v>
      </c>
      <c r="F805" t="str">
        <f>IF(ISBLANK(MAIN!F805), "", IF(AND(ISNUMBER(VALUE(TRIM(MAIN!F805))), LEN(TRIM(MAIN!F805))=4), VALUE(TRIM(MAIN!F805)), ""))</f>
        <v/>
      </c>
      <c r="G805">
        <f>IF(ISBLANK(MAIN!G805), 0, IF(ISNUMBER(VALUE(TRIM(MAIN!G805))), VALUE(TRIM(MAIN!G805)), 0))</f>
        <v>0</v>
      </c>
      <c r="H805">
        <f>IF(ISBLANK(MAIN!H805), 0, IF(ISNUMBER(VALUE(TRIM(MAIN!H805))), VALUE(TRIM(MAIN!H805)), 0))</f>
        <v>0</v>
      </c>
      <c r="I805">
        <f>IF(ISBLANK(MAIN!I805), 0, IF(ISNUMBER(VALUE(TRIM(MAIN!I805))), VALUE(TRIM(MAIN!I805)), 0))</f>
        <v>0</v>
      </c>
      <c r="J805">
        <f>IF(ISBLANK(MAIN!J805), 0, IF(ISNUMBER(VALUE(TRIM(MAIN!J805))), VALUE(TRIM(MAIN!J805)), 0))</f>
        <v>0</v>
      </c>
      <c r="K805" cm="1">
        <f t="array" ref="K805">IFERROR(
    VALUE(
        IFERROR(
            UPPER(
                IF(MAX(IFERROR(SEARCH("WD",MAIN!G805:J805), 0))&gt;0, "WD",
                IF(MAX(IFERROR(SEARCH("NS",MAIN!G805:J805), 0))&gt;0, "NS",
                IF(MAX(IFERROR(SEARCH("NC",MAIN!G805:J805), 0))&gt;0, "NC",
                IF(MAX(IFERROR(SEARCH("DQ",MAIN!G805:J805), 0))&gt;0, "DQ",
                IF(ISNUMBER(SEARCH("WD",MAIN!K805)), "WD",
                IF(ISNUMBER(SEARCH("NS",MAIN!K805)), "NS",
                IF(ISNUMBER(SEARCH("NC",MAIN!K805)), "NC",
                IF(ISNUMBER(SEARCH("DQ",MAIN!K805)), "DQ",
                IF(ISNUMBER(SEARCH("A",MAIN!K805)), 0,
                IF(OR(MAIN!K805=0,MAIN!K805=""), 0, --TRIM(MAIN!K805)))))))))))),
            0
        )
    ),
    IFERROR(
        UPPER(
            IF(MAX(IFERROR(SEARCH("WD",MAIN!G805:J805), 0))&gt;0, "WD",
            IF(MAX(IFERROR(SEARCH("NS",MAIN!G805:J805), 0))&gt;0, "NS",
            IF(MAX(IFERROR(SEARCH("NC",MAIN!G805:J805), 0))&gt;0, "NC",
            IF(MAX(IFERROR(SEARCH("DQ",MAIN!G805:J805), 0))&gt;0, "DQ",
            IF(ISNUMBER(SEARCH("WD",MAIN!K805)), "WD",
            IF(ISNUMBER(SEARCH("NS",MAIN!K805)), "NS",
            IF(ISNUMBER(SEARCH("NC",MAIN!K805)), "NC",
            IF(ISNUMBER(SEARCH("DQ",MAIN!K805)), "DQ",
            IF(ISNUMBER(SEARCH("A",MAIN!K805)), 0,
            IF(OR(MAIN!K805=0,MAIN!K805=""), 0, --TRIM(MAIN!K805)))))))))))),
        0
    )
)</f>
        <v>0</v>
      </c>
    </row>
    <row r="806" spans="1:11" x14ac:dyDescent="0.25">
      <c r="A806" t="str">
        <f>IF(ISBLANK(MAIN!A806), "--", IFERROR(PROPER(SUBSTITUTE(SUBSTITUTE(SUBSTITUTE(SUBSTITUTE(SUBSTITUTE(SUBSTITUTE(SUBSTITUTE(SUBSTITUTE(SUBSTITUTE(SUBSTITUTE(LEFT(MAIN!A806, FIND(",",MAIN!A806) -1), "0", ""), "1", ""), "2", ""), "3", ""), "4", ""), "5", ""), "6", ""), "7", ""), "8", ""), "9", "")), PROPER(SUBSTITUTE(SUBSTITUTE(SUBSTITUTE(SUBSTITUTE(SUBSTITUTE(SUBSTITUTE(SUBSTITUTE(SUBSTITUTE(SUBSTITUTE(SUBSTITUTE(MAIN!A806, "0", ""), "1", ""), "2", ""), "3", ""), "4", ""), "5", ""), "6", ""), "7", ""), "8", ""), "9", ""))))</f>
        <v>--</v>
      </c>
      <c r="B806" t="str">
        <f>IF(ISBLANK(MAIN!B806), "--", IFERROR(PROPER(SUBSTITUTE(SUBSTITUTE(SUBSTITUTE(SUBSTITUTE(SUBSTITUTE(SUBSTITUTE(SUBSTITUTE(SUBSTITUTE(SUBSTITUTE(SUBSTITUTE(LEFT(MAIN!B806, FIND(",",MAIN!B806) -1), "0", ""), "1", ""), "2", ""), "3", ""), "4", ""), "5", ""), "6", ""), "7", ""), "8", ""), "9", "")), PROPER(SUBSTITUTE(SUBSTITUTE(SUBSTITUTE(SUBSTITUTE(SUBSTITUTE(SUBSTITUTE(SUBSTITUTE(SUBSTITUTE(SUBSTITUTE(SUBSTITUTE(MAIN!B806, "0", ""), "1", ""), "2", ""), "3", ""), "4", ""), "5", ""), "6", ""), "7", ""), "8", ""), "9", ""))))</f>
        <v>--</v>
      </c>
      <c r="C806" t="str">
        <f>IF(ISBLANK(MAIN!C806), "--", IFERROR(PROPER(SUBSTITUTE(SUBSTITUTE(SUBSTITUTE(SUBSTITUTE(SUBSTITUTE(SUBSTITUTE(SUBSTITUTE(SUBSTITUTE(SUBSTITUTE(SUBSTITUTE(LEFT(MAIN!C806, FIND(",",MAIN!C806) -1), "0", ""), "1", ""), "2", ""), "3", ""), "4", ""), "5", ""), "6", ""), "7", ""), "8", ""), "9", "")), PROPER(SUBSTITUTE(SUBSTITUTE(SUBSTITUTE(SUBSTITUTE(SUBSTITUTE(SUBSTITUTE(SUBSTITUTE(SUBSTITUTE(SUBSTITUTE(SUBSTITUTE(MAIN!C806, "0", ""), "1", ""), "2", ""), "3", ""), "4", ""), "5", ""), "6", ""), "7", ""), "8", ""), "9", ""))))</f>
        <v>--</v>
      </c>
      <c r="D806" t="str">
        <f>IF(ISBLANK(MAIN!D806), "--", IF(ISNUMBER(MATCH(SUBSTITUTE(LEFT(MAIN!D806, IFERROR(FIND(",", MAIN!D806)-1, LEN(MAIN!D806))), " ", ""), lookup_values!$B$2:$B$51, 0)), UPPER(SUBSTITUTE(LEFT(MAIN!D806, IFERROR(FIND(",", MAIN!D806)-1, LEN(MAIN!D806))), " ", "")), IF(ISNA(VLOOKUP(SUBSTITUTE(LEFT(MAIN!D806, IFERROR(FIND(",", MAIN!D806)-1, LEN(MAIN!D806))), " ", ""), lookup_values!$A$2:$B$51, 2, FALSE)), "--", VLOOKUP(SUBSTITUTE(LEFT(MAIN!D806, IFERROR(FIND(",", MAIN!D806)-1, LEN(MAIN!D806))), " ", ""), lookup_values!$A$2:$B$51, 2, FALSE))))</f>
        <v>--</v>
      </c>
      <c r="E806" t="str">
        <f>IF(CLEAN_DATA!D806&lt;&gt;"--","US",IF(ISBLANK(MAIN!E806), "--", IF(ISNUMBER(MATCH(SUBSTITUTE(LEFT(MAIN!E806, IFERROR(FIND(",", MAIN!E806)-1, LEN(MAIN!E806))), " ", ""), lookup_values!$E$2:$E$197, 0)), UPPER(SUBSTITUTE(LEFT(MAIN!E806, IFERROR(FIND(",", MAIN!E806)-1, LEN(MAIN!E806))), " ", "")), IF(ISNA(VLOOKUP(SUBSTITUTE(LEFT(MAIN!E806, IFERROR(FIND(",", MAIN!E806)-1, LEN(MAIN!E806))), " ", ""), lookup_values!$D$2:$E$197, 2, FALSE)), "--", VLOOKUP(SUBSTITUTE(LEFT(MAIN!E806, IFERROR(FIND(",", MAIN!E806)-1, LEN(MAIN!E806))), " ", ""), lookup_values!$D$2:$E$197, 2, FALSE)))))</f>
        <v>--</v>
      </c>
      <c r="F806" t="str">
        <f>IF(ISBLANK(MAIN!F806), "", IF(AND(ISNUMBER(VALUE(TRIM(MAIN!F806))), LEN(TRIM(MAIN!F806))=4), VALUE(TRIM(MAIN!F806)), ""))</f>
        <v/>
      </c>
      <c r="G806">
        <f>IF(ISBLANK(MAIN!G806), 0, IF(ISNUMBER(VALUE(TRIM(MAIN!G806))), VALUE(TRIM(MAIN!G806)), 0))</f>
        <v>0</v>
      </c>
      <c r="H806">
        <f>IF(ISBLANK(MAIN!H806), 0, IF(ISNUMBER(VALUE(TRIM(MAIN!H806))), VALUE(TRIM(MAIN!H806)), 0))</f>
        <v>0</v>
      </c>
      <c r="I806">
        <f>IF(ISBLANK(MAIN!I806), 0, IF(ISNUMBER(VALUE(TRIM(MAIN!I806))), VALUE(TRIM(MAIN!I806)), 0))</f>
        <v>0</v>
      </c>
      <c r="J806">
        <f>IF(ISBLANK(MAIN!J806), 0, IF(ISNUMBER(VALUE(TRIM(MAIN!J806))), VALUE(TRIM(MAIN!J806)), 0))</f>
        <v>0</v>
      </c>
      <c r="K806" cm="1">
        <f t="array" ref="K806">IFERROR(
    VALUE(
        IFERROR(
            UPPER(
                IF(MAX(IFERROR(SEARCH("WD",MAIN!G806:J806), 0))&gt;0, "WD",
                IF(MAX(IFERROR(SEARCH("NS",MAIN!G806:J806), 0))&gt;0, "NS",
                IF(MAX(IFERROR(SEARCH("NC",MAIN!G806:J806), 0))&gt;0, "NC",
                IF(MAX(IFERROR(SEARCH("DQ",MAIN!G806:J806), 0))&gt;0, "DQ",
                IF(ISNUMBER(SEARCH("WD",MAIN!K806)), "WD",
                IF(ISNUMBER(SEARCH("NS",MAIN!K806)), "NS",
                IF(ISNUMBER(SEARCH("NC",MAIN!K806)), "NC",
                IF(ISNUMBER(SEARCH("DQ",MAIN!K806)), "DQ",
                IF(ISNUMBER(SEARCH("A",MAIN!K806)), 0,
                IF(OR(MAIN!K806=0,MAIN!K806=""), 0, --TRIM(MAIN!K806)))))))))))),
            0
        )
    ),
    IFERROR(
        UPPER(
            IF(MAX(IFERROR(SEARCH("WD",MAIN!G806:J806), 0))&gt;0, "WD",
            IF(MAX(IFERROR(SEARCH("NS",MAIN!G806:J806), 0))&gt;0, "NS",
            IF(MAX(IFERROR(SEARCH("NC",MAIN!G806:J806), 0))&gt;0, "NC",
            IF(MAX(IFERROR(SEARCH("DQ",MAIN!G806:J806), 0))&gt;0, "DQ",
            IF(ISNUMBER(SEARCH("WD",MAIN!K806)), "WD",
            IF(ISNUMBER(SEARCH("NS",MAIN!K806)), "NS",
            IF(ISNUMBER(SEARCH("NC",MAIN!K806)), "NC",
            IF(ISNUMBER(SEARCH("DQ",MAIN!K806)), "DQ",
            IF(ISNUMBER(SEARCH("A",MAIN!K806)), 0,
            IF(OR(MAIN!K806=0,MAIN!K806=""), 0, --TRIM(MAIN!K806)))))))))))),
        0
    )
)</f>
        <v>0</v>
      </c>
    </row>
    <row r="807" spans="1:11" x14ac:dyDescent="0.25">
      <c r="A807" t="str">
        <f>IF(ISBLANK(MAIN!A807), "--", IFERROR(PROPER(SUBSTITUTE(SUBSTITUTE(SUBSTITUTE(SUBSTITUTE(SUBSTITUTE(SUBSTITUTE(SUBSTITUTE(SUBSTITUTE(SUBSTITUTE(SUBSTITUTE(LEFT(MAIN!A807, FIND(",",MAIN!A807) -1), "0", ""), "1", ""), "2", ""), "3", ""), "4", ""), "5", ""), "6", ""), "7", ""), "8", ""), "9", "")), PROPER(SUBSTITUTE(SUBSTITUTE(SUBSTITUTE(SUBSTITUTE(SUBSTITUTE(SUBSTITUTE(SUBSTITUTE(SUBSTITUTE(SUBSTITUTE(SUBSTITUTE(MAIN!A807, "0", ""), "1", ""), "2", ""), "3", ""), "4", ""), "5", ""), "6", ""), "7", ""), "8", ""), "9", ""))))</f>
        <v>--</v>
      </c>
      <c r="B807" t="str">
        <f>IF(ISBLANK(MAIN!B807), "--", IFERROR(PROPER(SUBSTITUTE(SUBSTITUTE(SUBSTITUTE(SUBSTITUTE(SUBSTITUTE(SUBSTITUTE(SUBSTITUTE(SUBSTITUTE(SUBSTITUTE(SUBSTITUTE(LEFT(MAIN!B807, FIND(",",MAIN!B807) -1), "0", ""), "1", ""), "2", ""), "3", ""), "4", ""), "5", ""), "6", ""), "7", ""), "8", ""), "9", "")), PROPER(SUBSTITUTE(SUBSTITUTE(SUBSTITUTE(SUBSTITUTE(SUBSTITUTE(SUBSTITUTE(SUBSTITUTE(SUBSTITUTE(SUBSTITUTE(SUBSTITUTE(MAIN!B807, "0", ""), "1", ""), "2", ""), "3", ""), "4", ""), "5", ""), "6", ""), "7", ""), "8", ""), "9", ""))))</f>
        <v>--</v>
      </c>
      <c r="C807" t="str">
        <f>IF(ISBLANK(MAIN!C807), "--", IFERROR(PROPER(SUBSTITUTE(SUBSTITUTE(SUBSTITUTE(SUBSTITUTE(SUBSTITUTE(SUBSTITUTE(SUBSTITUTE(SUBSTITUTE(SUBSTITUTE(SUBSTITUTE(LEFT(MAIN!C807, FIND(",",MAIN!C807) -1), "0", ""), "1", ""), "2", ""), "3", ""), "4", ""), "5", ""), "6", ""), "7", ""), "8", ""), "9", "")), PROPER(SUBSTITUTE(SUBSTITUTE(SUBSTITUTE(SUBSTITUTE(SUBSTITUTE(SUBSTITUTE(SUBSTITUTE(SUBSTITUTE(SUBSTITUTE(SUBSTITUTE(MAIN!C807, "0", ""), "1", ""), "2", ""), "3", ""), "4", ""), "5", ""), "6", ""), "7", ""), "8", ""), "9", ""))))</f>
        <v>--</v>
      </c>
      <c r="D807" t="str">
        <f>IF(ISBLANK(MAIN!D807), "--", IF(ISNUMBER(MATCH(SUBSTITUTE(LEFT(MAIN!D807, IFERROR(FIND(",", MAIN!D807)-1, LEN(MAIN!D807))), " ", ""), lookup_values!$B$2:$B$51, 0)), UPPER(SUBSTITUTE(LEFT(MAIN!D807, IFERROR(FIND(",", MAIN!D807)-1, LEN(MAIN!D807))), " ", "")), IF(ISNA(VLOOKUP(SUBSTITUTE(LEFT(MAIN!D807, IFERROR(FIND(",", MAIN!D807)-1, LEN(MAIN!D807))), " ", ""), lookup_values!$A$2:$B$51, 2, FALSE)), "--", VLOOKUP(SUBSTITUTE(LEFT(MAIN!D807, IFERROR(FIND(",", MAIN!D807)-1, LEN(MAIN!D807))), " ", ""), lookup_values!$A$2:$B$51, 2, FALSE))))</f>
        <v>--</v>
      </c>
      <c r="E807" t="str">
        <f>IF(CLEAN_DATA!D807&lt;&gt;"--","US",IF(ISBLANK(MAIN!E807), "--", IF(ISNUMBER(MATCH(SUBSTITUTE(LEFT(MAIN!E807, IFERROR(FIND(",", MAIN!E807)-1, LEN(MAIN!E807))), " ", ""), lookup_values!$E$2:$E$197, 0)), UPPER(SUBSTITUTE(LEFT(MAIN!E807, IFERROR(FIND(",", MAIN!E807)-1, LEN(MAIN!E807))), " ", "")), IF(ISNA(VLOOKUP(SUBSTITUTE(LEFT(MAIN!E807, IFERROR(FIND(",", MAIN!E807)-1, LEN(MAIN!E807))), " ", ""), lookup_values!$D$2:$E$197, 2, FALSE)), "--", VLOOKUP(SUBSTITUTE(LEFT(MAIN!E807, IFERROR(FIND(",", MAIN!E807)-1, LEN(MAIN!E807))), " ", ""), lookup_values!$D$2:$E$197, 2, FALSE)))))</f>
        <v>--</v>
      </c>
      <c r="F807" t="str">
        <f>IF(ISBLANK(MAIN!F807), "", IF(AND(ISNUMBER(VALUE(TRIM(MAIN!F807))), LEN(TRIM(MAIN!F807))=4), VALUE(TRIM(MAIN!F807)), ""))</f>
        <v/>
      </c>
      <c r="G807">
        <f>IF(ISBLANK(MAIN!G807), 0, IF(ISNUMBER(VALUE(TRIM(MAIN!G807))), VALUE(TRIM(MAIN!G807)), 0))</f>
        <v>0</v>
      </c>
      <c r="H807">
        <f>IF(ISBLANK(MAIN!H807), 0, IF(ISNUMBER(VALUE(TRIM(MAIN!H807))), VALUE(TRIM(MAIN!H807)), 0))</f>
        <v>0</v>
      </c>
      <c r="I807">
        <f>IF(ISBLANK(MAIN!I807), 0, IF(ISNUMBER(VALUE(TRIM(MAIN!I807))), VALUE(TRIM(MAIN!I807)), 0))</f>
        <v>0</v>
      </c>
      <c r="J807">
        <f>IF(ISBLANK(MAIN!J807), 0, IF(ISNUMBER(VALUE(TRIM(MAIN!J807))), VALUE(TRIM(MAIN!J807)), 0))</f>
        <v>0</v>
      </c>
      <c r="K807" cm="1">
        <f t="array" ref="K807">IFERROR(
    VALUE(
        IFERROR(
            UPPER(
                IF(MAX(IFERROR(SEARCH("WD",MAIN!G807:J807), 0))&gt;0, "WD",
                IF(MAX(IFERROR(SEARCH("NS",MAIN!G807:J807), 0))&gt;0, "NS",
                IF(MAX(IFERROR(SEARCH("NC",MAIN!G807:J807), 0))&gt;0, "NC",
                IF(MAX(IFERROR(SEARCH("DQ",MAIN!G807:J807), 0))&gt;0, "DQ",
                IF(ISNUMBER(SEARCH("WD",MAIN!K807)), "WD",
                IF(ISNUMBER(SEARCH("NS",MAIN!K807)), "NS",
                IF(ISNUMBER(SEARCH("NC",MAIN!K807)), "NC",
                IF(ISNUMBER(SEARCH("DQ",MAIN!K807)), "DQ",
                IF(ISNUMBER(SEARCH("A",MAIN!K807)), 0,
                IF(OR(MAIN!K807=0,MAIN!K807=""), 0, --TRIM(MAIN!K807)))))))))))),
            0
        )
    ),
    IFERROR(
        UPPER(
            IF(MAX(IFERROR(SEARCH("WD",MAIN!G807:J807), 0))&gt;0, "WD",
            IF(MAX(IFERROR(SEARCH("NS",MAIN!G807:J807), 0))&gt;0, "NS",
            IF(MAX(IFERROR(SEARCH("NC",MAIN!G807:J807), 0))&gt;0, "NC",
            IF(MAX(IFERROR(SEARCH("DQ",MAIN!G807:J807), 0))&gt;0, "DQ",
            IF(ISNUMBER(SEARCH("WD",MAIN!K807)), "WD",
            IF(ISNUMBER(SEARCH("NS",MAIN!K807)), "NS",
            IF(ISNUMBER(SEARCH("NC",MAIN!K807)), "NC",
            IF(ISNUMBER(SEARCH("DQ",MAIN!K807)), "DQ",
            IF(ISNUMBER(SEARCH("A",MAIN!K807)), 0,
            IF(OR(MAIN!K807=0,MAIN!K807=""), 0, --TRIM(MAIN!K807)))))))))))),
        0
    )
)</f>
        <v>0</v>
      </c>
    </row>
    <row r="808" spans="1:11" x14ac:dyDescent="0.25">
      <c r="A808" t="str">
        <f>IF(ISBLANK(MAIN!A808), "--", IFERROR(PROPER(SUBSTITUTE(SUBSTITUTE(SUBSTITUTE(SUBSTITUTE(SUBSTITUTE(SUBSTITUTE(SUBSTITUTE(SUBSTITUTE(SUBSTITUTE(SUBSTITUTE(LEFT(MAIN!A808, FIND(",",MAIN!A808) -1), "0", ""), "1", ""), "2", ""), "3", ""), "4", ""), "5", ""), "6", ""), "7", ""), "8", ""), "9", "")), PROPER(SUBSTITUTE(SUBSTITUTE(SUBSTITUTE(SUBSTITUTE(SUBSTITUTE(SUBSTITUTE(SUBSTITUTE(SUBSTITUTE(SUBSTITUTE(SUBSTITUTE(MAIN!A808, "0", ""), "1", ""), "2", ""), "3", ""), "4", ""), "5", ""), "6", ""), "7", ""), "8", ""), "9", ""))))</f>
        <v>--</v>
      </c>
      <c r="B808" t="str">
        <f>IF(ISBLANK(MAIN!B808), "--", IFERROR(PROPER(SUBSTITUTE(SUBSTITUTE(SUBSTITUTE(SUBSTITUTE(SUBSTITUTE(SUBSTITUTE(SUBSTITUTE(SUBSTITUTE(SUBSTITUTE(SUBSTITUTE(LEFT(MAIN!B808, FIND(",",MAIN!B808) -1), "0", ""), "1", ""), "2", ""), "3", ""), "4", ""), "5", ""), "6", ""), "7", ""), "8", ""), "9", "")), PROPER(SUBSTITUTE(SUBSTITUTE(SUBSTITUTE(SUBSTITUTE(SUBSTITUTE(SUBSTITUTE(SUBSTITUTE(SUBSTITUTE(SUBSTITUTE(SUBSTITUTE(MAIN!B808, "0", ""), "1", ""), "2", ""), "3", ""), "4", ""), "5", ""), "6", ""), "7", ""), "8", ""), "9", ""))))</f>
        <v>--</v>
      </c>
      <c r="C808" t="str">
        <f>IF(ISBLANK(MAIN!C808), "--", IFERROR(PROPER(SUBSTITUTE(SUBSTITUTE(SUBSTITUTE(SUBSTITUTE(SUBSTITUTE(SUBSTITUTE(SUBSTITUTE(SUBSTITUTE(SUBSTITUTE(SUBSTITUTE(LEFT(MAIN!C808, FIND(",",MAIN!C808) -1), "0", ""), "1", ""), "2", ""), "3", ""), "4", ""), "5", ""), "6", ""), "7", ""), "8", ""), "9", "")), PROPER(SUBSTITUTE(SUBSTITUTE(SUBSTITUTE(SUBSTITUTE(SUBSTITUTE(SUBSTITUTE(SUBSTITUTE(SUBSTITUTE(SUBSTITUTE(SUBSTITUTE(MAIN!C808, "0", ""), "1", ""), "2", ""), "3", ""), "4", ""), "5", ""), "6", ""), "7", ""), "8", ""), "9", ""))))</f>
        <v>--</v>
      </c>
      <c r="D808" t="str">
        <f>IF(ISBLANK(MAIN!D808), "--", IF(ISNUMBER(MATCH(SUBSTITUTE(LEFT(MAIN!D808, IFERROR(FIND(",", MAIN!D808)-1, LEN(MAIN!D808))), " ", ""), lookup_values!$B$2:$B$51, 0)), UPPER(SUBSTITUTE(LEFT(MAIN!D808, IFERROR(FIND(",", MAIN!D808)-1, LEN(MAIN!D808))), " ", "")), IF(ISNA(VLOOKUP(SUBSTITUTE(LEFT(MAIN!D808, IFERROR(FIND(",", MAIN!D808)-1, LEN(MAIN!D808))), " ", ""), lookup_values!$A$2:$B$51, 2, FALSE)), "--", VLOOKUP(SUBSTITUTE(LEFT(MAIN!D808, IFERROR(FIND(",", MAIN!D808)-1, LEN(MAIN!D808))), " ", ""), lookup_values!$A$2:$B$51, 2, FALSE))))</f>
        <v>--</v>
      </c>
      <c r="E808" t="str">
        <f>IF(CLEAN_DATA!D808&lt;&gt;"--","US",IF(ISBLANK(MAIN!E808), "--", IF(ISNUMBER(MATCH(SUBSTITUTE(LEFT(MAIN!E808, IFERROR(FIND(",", MAIN!E808)-1, LEN(MAIN!E808))), " ", ""), lookup_values!$E$2:$E$197, 0)), UPPER(SUBSTITUTE(LEFT(MAIN!E808, IFERROR(FIND(",", MAIN!E808)-1, LEN(MAIN!E808))), " ", "")), IF(ISNA(VLOOKUP(SUBSTITUTE(LEFT(MAIN!E808, IFERROR(FIND(",", MAIN!E808)-1, LEN(MAIN!E808))), " ", ""), lookup_values!$D$2:$E$197, 2, FALSE)), "--", VLOOKUP(SUBSTITUTE(LEFT(MAIN!E808, IFERROR(FIND(",", MAIN!E808)-1, LEN(MAIN!E808))), " ", ""), lookup_values!$D$2:$E$197, 2, FALSE)))))</f>
        <v>--</v>
      </c>
      <c r="F808" t="str">
        <f>IF(ISBLANK(MAIN!F808), "", IF(AND(ISNUMBER(VALUE(TRIM(MAIN!F808))), LEN(TRIM(MAIN!F808))=4), VALUE(TRIM(MAIN!F808)), ""))</f>
        <v/>
      </c>
      <c r="G808">
        <f>IF(ISBLANK(MAIN!G808), 0, IF(ISNUMBER(VALUE(TRIM(MAIN!G808))), VALUE(TRIM(MAIN!G808)), 0))</f>
        <v>0</v>
      </c>
      <c r="H808">
        <f>IF(ISBLANK(MAIN!H808), 0, IF(ISNUMBER(VALUE(TRIM(MAIN!H808))), VALUE(TRIM(MAIN!H808)), 0))</f>
        <v>0</v>
      </c>
      <c r="I808">
        <f>IF(ISBLANK(MAIN!I808), 0, IF(ISNUMBER(VALUE(TRIM(MAIN!I808))), VALUE(TRIM(MAIN!I808)), 0))</f>
        <v>0</v>
      </c>
      <c r="J808">
        <f>IF(ISBLANK(MAIN!J808), 0, IF(ISNUMBER(VALUE(TRIM(MAIN!J808))), VALUE(TRIM(MAIN!J808)), 0))</f>
        <v>0</v>
      </c>
      <c r="K808" cm="1">
        <f t="array" ref="K808">IFERROR(
    VALUE(
        IFERROR(
            UPPER(
                IF(MAX(IFERROR(SEARCH("WD",MAIN!G808:J808), 0))&gt;0, "WD",
                IF(MAX(IFERROR(SEARCH("NS",MAIN!G808:J808), 0))&gt;0, "NS",
                IF(MAX(IFERROR(SEARCH("NC",MAIN!G808:J808), 0))&gt;0, "NC",
                IF(MAX(IFERROR(SEARCH("DQ",MAIN!G808:J808), 0))&gt;0, "DQ",
                IF(ISNUMBER(SEARCH("WD",MAIN!K808)), "WD",
                IF(ISNUMBER(SEARCH("NS",MAIN!K808)), "NS",
                IF(ISNUMBER(SEARCH("NC",MAIN!K808)), "NC",
                IF(ISNUMBER(SEARCH("DQ",MAIN!K808)), "DQ",
                IF(ISNUMBER(SEARCH("A",MAIN!K808)), 0,
                IF(OR(MAIN!K808=0,MAIN!K808=""), 0, --TRIM(MAIN!K808)))))))))))),
            0
        )
    ),
    IFERROR(
        UPPER(
            IF(MAX(IFERROR(SEARCH("WD",MAIN!G808:J808), 0))&gt;0, "WD",
            IF(MAX(IFERROR(SEARCH("NS",MAIN!G808:J808), 0))&gt;0, "NS",
            IF(MAX(IFERROR(SEARCH("NC",MAIN!G808:J808), 0))&gt;0, "NC",
            IF(MAX(IFERROR(SEARCH("DQ",MAIN!G808:J808), 0))&gt;0, "DQ",
            IF(ISNUMBER(SEARCH("WD",MAIN!K808)), "WD",
            IF(ISNUMBER(SEARCH("NS",MAIN!K808)), "NS",
            IF(ISNUMBER(SEARCH("NC",MAIN!K808)), "NC",
            IF(ISNUMBER(SEARCH("DQ",MAIN!K808)), "DQ",
            IF(ISNUMBER(SEARCH("A",MAIN!K808)), 0,
            IF(OR(MAIN!K808=0,MAIN!K808=""), 0, --TRIM(MAIN!K808)))))))))))),
        0
    )
)</f>
        <v>0</v>
      </c>
    </row>
    <row r="809" spans="1:11" x14ac:dyDescent="0.25">
      <c r="A809" t="str">
        <f>IF(ISBLANK(MAIN!A809), "--", IFERROR(PROPER(SUBSTITUTE(SUBSTITUTE(SUBSTITUTE(SUBSTITUTE(SUBSTITUTE(SUBSTITUTE(SUBSTITUTE(SUBSTITUTE(SUBSTITUTE(SUBSTITUTE(LEFT(MAIN!A809, FIND(",",MAIN!A809) -1), "0", ""), "1", ""), "2", ""), "3", ""), "4", ""), "5", ""), "6", ""), "7", ""), "8", ""), "9", "")), PROPER(SUBSTITUTE(SUBSTITUTE(SUBSTITUTE(SUBSTITUTE(SUBSTITUTE(SUBSTITUTE(SUBSTITUTE(SUBSTITUTE(SUBSTITUTE(SUBSTITUTE(MAIN!A809, "0", ""), "1", ""), "2", ""), "3", ""), "4", ""), "5", ""), "6", ""), "7", ""), "8", ""), "9", ""))))</f>
        <v>--</v>
      </c>
      <c r="B809" t="str">
        <f>IF(ISBLANK(MAIN!B809), "--", IFERROR(PROPER(SUBSTITUTE(SUBSTITUTE(SUBSTITUTE(SUBSTITUTE(SUBSTITUTE(SUBSTITUTE(SUBSTITUTE(SUBSTITUTE(SUBSTITUTE(SUBSTITUTE(LEFT(MAIN!B809, FIND(",",MAIN!B809) -1), "0", ""), "1", ""), "2", ""), "3", ""), "4", ""), "5", ""), "6", ""), "7", ""), "8", ""), "9", "")), PROPER(SUBSTITUTE(SUBSTITUTE(SUBSTITUTE(SUBSTITUTE(SUBSTITUTE(SUBSTITUTE(SUBSTITUTE(SUBSTITUTE(SUBSTITUTE(SUBSTITUTE(MAIN!B809, "0", ""), "1", ""), "2", ""), "3", ""), "4", ""), "5", ""), "6", ""), "7", ""), "8", ""), "9", ""))))</f>
        <v>--</v>
      </c>
      <c r="C809" t="str">
        <f>IF(ISBLANK(MAIN!C809), "--", IFERROR(PROPER(SUBSTITUTE(SUBSTITUTE(SUBSTITUTE(SUBSTITUTE(SUBSTITUTE(SUBSTITUTE(SUBSTITUTE(SUBSTITUTE(SUBSTITUTE(SUBSTITUTE(LEFT(MAIN!C809, FIND(",",MAIN!C809) -1), "0", ""), "1", ""), "2", ""), "3", ""), "4", ""), "5", ""), "6", ""), "7", ""), "8", ""), "9", "")), PROPER(SUBSTITUTE(SUBSTITUTE(SUBSTITUTE(SUBSTITUTE(SUBSTITUTE(SUBSTITUTE(SUBSTITUTE(SUBSTITUTE(SUBSTITUTE(SUBSTITUTE(MAIN!C809, "0", ""), "1", ""), "2", ""), "3", ""), "4", ""), "5", ""), "6", ""), "7", ""), "8", ""), "9", ""))))</f>
        <v>--</v>
      </c>
      <c r="D809" t="str">
        <f>IF(ISBLANK(MAIN!D809), "--", IF(ISNUMBER(MATCH(SUBSTITUTE(LEFT(MAIN!D809, IFERROR(FIND(",", MAIN!D809)-1, LEN(MAIN!D809))), " ", ""), lookup_values!$B$2:$B$51, 0)), UPPER(SUBSTITUTE(LEFT(MAIN!D809, IFERROR(FIND(",", MAIN!D809)-1, LEN(MAIN!D809))), " ", "")), IF(ISNA(VLOOKUP(SUBSTITUTE(LEFT(MAIN!D809, IFERROR(FIND(",", MAIN!D809)-1, LEN(MAIN!D809))), " ", ""), lookup_values!$A$2:$B$51, 2, FALSE)), "--", VLOOKUP(SUBSTITUTE(LEFT(MAIN!D809, IFERROR(FIND(",", MAIN!D809)-1, LEN(MAIN!D809))), " ", ""), lookup_values!$A$2:$B$51, 2, FALSE))))</f>
        <v>--</v>
      </c>
      <c r="E809" t="str">
        <f>IF(CLEAN_DATA!D809&lt;&gt;"--","US",IF(ISBLANK(MAIN!E809), "--", IF(ISNUMBER(MATCH(SUBSTITUTE(LEFT(MAIN!E809, IFERROR(FIND(",", MAIN!E809)-1, LEN(MAIN!E809))), " ", ""), lookup_values!$E$2:$E$197, 0)), UPPER(SUBSTITUTE(LEFT(MAIN!E809, IFERROR(FIND(",", MAIN!E809)-1, LEN(MAIN!E809))), " ", "")), IF(ISNA(VLOOKUP(SUBSTITUTE(LEFT(MAIN!E809, IFERROR(FIND(",", MAIN!E809)-1, LEN(MAIN!E809))), " ", ""), lookup_values!$D$2:$E$197, 2, FALSE)), "--", VLOOKUP(SUBSTITUTE(LEFT(MAIN!E809, IFERROR(FIND(",", MAIN!E809)-1, LEN(MAIN!E809))), " ", ""), lookup_values!$D$2:$E$197, 2, FALSE)))))</f>
        <v>--</v>
      </c>
      <c r="F809" t="str">
        <f>IF(ISBLANK(MAIN!F809), "", IF(AND(ISNUMBER(VALUE(TRIM(MAIN!F809))), LEN(TRIM(MAIN!F809))=4), VALUE(TRIM(MAIN!F809)), ""))</f>
        <v/>
      </c>
      <c r="G809">
        <f>IF(ISBLANK(MAIN!G809), 0, IF(ISNUMBER(VALUE(TRIM(MAIN!G809))), VALUE(TRIM(MAIN!G809)), 0))</f>
        <v>0</v>
      </c>
      <c r="H809">
        <f>IF(ISBLANK(MAIN!H809), 0, IF(ISNUMBER(VALUE(TRIM(MAIN!H809))), VALUE(TRIM(MAIN!H809)), 0))</f>
        <v>0</v>
      </c>
      <c r="I809">
        <f>IF(ISBLANK(MAIN!I809), 0, IF(ISNUMBER(VALUE(TRIM(MAIN!I809))), VALUE(TRIM(MAIN!I809)), 0))</f>
        <v>0</v>
      </c>
      <c r="J809">
        <f>IF(ISBLANK(MAIN!J809), 0, IF(ISNUMBER(VALUE(TRIM(MAIN!J809))), VALUE(TRIM(MAIN!J809)), 0))</f>
        <v>0</v>
      </c>
      <c r="K809" cm="1">
        <f t="array" ref="K809">IFERROR(
    VALUE(
        IFERROR(
            UPPER(
                IF(MAX(IFERROR(SEARCH("WD",MAIN!G809:J809), 0))&gt;0, "WD",
                IF(MAX(IFERROR(SEARCH("NS",MAIN!G809:J809), 0))&gt;0, "NS",
                IF(MAX(IFERROR(SEARCH("NC",MAIN!G809:J809), 0))&gt;0, "NC",
                IF(MAX(IFERROR(SEARCH("DQ",MAIN!G809:J809), 0))&gt;0, "DQ",
                IF(ISNUMBER(SEARCH("WD",MAIN!K809)), "WD",
                IF(ISNUMBER(SEARCH("NS",MAIN!K809)), "NS",
                IF(ISNUMBER(SEARCH("NC",MAIN!K809)), "NC",
                IF(ISNUMBER(SEARCH("DQ",MAIN!K809)), "DQ",
                IF(ISNUMBER(SEARCH("A",MAIN!K809)), 0,
                IF(OR(MAIN!K809=0,MAIN!K809=""), 0, --TRIM(MAIN!K809)))))))))))),
            0
        )
    ),
    IFERROR(
        UPPER(
            IF(MAX(IFERROR(SEARCH("WD",MAIN!G809:J809), 0))&gt;0, "WD",
            IF(MAX(IFERROR(SEARCH("NS",MAIN!G809:J809), 0))&gt;0, "NS",
            IF(MAX(IFERROR(SEARCH("NC",MAIN!G809:J809), 0))&gt;0, "NC",
            IF(MAX(IFERROR(SEARCH("DQ",MAIN!G809:J809), 0))&gt;0, "DQ",
            IF(ISNUMBER(SEARCH("WD",MAIN!K809)), "WD",
            IF(ISNUMBER(SEARCH("NS",MAIN!K809)), "NS",
            IF(ISNUMBER(SEARCH("NC",MAIN!K809)), "NC",
            IF(ISNUMBER(SEARCH("DQ",MAIN!K809)), "DQ",
            IF(ISNUMBER(SEARCH("A",MAIN!K809)), 0,
            IF(OR(MAIN!K809=0,MAIN!K809=""), 0, --TRIM(MAIN!K809)))))))))))),
        0
    )
)</f>
        <v>0</v>
      </c>
    </row>
    <row r="810" spans="1:11" x14ac:dyDescent="0.25">
      <c r="A810" t="str">
        <f>IF(ISBLANK(MAIN!A810), "--", IFERROR(PROPER(SUBSTITUTE(SUBSTITUTE(SUBSTITUTE(SUBSTITUTE(SUBSTITUTE(SUBSTITUTE(SUBSTITUTE(SUBSTITUTE(SUBSTITUTE(SUBSTITUTE(LEFT(MAIN!A810, FIND(",",MAIN!A810) -1), "0", ""), "1", ""), "2", ""), "3", ""), "4", ""), "5", ""), "6", ""), "7", ""), "8", ""), "9", "")), PROPER(SUBSTITUTE(SUBSTITUTE(SUBSTITUTE(SUBSTITUTE(SUBSTITUTE(SUBSTITUTE(SUBSTITUTE(SUBSTITUTE(SUBSTITUTE(SUBSTITUTE(MAIN!A810, "0", ""), "1", ""), "2", ""), "3", ""), "4", ""), "5", ""), "6", ""), "7", ""), "8", ""), "9", ""))))</f>
        <v>--</v>
      </c>
      <c r="B810" t="str">
        <f>IF(ISBLANK(MAIN!B810), "--", IFERROR(PROPER(SUBSTITUTE(SUBSTITUTE(SUBSTITUTE(SUBSTITUTE(SUBSTITUTE(SUBSTITUTE(SUBSTITUTE(SUBSTITUTE(SUBSTITUTE(SUBSTITUTE(LEFT(MAIN!B810, FIND(",",MAIN!B810) -1), "0", ""), "1", ""), "2", ""), "3", ""), "4", ""), "5", ""), "6", ""), "7", ""), "8", ""), "9", "")), PROPER(SUBSTITUTE(SUBSTITUTE(SUBSTITUTE(SUBSTITUTE(SUBSTITUTE(SUBSTITUTE(SUBSTITUTE(SUBSTITUTE(SUBSTITUTE(SUBSTITUTE(MAIN!B810, "0", ""), "1", ""), "2", ""), "3", ""), "4", ""), "5", ""), "6", ""), "7", ""), "8", ""), "9", ""))))</f>
        <v>--</v>
      </c>
      <c r="C810" t="str">
        <f>IF(ISBLANK(MAIN!C810), "--", IFERROR(PROPER(SUBSTITUTE(SUBSTITUTE(SUBSTITUTE(SUBSTITUTE(SUBSTITUTE(SUBSTITUTE(SUBSTITUTE(SUBSTITUTE(SUBSTITUTE(SUBSTITUTE(LEFT(MAIN!C810, FIND(",",MAIN!C810) -1), "0", ""), "1", ""), "2", ""), "3", ""), "4", ""), "5", ""), "6", ""), "7", ""), "8", ""), "9", "")), PROPER(SUBSTITUTE(SUBSTITUTE(SUBSTITUTE(SUBSTITUTE(SUBSTITUTE(SUBSTITUTE(SUBSTITUTE(SUBSTITUTE(SUBSTITUTE(SUBSTITUTE(MAIN!C810, "0", ""), "1", ""), "2", ""), "3", ""), "4", ""), "5", ""), "6", ""), "7", ""), "8", ""), "9", ""))))</f>
        <v>--</v>
      </c>
      <c r="D810" t="str">
        <f>IF(ISBLANK(MAIN!D810), "--", IF(ISNUMBER(MATCH(SUBSTITUTE(LEFT(MAIN!D810, IFERROR(FIND(",", MAIN!D810)-1, LEN(MAIN!D810))), " ", ""), lookup_values!$B$2:$B$51, 0)), UPPER(SUBSTITUTE(LEFT(MAIN!D810, IFERROR(FIND(",", MAIN!D810)-1, LEN(MAIN!D810))), " ", "")), IF(ISNA(VLOOKUP(SUBSTITUTE(LEFT(MAIN!D810, IFERROR(FIND(",", MAIN!D810)-1, LEN(MAIN!D810))), " ", ""), lookup_values!$A$2:$B$51, 2, FALSE)), "--", VLOOKUP(SUBSTITUTE(LEFT(MAIN!D810, IFERROR(FIND(",", MAIN!D810)-1, LEN(MAIN!D810))), " ", ""), lookup_values!$A$2:$B$51, 2, FALSE))))</f>
        <v>--</v>
      </c>
      <c r="E810" t="str">
        <f>IF(CLEAN_DATA!D810&lt;&gt;"--","US",IF(ISBLANK(MAIN!E810), "--", IF(ISNUMBER(MATCH(SUBSTITUTE(LEFT(MAIN!E810, IFERROR(FIND(",", MAIN!E810)-1, LEN(MAIN!E810))), " ", ""), lookup_values!$E$2:$E$197, 0)), UPPER(SUBSTITUTE(LEFT(MAIN!E810, IFERROR(FIND(",", MAIN!E810)-1, LEN(MAIN!E810))), " ", "")), IF(ISNA(VLOOKUP(SUBSTITUTE(LEFT(MAIN!E810, IFERROR(FIND(",", MAIN!E810)-1, LEN(MAIN!E810))), " ", ""), lookup_values!$D$2:$E$197, 2, FALSE)), "--", VLOOKUP(SUBSTITUTE(LEFT(MAIN!E810, IFERROR(FIND(",", MAIN!E810)-1, LEN(MAIN!E810))), " ", ""), lookup_values!$D$2:$E$197, 2, FALSE)))))</f>
        <v>--</v>
      </c>
      <c r="F810" t="str">
        <f>IF(ISBLANK(MAIN!F810), "", IF(AND(ISNUMBER(VALUE(TRIM(MAIN!F810))), LEN(TRIM(MAIN!F810))=4), VALUE(TRIM(MAIN!F810)), ""))</f>
        <v/>
      </c>
      <c r="G810">
        <f>IF(ISBLANK(MAIN!G810), 0, IF(ISNUMBER(VALUE(TRIM(MAIN!G810))), VALUE(TRIM(MAIN!G810)), 0))</f>
        <v>0</v>
      </c>
      <c r="H810">
        <f>IF(ISBLANK(MAIN!H810), 0, IF(ISNUMBER(VALUE(TRIM(MAIN!H810))), VALUE(TRIM(MAIN!H810)), 0))</f>
        <v>0</v>
      </c>
      <c r="I810">
        <f>IF(ISBLANK(MAIN!I810), 0, IF(ISNUMBER(VALUE(TRIM(MAIN!I810))), VALUE(TRIM(MAIN!I810)), 0))</f>
        <v>0</v>
      </c>
      <c r="J810">
        <f>IF(ISBLANK(MAIN!J810), 0, IF(ISNUMBER(VALUE(TRIM(MAIN!J810))), VALUE(TRIM(MAIN!J810)), 0))</f>
        <v>0</v>
      </c>
      <c r="K810" cm="1">
        <f t="array" ref="K810">IFERROR(
    VALUE(
        IFERROR(
            UPPER(
                IF(MAX(IFERROR(SEARCH("WD",MAIN!G810:J810), 0))&gt;0, "WD",
                IF(MAX(IFERROR(SEARCH("NS",MAIN!G810:J810), 0))&gt;0, "NS",
                IF(MAX(IFERROR(SEARCH("NC",MAIN!G810:J810), 0))&gt;0, "NC",
                IF(MAX(IFERROR(SEARCH("DQ",MAIN!G810:J810), 0))&gt;0, "DQ",
                IF(ISNUMBER(SEARCH("WD",MAIN!K810)), "WD",
                IF(ISNUMBER(SEARCH("NS",MAIN!K810)), "NS",
                IF(ISNUMBER(SEARCH("NC",MAIN!K810)), "NC",
                IF(ISNUMBER(SEARCH("DQ",MAIN!K810)), "DQ",
                IF(ISNUMBER(SEARCH("A",MAIN!K810)), 0,
                IF(OR(MAIN!K810=0,MAIN!K810=""), 0, --TRIM(MAIN!K810)))))))))))),
            0
        )
    ),
    IFERROR(
        UPPER(
            IF(MAX(IFERROR(SEARCH("WD",MAIN!G810:J810), 0))&gt;0, "WD",
            IF(MAX(IFERROR(SEARCH("NS",MAIN!G810:J810), 0))&gt;0, "NS",
            IF(MAX(IFERROR(SEARCH("NC",MAIN!G810:J810), 0))&gt;0, "NC",
            IF(MAX(IFERROR(SEARCH("DQ",MAIN!G810:J810), 0))&gt;0, "DQ",
            IF(ISNUMBER(SEARCH("WD",MAIN!K810)), "WD",
            IF(ISNUMBER(SEARCH("NS",MAIN!K810)), "NS",
            IF(ISNUMBER(SEARCH("NC",MAIN!K810)), "NC",
            IF(ISNUMBER(SEARCH("DQ",MAIN!K810)), "DQ",
            IF(ISNUMBER(SEARCH("A",MAIN!K810)), 0,
            IF(OR(MAIN!K810=0,MAIN!K810=""), 0, --TRIM(MAIN!K810)))))))))))),
        0
    )
)</f>
        <v>0</v>
      </c>
    </row>
    <row r="811" spans="1:11" x14ac:dyDescent="0.25">
      <c r="A811" t="str">
        <f>IF(ISBLANK(MAIN!A811), "--", IFERROR(PROPER(SUBSTITUTE(SUBSTITUTE(SUBSTITUTE(SUBSTITUTE(SUBSTITUTE(SUBSTITUTE(SUBSTITUTE(SUBSTITUTE(SUBSTITUTE(SUBSTITUTE(LEFT(MAIN!A811, FIND(",",MAIN!A811) -1), "0", ""), "1", ""), "2", ""), "3", ""), "4", ""), "5", ""), "6", ""), "7", ""), "8", ""), "9", "")), PROPER(SUBSTITUTE(SUBSTITUTE(SUBSTITUTE(SUBSTITUTE(SUBSTITUTE(SUBSTITUTE(SUBSTITUTE(SUBSTITUTE(SUBSTITUTE(SUBSTITUTE(MAIN!A811, "0", ""), "1", ""), "2", ""), "3", ""), "4", ""), "5", ""), "6", ""), "7", ""), "8", ""), "9", ""))))</f>
        <v>--</v>
      </c>
      <c r="B811" t="str">
        <f>IF(ISBLANK(MAIN!B811), "--", IFERROR(PROPER(SUBSTITUTE(SUBSTITUTE(SUBSTITUTE(SUBSTITUTE(SUBSTITUTE(SUBSTITUTE(SUBSTITUTE(SUBSTITUTE(SUBSTITUTE(SUBSTITUTE(LEFT(MAIN!B811, FIND(",",MAIN!B811) -1), "0", ""), "1", ""), "2", ""), "3", ""), "4", ""), "5", ""), "6", ""), "7", ""), "8", ""), "9", "")), PROPER(SUBSTITUTE(SUBSTITUTE(SUBSTITUTE(SUBSTITUTE(SUBSTITUTE(SUBSTITUTE(SUBSTITUTE(SUBSTITUTE(SUBSTITUTE(SUBSTITUTE(MAIN!B811, "0", ""), "1", ""), "2", ""), "3", ""), "4", ""), "5", ""), "6", ""), "7", ""), "8", ""), "9", ""))))</f>
        <v>--</v>
      </c>
      <c r="C811" t="str">
        <f>IF(ISBLANK(MAIN!C811), "--", IFERROR(PROPER(SUBSTITUTE(SUBSTITUTE(SUBSTITUTE(SUBSTITUTE(SUBSTITUTE(SUBSTITUTE(SUBSTITUTE(SUBSTITUTE(SUBSTITUTE(SUBSTITUTE(LEFT(MAIN!C811, FIND(",",MAIN!C811) -1), "0", ""), "1", ""), "2", ""), "3", ""), "4", ""), "5", ""), "6", ""), "7", ""), "8", ""), "9", "")), PROPER(SUBSTITUTE(SUBSTITUTE(SUBSTITUTE(SUBSTITUTE(SUBSTITUTE(SUBSTITUTE(SUBSTITUTE(SUBSTITUTE(SUBSTITUTE(SUBSTITUTE(MAIN!C811, "0", ""), "1", ""), "2", ""), "3", ""), "4", ""), "5", ""), "6", ""), "7", ""), "8", ""), "9", ""))))</f>
        <v>--</v>
      </c>
      <c r="D811" t="str">
        <f>IF(ISBLANK(MAIN!D811), "--", IF(ISNUMBER(MATCH(SUBSTITUTE(LEFT(MAIN!D811, IFERROR(FIND(",", MAIN!D811)-1, LEN(MAIN!D811))), " ", ""), lookup_values!$B$2:$B$51, 0)), UPPER(SUBSTITUTE(LEFT(MAIN!D811, IFERROR(FIND(",", MAIN!D811)-1, LEN(MAIN!D811))), " ", "")), IF(ISNA(VLOOKUP(SUBSTITUTE(LEFT(MAIN!D811, IFERROR(FIND(",", MAIN!D811)-1, LEN(MAIN!D811))), " ", ""), lookup_values!$A$2:$B$51, 2, FALSE)), "--", VLOOKUP(SUBSTITUTE(LEFT(MAIN!D811, IFERROR(FIND(",", MAIN!D811)-1, LEN(MAIN!D811))), " ", ""), lookup_values!$A$2:$B$51, 2, FALSE))))</f>
        <v>--</v>
      </c>
      <c r="E811" t="str">
        <f>IF(CLEAN_DATA!D811&lt;&gt;"--","US",IF(ISBLANK(MAIN!E811), "--", IF(ISNUMBER(MATCH(SUBSTITUTE(LEFT(MAIN!E811, IFERROR(FIND(",", MAIN!E811)-1, LEN(MAIN!E811))), " ", ""), lookup_values!$E$2:$E$197, 0)), UPPER(SUBSTITUTE(LEFT(MAIN!E811, IFERROR(FIND(",", MAIN!E811)-1, LEN(MAIN!E811))), " ", "")), IF(ISNA(VLOOKUP(SUBSTITUTE(LEFT(MAIN!E811, IFERROR(FIND(",", MAIN!E811)-1, LEN(MAIN!E811))), " ", ""), lookup_values!$D$2:$E$197, 2, FALSE)), "--", VLOOKUP(SUBSTITUTE(LEFT(MAIN!E811, IFERROR(FIND(",", MAIN!E811)-1, LEN(MAIN!E811))), " ", ""), lookup_values!$D$2:$E$197, 2, FALSE)))))</f>
        <v>--</v>
      </c>
      <c r="F811" t="str">
        <f>IF(ISBLANK(MAIN!F811), "", IF(AND(ISNUMBER(VALUE(TRIM(MAIN!F811))), LEN(TRIM(MAIN!F811))=4), VALUE(TRIM(MAIN!F811)), ""))</f>
        <v/>
      </c>
      <c r="G811">
        <f>IF(ISBLANK(MAIN!G811), 0, IF(ISNUMBER(VALUE(TRIM(MAIN!G811))), VALUE(TRIM(MAIN!G811)), 0))</f>
        <v>0</v>
      </c>
      <c r="H811">
        <f>IF(ISBLANK(MAIN!H811), 0, IF(ISNUMBER(VALUE(TRIM(MAIN!H811))), VALUE(TRIM(MAIN!H811)), 0))</f>
        <v>0</v>
      </c>
      <c r="I811">
        <f>IF(ISBLANK(MAIN!I811), 0, IF(ISNUMBER(VALUE(TRIM(MAIN!I811))), VALUE(TRIM(MAIN!I811)), 0))</f>
        <v>0</v>
      </c>
      <c r="J811">
        <f>IF(ISBLANK(MAIN!J811), 0, IF(ISNUMBER(VALUE(TRIM(MAIN!J811))), VALUE(TRIM(MAIN!J811)), 0))</f>
        <v>0</v>
      </c>
      <c r="K811" cm="1">
        <f t="array" ref="K811">IFERROR(
    VALUE(
        IFERROR(
            UPPER(
                IF(MAX(IFERROR(SEARCH("WD",MAIN!G811:J811), 0))&gt;0, "WD",
                IF(MAX(IFERROR(SEARCH("NS",MAIN!G811:J811), 0))&gt;0, "NS",
                IF(MAX(IFERROR(SEARCH("NC",MAIN!G811:J811), 0))&gt;0, "NC",
                IF(MAX(IFERROR(SEARCH("DQ",MAIN!G811:J811), 0))&gt;0, "DQ",
                IF(ISNUMBER(SEARCH("WD",MAIN!K811)), "WD",
                IF(ISNUMBER(SEARCH("NS",MAIN!K811)), "NS",
                IF(ISNUMBER(SEARCH("NC",MAIN!K811)), "NC",
                IF(ISNUMBER(SEARCH("DQ",MAIN!K811)), "DQ",
                IF(ISNUMBER(SEARCH("A",MAIN!K811)), 0,
                IF(OR(MAIN!K811=0,MAIN!K811=""), 0, --TRIM(MAIN!K811)))))))))))),
            0
        )
    ),
    IFERROR(
        UPPER(
            IF(MAX(IFERROR(SEARCH("WD",MAIN!G811:J811), 0))&gt;0, "WD",
            IF(MAX(IFERROR(SEARCH("NS",MAIN!G811:J811), 0))&gt;0, "NS",
            IF(MAX(IFERROR(SEARCH("NC",MAIN!G811:J811), 0))&gt;0, "NC",
            IF(MAX(IFERROR(SEARCH("DQ",MAIN!G811:J811), 0))&gt;0, "DQ",
            IF(ISNUMBER(SEARCH("WD",MAIN!K811)), "WD",
            IF(ISNUMBER(SEARCH("NS",MAIN!K811)), "NS",
            IF(ISNUMBER(SEARCH("NC",MAIN!K811)), "NC",
            IF(ISNUMBER(SEARCH("DQ",MAIN!K811)), "DQ",
            IF(ISNUMBER(SEARCH("A",MAIN!K811)), 0,
            IF(OR(MAIN!K811=0,MAIN!K811=""), 0, --TRIM(MAIN!K811)))))))))))),
        0
    )
)</f>
        <v>0</v>
      </c>
    </row>
    <row r="812" spans="1:11" x14ac:dyDescent="0.25">
      <c r="A812" t="str">
        <f>IF(ISBLANK(MAIN!A812), "--", IFERROR(PROPER(SUBSTITUTE(SUBSTITUTE(SUBSTITUTE(SUBSTITUTE(SUBSTITUTE(SUBSTITUTE(SUBSTITUTE(SUBSTITUTE(SUBSTITUTE(SUBSTITUTE(LEFT(MAIN!A812, FIND(",",MAIN!A812) -1), "0", ""), "1", ""), "2", ""), "3", ""), "4", ""), "5", ""), "6", ""), "7", ""), "8", ""), "9", "")), PROPER(SUBSTITUTE(SUBSTITUTE(SUBSTITUTE(SUBSTITUTE(SUBSTITUTE(SUBSTITUTE(SUBSTITUTE(SUBSTITUTE(SUBSTITUTE(SUBSTITUTE(MAIN!A812, "0", ""), "1", ""), "2", ""), "3", ""), "4", ""), "5", ""), "6", ""), "7", ""), "8", ""), "9", ""))))</f>
        <v>--</v>
      </c>
      <c r="B812" t="str">
        <f>IF(ISBLANK(MAIN!B812), "--", IFERROR(PROPER(SUBSTITUTE(SUBSTITUTE(SUBSTITUTE(SUBSTITUTE(SUBSTITUTE(SUBSTITUTE(SUBSTITUTE(SUBSTITUTE(SUBSTITUTE(SUBSTITUTE(LEFT(MAIN!B812, FIND(",",MAIN!B812) -1), "0", ""), "1", ""), "2", ""), "3", ""), "4", ""), "5", ""), "6", ""), "7", ""), "8", ""), "9", "")), PROPER(SUBSTITUTE(SUBSTITUTE(SUBSTITUTE(SUBSTITUTE(SUBSTITUTE(SUBSTITUTE(SUBSTITUTE(SUBSTITUTE(SUBSTITUTE(SUBSTITUTE(MAIN!B812, "0", ""), "1", ""), "2", ""), "3", ""), "4", ""), "5", ""), "6", ""), "7", ""), "8", ""), "9", ""))))</f>
        <v>--</v>
      </c>
      <c r="C812" t="str">
        <f>IF(ISBLANK(MAIN!C812), "--", IFERROR(PROPER(SUBSTITUTE(SUBSTITUTE(SUBSTITUTE(SUBSTITUTE(SUBSTITUTE(SUBSTITUTE(SUBSTITUTE(SUBSTITUTE(SUBSTITUTE(SUBSTITUTE(LEFT(MAIN!C812, FIND(",",MAIN!C812) -1), "0", ""), "1", ""), "2", ""), "3", ""), "4", ""), "5", ""), "6", ""), "7", ""), "8", ""), "9", "")), PROPER(SUBSTITUTE(SUBSTITUTE(SUBSTITUTE(SUBSTITUTE(SUBSTITUTE(SUBSTITUTE(SUBSTITUTE(SUBSTITUTE(SUBSTITUTE(SUBSTITUTE(MAIN!C812, "0", ""), "1", ""), "2", ""), "3", ""), "4", ""), "5", ""), "6", ""), "7", ""), "8", ""), "9", ""))))</f>
        <v>--</v>
      </c>
      <c r="D812" t="str">
        <f>IF(ISBLANK(MAIN!D812), "--", IF(ISNUMBER(MATCH(SUBSTITUTE(LEFT(MAIN!D812, IFERROR(FIND(",", MAIN!D812)-1, LEN(MAIN!D812))), " ", ""), lookup_values!$B$2:$B$51, 0)), UPPER(SUBSTITUTE(LEFT(MAIN!D812, IFERROR(FIND(",", MAIN!D812)-1, LEN(MAIN!D812))), " ", "")), IF(ISNA(VLOOKUP(SUBSTITUTE(LEFT(MAIN!D812, IFERROR(FIND(",", MAIN!D812)-1, LEN(MAIN!D812))), " ", ""), lookup_values!$A$2:$B$51, 2, FALSE)), "--", VLOOKUP(SUBSTITUTE(LEFT(MAIN!D812, IFERROR(FIND(",", MAIN!D812)-1, LEN(MAIN!D812))), " ", ""), lookup_values!$A$2:$B$51, 2, FALSE))))</f>
        <v>--</v>
      </c>
      <c r="E812" t="str">
        <f>IF(CLEAN_DATA!D812&lt;&gt;"--","US",IF(ISBLANK(MAIN!E812), "--", IF(ISNUMBER(MATCH(SUBSTITUTE(LEFT(MAIN!E812, IFERROR(FIND(",", MAIN!E812)-1, LEN(MAIN!E812))), " ", ""), lookup_values!$E$2:$E$197, 0)), UPPER(SUBSTITUTE(LEFT(MAIN!E812, IFERROR(FIND(",", MAIN!E812)-1, LEN(MAIN!E812))), " ", "")), IF(ISNA(VLOOKUP(SUBSTITUTE(LEFT(MAIN!E812, IFERROR(FIND(",", MAIN!E812)-1, LEN(MAIN!E812))), " ", ""), lookup_values!$D$2:$E$197, 2, FALSE)), "--", VLOOKUP(SUBSTITUTE(LEFT(MAIN!E812, IFERROR(FIND(",", MAIN!E812)-1, LEN(MAIN!E812))), " ", ""), lookup_values!$D$2:$E$197, 2, FALSE)))))</f>
        <v>--</v>
      </c>
      <c r="F812" t="str">
        <f>IF(ISBLANK(MAIN!F812), "", IF(AND(ISNUMBER(VALUE(TRIM(MAIN!F812))), LEN(TRIM(MAIN!F812))=4), VALUE(TRIM(MAIN!F812)), ""))</f>
        <v/>
      </c>
      <c r="G812">
        <f>IF(ISBLANK(MAIN!G812), 0, IF(ISNUMBER(VALUE(TRIM(MAIN!G812))), VALUE(TRIM(MAIN!G812)), 0))</f>
        <v>0</v>
      </c>
      <c r="H812">
        <f>IF(ISBLANK(MAIN!H812), 0, IF(ISNUMBER(VALUE(TRIM(MAIN!H812))), VALUE(TRIM(MAIN!H812)), 0))</f>
        <v>0</v>
      </c>
      <c r="I812">
        <f>IF(ISBLANK(MAIN!I812), 0, IF(ISNUMBER(VALUE(TRIM(MAIN!I812))), VALUE(TRIM(MAIN!I812)), 0))</f>
        <v>0</v>
      </c>
      <c r="J812">
        <f>IF(ISBLANK(MAIN!J812), 0, IF(ISNUMBER(VALUE(TRIM(MAIN!J812))), VALUE(TRIM(MAIN!J812)), 0))</f>
        <v>0</v>
      </c>
      <c r="K812" cm="1">
        <f t="array" ref="K812">IFERROR(
    VALUE(
        IFERROR(
            UPPER(
                IF(MAX(IFERROR(SEARCH("WD",MAIN!G812:J812), 0))&gt;0, "WD",
                IF(MAX(IFERROR(SEARCH("NS",MAIN!G812:J812), 0))&gt;0, "NS",
                IF(MAX(IFERROR(SEARCH("NC",MAIN!G812:J812), 0))&gt;0, "NC",
                IF(MAX(IFERROR(SEARCH("DQ",MAIN!G812:J812), 0))&gt;0, "DQ",
                IF(ISNUMBER(SEARCH("WD",MAIN!K812)), "WD",
                IF(ISNUMBER(SEARCH("NS",MAIN!K812)), "NS",
                IF(ISNUMBER(SEARCH("NC",MAIN!K812)), "NC",
                IF(ISNUMBER(SEARCH("DQ",MAIN!K812)), "DQ",
                IF(ISNUMBER(SEARCH("A",MAIN!K812)), 0,
                IF(OR(MAIN!K812=0,MAIN!K812=""), 0, --TRIM(MAIN!K812)))))))))))),
            0
        )
    ),
    IFERROR(
        UPPER(
            IF(MAX(IFERROR(SEARCH("WD",MAIN!G812:J812), 0))&gt;0, "WD",
            IF(MAX(IFERROR(SEARCH("NS",MAIN!G812:J812), 0))&gt;0, "NS",
            IF(MAX(IFERROR(SEARCH("NC",MAIN!G812:J812), 0))&gt;0, "NC",
            IF(MAX(IFERROR(SEARCH("DQ",MAIN!G812:J812), 0))&gt;0, "DQ",
            IF(ISNUMBER(SEARCH("WD",MAIN!K812)), "WD",
            IF(ISNUMBER(SEARCH("NS",MAIN!K812)), "NS",
            IF(ISNUMBER(SEARCH("NC",MAIN!K812)), "NC",
            IF(ISNUMBER(SEARCH("DQ",MAIN!K812)), "DQ",
            IF(ISNUMBER(SEARCH("A",MAIN!K812)), 0,
            IF(OR(MAIN!K812=0,MAIN!K812=""), 0, --TRIM(MAIN!K812)))))))))))),
        0
    )
)</f>
        <v>0</v>
      </c>
    </row>
    <row r="813" spans="1:11" x14ac:dyDescent="0.25">
      <c r="A813" t="str">
        <f>IF(ISBLANK(MAIN!A813), "--", IFERROR(PROPER(SUBSTITUTE(SUBSTITUTE(SUBSTITUTE(SUBSTITUTE(SUBSTITUTE(SUBSTITUTE(SUBSTITUTE(SUBSTITUTE(SUBSTITUTE(SUBSTITUTE(LEFT(MAIN!A813, FIND(",",MAIN!A813) -1), "0", ""), "1", ""), "2", ""), "3", ""), "4", ""), "5", ""), "6", ""), "7", ""), "8", ""), "9", "")), PROPER(SUBSTITUTE(SUBSTITUTE(SUBSTITUTE(SUBSTITUTE(SUBSTITUTE(SUBSTITUTE(SUBSTITUTE(SUBSTITUTE(SUBSTITUTE(SUBSTITUTE(MAIN!A813, "0", ""), "1", ""), "2", ""), "3", ""), "4", ""), "5", ""), "6", ""), "7", ""), "8", ""), "9", ""))))</f>
        <v>--</v>
      </c>
      <c r="B813" t="str">
        <f>IF(ISBLANK(MAIN!B813), "--", IFERROR(PROPER(SUBSTITUTE(SUBSTITUTE(SUBSTITUTE(SUBSTITUTE(SUBSTITUTE(SUBSTITUTE(SUBSTITUTE(SUBSTITUTE(SUBSTITUTE(SUBSTITUTE(LEFT(MAIN!B813, FIND(",",MAIN!B813) -1), "0", ""), "1", ""), "2", ""), "3", ""), "4", ""), "5", ""), "6", ""), "7", ""), "8", ""), "9", "")), PROPER(SUBSTITUTE(SUBSTITUTE(SUBSTITUTE(SUBSTITUTE(SUBSTITUTE(SUBSTITUTE(SUBSTITUTE(SUBSTITUTE(SUBSTITUTE(SUBSTITUTE(MAIN!B813, "0", ""), "1", ""), "2", ""), "3", ""), "4", ""), "5", ""), "6", ""), "7", ""), "8", ""), "9", ""))))</f>
        <v>--</v>
      </c>
      <c r="C813" t="str">
        <f>IF(ISBLANK(MAIN!C813), "--", IFERROR(PROPER(SUBSTITUTE(SUBSTITUTE(SUBSTITUTE(SUBSTITUTE(SUBSTITUTE(SUBSTITUTE(SUBSTITUTE(SUBSTITUTE(SUBSTITUTE(SUBSTITUTE(LEFT(MAIN!C813, FIND(",",MAIN!C813) -1), "0", ""), "1", ""), "2", ""), "3", ""), "4", ""), "5", ""), "6", ""), "7", ""), "8", ""), "9", "")), PROPER(SUBSTITUTE(SUBSTITUTE(SUBSTITUTE(SUBSTITUTE(SUBSTITUTE(SUBSTITUTE(SUBSTITUTE(SUBSTITUTE(SUBSTITUTE(SUBSTITUTE(MAIN!C813, "0", ""), "1", ""), "2", ""), "3", ""), "4", ""), "5", ""), "6", ""), "7", ""), "8", ""), "9", ""))))</f>
        <v>--</v>
      </c>
      <c r="D813" t="str">
        <f>IF(ISBLANK(MAIN!D813), "--", IF(ISNUMBER(MATCH(SUBSTITUTE(LEFT(MAIN!D813, IFERROR(FIND(",", MAIN!D813)-1, LEN(MAIN!D813))), " ", ""), lookup_values!$B$2:$B$51, 0)), UPPER(SUBSTITUTE(LEFT(MAIN!D813, IFERROR(FIND(",", MAIN!D813)-1, LEN(MAIN!D813))), " ", "")), IF(ISNA(VLOOKUP(SUBSTITUTE(LEFT(MAIN!D813, IFERROR(FIND(",", MAIN!D813)-1, LEN(MAIN!D813))), " ", ""), lookup_values!$A$2:$B$51, 2, FALSE)), "--", VLOOKUP(SUBSTITUTE(LEFT(MAIN!D813, IFERROR(FIND(",", MAIN!D813)-1, LEN(MAIN!D813))), " ", ""), lookup_values!$A$2:$B$51, 2, FALSE))))</f>
        <v>--</v>
      </c>
      <c r="E813" t="str">
        <f>IF(CLEAN_DATA!D813&lt;&gt;"--","US",IF(ISBLANK(MAIN!E813), "--", IF(ISNUMBER(MATCH(SUBSTITUTE(LEFT(MAIN!E813, IFERROR(FIND(",", MAIN!E813)-1, LEN(MAIN!E813))), " ", ""), lookup_values!$E$2:$E$197, 0)), UPPER(SUBSTITUTE(LEFT(MAIN!E813, IFERROR(FIND(",", MAIN!E813)-1, LEN(MAIN!E813))), " ", "")), IF(ISNA(VLOOKUP(SUBSTITUTE(LEFT(MAIN!E813, IFERROR(FIND(",", MAIN!E813)-1, LEN(MAIN!E813))), " ", ""), lookup_values!$D$2:$E$197, 2, FALSE)), "--", VLOOKUP(SUBSTITUTE(LEFT(MAIN!E813, IFERROR(FIND(",", MAIN!E813)-1, LEN(MAIN!E813))), " ", ""), lookup_values!$D$2:$E$197, 2, FALSE)))))</f>
        <v>--</v>
      </c>
      <c r="F813" t="str">
        <f>IF(ISBLANK(MAIN!F813), "", IF(AND(ISNUMBER(VALUE(TRIM(MAIN!F813))), LEN(TRIM(MAIN!F813))=4), VALUE(TRIM(MAIN!F813)), ""))</f>
        <v/>
      </c>
      <c r="G813">
        <f>IF(ISBLANK(MAIN!G813), 0, IF(ISNUMBER(VALUE(TRIM(MAIN!G813))), VALUE(TRIM(MAIN!G813)), 0))</f>
        <v>0</v>
      </c>
      <c r="H813">
        <f>IF(ISBLANK(MAIN!H813), 0, IF(ISNUMBER(VALUE(TRIM(MAIN!H813))), VALUE(TRIM(MAIN!H813)), 0))</f>
        <v>0</v>
      </c>
      <c r="I813">
        <f>IF(ISBLANK(MAIN!I813), 0, IF(ISNUMBER(VALUE(TRIM(MAIN!I813))), VALUE(TRIM(MAIN!I813)), 0))</f>
        <v>0</v>
      </c>
      <c r="J813">
        <f>IF(ISBLANK(MAIN!J813), 0, IF(ISNUMBER(VALUE(TRIM(MAIN!J813))), VALUE(TRIM(MAIN!J813)), 0))</f>
        <v>0</v>
      </c>
      <c r="K813" cm="1">
        <f t="array" ref="K813">IFERROR(
    VALUE(
        IFERROR(
            UPPER(
                IF(MAX(IFERROR(SEARCH("WD",MAIN!G813:J813), 0))&gt;0, "WD",
                IF(MAX(IFERROR(SEARCH("NS",MAIN!G813:J813), 0))&gt;0, "NS",
                IF(MAX(IFERROR(SEARCH("NC",MAIN!G813:J813), 0))&gt;0, "NC",
                IF(MAX(IFERROR(SEARCH("DQ",MAIN!G813:J813), 0))&gt;0, "DQ",
                IF(ISNUMBER(SEARCH("WD",MAIN!K813)), "WD",
                IF(ISNUMBER(SEARCH("NS",MAIN!K813)), "NS",
                IF(ISNUMBER(SEARCH("NC",MAIN!K813)), "NC",
                IF(ISNUMBER(SEARCH("DQ",MAIN!K813)), "DQ",
                IF(ISNUMBER(SEARCH("A",MAIN!K813)), 0,
                IF(OR(MAIN!K813=0,MAIN!K813=""), 0, --TRIM(MAIN!K813)))))))))))),
            0
        )
    ),
    IFERROR(
        UPPER(
            IF(MAX(IFERROR(SEARCH("WD",MAIN!G813:J813), 0))&gt;0, "WD",
            IF(MAX(IFERROR(SEARCH("NS",MAIN!G813:J813), 0))&gt;0, "NS",
            IF(MAX(IFERROR(SEARCH("NC",MAIN!G813:J813), 0))&gt;0, "NC",
            IF(MAX(IFERROR(SEARCH("DQ",MAIN!G813:J813), 0))&gt;0, "DQ",
            IF(ISNUMBER(SEARCH("WD",MAIN!K813)), "WD",
            IF(ISNUMBER(SEARCH("NS",MAIN!K813)), "NS",
            IF(ISNUMBER(SEARCH("NC",MAIN!K813)), "NC",
            IF(ISNUMBER(SEARCH("DQ",MAIN!K813)), "DQ",
            IF(ISNUMBER(SEARCH("A",MAIN!K813)), 0,
            IF(OR(MAIN!K813=0,MAIN!K813=""), 0, --TRIM(MAIN!K813)))))))))))),
        0
    )
)</f>
        <v>0</v>
      </c>
    </row>
    <row r="814" spans="1:11" x14ac:dyDescent="0.25">
      <c r="A814" t="str">
        <f>IF(ISBLANK(MAIN!A814), "--", IFERROR(PROPER(SUBSTITUTE(SUBSTITUTE(SUBSTITUTE(SUBSTITUTE(SUBSTITUTE(SUBSTITUTE(SUBSTITUTE(SUBSTITUTE(SUBSTITUTE(SUBSTITUTE(LEFT(MAIN!A814, FIND(",",MAIN!A814) -1), "0", ""), "1", ""), "2", ""), "3", ""), "4", ""), "5", ""), "6", ""), "7", ""), "8", ""), "9", "")), PROPER(SUBSTITUTE(SUBSTITUTE(SUBSTITUTE(SUBSTITUTE(SUBSTITUTE(SUBSTITUTE(SUBSTITUTE(SUBSTITUTE(SUBSTITUTE(SUBSTITUTE(MAIN!A814, "0", ""), "1", ""), "2", ""), "3", ""), "4", ""), "5", ""), "6", ""), "7", ""), "8", ""), "9", ""))))</f>
        <v>--</v>
      </c>
      <c r="B814" t="str">
        <f>IF(ISBLANK(MAIN!B814), "--", IFERROR(PROPER(SUBSTITUTE(SUBSTITUTE(SUBSTITUTE(SUBSTITUTE(SUBSTITUTE(SUBSTITUTE(SUBSTITUTE(SUBSTITUTE(SUBSTITUTE(SUBSTITUTE(LEFT(MAIN!B814, FIND(",",MAIN!B814) -1), "0", ""), "1", ""), "2", ""), "3", ""), "4", ""), "5", ""), "6", ""), "7", ""), "8", ""), "9", "")), PROPER(SUBSTITUTE(SUBSTITUTE(SUBSTITUTE(SUBSTITUTE(SUBSTITUTE(SUBSTITUTE(SUBSTITUTE(SUBSTITUTE(SUBSTITUTE(SUBSTITUTE(MAIN!B814, "0", ""), "1", ""), "2", ""), "3", ""), "4", ""), "5", ""), "6", ""), "7", ""), "8", ""), "9", ""))))</f>
        <v>--</v>
      </c>
      <c r="C814" t="str">
        <f>IF(ISBLANK(MAIN!C814), "--", IFERROR(PROPER(SUBSTITUTE(SUBSTITUTE(SUBSTITUTE(SUBSTITUTE(SUBSTITUTE(SUBSTITUTE(SUBSTITUTE(SUBSTITUTE(SUBSTITUTE(SUBSTITUTE(LEFT(MAIN!C814, FIND(",",MAIN!C814) -1), "0", ""), "1", ""), "2", ""), "3", ""), "4", ""), "5", ""), "6", ""), "7", ""), "8", ""), "9", "")), PROPER(SUBSTITUTE(SUBSTITUTE(SUBSTITUTE(SUBSTITUTE(SUBSTITUTE(SUBSTITUTE(SUBSTITUTE(SUBSTITUTE(SUBSTITUTE(SUBSTITUTE(MAIN!C814, "0", ""), "1", ""), "2", ""), "3", ""), "4", ""), "5", ""), "6", ""), "7", ""), "8", ""), "9", ""))))</f>
        <v>--</v>
      </c>
      <c r="D814" t="str">
        <f>IF(ISBLANK(MAIN!D814), "--", IF(ISNUMBER(MATCH(SUBSTITUTE(LEFT(MAIN!D814, IFERROR(FIND(",", MAIN!D814)-1, LEN(MAIN!D814))), " ", ""), lookup_values!$B$2:$B$51, 0)), UPPER(SUBSTITUTE(LEFT(MAIN!D814, IFERROR(FIND(",", MAIN!D814)-1, LEN(MAIN!D814))), " ", "")), IF(ISNA(VLOOKUP(SUBSTITUTE(LEFT(MAIN!D814, IFERROR(FIND(",", MAIN!D814)-1, LEN(MAIN!D814))), " ", ""), lookup_values!$A$2:$B$51, 2, FALSE)), "--", VLOOKUP(SUBSTITUTE(LEFT(MAIN!D814, IFERROR(FIND(",", MAIN!D814)-1, LEN(MAIN!D814))), " ", ""), lookup_values!$A$2:$B$51, 2, FALSE))))</f>
        <v>--</v>
      </c>
      <c r="E814" t="str">
        <f>IF(CLEAN_DATA!D814&lt;&gt;"--","US",IF(ISBLANK(MAIN!E814), "--", IF(ISNUMBER(MATCH(SUBSTITUTE(LEFT(MAIN!E814, IFERROR(FIND(",", MAIN!E814)-1, LEN(MAIN!E814))), " ", ""), lookup_values!$E$2:$E$197, 0)), UPPER(SUBSTITUTE(LEFT(MAIN!E814, IFERROR(FIND(",", MAIN!E814)-1, LEN(MAIN!E814))), " ", "")), IF(ISNA(VLOOKUP(SUBSTITUTE(LEFT(MAIN!E814, IFERROR(FIND(",", MAIN!E814)-1, LEN(MAIN!E814))), " ", ""), lookup_values!$D$2:$E$197, 2, FALSE)), "--", VLOOKUP(SUBSTITUTE(LEFT(MAIN!E814, IFERROR(FIND(",", MAIN!E814)-1, LEN(MAIN!E814))), " ", ""), lookup_values!$D$2:$E$197, 2, FALSE)))))</f>
        <v>--</v>
      </c>
      <c r="F814" t="str">
        <f>IF(ISBLANK(MAIN!F814), "", IF(AND(ISNUMBER(VALUE(TRIM(MAIN!F814))), LEN(TRIM(MAIN!F814))=4), VALUE(TRIM(MAIN!F814)), ""))</f>
        <v/>
      </c>
      <c r="G814">
        <f>IF(ISBLANK(MAIN!G814), 0, IF(ISNUMBER(VALUE(TRIM(MAIN!G814))), VALUE(TRIM(MAIN!G814)), 0))</f>
        <v>0</v>
      </c>
      <c r="H814">
        <f>IF(ISBLANK(MAIN!H814), 0, IF(ISNUMBER(VALUE(TRIM(MAIN!H814))), VALUE(TRIM(MAIN!H814)), 0))</f>
        <v>0</v>
      </c>
      <c r="I814">
        <f>IF(ISBLANK(MAIN!I814), 0, IF(ISNUMBER(VALUE(TRIM(MAIN!I814))), VALUE(TRIM(MAIN!I814)), 0))</f>
        <v>0</v>
      </c>
      <c r="J814">
        <f>IF(ISBLANK(MAIN!J814), 0, IF(ISNUMBER(VALUE(TRIM(MAIN!J814))), VALUE(TRIM(MAIN!J814)), 0))</f>
        <v>0</v>
      </c>
      <c r="K814" cm="1">
        <f t="array" ref="K814">IFERROR(
    VALUE(
        IFERROR(
            UPPER(
                IF(MAX(IFERROR(SEARCH("WD",MAIN!G814:J814), 0))&gt;0, "WD",
                IF(MAX(IFERROR(SEARCH("NS",MAIN!G814:J814), 0))&gt;0, "NS",
                IF(MAX(IFERROR(SEARCH("NC",MAIN!G814:J814), 0))&gt;0, "NC",
                IF(MAX(IFERROR(SEARCH("DQ",MAIN!G814:J814), 0))&gt;0, "DQ",
                IF(ISNUMBER(SEARCH("WD",MAIN!K814)), "WD",
                IF(ISNUMBER(SEARCH("NS",MAIN!K814)), "NS",
                IF(ISNUMBER(SEARCH("NC",MAIN!K814)), "NC",
                IF(ISNUMBER(SEARCH("DQ",MAIN!K814)), "DQ",
                IF(ISNUMBER(SEARCH("A",MAIN!K814)), 0,
                IF(OR(MAIN!K814=0,MAIN!K814=""), 0, --TRIM(MAIN!K814)))))))))))),
            0
        )
    ),
    IFERROR(
        UPPER(
            IF(MAX(IFERROR(SEARCH("WD",MAIN!G814:J814), 0))&gt;0, "WD",
            IF(MAX(IFERROR(SEARCH("NS",MAIN!G814:J814), 0))&gt;0, "NS",
            IF(MAX(IFERROR(SEARCH("NC",MAIN!G814:J814), 0))&gt;0, "NC",
            IF(MAX(IFERROR(SEARCH("DQ",MAIN!G814:J814), 0))&gt;0, "DQ",
            IF(ISNUMBER(SEARCH("WD",MAIN!K814)), "WD",
            IF(ISNUMBER(SEARCH("NS",MAIN!K814)), "NS",
            IF(ISNUMBER(SEARCH("NC",MAIN!K814)), "NC",
            IF(ISNUMBER(SEARCH("DQ",MAIN!K814)), "DQ",
            IF(ISNUMBER(SEARCH("A",MAIN!K814)), 0,
            IF(OR(MAIN!K814=0,MAIN!K814=""), 0, --TRIM(MAIN!K814)))))))))))),
        0
    )
)</f>
        <v>0</v>
      </c>
    </row>
    <row r="815" spans="1:11" x14ac:dyDescent="0.25">
      <c r="A815" t="str">
        <f>IF(ISBLANK(MAIN!A815), "--", IFERROR(PROPER(SUBSTITUTE(SUBSTITUTE(SUBSTITUTE(SUBSTITUTE(SUBSTITUTE(SUBSTITUTE(SUBSTITUTE(SUBSTITUTE(SUBSTITUTE(SUBSTITUTE(LEFT(MAIN!A815, FIND(",",MAIN!A815) -1), "0", ""), "1", ""), "2", ""), "3", ""), "4", ""), "5", ""), "6", ""), "7", ""), "8", ""), "9", "")), PROPER(SUBSTITUTE(SUBSTITUTE(SUBSTITUTE(SUBSTITUTE(SUBSTITUTE(SUBSTITUTE(SUBSTITUTE(SUBSTITUTE(SUBSTITUTE(SUBSTITUTE(MAIN!A815, "0", ""), "1", ""), "2", ""), "3", ""), "4", ""), "5", ""), "6", ""), "7", ""), "8", ""), "9", ""))))</f>
        <v>--</v>
      </c>
      <c r="B815" t="str">
        <f>IF(ISBLANK(MAIN!B815), "--", IFERROR(PROPER(SUBSTITUTE(SUBSTITUTE(SUBSTITUTE(SUBSTITUTE(SUBSTITUTE(SUBSTITUTE(SUBSTITUTE(SUBSTITUTE(SUBSTITUTE(SUBSTITUTE(LEFT(MAIN!B815, FIND(",",MAIN!B815) -1), "0", ""), "1", ""), "2", ""), "3", ""), "4", ""), "5", ""), "6", ""), "7", ""), "8", ""), "9", "")), PROPER(SUBSTITUTE(SUBSTITUTE(SUBSTITUTE(SUBSTITUTE(SUBSTITUTE(SUBSTITUTE(SUBSTITUTE(SUBSTITUTE(SUBSTITUTE(SUBSTITUTE(MAIN!B815, "0", ""), "1", ""), "2", ""), "3", ""), "4", ""), "5", ""), "6", ""), "7", ""), "8", ""), "9", ""))))</f>
        <v>--</v>
      </c>
      <c r="C815" t="str">
        <f>IF(ISBLANK(MAIN!C815), "--", IFERROR(PROPER(SUBSTITUTE(SUBSTITUTE(SUBSTITUTE(SUBSTITUTE(SUBSTITUTE(SUBSTITUTE(SUBSTITUTE(SUBSTITUTE(SUBSTITUTE(SUBSTITUTE(LEFT(MAIN!C815, FIND(",",MAIN!C815) -1), "0", ""), "1", ""), "2", ""), "3", ""), "4", ""), "5", ""), "6", ""), "7", ""), "8", ""), "9", "")), PROPER(SUBSTITUTE(SUBSTITUTE(SUBSTITUTE(SUBSTITUTE(SUBSTITUTE(SUBSTITUTE(SUBSTITUTE(SUBSTITUTE(SUBSTITUTE(SUBSTITUTE(MAIN!C815, "0", ""), "1", ""), "2", ""), "3", ""), "4", ""), "5", ""), "6", ""), "7", ""), "8", ""), "9", ""))))</f>
        <v>--</v>
      </c>
      <c r="D815" t="str">
        <f>IF(ISBLANK(MAIN!D815), "--", IF(ISNUMBER(MATCH(SUBSTITUTE(LEFT(MAIN!D815, IFERROR(FIND(",", MAIN!D815)-1, LEN(MAIN!D815))), " ", ""), lookup_values!$B$2:$B$51, 0)), UPPER(SUBSTITUTE(LEFT(MAIN!D815, IFERROR(FIND(",", MAIN!D815)-1, LEN(MAIN!D815))), " ", "")), IF(ISNA(VLOOKUP(SUBSTITUTE(LEFT(MAIN!D815, IFERROR(FIND(",", MAIN!D815)-1, LEN(MAIN!D815))), " ", ""), lookup_values!$A$2:$B$51, 2, FALSE)), "--", VLOOKUP(SUBSTITUTE(LEFT(MAIN!D815, IFERROR(FIND(",", MAIN!D815)-1, LEN(MAIN!D815))), " ", ""), lookup_values!$A$2:$B$51, 2, FALSE))))</f>
        <v>--</v>
      </c>
      <c r="E815" t="str">
        <f>IF(CLEAN_DATA!D815&lt;&gt;"--","US",IF(ISBLANK(MAIN!E815), "--", IF(ISNUMBER(MATCH(SUBSTITUTE(LEFT(MAIN!E815, IFERROR(FIND(",", MAIN!E815)-1, LEN(MAIN!E815))), " ", ""), lookup_values!$E$2:$E$197, 0)), UPPER(SUBSTITUTE(LEFT(MAIN!E815, IFERROR(FIND(",", MAIN!E815)-1, LEN(MAIN!E815))), " ", "")), IF(ISNA(VLOOKUP(SUBSTITUTE(LEFT(MAIN!E815, IFERROR(FIND(",", MAIN!E815)-1, LEN(MAIN!E815))), " ", ""), lookup_values!$D$2:$E$197, 2, FALSE)), "--", VLOOKUP(SUBSTITUTE(LEFT(MAIN!E815, IFERROR(FIND(",", MAIN!E815)-1, LEN(MAIN!E815))), " ", ""), lookup_values!$D$2:$E$197, 2, FALSE)))))</f>
        <v>--</v>
      </c>
      <c r="F815" t="str">
        <f>IF(ISBLANK(MAIN!F815), "", IF(AND(ISNUMBER(VALUE(TRIM(MAIN!F815))), LEN(TRIM(MAIN!F815))=4), VALUE(TRIM(MAIN!F815)), ""))</f>
        <v/>
      </c>
      <c r="G815">
        <f>IF(ISBLANK(MAIN!G815), 0, IF(ISNUMBER(VALUE(TRIM(MAIN!G815))), VALUE(TRIM(MAIN!G815)), 0))</f>
        <v>0</v>
      </c>
      <c r="H815">
        <f>IF(ISBLANK(MAIN!H815), 0, IF(ISNUMBER(VALUE(TRIM(MAIN!H815))), VALUE(TRIM(MAIN!H815)), 0))</f>
        <v>0</v>
      </c>
      <c r="I815">
        <f>IF(ISBLANK(MAIN!I815), 0, IF(ISNUMBER(VALUE(TRIM(MAIN!I815))), VALUE(TRIM(MAIN!I815)), 0))</f>
        <v>0</v>
      </c>
      <c r="J815">
        <f>IF(ISBLANK(MAIN!J815), 0, IF(ISNUMBER(VALUE(TRIM(MAIN!J815))), VALUE(TRIM(MAIN!J815)), 0))</f>
        <v>0</v>
      </c>
      <c r="K815" cm="1">
        <f t="array" ref="K815">IFERROR(
    VALUE(
        IFERROR(
            UPPER(
                IF(MAX(IFERROR(SEARCH("WD",MAIN!G815:J815), 0))&gt;0, "WD",
                IF(MAX(IFERROR(SEARCH("NS",MAIN!G815:J815), 0))&gt;0, "NS",
                IF(MAX(IFERROR(SEARCH("NC",MAIN!G815:J815), 0))&gt;0, "NC",
                IF(MAX(IFERROR(SEARCH("DQ",MAIN!G815:J815), 0))&gt;0, "DQ",
                IF(ISNUMBER(SEARCH("WD",MAIN!K815)), "WD",
                IF(ISNUMBER(SEARCH("NS",MAIN!K815)), "NS",
                IF(ISNUMBER(SEARCH("NC",MAIN!K815)), "NC",
                IF(ISNUMBER(SEARCH("DQ",MAIN!K815)), "DQ",
                IF(ISNUMBER(SEARCH("A",MAIN!K815)), 0,
                IF(OR(MAIN!K815=0,MAIN!K815=""), 0, --TRIM(MAIN!K815)))))))))))),
            0
        )
    ),
    IFERROR(
        UPPER(
            IF(MAX(IFERROR(SEARCH("WD",MAIN!G815:J815), 0))&gt;0, "WD",
            IF(MAX(IFERROR(SEARCH("NS",MAIN!G815:J815), 0))&gt;0, "NS",
            IF(MAX(IFERROR(SEARCH("NC",MAIN!G815:J815), 0))&gt;0, "NC",
            IF(MAX(IFERROR(SEARCH("DQ",MAIN!G815:J815), 0))&gt;0, "DQ",
            IF(ISNUMBER(SEARCH("WD",MAIN!K815)), "WD",
            IF(ISNUMBER(SEARCH("NS",MAIN!K815)), "NS",
            IF(ISNUMBER(SEARCH("NC",MAIN!K815)), "NC",
            IF(ISNUMBER(SEARCH("DQ",MAIN!K815)), "DQ",
            IF(ISNUMBER(SEARCH("A",MAIN!K815)), 0,
            IF(OR(MAIN!K815=0,MAIN!K815=""), 0, --TRIM(MAIN!K815)))))))))))),
        0
    )
)</f>
        <v>0</v>
      </c>
    </row>
    <row r="816" spans="1:11" x14ac:dyDescent="0.25">
      <c r="A816" t="str">
        <f>IF(ISBLANK(MAIN!A816), "--", IFERROR(PROPER(SUBSTITUTE(SUBSTITUTE(SUBSTITUTE(SUBSTITUTE(SUBSTITUTE(SUBSTITUTE(SUBSTITUTE(SUBSTITUTE(SUBSTITUTE(SUBSTITUTE(LEFT(MAIN!A816, FIND(",",MAIN!A816) -1), "0", ""), "1", ""), "2", ""), "3", ""), "4", ""), "5", ""), "6", ""), "7", ""), "8", ""), "9", "")), PROPER(SUBSTITUTE(SUBSTITUTE(SUBSTITUTE(SUBSTITUTE(SUBSTITUTE(SUBSTITUTE(SUBSTITUTE(SUBSTITUTE(SUBSTITUTE(SUBSTITUTE(MAIN!A816, "0", ""), "1", ""), "2", ""), "3", ""), "4", ""), "5", ""), "6", ""), "7", ""), "8", ""), "9", ""))))</f>
        <v>--</v>
      </c>
      <c r="B816" t="str">
        <f>IF(ISBLANK(MAIN!B816), "--", IFERROR(PROPER(SUBSTITUTE(SUBSTITUTE(SUBSTITUTE(SUBSTITUTE(SUBSTITUTE(SUBSTITUTE(SUBSTITUTE(SUBSTITUTE(SUBSTITUTE(SUBSTITUTE(LEFT(MAIN!B816, FIND(",",MAIN!B816) -1), "0", ""), "1", ""), "2", ""), "3", ""), "4", ""), "5", ""), "6", ""), "7", ""), "8", ""), "9", "")), PROPER(SUBSTITUTE(SUBSTITUTE(SUBSTITUTE(SUBSTITUTE(SUBSTITUTE(SUBSTITUTE(SUBSTITUTE(SUBSTITUTE(SUBSTITUTE(SUBSTITUTE(MAIN!B816, "0", ""), "1", ""), "2", ""), "3", ""), "4", ""), "5", ""), "6", ""), "7", ""), "8", ""), "9", ""))))</f>
        <v>--</v>
      </c>
      <c r="C816" t="str">
        <f>IF(ISBLANK(MAIN!C816), "--", IFERROR(PROPER(SUBSTITUTE(SUBSTITUTE(SUBSTITUTE(SUBSTITUTE(SUBSTITUTE(SUBSTITUTE(SUBSTITUTE(SUBSTITUTE(SUBSTITUTE(SUBSTITUTE(LEFT(MAIN!C816, FIND(",",MAIN!C816) -1), "0", ""), "1", ""), "2", ""), "3", ""), "4", ""), "5", ""), "6", ""), "7", ""), "8", ""), "9", "")), PROPER(SUBSTITUTE(SUBSTITUTE(SUBSTITUTE(SUBSTITUTE(SUBSTITUTE(SUBSTITUTE(SUBSTITUTE(SUBSTITUTE(SUBSTITUTE(SUBSTITUTE(MAIN!C816, "0", ""), "1", ""), "2", ""), "3", ""), "4", ""), "5", ""), "6", ""), "7", ""), "8", ""), "9", ""))))</f>
        <v>--</v>
      </c>
      <c r="D816" t="str">
        <f>IF(ISBLANK(MAIN!D816), "--", IF(ISNUMBER(MATCH(SUBSTITUTE(LEFT(MAIN!D816, IFERROR(FIND(",", MAIN!D816)-1, LEN(MAIN!D816))), " ", ""), lookup_values!$B$2:$B$51, 0)), UPPER(SUBSTITUTE(LEFT(MAIN!D816, IFERROR(FIND(",", MAIN!D816)-1, LEN(MAIN!D816))), " ", "")), IF(ISNA(VLOOKUP(SUBSTITUTE(LEFT(MAIN!D816, IFERROR(FIND(",", MAIN!D816)-1, LEN(MAIN!D816))), " ", ""), lookup_values!$A$2:$B$51, 2, FALSE)), "--", VLOOKUP(SUBSTITUTE(LEFT(MAIN!D816, IFERROR(FIND(",", MAIN!D816)-1, LEN(MAIN!D816))), " ", ""), lookup_values!$A$2:$B$51, 2, FALSE))))</f>
        <v>--</v>
      </c>
      <c r="E816" t="str">
        <f>IF(CLEAN_DATA!D816&lt;&gt;"--","US",IF(ISBLANK(MAIN!E816), "--", IF(ISNUMBER(MATCH(SUBSTITUTE(LEFT(MAIN!E816, IFERROR(FIND(",", MAIN!E816)-1, LEN(MAIN!E816))), " ", ""), lookup_values!$E$2:$E$197, 0)), UPPER(SUBSTITUTE(LEFT(MAIN!E816, IFERROR(FIND(",", MAIN!E816)-1, LEN(MAIN!E816))), " ", "")), IF(ISNA(VLOOKUP(SUBSTITUTE(LEFT(MAIN!E816, IFERROR(FIND(",", MAIN!E816)-1, LEN(MAIN!E816))), " ", ""), lookup_values!$D$2:$E$197, 2, FALSE)), "--", VLOOKUP(SUBSTITUTE(LEFT(MAIN!E816, IFERROR(FIND(",", MAIN!E816)-1, LEN(MAIN!E816))), " ", ""), lookup_values!$D$2:$E$197, 2, FALSE)))))</f>
        <v>--</v>
      </c>
      <c r="F816" t="str">
        <f>IF(ISBLANK(MAIN!F816), "", IF(AND(ISNUMBER(VALUE(TRIM(MAIN!F816))), LEN(TRIM(MAIN!F816))=4), VALUE(TRIM(MAIN!F816)), ""))</f>
        <v/>
      </c>
      <c r="G816">
        <f>IF(ISBLANK(MAIN!G816), 0, IF(ISNUMBER(VALUE(TRIM(MAIN!G816))), VALUE(TRIM(MAIN!G816)), 0))</f>
        <v>0</v>
      </c>
      <c r="H816">
        <f>IF(ISBLANK(MAIN!H816), 0, IF(ISNUMBER(VALUE(TRIM(MAIN!H816))), VALUE(TRIM(MAIN!H816)), 0))</f>
        <v>0</v>
      </c>
      <c r="I816">
        <f>IF(ISBLANK(MAIN!I816), 0, IF(ISNUMBER(VALUE(TRIM(MAIN!I816))), VALUE(TRIM(MAIN!I816)), 0))</f>
        <v>0</v>
      </c>
      <c r="J816">
        <f>IF(ISBLANK(MAIN!J816), 0, IF(ISNUMBER(VALUE(TRIM(MAIN!J816))), VALUE(TRIM(MAIN!J816)), 0))</f>
        <v>0</v>
      </c>
      <c r="K816" cm="1">
        <f t="array" ref="K816">IFERROR(
    VALUE(
        IFERROR(
            UPPER(
                IF(MAX(IFERROR(SEARCH("WD",MAIN!G816:J816), 0))&gt;0, "WD",
                IF(MAX(IFERROR(SEARCH("NS",MAIN!G816:J816), 0))&gt;0, "NS",
                IF(MAX(IFERROR(SEARCH("NC",MAIN!G816:J816), 0))&gt;0, "NC",
                IF(MAX(IFERROR(SEARCH("DQ",MAIN!G816:J816), 0))&gt;0, "DQ",
                IF(ISNUMBER(SEARCH("WD",MAIN!K816)), "WD",
                IF(ISNUMBER(SEARCH("NS",MAIN!K816)), "NS",
                IF(ISNUMBER(SEARCH("NC",MAIN!K816)), "NC",
                IF(ISNUMBER(SEARCH("DQ",MAIN!K816)), "DQ",
                IF(ISNUMBER(SEARCH("A",MAIN!K816)), 0,
                IF(OR(MAIN!K816=0,MAIN!K816=""), 0, --TRIM(MAIN!K816)))))))))))),
            0
        )
    ),
    IFERROR(
        UPPER(
            IF(MAX(IFERROR(SEARCH("WD",MAIN!G816:J816), 0))&gt;0, "WD",
            IF(MAX(IFERROR(SEARCH("NS",MAIN!G816:J816), 0))&gt;0, "NS",
            IF(MAX(IFERROR(SEARCH("NC",MAIN!G816:J816), 0))&gt;0, "NC",
            IF(MAX(IFERROR(SEARCH("DQ",MAIN!G816:J816), 0))&gt;0, "DQ",
            IF(ISNUMBER(SEARCH("WD",MAIN!K816)), "WD",
            IF(ISNUMBER(SEARCH("NS",MAIN!K816)), "NS",
            IF(ISNUMBER(SEARCH("NC",MAIN!K816)), "NC",
            IF(ISNUMBER(SEARCH("DQ",MAIN!K816)), "DQ",
            IF(ISNUMBER(SEARCH("A",MAIN!K816)), 0,
            IF(OR(MAIN!K816=0,MAIN!K816=""), 0, --TRIM(MAIN!K816)))))))))))),
        0
    )
)</f>
        <v>0</v>
      </c>
    </row>
    <row r="817" spans="1:11" x14ac:dyDescent="0.25">
      <c r="A817" t="str">
        <f>IF(ISBLANK(MAIN!A817), "--", IFERROR(PROPER(SUBSTITUTE(SUBSTITUTE(SUBSTITUTE(SUBSTITUTE(SUBSTITUTE(SUBSTITUTE(SUBSTITUTE(SUBSTITUTE(SUBSTITUTE(SUBSTITUTE(LEFT(MAIN!A817, FIND(",",MAIN!A817) -1), "0", ""), "1", ""), "2", ""), "3", ""), "4", ""), "5", ""), "6", ""), "7", ""), "8", ""), "9", "")), PROPER(SUBSTITUTE(SUBSTITUTE(SUBSTITUTE(SUBSTITUTE(SUBSTITUTE(SUBSTITUTE(SUBSTITUTE(SUBSTITUTE(SUBSTITUTE(SUBSTITUTE(MAIN!A817, "0", ""), "1", ""), "2", ""), "3", ""), "4", ""), "5", ""), "6", ""), "7", ""), "8", ""), "9", ""))))</f>
        <v>--</v>
      </c>
      <c r="B817" t="str">
        <f>IF(ISBLANK(MAIN!B817), "--", IFERROR(PROPER(SUBSTITUTE(SUBSTITUTE(SUBSTITUTE(SUBSTITUTE(SUBSTITUTE(SUBSTITUTE(SUBSTITUTE(SUBSTITUTE(SUBSTITUTE(SUBSTITUTE(LEFT(MAIN!B817, FIND(",",MAIN!B817) -1), "0", ""), "1", ""), "2", ""), "3", ""), "4", ""), "5", ""), "6", ""), "7", ""), "8", ""), "9", "")), PROPER(SUBSTITUTE(SUBSTITUTE(SUBSTITUTE(SUBSTITUTE(SUBSTITUTE(SUBSTITUTE(SUBSTITUTE(SUBSTITUTE(SUBSTITUTE(SUBSTITUTE(MAIN!B817, "0", ""), "1", ""), "2", ""), "3", ""), "4", ""), "5", ""), "6", ""), "7", ""), "8", ""), "9", ""))))</f>
        <v>--</v>
      </c>
      <c r="C817" t="str">
        <f>IF(ISBLANK(MAIN!C817), "--", IFERROR(PROPER(SUBSTITUTE(SUBSTITUTE(SUBSTITUTE(SUBSTITUTE(SUBSTITUTE(SUBSTITUTE(SUBSTITUTE(SUBSTITUTE(SUBSTITUTE(SUBSTITUTE(LEFT(MAIN!C817, FIND(",",MAIN!C817) -1), "0", ""), "1", ""), "2", ""), "3", ""), "4", ""), "5", ""), "6", ""), "7", ""), "8", ""), "9", "")), PROPER(SUBSTITUTE(SUBSTITUTE(SUBSTITUTE(SUBSTITUTE(SUBSTITUTE(SUBSTITUTE(SUBSTITUTE(SUBSTITUTE(SUBSTITUTE(SUBSTITUTE(MAIN!C817, "0", ""), "1", ""), "2", ""), "3", ""), "4", ""), "5", ""), "6", ""), "7", ""), "8", ""), "9", ""))))</f>
        <v>--</v>
      </c>
      <c r="D817" t="str">
        <f>IF(ISBLANK(MAIN!D817), "--", IF(ISNUMBER(MATCH(SUBSTITUTE(LEFT(MAIN!D817, IFERROR(FIND(",", MAIN!D817)-1, LEN(MAIN!D817))), " ", ""), lookup_values!$B$2:$B$51, 0)), UPPER(SUBSTITUTE(LEFT(MAIN!D817, IFERROR(FIND(",", MAIN!D817)-1, LEN(MAIN!D817))), " ", "")), IF(ISNA(VLOOKUP(SUBSTITUTE(LEFT(MAIN!D817, IFERROR(FIND(",", MAIN!D817)-1, LEN(MAIN!D817))), " ", ""), lookup_values!$A$2:$B$51, 2, FALSE)), "--", VLOOKUP(SUBSTITUTE(LEFT(MAIN!D817, IFERROR(FIND(",", MAIN!D817)-1, LEN(MAIN!D817))), " ", ""), lookup_values!$A$2:$B$51, 2, FALSE))))</f>
        <v>--</v>
      </c>
      <c r="E817" t="str">
        <f>IF(CLEAN_DATA!D817&lt;&gt;"--","US",IF(ISBLANK(MAIN!E817), "--", IF(ISNUMBER(MATCH(SUBSTITUTE(LEFT(MAIN!E817, IFERROR(FIND(",", MAIN!E817)-1, LEN(MAIN!E817))), " ", ""), lookup_values!$E$2:$E$197, 0)), UPPER(SUBSTITUTE(LEFT(MAIN!E817, IFERROR(FIND(",", MAIN!E817)-1, LEN(MAIN!E817))), " ", "")), IF(ISNA(VLOOKUP(SUBSTITUTE(LEFT(MAIN!E817, IFERROR(FIND(",", MAIN!E817)-1, LEN(MAIN!E817))), " ", ""), lookup_values!$D$2:$E$197, 2, FALSE)), "--", VLOOKUP(SUBSTITUTE(LEFT(MAIN!E817, IFERROR(FIND(",", MAIN!E817)-1, LEN(MAIN!E817))), " ", ""), lookup_values!$D$2:$E$197, 2, FALSE)))))</f>
        <v>--</v>
      </c>
      <c r="F817" t="str">
        <f>IF(ISBLANK(MAIN!F817), "", IF(AND(ISNUMBER(VALUE(TRIM(MAIN!F817))), LEN(TRIM(MAIN!F817))=4), VALUE(TRIM(MAIN!F817)), ""))</f>
        <v/>
      </c>
      <c r="G817">
        <f>IF(ISBLANK(MAIN!G817), 0, IF(ISNUMBER(VALUE(TRIM(MAIN!G817))), VALUE(TRIM(MAIN!G817)), 0))</f>
        <v>0</v>
      </c>
      <c r="H817">
        <f>IF(ISBLANK(MAIN!H817), 0, IF(ISNUMBER(VALUE(TRIM(MAIN!H817))), VALUE(TRIM(MAIN!H817)), 0))</f>
        <v>0</v>
      </c>
      <c r="I817">
        <f>IF(ISBLANK(MAIN!I817), 0, IF(ISNUMBER(VALUE(TRIM(MAIN!I817))), VALUE(TRIM(MAIN!I817)), 0))</f>
        <v>0</v>
      </c>
      <c r="J817">
        <f>IF(ISBLANK(MAIN!J817), 0, IF(ISNUMBER(VALUE(TRIM(MAIN!J817))), VALUE(TRIM(MAIN!J817)), 0))</f>
        <v>0</v>
      </c>
      <c r="K817" cm="1">
        <f t="array" ref="K817">IFERROR(
    VALUE(
        IFERROR(
            UPPER(
                IF(MAX(IFERROR(SEARCH("WD",MAIN!G817:J817), 0))&gt;0, "WD",
                IF(MAX(IFERROR(SEARCH("NS",MAIN!G817:J817), 0))&gt;0, "NS",
                IF(MAX(IFERROR(SEARCH("NC",MAIN!G817:J817), 0))&gt;0, "NC",
                IF(MAX(IFERROR(SEARCH("DQ",MAIN!G817:J817), 0))&gt;0, "DQ",
                IF(ISNUMBER(SEARCH("WD",MAIN!K817)), "WD",
                IF(ISNUMBER(SEARCH("NS",MAIN!K817)), "NS",
                IF(ISNUMBER(SEARCH("NC",MAIN!K817)), "NC",
                IF(ISNUMBER(SEARCH("DQ",MAIN!K817)), "DQ",
                IF(ISNUMBER(SEARCH("A",MAIN!K817)), 0,
                IF(OR(MAIN!K817=0,MAIN!K817=""), 0, --TRIM(MAIN!K817)))))))))))),
            0
        )
    ),
    IFERROR(
        UPPER(
            IF(MAX(IFERROR(SEARCH("WD",MAIN!G817:J817), 0))&gt;0, "WD",
            IF(MAX(IFERROR(SEARCH("NS",MAIN!G817:J817), 0))&gt;0, "NS",
            IF(MAX(IFERROR(SEARCH("NC",MAIN!G817:J817), 0))&gt;0, "NC",
            IF(MAX(IFERROR(SEARCH("DQ",MAIN!G817:J817), 0))&gt;0, "DQ",
            IF(ISNUMBER(SEARCH("WD",MAIN!K817)), "WD",
            IF(ISNUMBER(SEARCH("NS",MAIN!K817)), "NS",
            IF(ISNUMBER(SEARCH("NC",MAIN!K817)), "NC",
            IF(ISNUMBER(SEARCH("DQ",MAIN!K817)), "DQ",
            IF(ISNUMBER(SEARCH("A",MAIN!K817)), 0,
            IF(OR(MAIN!K817=0,MAIN!K817=""), 0, --TRIM(MAIN!K817)))))))))))),
        0
    )
)</f>
        <v>0</v>
      </c>
    </row>
    <row r="818" spans="1:11" x14ac:dyDescent="0.25">
      <c r="A818" t="str">
        <f>IF(ISBLANK(MAIN!A818), "--", IFERROR(PROPER(SUBSTITUTE(SUBSTITUTE(SUBSTITUTE(SUBSTITUTE(SUBSTITUTE(SUBSTITUTE(SUBSTITUTE(SUBSTITUTE(SUBSTITUTE(SUBSTITUTE(LEFT(MAIN!A818, FIND(",",MAIN!A818) -1), "0", ""), "1", ""), "2", ""), "3", ""), "4", ""), "5", ""), "6", ""), "7", ""), "8", ""), "9", "")), PROPER(SUBSTITUTE(SUBSTITUTE(SUBSTITUTE(SUBSTITUTE(SUBSTITUTE(SUBSTITUTE(SUBSTITUTE(SUBSTITUTE(SUBSTITUTE(SUBSTITUTE(MAIN!A818, "0", ""), "1", ""), "2", ""), "3", ""), "4", ""), "5", ""), "6", ""), "7", ""), "8", ""), "9", ""))))</f>
        <v>--</v>
      </c>
      <c r="B818" t="str">
        <f>IF(ISBLANK(MAIN!B818), "--", IFERROR(PROPER(SUBSTITUTE(SUBSTITUTE(SUBSTITUTE(SUBSTITUTE(SUBSTITUTE(SUBSTITUTE(SUBSTITUTE(SUBSTITUTE(SUBSTITUTE(SUBSTITUTE(LEFT(MAIN!B818, FIND(",",MAIN!B818) -1), "0", ""), "1", ""), "2", ""), "3", ""), "4", ""), "5", ""), "6", ""), "7", ""), "8", ""), "9", "")), PROPER(SUBSTITUTE(SUBSTITUTE(SUBSTITUTE(SUBSTITUTE(SUBSTITUTE(SUBSTITUTE(SUBSTITUTE(SUBSTITUTE(SUBSTITUTE(SUBSTITUTE(MAIN!B818, "0", ""), "1", ""), "2", ""), "3", ""), "4", ""), "5", ""), "6", ""), "7", ""), "8", ""), "9", ""))))</f>
        <v>--</v>
      </c>
      <c r="C818" t="str">
        <f>IF(ISBLANK(MAIN!C818), "--", IFERROR(PROPER(SUBSTITUTE(SUBSTITUTE(SUBSTITUTE(SUBSTITUTE(SUBSTITUTE(SUBSTITUTE(SUBSTITUTE(SUBSTITUTE(SUBSTITUTE(SUBSTITUTE(LEFT(MAIN!C818, FIND(",",MAIN!C818) -1), "0", ""), "1", ""), "2", ""), "3", ""), "4", ""), "5", ""), "6", ""), "7", ""), "8", ""), "9", "")), PROPER(SUBSTITUTE(SUBSTITUTE(SUBSTITUTE(SUBSTITUTE(SUBSTITUTE(SUBSTITUTE(SUBSTITUTE(SUBSTITUTE(SUBSTITUTE(SUBSTITUTE(MAIN!C818, "0", ""), "1", ""), "2", ""), "3", ""), "4", ""), "5", ""), "6", ""), "7", ""), "8", ""), "9", ""))))</f>
        <v>--</v>
      </c>
      <c r="D818" t="str">
        <f>IF(ISBLANK(MAIN!D818), "--", IF(ISNUMBER(MATCH(SUBSTITUTE(LEFT(MAIN!D818, IFERROR(FIND(",", MAIN!D818)-1, LEN(MAIN!D818))), " ", ""), lookup_values!$B$2:$B$51, 0)), UPPER(SUBSTITUTE(LEFT(MAIN!D818, IFERROR(FIND(",", MAIN!D818)-1, LEN(MAIN!D818))), " ", "")), IF(ISNA(VLOOKUP(SUBSTITUTE(LEFT(MAIN!D818, IFERROR(FIND(",", MAIN!D818)-1, LEN(MAIN!D818))), " ", ""), lookup_values!$A$2:$B$51, 2, FALSE)), "--", VLOOKUP(SUBSTITUTE(LEFT(MAIN!D818, IFERROR(FIND(",", MAIN!D818)-1, LEN(MAIN!D818))), " ", ""), lookup_values!$A$2:$B$51, 2, FALSE))))</f>
        <v>--</v>
      </c>
      <c r="E818" t="str">
        <f>IF(CLEAN_DATA!D818&lt;&gt;"--","US",IF(ISBLANK(MAIN!E818), "--", IF(ISNUMBER(MATCH(SUBSTITUTE(LEFT(MAIN!E818, IFERROR(FIND(",", MAIN!E818)-1, LEN(MAIN!E818))), " ", ""), lookup_values!$E$2:$E$197, 0)), UPPER(SUBSTITUTE(LEFT(MAIN!E818, IFERROR(FIND(",", MAIN!E818)-1, LEN(MAIN!E818))), " ", "")), IF(ISNA(VLOOKUP(SUBSTITUTE(LEFT(MAIN!E818, IFERROR(FIND(",", MAIN!E818)-1, LEN(MAIN!E818))), " ", ""), lookup_values!$D$2:$E$197, 2, FALSE)), "--", VLOOKUP(SUBSTITUTE(LEFT(MAIN!E818, IFERROR(FIND(",", MAIN!E818)-1, LEN(MAIN!E818))), " ", ""), lookup_values!$D$2:$E$197, 2, FALSE)))))</f>
        <v>--</v>
      </c>
      <c r="F818" t="str">
        <f>IF(ISBLANK(MAIN!F818), "", IF(AND(ISNUMBER(VALUE(TRIM(MAIN!F818))), LEN(TRIM(MAIN!F818))=4), VALUE(TRIM(MAIN!F818)), ""))</f>
        <v/>
      </c>
      <c r="G818">
        <f>IF(ISBLANK(MAIN!G818), 0, IF(ISNUMBER(VALUE(TRIM(MAIN!G818))), VALUE(TRIM(MAIN!G818)), 0))</f>
        <v>0</v>
      </c>
      <c r="H818">
        <f>IF(ISBLANK(MAIN!H818), 0, IF(ISNUMBER(VALUE(TRIM(MAIN!H818))), VALUE(TRIM(MAIN!H818)), 0))</f>
        <v>0</v>
      </c>
      <c r="I818">
        <f>IF(ISBLANK(MAIN!I818), 0, IF(ISNUMBER(VALUE(TRIM(MAIN!I818))), VALUE(TRIM(MAIN!I818)), 0))</f>
        <v>0</v>
      </c>
      <c r="J818">
        <f>IF(ISBLANK(MAIN!J818), 0, IF(ISNUMBER(VALUE(TRIM(MAIN!J818))), VALUE(TRIM(MAIN!J818)), 0))</f>
        <v>0</v>
      </c>
      <c r="K818" cm="1">
        <f t="array" ref="K818">IFERROR(
    VALUE(
        IFERROR(
            UPPER(
                IF(MAX(IFERROR(SEARCH("WD",MAIN!G818:J818), 0))&gt;0, "WD",
                IF(MAX(IFERROR(SEARCH("NS",MAIN!G818:J818), 0))&gt;0, "NS",
                IF(MAX(IFERROR(SEARCH("NC",MAIN!G818:J818), 0))&gt;0, "NC",
                IF(MAX(IFERROR(SEARCH("DQ",MAIN!G818:J818), 0))&gt;0, "DQ",
                IF(ISNUMBER(SEARCH("WD",MAIN!K818)), "WD",
                IF(ISNUMBER(SEARCH("NS",MAIN!K818)), "NS",
                IF(ISNUMBER(SEARCH("NC",MAIN!K818)), "NC",
                IF(ISNUMBER(SEARCH("DQ",MAIN!K818)), "DQ",
                IF(ISNUMBER(SEARCH("A",MAIN!K818)), 0,
                IF(OR(MAIN!K818=0,MAIN!K818=""), 0, --TRIM(MAIN!K818)))))))))))),
            0
        )
    ),
    IFERROR(
        UPPER(
            IF(MAX(IFERROR(SEARCH("WD",MAIN!G818:J818), 0))&gt;0, "WD",
            IF(MAX(IFERROR(SEARCH("NS",MAIN!G818:J818), 0))&gt;0, "NS",
            IF(MAX(IFERROR(SEARCH("NC",MAIN!G818:J818), 0))&gt;0, "NC",
            IF(MAX(IFERROR(SEARCH("DQ",MAIN!G818:J818), 0))&gt;0, "DQ",
            IF(ISNUMBER(SEARCH("WD",MAIN!K818)), "WD",
            IF(ISNUMBER(SEARCH("NS",MAIN!K818)), "NS",
            IF(ISNUMBER(SEARCH("NC",MAIN!K818)), "NC",
            IF(ISNUMBER(SEARCH("DQ",MAIN!K818)), "DQ",
            IF(ISNUMBER(SEARCH("A",MAIN!K818)), 0,
            IF(OR(MAIN!K818=0,MAIN!K818=""), 0, --TRIM(MAIN!K818)))))))))))),
        0
    )
)</f>
        <v>0</v>
      </c>
    </row>
    <row r="819" spans="1:11" x14ac:dyDescent="0.25">
      <c r="A819" t="str">
        <f>IF(ISBLANK(MAIN!A819), "--", IFERROR(PROPER(SUBSTITUTE(SUBSTITUTE(SUBSTITUTE(SUBSTITUTE(SUBSTITUTE(SUBSTITUTE(SUBSTITUTE(SUBSTITUTE(SUBSTITUTE(SUBSTITUTE(LEFT(MAIN!A819, FIND(",",MAIN!A819) -1), "0", ""), "1", ""), "2", ""), "3", ""), "4", ""), "5", ""), "6", ""), "7", ""), "8", ""), "9", "")), PROPER(SUBSTITUTE(SUBSTITUTE(SUBSTITUTE(SUBSTITUTE(SUBSTITUTE(SUBSTITUTE(SUBSTITUTE(SUBSTITUTE(SUBSTITUTE(SUBSTITUTE(MAIN!A819, "0", ""), "1", ""), "2", ""), "3", ""), "4", ""), "5", ""), "6", ""), "7", ""), "8", ""), "9", ""))))</f>
        <v>--</v>
      </c>
      <c r="B819" t="str">
        <f>IF(ISBLANK(MAIN!B819), "--", IFERROR(PROPER(SUBSTITUTE(SUBSTITUTE(SUBSTITUTE(SUBSTITUTE(SUBSTITUTE(SUBSTITUTE(SUBSTITUTE(SUBSTITUTE(SUBSTITUTE(SUBSTITUTE(LEFT(MAIN!B819, FIND(",",MAIN!B819) -1), "0", ""), "1", ""), "2", ""), "3", ""), "4", ""), "5", ""), "6", ""), "7", ""), "8", ""), "9", "")), PROPER(SUBSTITUTE(SUBSTITUTE(SUBSTITUTE(SUBSTITUTE(SUBSTITUTE(SUBSTITUTE(SUBSTITUTE(SUBSTITUTE(SUBSTITUTE(SUBSTITUTE(MAIN!B819, "0", ""), "1", ""), "2", ""), "3", ""), "4", ""), "5", ""), "6", ""), "7", ""), "8", ""), "9", ""))))</f>
        <v>--</v>
      </c>
      <c r="C819" t="str">
        <f>IF(ISBLANK(MAIN!C819), "--", IFERROR(PROPER(SUBSTITUTE(SUBSTITUTE(SUBSTITUTE(SUBSTITUTE(SUBSTITUTE(SUBSTITUTE(SUBSTITUTE(SUBSTITUTE(SUBSTITUTE(SUBSTITUTE(LEFT(MAIN!C819, FIND(",",MAIN!C819) -1), "0", ""), "1", ""), "2", ""), "3", ""), "4", ""), "5", ""), "6", ""), "7", ""), "8", ""), "9", "")), PROPER(SUBSTITUTE(SUBSTITUTE(SUBSTITUTE(SUBSTITUTE(SUBSTITUTE(SUBSTITUTE(SUBSTITUTE(SUBSTITUTE(SUBSTITUTE(SUBSTITUTE(MAIN!C819, "0", ""), "1", ""), "2", ""), "3", ""), "4", ""), "5", ""), "6", ""), "7", ""), "8", ""), "9", ""))))</f>
        <v>--</v>
      </c>
      <c r="D819" t="str">
        <f>IF(ISBLANK(MAIN!D819), "--", IF(ISNUMBER(MATCH(SUBSTITUTE(LEFT(MAIN!D819, IFERROR(FIND(",", MAIN!D819)-1, LEN(MAIN!D819))), " ", ""), lookup_values!$B$2:$B$51, 0)), UPPER(SUBSTITUTE(LEFT(MAIN!D819, IFERROR(FIND(",", MAIN!D819)-1, LEN(MAIN!D819))), " ", "")), IF(ISNA(VLOOKUP(SUBSTITUTE(LEFT(MAIN!D819, IFERROR(FIND(",", MAIN!D819)-1, LEN(MAIN!D819))), " ", ""), lookup_values!$A$2:$B$51, 2, FALSE)), "--", VLOOKUP(SUBSTITUTE(LEFT(MAIN!D819, IFERROR(FIND(",", MAIN!D819)-1, LEN(MAIN!D819))), " ", ""), lookup_values!$A$2:$B$51, 2, FALSE))))</f>
        <v>--</v>
      </c>
      <c r="E819" t="str">
        <f>IF(CLEAN_DATA!D819&lt;&gt;"--","US",IF(ISBLANK(MAIN!E819), "--", IF(ISNUMBER(MATCH(SUBSTITUTE(LEFT(MAIN!E819, IFERROR(FIND(",", MAIN!E819)-1, LEN(MAIN!E819))), " ", ""), lookup_values!$E$2:$E$197, 0)), UPPER(SUBSTITUTE(LEFT(MAIN!E819, IFERROR(FIND(",", MAIN!E819)-1, LEN(MAIN!E819))), " ", "")), IF(ISNA(VLOOKUP(SUBSTITUTE(LEFT(MAIN!E819, IFERROR(FIND(",", MAIN!E819)-1, LEN(MAIN!E819))), " ", ""), lookup_values!$D$2:$E$197, 2, FALSE)), "--", VLOOKUP(SUBSTITUTE(LEFT(MAIN!E819, IFERROR(FIND(",", MAIN!E819)-1, LEN(MAIN!E819))), " ", ""), lookup_values!$D$2:$E$197, 2, FALSE)))))</f>
        <v>--</v>
      </c>
      <c r="F819" t="str">
        <f>IF(ISBLANK(MAIN!F819), "", IF(AND(ISNUMBER(VALUE(TRIM(MAIN!F819))), LEN(TRIM(MAIN!F819))=4), VALUE(TRIM(MAIN!F819)), ""))</f>
        <v/>
      </c>
      <c r="G819">
        <f>IF(ISBLANK(MAIN!G819), 0, IF(ISNUMBER(VALUE(TRIM(MAIN!G819))), VALUE(TRIM(MAIN!G819)), 0))</f>
        <v>0</v>
      </c>
      <c r="H819">
        <f>IF(ISBLANK(MAIN!H819), 0, IF(ISNUMBER(VALUE(TRIM(MAIN!H819))), VALUE(TRIM(MAIN!H819)), 0))</f>
        <v>0</v>
      </c>
      <c r="I819">
        <f>IF(ISBLANK(MAIN!I819), 0, IF(ISNUMBER(VALUE(TRIM(MAIN!I819))), VALUE(TRIM(MAIN!I819)), 0))</f>
        <v>0</v>
      </c>
      <c r="J819">
        <f>IF(ISBLANK(MAIN!J819), 0, IF(ISNUMBER(VALUE(TRIM(MAIN!J819))), VALUE(TRIM(MAIN!J819)), 0))</f>
        <v>0</v>
      </c>
      <c r="K819" cm="1">
        <f t="array" ref="K819">IFERROR(
    VALUE(
        IFERROR(
            UPPER(
                IF(MAX(IFERROR(SEARCH("WD",MAIN!G819:J819), 0))&gt;0, "WD",
                IF(MAX(IFERROR(SEARCH("NS",MAIN!G819:J819), 0))&gt;0, "NS",
                IF(MAX(IFERROR(SEARCH("NC",MAIN!G819:J819), 0))&gt;0, "NC",
                IF(MAX(IFERROR(SEARCH("DQ",MAIN!G819:J819), 0))&gt;0, "DQ",
                IF(ISNUMBER(SEARCH("WD",MAIN!K819)), "WD",
                IF(ISNUMBER(SEARCH("NS",MAIN!K819)), "NS",
                IF(ISNUMBER(SEARCH("NC",MAIN!K819)), "NC",
                IF(ISNUMBER(SEARCH("DQ",MAIN!K819)), "DQ",
                IF(ISNUMBER(SEARCH("A",MAIN!K819)), 0,
                IF(OR(MAIN!K819=0,MAIN!K819=""), 0, --TRIM(MAIN!K819)))))))))))),
            0
        )
    ),
    IFERROR(
        UPPER(
            IF(MAX(IFERROR(SEARCH("WD",MAIN!G819:J819), 0))&gt;0, "WD",
            IF(MAX(IFERROR(SEARCH("NS",MAIN!G819:J819), 0))&gt;0, "NS",
            IF(MAX(IFERROR(SEARCH("NC",MAIN!G819:J819), 0))&gt;0, "NC",
            IF(MAX(IFERROR(SEARCH("DQ",MAIN!G819:J819), 0))&gt;0, "DQ",
            IF(ISNUMBER(SEARCH("WD",MAIN!K819)), "WD",
            IF(ISNUMBER(SEARCH("NS",MAIN!K819)), "NS",
            IF(ISNUMBER(SEARCH("NC",MAIN!K819)), "NC",
            IF(ISNUMBER(SEARCH("DQ",MAIN!K819)), "DQ",
            IF(ISNUMBER(SEARCH("A",MAIN!K819)), 0,
            IF(OR(MAIN!K819=0,MAIN!K819=""), 0, --TRIM(MAIN!K819)))))))))))),
        0
    )
)</f>
        <v>0</v>
      </c>
    </row>
    <row r="820" spans="1:11" x14ac:dyDescent="0.25">
      <c r="A820" t="str">
        <f>IF(ISBLANK(MAIN!A820), "--", IFERROR(PROPER(SUBSTITUTE(SUBSTITUTE(SUBSTITUTE(SUBSTITUTE(SUBSTITUTE(SUBSTITUTE(SUBSTITUTE(SUBSTITUTE(SUBSTITUTE(SUBSTITUTE(LEFT(MAIN!A820, FIND(",",MAIN!A820) -1), "0", ""), "1", ""), "2", ""), "3", ""), "4", ""), "5", ""), "6", ""), "7", ""), "8", ""), "9", "")), PROPER(SUBSTITUTE(SUBSTITUTE(SUBSTITUTE(SUBSTITUTE(SUBSTITUTE(SUBSTITUTE(SUBSTITUTE(SUBSTITUTE(SUBSTITUTE(SUBSTITUTE(MAIN!A820, "0", ""), "1", ""), "2", ""), "3", ""), "4", ""), "5", ""), "6", ""), "7", ""), "8", ""), "9", ""))))</f>
        <v>--</v>
      </c>
      <c r="B820" t="str">
        <f>IF(ISBLANK(MAIN!B820), "--", IFERROR(PROPER(SUBSTITUTE(SUBSTITUTE(SUBSTITUTE(SUBSTITUTE(SUBSTITUTE(SUBSTITUTE(SUBSTITUTE(SUBSTITUTE(SUBSTITUTE(SUBSTITUTE(LEFT(MAIN!B820, FIND(",",MAIN!B820) -1), "0", ""), "1", ""), "2", ""), "3", ""), "4", ""), "5", ""), "6", ""), "7", ""), "8", ""), "9", "")), PROPER(SUBSTITUTE(SUBSTITUTE(SUBSTITUTE(SUBSTITUTE(SUBSTITUTE(SUBSTITUTE(SUBSTITUTE(SUBSTITUTE(SUBSTITUTE(SUBSTITUTE(MAIN!B820, "0", ""), "1", ""), "2", ""), "3", ""), "4", ""), "5", ""), "6", ""), "7", ""), "8", ""), "9", ""))))</f>
        <v>--</v>
      </c>
      <c r="C820" t="str">
        <f>IF(ISBLANK(MAIN!C820), "--", IFERROR(PROPER(SUBSTITUTE(SUBSTITUTE(SUBSTITUTE(SUBSTITUTE(SUBSTITUTE(SUBSTITUTE(SUBSTITUTE(SUBSTITUTE(SUBSTITUTE(SUBSTITUTE(LEFT(MAIN!C820, FIND(",",MAIN!C820) -1), "0", ""), "1", ""), "2", ""), "3", ""), "4", ""), "5", ""), "6", ""), "7", ""), "8", ""), "9", "")), PROPER(SUBSTITUTE(SUBSTITUTE(SUBSTITUTE(SUBSTITUTE(SUBSTITUTE(SUBSTITUTE(SUBSTITUTE(SUBSTITUTE(SUBSTITUTE(SUBSTITUTE(MAIN!C820, "0", ""), "1", ""), "2", ""), "3", ""), "4", ""), "5", ""), "6", ""), "7", ""), "8", ""), "9", ""))))</f>
        <v>--</v>
      </c>
      <c r="D820" t="str">
        <f>IF(ISBLANK(MAIN!D820), "--", IF(ISNUMBER(MATCH(SUBSTITUTE(LEFT(MAIN!D820, IFERROR(FIND(",", MAIN!D820)-1, LEN(MAIN!D820))), " ", ""), lookup_values!$B$2:$B$51, 0)), UPPER(SUBSTITUTE(LEFT(MAIN!D820, IFERROR(FIND(",", MAIN!D820)-1, LEN(MAIN!D820))), " ", "")), IF(ISNA(VLOOKUP(SUBSTITUTE(LEFT(MAIN!D820, IFERROR(FIND(",", MAIN!D820)-1, LEN(MAIN!D820))), " ", ""), lookup_values!$A$2:$B$51, 2, FALSE)), "--", VLOOKUP(SUBSTITUTE(LEFT(MAIN!D820, IFERROR(FIND(",", MAIN!D820)-1, LEN(MAIN!D820))), " ", ""), lookup_values!$A$2:$B$51, 2, FALSE))))</f>
        <v>--</v>
      </c>
      <c r="E820" t="str">
        <f>IF(CLEAN_DATA!D820&lt;&gt;"--","US",IF(ISBLANK(MAIN!E820), "--", IF(ISNUMBER(MATCH(SUBSTITUTE(LEFT(MAIN!E820, IFERROR(FIND(",", MAIN!E820)-1, LEN(MAIN!E820))), " ", ""), lookup_values!$E$2:$E$197, 0)), UPPER(SUBSTITUTE(LEFT(MAIN!E820, IFERROR(FIND(",", MAIN!E820)-1, LEN(MAIN!E820))), " ", "")), IF(ISNA(VLOOKUP(SUBSTITUTE(LEFT(MAIN!E820, IFERROR(FIND(",", MAIN!E820)-1, LEN(MAIN!E820))), " ", ""), lookup_values!$D$2:$E$197, 2, FALSE)), "--", VLOOKUP(SUBSTITUTE(LEFT(MAIN!E820, IFERROR(FIND(",", MAIN!E820)-1, LEN(MAIN!E820))), " ", ""), lookup_values!$D$2:$E$197, 2, FALSE)))))</f>
        <v>--</v>
      </c>
      <c r="F820" t="str">
        <f>IF(ISBLANK(MAIN!F820), "", IF(AND(ISNUMBER(VALUE(TRIM(MAIN!F820))), LEN(TRIM(MAIN!F820))=4), VALUE(TRIM(MAIN!F820)), ""))</f>
        <v/>
      </c>
      <c r="G820">
        <f>IF(ISBLANK(MAIN!G820), 0, IF(ISNUMBER(VALUE(TRIM(MAIN!G820))), VALUE(TRIM(MAIN!G820)), 0))</f>
        <v>0</v>
      </c>
      <c r="H820">
        <f>IF(ISBLANK(MAIN!H820), 0, IF(ISNUMBER(VALUE(TRIM(MAIN!H820))), VALUE(TRIM(MAIN!H820)), 0))</f>
        <v>0</v>
      </c>
      <c r="I820">
        <f>IF(ISBLANK(MAIN!I820), 0, IF(ISNUMBER(VALUE(TRIM(MAIN!I820))), VALUE(TRIM(MAIN!I820)), 0))</f>
        <v>0</v>
      </c>
      <c r="J820">
        <f>IF(ISBLANK(MAIN!J820), 0, IF(ISNUMBER(VALUE(TRIM(MAIN!J820))), VALUE(TRIM(MAIN!J820)), 0))</f>
        <v>0</v>
      </c>
      <c r="K820" cm="1">
        <f t="array" ref="K820">IFERROR(
    VALUE(
        IFERROR(
            UPPER(
                IF(MAX(IFERROR(SEARCH("WD",MAIN!G820:J820), 0))&gt;0, "WD",
                IF(MAX(IFERROR(SEARCH("NS",MAIN!G820:J820), 0))&gt;0, "NS",
                IF(MAX(IFERROR(SEARCH("NC",MAIN!G820:J820), 0))&gt;0, "NC",
                IF(MAX(IFERROR(SEARCH("DQ",MAIN!G820:J820), 0))&gt;0, "DQ",
                IF(ISNUMBER(SEARCH("WD",MAIN!K820)), "WD",
                IF(ISNUMBER(SEARCH("NS",MAIN!K820)), "NS",
                IF(ISNUMBER(SEARCH("NC",MAIN!K820)), "NC",
                IF(ISNUMBER(SEARCH("DQ",MAIN!K820)), "DQ",
                IF(ISNUMBER(SEARCH("A",MAIN!K820)), 0,
                IF(OR(MAIN!K820=0,MAIN!K820=""), 0, --TRIM(MAIN!K820)))))))))))),
            0
        )
    ),
    IFERROR(
        UPPER(
            IF(MAX(IFERROR(SEARCH("WD",MAIN!G820:J820), 0))&gt;0, "WD",
            IF(MAX(IFERROR(SEARCH("NS",MAIN!G820:J820), 0))&gt;0, "NS",
            IF(MAX(IFERROR(SEARCH("NC",MAIN!G820:J820), 0))&gt;0, "NC",
            IF(MAX(IFERROR(SEARCH("DQ",MAIN!G820:J820), 0))&gt;0, "DQ",
            IF(ISNUMBER(SEARCH("WD",MAIN!K820)), "WD",
            IF(ISNUMBER(SEARCH("NS",MAIN!K820)), "NS",
            IF(ISNUMBER(SEARCH("NC",MAIN!K820)), "NC",
            IF(ISNUMBER(SEARCH("DQ",MAIN!K820)), "DQ",
            IF(ISNUMBER(SEARCH("A",MAIN!K820)), 0,
            IF(OR(MAIN!K820=0,MAIN!K820=""), 0, --TRIM(MAIN!K820)))))))))))),
        0
    )
)</f>
        <v>0</v>
      </c>
    </row>
    <row r="821" spans="1:11" x14ac:dyDescent="0.25">
      <c r="A821" t="str">
        <f>IF(ISBLANK(MAIN!A821), "--", IFERROR(PROPER(SUBSTITUTE(SUBSTITUTE(SUBSTITUTE(SUBSTITUTE(SUBSTITUTE(SUBSTITUTE(SUBSTITUTE(SUBSTITUTE(SUBSTITUTE(SUBSTITUTE(LEFT(MAIN!A821, FIND(",",MAIN!A821) -1), "0", ""), "1", ""), "2", ""), "3", ""), "4", ""), "5", ""), "6", ""), "7", ""), "8", ""), "9", "")), PROPER(SUBSTITUTE(SUBSTITUTE(SUBSTITUTE(SUBSTITUTE(SUBSTITUTE(SUBSTITUTE(SUBSTITUTE(SUBSTITUTE(SUBSTITUTE(SUBSTITUTE(MAIN!A821, "0", ""), "1", ""), "2", ""), "3", ""), "4", ""), "5", ""), "6", ""), "7", ""), "8", ""), "9", ""))))</f>
        <v>--</v>
      </c>
      <c r="B821" t="str">
        <f>IF(ISBLANK(MAIN!B821), "--", IFERROR(PROPER(SUBSTITUTE(SUBSTITUTE(SUBSTITUTE(SUBSTITUTE(SUBSTITUTE(SUBSTITUTE(SUBSTITUTE(SUBSTITUTE(SUBSTITUTE(SUBSTITUTE(LEFT(MAIN!B821, FIND(",",MAIN!B821) -1), "0", ""), "1", ""), "2", ""), "3", ""), "4", ""), "5", ""), "6", ""), "7", ""), "8", ""), "9", "")), PROPER(SUBSTITUTE(SUBSTITUTE(SUBSTITUTE(SUBSTITUTE(SUBSTITUTE(SUBSTITUTE(SUBSTITUTE(SUBSTITUTE(SUBSTITUTE(SUBSTITUTE(MAIN!B821, "0", ""), "1", ""), "2", ""), "3", ""), "4", ""), "5", ""), "6", ""), "7", ""), "8", ""), "9", ""))))</f>
        <v>--</v>
      </c>
      <c r="C821" t="str">
        <f>IF(ISBLANK(MAIN!C821), "--", IFERROR(PROPER(SUBSTITUTE(SUBSTITUTE(SUBSTITUTE(SUBSTITUTE(SUBSTITUTE(SUBSTITUTE(SUBSTITUTE(SUBSTITUTE(SUBSTITUTE(SUBSTITUTE(LEFT(MAIN!C821, FIND(",",MAIN!C821) -1), "0", ""), "1", ""), "2", ""), "3", ""), "4", ""), "5", ""), "6", ""), "7", ""), "8", ""), "9", "")), PROPER(SUBSTITUTE(SUBSTITUTE(SUBSTITUTE(SUBSTITUTE(SUBSTITUTE(SUBSTITUTE(SUBSTITUTE(SUBSTITUTE(SUBSTITUTE(SUBSTITUTE(MAIN!C821, "0", ""), "1", ""), "2", ""), "3", ""), "4", ""), "5", ""), "6", ""), "7", ""), "8", ""), "9", ""))))</f>
        <v>--</v>
      </c>
      <c r="D821" t="str">
        <f>IF(ISBLANK(MAIN!D821), "--", IF(ISNUMBER(MATCH(SUBSTITUTE(LEFT(MAIN!D821, IFERROR(FIND(",", MAIN!D821)-1, LEN(MAIN!D821))), " ", ""), lookup_values!$B$2:$B$51, 0)), UPPER(SUBSTITUTE(LEFT(MAIN!D821, IFERROR(FIND(",", MAIN!D821)-1, LEN(MAIN!D821))), " ", "")), IF(ISNA(VLOOKUP(SUBSTITUTE(LEFT(MAIN!D821, IFERROR(FIND(",", MAIN!D821)-1, LEN(MAIN!D821))), " ", ""), lookup_values!$A$2:$B$51, 2, FALSE)), "--", VLOOKUP(SUBSTITUTE(LEFT(MAIN!D821, IFERROR(FIND(",", MAIN!D821)-1, LEN(MAIN!D821))), " ", ""), lookup_values!$A$2:$B$51, 2, FALSE))))</f>
        <v>--</v>
      </c>
      <c r="E821" t="str">
        <f>IF(CLEAN_DATA!D821&lt;&gt;"--","US",IF(ISBLANK(MAIN!E821), "--", IF(ISNUMBER(MATCH(SUBSTITUTE(LEFT(MAIN!E821, IFERROR(FIND(",", MAIN!E821)-1, LEN(MAIN!E821))), " ", ""), lookup_values!$E$2:$E$197, 0)), UPPER(SUBSTITUTE(LEFT(MAIN!E821, IFERROR(FIND(",", MAIN!E821)-1, LEN(MAIN!E821))), " ", "")), IF(ISNA(VLOOKUP(SUBSTITUTE(LEFT(MAIN!E821, IFERROR(FIND(",", MAIN!E821)-1, LEN(MAIN!E821))), " ", ""), lookup_values!$D$2:$E$197, 2, FALSE)), "--", VLOOKUP(SUBSTITUTE(LEFT(MAIN!E821, IFERROR(FIND(",", MAIN!E821)-1, LEN(MAIN!E821))), " ", ""), lookup_values!$D$2:$E$197, 2, FALSE)))))</f>
        <v>--</v>
      </c>
      <c r="F821" t="str">
        <f>IF(ISBLANK(MAIN!F821), "", IF(AND(ISNUMBER(VALUE(TRIM(MAIN!F821))), LEN(TRIM(MAIN!F821))=4), VALUE(TRIM(MAIN!F821)), ""))</f>
        <v/>
      </c>
      <c r="G821">
        <f>IF(ISBLANK(MAIN!G821), 0, IF(ISNUMBER(VALUE(TRIM(MAIN!G821))), VALUE(TRIM(MAIN!G821)), 0))</f>
        <v>0</v>
      </c>
      <c r="H821">
        <f>IF(ISBLANK(MAIN!H821), 0, IF(ISNUMBER(VALUE(TRIM(MAIN!H821))), VALUE(TRIM(MAIN!H821)), 0))</f>
        <v>0</v>
      </c>
      <c r="I821">
        <f>IF(ISBLANK(MAIN!I821), 0, IF(ISNUMBER(VALUE(TRIM(MAIN!I821))), VALUE(TRIM(MAIN!I821)), 0))</f>
        <v>0</v>
      </c>
      <c r="J821">
        <f>IF(ISBLANK(MAIN!J821), 0, IF(ISNUMBER(VALUE(TRIM(MAIN!J821))), VALUE(TRIM(MAIN!J821)), 0))</f>
        <v>0</v>
      </c>
      <c r="K821" cm="1">
        <f t="array" ref="K821">IFERROR(
    VALUE(
        IFERROR(
            UPPER(
                IF(MAX(IFERROR(SEARCH("WD",MAIN!G821:J821), 0))&gt;0, "WD",
                IF(MAX(IFERROR(SEARCH("NS",MAIN!G821:J821), 0))&gt;0, "NS",
                IF(MAX(IFERROR(SEARCH("NC",MAIN!G821:J821), 0))&gt;0, "NC",
                IF(MAX(IFERROR(SEARCH("DQ",MAIN!G821:J821), 0))&gt;0, "DQ",
                IF(ISNUMBER(SEARCH("WD",MAIN!K821)), "WD",
                IF(ISNUMBER(SEARCH("NS",MAIN!K821)), "NS",
                IF(ISNUMBER(SEARCH("NC",MAIN!K821)), "NC",
                IF(ISNUMBER(SEARCH("DQ",MAIN!K821)), "DQ",
                IF(ISNUMBER(SEARCH("A",MAIN!K821)), 0,
                IF(OR(MAIN!K821=0,MAIN!K821=""), 0, --TRIM(MAIN!K821)))))))))))),
            0
        )
    ),
    IFERROR(
        UPPER(
            IF(MAX(IFERROR(SEARCH("WD",MAIN!G821:J821), 0))&gt;0, "WD",
            IF(MAX(IFERROR(SEARCH("NS",MAIN!G821:J821), 0))&gt;0, "NS",
            IF(MAX(IFERROR(SEARCH("NC",MAIN!G821:J821), 0))&gt;0, "NC",
            IF(MAX(IFERROR(SEARCH("DQ",MAIN!G821:J821), 0))&gt;0, "DQ",
            IF(ISNUMBER(SEARCH("WD",MAIN!K821)), "WD",
            IF(ISNUMBER(SEARCH("NS",MAIN!K821)), "NS",
            IF(ISNUMBER(SEARCH("NC",MAIN!K821)), "NC",
            IF(ISNUMBER(SEARCH("DQ",MAIN!K821)), "DQ",
            IF(ISNUMBER(SEARCH("A",MAIN!K821)), 0,
            IF(OR(MAIN!K821=0,MAIN!K821=""), 0, --TRIM(MAIN!K821)))))))))))),
        0
    )
)</f>
        <v>0</v>
      </c>
    </row>
    <row r="822" spans="1:11" x14ac:dyDescent="0.25">
      <c r="A822" t="str">
        <f>IF(ISBLANK(MAIN!A822), "--", IFERROR(PROPER(SUBSTITUTE(SUBSTITUTE(SUBSTITUTE(SUBSTITUTE(SUBSTITUTE(SUBSTITUTE(SUBSTITUTE(SUBSTITUTE(SUBSTITUTE(SUBSTITUTE(LEFT(MAIN!A822, FIND(",",MAIN!A822) -1), "0", ""), "1", ""), "2", ""), "3", ""), "4", ""), "5", ""), "6", ""), "7", ""), "8", ""), "9", "")), PROPER(SUBSTITUTE(SUBSTITUTE(SUBSTITUTE(SUBSTITUTE(SUBSTITUTE(SUBSTITUTE(SUBSTITUTE(SUBSTITUTE(SUBSTITUTE(SUBSTITUTE(MAIN!A822, "0", ""), "1", ""), "2", ""), "3", ""), "4", ""), "5", ""), "6", ""), "7", ""), "8", ""), "9", ""))))</f>
        <v>--</v>
      </c>
      <c r="B822" t="str">
        <f>IF(ISBLANK(MAIN!B822), "--", IFERROR(PROPER(SUBSTITUTE(SUBSTITUTE(SUBSTITUTE(SUBSTITUTE(SUBSTITUTE(SUBSTITUTE(SUBSTITUTE(SUBSTITUTE(SUBSTITUTE(SUBSTITUTE(LEFT(MAIN!B822, FIND(",",MAIN!B822) -1), "0", ""), "1", ""), "2", ""), "3", ""), "4", ""), "5", ""), "6", ""), "7", ""), "8", ""), "9", "")), PROPER(SUBSTITUTE(SUBSTITUTE(SUBSTITUTE(SUBSTITUTE(SUBSTITUTE(SUBSTITUTE(SUBSTITUTE(SUBSTITUTE(SUBSTITUTE(SUBSTITUTE(MAIN!B822, "0", ""), "1", ""), "2", ""), "3", ""), "4", ""), "5", ""), "6", ""), "7", ""), "8", ""), "9", ""))))</f>
        <v>--</v>
      </c>
      <c r="C822" t="str">
        <f>IF(ISBLANK(MAIN!C822), "--", IFERROR(PROPER(SUBSTITUTE(SUBSTITUTE(SUBSTITUTE(SUBSTITUTE(SUBSTITUTE(SUBSTITUTE(SUBSTITUTE(SUBSTITUTE(SUBSTITUTE(SUBSTITUTE(LEFT(MAIN!C822, FIND(",",MAIN!C822) -1), "0", ""), "1", ""), "2", ""), "3", ""), "4", ""), "5", ""), "6", ""), "7", ""), "8", ""), "9", "")), PROPER(SUBSTITUTE(SUBSTITUTE(SUBSTITUTE(SUBSTITUTE(SUBSTITUTE(SUBSTITUTE(SUBSTITUTE(SUBSTITUTE(SUBSTITUTE(SUBSTITUTE(MAIN!C822, "0", ""), "1", ""), "2", ""), "3", ""), "4", ""), "5", ""), "6", ""), "7", ""), "8", ""), "9", ""))))</f>
        <v>--</v>
      </c>
      <c r="D822" t="str">
        <f>IF(ISBLANK(MAIN!D822), "--", IF(ISNUMBER(MATCH(SUBSTITUTE(LEFT(MAIN!D822, IFERROR(FIND(",", MAIN!D822)-1, LEN(MAIN!D822))), " ", ""), lookup_values!$B$2:$B$51, 0)), UPPER(SUBSTITUTE(LEFT(MAIN!D822, IFERROR(FIND(",", MAIN!D822)-1, LEN(MAIN!D822))), " ", "")), IF(ISNA(VLOOKUP(SUBSTITUTE(LEFT(MAIN!D822, IFERROR(FIND(",", MAIN!D822)-1, LEN(MAIN!D822))), " ", ""), lookup_values!$A$2:$B$51, 2, FALSE)), "--", VLOOKUP(SUBSTITUTE(LEFT(MAIN!D822, IFERROR(FIND(",", MAIN!D822)-1, LEN(MAIN!D822))), " ", ""), lookup_values!$A$2:$B$51, 2, FALSE))))</f>
        <v>--</v>
      </c>
      <c r="E822" t="str">
        <f>IF(CLEAN_DATA!D822&lt;&gt;"--","US",IF(ISBLANK(MAIN!E822), "--", IF(ISNUMBER(MATCH(SUBSTITUTE(LEFT(MAIN!E822, IFERROR(FIND(",", MAIN!E822)-1, LEN(MAIN!E822))), " ", ""), lookup_values!$E$2:$E$197, 0)), UPPER(SUBSTITUTE(LEFT(MAIN!E822, IFERROR(FIND(",", MAIN!E822)-1, LEN(MAIN!E822))), " ", "")), IF(ISNA(VLOOKUP(SUBSTITUTE(LEFT(MAIN!E822, IFERROR(FIND(",", MAIN!E822)-1, LEN(MAIN!E822))), " ", ""), lookup_values!$D$2:$E$197, 2, FALSE)), "--", VLOOKUP(SUBSTITUTE(LEFT(MAIN!E822, IFERROR(FIND(",", MAIN!E822)-1, LEN(MAIN!E822))), " ", ""), lookup_values!$D$2:$E$197, 2, FALSE)))))</f>
        <v>--</v>
      </c>
      <c r="F822" t="str">
        <f>IF(ISBLANK(MAIN!F822), "", IF(AND(ISNUMBER(VALUE(TRIM(MAIN!F822))), LEN(TRIM(MAIN!F822))=4), VALUE(TRIM(MAIN!F822)), ""))</f>
        <v/>
      </c>
      <c r="G822">
        <f>IF(ISBLANK(MAIN!G822), 0, IF(ISNUMBER(VALUE(TRIM(MAIN!G822))), VALUE(TRIM(MAIN!G822)), 0))</f>
        <v>0</v>
      </c>
      <c r="H822">
        <f>IF(ISBLANK(MAIN!H822), 0, IF(ISNUMBER(VALUE(TRIM(MAIN!H822))), VALUE(TRIM(MAIN!H822)), 0))</f>
        <v>0</v>
      </c>
      <c r="I822">
        <f>IF(ISBLANK(MAIN!I822), 0, IF(ISNUMBER(VALUE(TRIM(MAIN!I822))), VALUE(TRIM(MAIN!I822)), 0))</f>
        <v>0</v>
      </c>
      <c r="J822">
        <f>IF(ISBLANK(MAIN!J822), 0, IF(ISNUMBER(VALUE(TRIM(MAIN!J822))), VALUE(TRIM(MAIN!J822)), 0))</f>
        <v>0</v>
      </c>
      <c r="K822" cm="1">
        <f t="array" ref="K822">IFERROR(
    VALUE(
        IFERROR(
            UPPER(
                IF(MAX(IFERROR(SEARCH("WD",MAIN!G822:J822), 0))&gt;0, "WD",
                IF(MAX(IFERROR(SEARCH("NS",MAIN!G822:J822), 0))&gt;0, "NS",
                IF(MAX(IFERROR(SEARCH("NC",MAIN!G822:J822), 0))&gt;0, "NC",
                IF(MAX(IFERROR(SEARCH("DQ",MAIN!G822:J822), 0))&gt;0, "DQ",
                IF(ISNUMBER(SEARCH("WD",MAIN!K822)), "WD",
                IF(ISNUMBER(SEARCH("NS",MAIN!K822)), "NS",
                IF(ISNUMBER(SEARCH("NC",MAIN!K822)), "NC",
                IF(ISNUMBER(SEARCH("DQ",MAIN!K822)), "DQ",
                IF(ISNUMBER(SEARCH("A",MAIN!K822)), 0,
                IF(OR(MAIN!K822=0,MAIN!K822=""), 0, --TRIM(MAIN!K822)))))))))))),
            0
        )
    ),
    IFERROR(
        UPPER(
            IF(MAX(IFERROR(SEARCH("WD",MAIN!G822:J822), 0))&gt;0, "WD",
            IF(MAX(IFERROR(SEARCH("NS",MAIN!G822:J822), 0))&gt;0, "NS",
            IF(MAX(IFERROR(SEARCH("NC",MAIN!G822:J822), 0))&gt;0, "NC",
            IF(MAX(IFERROR(SEARCH("DQ",MAIN!G822:J822), 0))&gt;0, "DQ",
            IF(ISNUMBER(SEARCH("WD",MAIN!K822)), "WD",
            IF(ISNUMBER(SEARCH("NS",MAIN!K822)), "NS",
            IF(ISNUMBER(SEARCH("NC",MAIN!K822)), "NC",
            IF(ISNUMBER(SEARCH("DQ",MAIN!K822)), "DQ",
            IF(ISNUMBER(SEARCH("A",MAIN!K822)), 0,
            IF(OR(MAIN!K822=0,MAIN!K822=""), 0, --TRIM(MAIN!K822)))))))))))),
        0
    )
)</f>
        <v>0</v>
      </c>
    </row>
    <row r="823" spans="1:11" x14ac:dyDescent="0.25">
      <c r="A823" t="str">
        <f>IF(ISBLANK(MAIN!A823), "--", IFERROR(PROPER(SUBSTITUTE(SUBSTITUTE(SUBSTITUTE(SUBSTITUTE(SUBSTITUTE(SUBSTITUTE(SUBSTITUTE(SUBSTITUTE(SUBSTITUTE(SUBSTITUTE(LEFT(MAIN!A823, FIND(",",MAIN!A823) -1), "0", ""), "1", ""), "2", ""), "3", ""), "4", ""), "5", ""), "6", ""), "7", ""), "8", ""), "9", "")), PROPER(SUBSTITUTE(SUBSTITUTE(SUBSTITUTE(SUBSTITUTE(SUBSTITUTE(SUBSTITUTE(SUBSTITUTE(SUBSTITUTE(SUBSTITUTE(SUBSTITUTE(MAIN!A823, "0", ""), "1", ""), "2", ""), "3", ""), "4", ""), "5", ""), "6", ""), "7", ""), "8", ""), "9", ""))))</f>
        <v>--</v>
      </c>
      <c r="B823" t="str">
        <f>IF(ISBLANK(MAIN!B823), "--", IFERROR(PROPER(SUBSTITUTE(SUBSTITUTE(SUBSTITUTE(SUBSTITUTE(SUBSTITUTE(SUBSTITUTE(SUBSTITUTE(SUBSTITUTE(SUBSTITUTE(SUBSTITUTE(LEFT(MAIN!B823, FIND(",",MAIN!B823) -1), "0", ""), "1", ""), "2", ""), "3", ""), "4", ""), "5", ""), "6", ""), "7", ""), "8", ""), "9", "")), PROPER(SUBSTITUTE(SUBSTITUTE(SUBSTITUTE(SUBSTITUTE(SUBSTITUTE(SUBSTITUTE(SUBSTITUTE(SUBSTITUTE(SUBSTITUTE(SUBSTITUTE(MAIN!B823, "0", ""), "1", ""), "2", ""), "3", ""), "4", ""), "5", ""), "6", ""), "7", ""), "8", ""), "9", ""))))</f>
        <v>--</v>
      </c>
      <c r="C823" t="str">
        <f>IF(ISBLANK(MAIN!C823), "--", IFERROR(PROPER(SUBSTITUTE(SUBSTITUTE(SUBSTITUTE(SUBSTITUTE(SUBSTITUTE(SUBSTITUTE(SUBSTITUTE(SUBSTITUTE(SUBSTITUTE(SUBSTITUTE(LEFT(MAIN!C823, FIND(",",MAIN!C823) -1), "0", ""), "1", ""), "2", ""), "3", ""), "4", ""), "5", ""), "6", ""), "7", ""), "8", ""), "9", "")), PROPER(SUBSTITUTE(SUBSTITUTE(SUBSTITUTE(SUBSTITUTE(SUBSTITUTE(SUBSTITUTE(SUBSTITUTE(SUBSTITUTE(SUBSTITUTE(SUBSTITUTE(MAIN!C823, "0", ""), "1", ""), "2", ""), "3", ""), "4", ""), "5", ""), "6", ""), "7", ""), "8", ""), "9", ""))))</f>
        <v>--</v>
      </c>
      <c r="D823" t="str">
        <f>IF(ISBLANK(MAIN!D823), "--", IF(ISNUMBER(MATCH(SUBSTITUTE(LEFT(MAIN!D823, IFERROR(FIND(",", MAIN!D823)-1, LEN(MAIN!D823))), " ", ""), lookup_values!$B$2:$B$51, 0)), UPPER(SUBSTITUTE(LEFT(MAIN!D823, IFERROR(FIND(",", MAIN!D823)-1, LEN(MAIN!D823))), " ", "")), IF(ISNA(VLOOKUP(SUBSTITUTE(LEFT(MAIN!D823, IFERROR(FIND(",", MAIN!D823)-1, LEN(MAIN!D823))), " ", ""), lookup_values!$A$2:$B$51, 2, FALSE)), "--", VLOOKUP(SUBSTITUTE(LEFT(MAIN!D823, IFERROR(FIND(",", MAIN!D823)-1, LEN(MAIN!D823))), " ", ""), lookup_values!$A$2:$B$51, 2, FALSE))))</f>
        <v>--</v>
      </c>
      <c r="E823" t="str">
        <f>IF(CLEAN_DATA!D823&lt;&gt;"--","US",IF(ISBLANK(MAIN!E823), "--", IF(ISNUMBER(MATCH(SUBSTITUTE(LEFT(MAIN!E823, IFERROR(FIND(",", MAIN!E823)-1, LEN(MAIN!E823))), " ", ""), lookup_values!$E$2:$E$197, 0)), UPPER(SUBSTITUTE(LEFT(MAIN!E823, IFERROR(FIND(",", MAIN!E823)-1, LEN(MAIN!E823))), " ", "")), IF(ISNA(VLOOKUP(SUBSTITUTE(LEFT(MAIN!E823, IFERROR(FIND(",", MAIN!E823)-1, LEN(MAIN!E823))), " ", ""), lookup_values!$D$2:$E$197, 2, FALSE)), "--", VLOOKUP(SUBSTITUTE(LEFT(MAIN!E823, IFERROR(FIND(",", MAIN!E823)-1, LEN(MAIN!E823))), " ", ""), lookup_values!$D$2:$E$197, 2, FALSE)))))</f>
        <v>--</v>
      </c>
      <c r="F823" t="str">
        <f>IF(ISBLANK(MAIN!F823), "", IF(AND(ISNUMBER(VALUE(TRIM(MAIN!F823))), LEN(TRIM(MAIN!F823))=4), VALUE(TRIM(MAIN!F823)), ""))</f>
        <v/>
      </c>
      <c r="G823">
        <f>IF(ISBLANK(MAIN!G823), 0, IF(ISNUMBER(VALUE(TRIM(MAIN!G823))), VALUE(TRIM(MAIN!G823)), 0))</f>
        <v>0</v>
      </c>
      <c r="H823">
        <f>IF(ISBLANK(MAIN!H823), 0, IF(ISNUMBER(VALUE(TRIM(MAIN!H823))), VALUE(TRIM(MAIN!H823)), 0))</f>
        <v>0</v>
      </c>
      <c r="I823">
        <f>IF(ISBLANK(MAIN!I823), 0, IF(ISNUMBER(VALUE(TRIM(MAIN!I823))), VALUE(TRIM(MAIN!I823)), 0))</f>
        <v>0</v>
      </c>
      <c r="J823">
        <f>IF(ISBLANK(MAIN!J823), 0, IF(ISNUMBER(VALUE(TRIM(MAIN!J823))), VALUE(TRIM(MAIN!J823)), 0))</f>
        <v>0</v>
      </c>
      <c r="K823" cm="1">
        <f t="array" ref="K823">IFERROR(
    VALUE(
        IFERROR(
            UPPER(
                IF(MAX(IFERROR(SEARCH("WD",MAIN!G823:J823), 0))&gt;0, "WD",
                IF(MAX(IFERROR(SEARCH("NS",MAIN!G823:J823), 0))&gt;0, "NS",
                IF(MAX(IFERROR(SEARCH("NC",MAIN!G823:J823), 0))&gt;0, "NC",
                IF(MAX(IFERROR(SEARCH("DQ",MAIN!G823:J823), 0))&gt;0, "DQ",
                IF(ISNUMBER(SEARCH("WD",MAIN!K823)), "WD",
                IF(ISNUMBER(SEARCH("NS",MAIN!K823)), "NS",
                IF(ISNUMBER(SEARCH("NC",MAIN!K823)), "NC",
                IF(ISNUMBER(SEARCH("DQ",MAIN!K823)), "DQ",
                IF(ISNUMBER(SEARCH("A",MAIN!K823)), 0,
                IF(OR(MAIN!K823=0,MAIN!K823=""), 0, --TRIM(MAIN!K823)))))))))))),
            0
        )
    ),
    IFERROR(
        UPPER(
            IF(MAX(IFERROR(SEARCH("WD",MAIN!G823:J823), 0))&gt;0, "WD",
            IF(MAX(IFERROR(SEARCH("NS",MAIN!G823:J823), 0))&gt;0, "NS",
            IF(MAX(IFERROR(SEARCH("NC",MAIN!G823:J823), 0))&gt;0, "NC",
            IF(MAX(IFERROR(SEARCH("DQ",MAIN!G823:J823), 0))&gt;0, "DQ",
            IF(ISNUMBER(SEARCH("WD",MAIN!K823)), "WD",
            IF(ISNUMBER(SEARCH("NS",MAIN!K823)), "NS",
            IF(ISNUMBER(SEARCH("NC",MAIN!K823)), "NC",
            IF(ISNUMBER(SEARCH("DQ",MAIN!K823)), "DQ",
            IF(ISNUMBER(SEARCH("A",MAIN!K823)), 0,
            IF(OR(MAIN!K823=0,MAIN!K823=""), 0, --TRIM(MAIN!K823)))))))))))),
        0
    )
)</f>
        <v>0</v>
      </c>
    </row>
    <row r="824" spans="1:11" x14ac:dyDescent="0.25">
      <c r="A824" t="str">
        <f>IF(ISBLANK(MAIN!A824), "--", IFERROR(PROPER(SUBSTITUTE(SUBSTITUTE(SUBSTITUTE(SUBSTITUTE(SUBSTITUTE(SUBSTITUTE(SUBSTITUTE(SUBSTITUTE(SUBSTITUTE(SUBSTITUTE(LEFT(MAIN!A824, FIND(",",MAIN!A824) -1), "0", ""), "1", ""), "2", ""), "3", ""), "4", ""), "5", ""), "6", ""), "7", ""), "8", ""), "9", "")), PROPER(SUBSTITUTE(SUBSTITUTE(SUBSTITUTE(SUBSTITUTE(SUBSTITUTE(SUBSTITUTE(SUBSTITUTE(SUBSTITUTE(SUBSTITUTE(SUBSTITUTE(MAIN!A824, "0", ""), "1", ""), "2", ""), "3", ""), "4", ""), "5", ""), "6", ""), "7", ""), "8", ""), "9", ""))))</f>
        <v>--</v>
      </c>
      <c r="B824" t="str">
        <f>IF(ISBLANK(MAIN!B824), "--", IFERROR(PROPER(SUBSTITUTE(SUBSTITUTE(SUBSTITUTE(SUBSTITUTE(SUBSTITUTE(SUBSTITUTE(SUBSTITUTE(SUBSTITUTE(SUBSTITUTE(SUBSTITUTE(LEFT(MAIN!B824, FIND(",",MAIN!B824) -1), "0", ""), "1", ""), "2", ""), "3", ""), "4", ""), "5", ""), "6", ""), "7", ""), "8", ""), "9", "")), PROPER(SUBSTITUTE(SUBSTITUTE(SUBSTITUTE(SUBSTITUTE(SUBSTITUTE(SUBSTITUTE(SUBSTITUTE(SUBSTITUTE(SUBSTITUTE(SUBSTITUTE(MAIN!B824, "0", ""), "1", ""), "2", ""), "3", ""), "4", ""), "5", ""), "6", ""), "7", ""), "8", ""), "9", ""))))</f>
        <v>--</v>
      </c>
      <c r="C824" t="str">
        <f>IF(ISBLANK(MAIN!C824), "--", IFERROR(PROPER(SUBSTITUTE(SUBSTITUTE(SUBSTITUTE(SUBSTITUTE(SUBSTITUTE(SUBSTITUTE(SUBSTITUTE(SUBSTITUTE(SUBSTITUTE(SUBSTITUTE(LEFT(MAIN!C824, FIND(",",MAIN!C824) -1), "0", ""), "1", ""), "2", ""), "3", ""), "4", ""), "5", ""), "6", ""), "7", ""), "8", ""), "9", "")), PROPER(SUBSTITUTE(SUBSTITUTE(SUBSTITUTE(SUBSTITUTE(SUBSTITUTE(SUBSTITUTE(SUBSTITUTE(SUBSTITUTE(SUBSTITUTE(SUBSTITUTE(MAIN!C824, "0", ""), "1", ""), "2", ""), "3", ""), "4", ""), "5", ""), "6", ""), "7", ""), "8", ""), "9", ""))))</f>
        <v>--</v>
      </c>
      <c r="D824" t="str">
        <f>IF(ISBLANK(MAIN!D824), "--", IF(ISNUMBER(MATCH(SUBSTITUTE(LEFT(MAIN!D824, IFERROR(FIND(",", MAIN!D824)-1, LEN(MAIN!D824))), " ", ""), lookup_values!$B$2:$B$51, 0)), UPPER(SUBSTITUTE(LEFT(MAIN!D824, IFERROR(FIND(",", MAIN!D824)-1, LEN(MAIN!D824))), " ", "")), IF(ISNA(VLOOKUP(SUBSTITUTE(LEFT(MAIN!D824, IFERROR(FIND(",", MAIN!D824)-1, LEN(MAIN!D824))), " ", ""), lookup_values!$A$2:$B$51, 2, FALSE)), "--", VLOOKUP(SUBSTITUTE(LEFT(MAIN!D824, IFERROR(FIND(",", MAIN!D824)-1, LEN(MAIN!D824))), " ", ""), lookup_values!$A$2:$B$51, 2, FALSE))))</f>
        <v>--</v>
      </c>
      <c r="E824" t="str">
        <f>IF(CLEAN_DATA!D824&lt;&gt;"--","US",IF(ISBLANK(MAIN!E824), "--", IF(ISNUMBER(MATCH(SUBSTITUTE(LEFT(MAIN!E824, IFERROR(FIND(",", MAIN!E824)-1, LEN(MAIN!E824))), " ", ""), lookup_values!$E$2:$E$197, 0)), UPPER(SUBSTITUTE(LEFT(MAIN!E824, IFERROR(FIND(",", MAIN!E824)-1, LEN(MAIN!E824))), " ", "")), IF(ISNA(VLOOKUP(SUBSTITUTE(LEFT(MAIN!E824, IFERROR(FIND(",", MAIN!E824)-1, LEN(MAIN!E824))), " ", ""), lookup_values!$D$2:$E$197, 2, FALSE)), "--", VLOOKUP(SUBSTITUTE(LEFT(MAIN!E824, IFERROR(FIND(",", MAIN!E824)-1, LEN(MAIN!E824))), " ", ""), lookup_values!$D$2:$E$197, 2, FALSE)))))</f>
        <v>--</v>
      </c>
      <c r="F824" t="str">
        <f>IF(ISBLANK(MAIN!F824), "", IF(AND(ISNUMBER(VALUE(TRIM(MAIN!F824))), LEN(TRIM(MAIN!F824))=4), VALUE(TRIM(MAIN!F824)), ""))</f>
        <v/>
      </c>
      <c r="G824">
        <f>IF(ISBLANK(MAIN!G824), 0, IF(ISNUMBER(VALUE(TRIM(MAIN!G824))), VALUE(TRIM(MAIN!G824)), 0))</f>
        <v>0</v>
      </c>
      <c r="H824">
        <f>IF(ISBLANK(MAIN!H824), 0, IF(ISNUMBER(VALUE(TRIM(MAIN!H824))), VALUE(TRIM(MAIN!H824)), 0))</f>
        <v>0</v>
      </c>
      <c r="I824">
        <f>IF(ISBLANK(MAIN!I824), 0, IF(ISNUMBER(VALUE(TRIM(MAIN!I824))), VALUE(TRIM(MAIN!I824)), 0))</f>
        <v>0</v>
      </c>
      <c r="J824">
        <f>IF(ISBLANK(MAIN!J824), 0, IF(ISNUMBER(VALUE(TRIM(MAIN!J824))), VALUE(TRIM(MAIN!J824)), 0))</f>
        <v>0</v>
      </c>
      <c r="K824" cm="1">
        <f t="array" ref="K824">IFERROR(
    VALUE(
        IFERROR(
            UPPER(
                IF(MAX(IFERROR(SEARCH("WD",MAIN!G824:J824), 0))&gt;0, "WD",
                IF(MAX(IFERROR(SEARCH("NS",MAIN!G824:J824), 0))&gt;0, "NS",
                IF(MAX(IFERROR(SEARCH("NC",MAIN!G824:J824), 0))&gt;0, "NC",
                IF(MAX(IFERROR(SEARCH("DQ",MAIN!G824:J824), 0))&gt;0, "DQ",
                IF(ISNUMBER(SEARCH("WD",MAIN!K824)), "WD",
                IF(ISNUMBER(SEARCH("NS",MAIN!K824)), "NS",
                IF(ISNUMBER(SEARCH("NC",MAIN!K824)), "NC",
                IF(ISNUMBER(SEARCH("DQ",MAIN!K824)), "DQ",
                IF(ISNUMBER(SEARCH("A",MAIN!K824)), 0,
                IF(OR(MAIN!K824=0,MAIN!K824=""), 0, --TRIM(MAIN!K824)))))))))))),
            0
        )
    ),
    IFERROR(
        UPPER(
            IF(MAX(IFERROR(SEARCH("WD",MAIN!G824:J824), 0))&gt;0, "WD",
            IF(MAX(IFERROR(SEARCH("NS",MAIN!G824:J824), 0))&gt;0, "NS",
            IF(MAX(IFERROR(SEARCH("NC",MAIN!G824:J824), 0))&gt;0, "NC",
            IF(MAX(IFERROR(SEARCH("DQ",MAIN!G824:J824), 0))&gt;0, "DQ",
            IF(ISNUMBER(SEARCH("WD",MAIN!K824)), "WD",
            IF(ISNUMBER(SEARCH("NS",MAIN!K824)), "NS",
            IF(ISNUMBER(SEARCH("NC",MAIN!K824)), "NC",
            IF(ISNUMBER(SEARCH("DQ",MAIN!K824)), "DQ",
            IF(ISNUMBER(SEARCH("A",MAIN!K824)), 0,
            IF(OR(MAIN!K824=0,MAIN!K824=""), 0, --TRIM(MAIN!K824)))))))))))),
        0
    )
)</f>
        <v>0</v>
      </c>
    </row>
    <row r="825" spans="1:11" x14ac:dyDescent="0.25">
      <c r="A825" t="str">
        <f>IF(ISBLANK(MAIN!A825), "--", IFERROR(PROPER(SUBSTITUTE(SUBSTITUTE(SUBSTITUTE(SUBSTITUTE(SUBSTITUTE(SUBSTITUTE(SUBSTITUTE(SUBSTITUTE(SUBSTITUTE(SUBSTITUTE(LEFT(MAIN!A825, FIND(",",MAIN!A825) -1), "0", ""), "1", ""), "2", ""), "3", ""), "4", ""), "5", ""), "6", ""), "7", ""), "8", ""), "9", "")), PROPER(SUBSTITUTE(SUBSTITUTE(SUBSTITUTE(SUBSTITUTE(SUBSTITUTE(SUBSTITUTE(SUBSTITUTE(SUBSTITUTE(SUBSTITUTE(SUBSTITUTE(MAIN!A825, "0", ""), "1", ""), "2", ""), "3", ""), "4", ""), "5", ""), "6", ""), "7", ""), "8", ""), "9", ""))))</f>
        <v>--</v>
      </c>
      <c r="B825" t="str">
        <f>IF(ISBLANK(MAIN!B825), "--", IFERROR(PROPER(SUBSTITUTE(SUBSTITUTE(SUBSTITUTE(SUBSTITUTE(SUBSTITUTE(SUBSTITUTE(SUBSTITUTE(SUBSTITUTE(SUBSTITUTE(SUBSTITUTE(LEFT(MAIN!B825, FIND(",",MAIN!B825) -1), "0", ""), "1", ""), "2", ""), "3", ""), "4", ""), "5", ""), "6", ""), "7", ""), "8", ""), "9", "")), PROPER(SUBSTITUTE(SUBSTITUTE(SUBSTITUTE(SUBSTITUTE(SUBSTITUTE(SUBSTITUTE(SUBSTITUTE(SUBSTITUTE(SUBSTITUTE(SUBSTITUTE(MAIN!B825, "0", ""), "1", ""), "2", ""), "3", ""), "4", ""), "5", ""), "6", ""), "7", ""), "8", ""), "9", ""))))</f>
        <v>--</v>
      </c>
      <c r="C825" t="str">
        <f>IF(ISBLANK(MAIN!C825), "--", IFERROR(PROPER(SUBSTITUTE(SUBSTITUTE(SUBSTITUTE(SUBSTITUTE(SUBSTITUTE(SUBSTITUTE(SUBSTITUTE(SUBSTITUTE(SUBSTITUTE(SUBSTITUTE(LEFT(MAIN!C825, FIND(",",MAIN!C825) -1), "0", ""), "1", ""), "2", ""), "3", ""), "4", ""), "5", ""), "6", ""), "7", ""), "8", ""), "9", "")), PROPER(SUBSTITUTE(SUBSTITUTE(SUBSTITUTE(SUBSTITUTE(SUBSTITUTE(SUBSTITUTE(SUBSTITUTE(SUBSTITUTE(SUBSTITUTE(SUBSTITUTE(MAIN!C825, "0", ""), "1", ""), "2", ""), "3", ""), "4", ""), "5", ""), "6", ""), "7", ""), "8", ""), "9", ""))))</f>
        <v>--</v>
      </c>
      <c r="D825" t="str">
        <f>IF(ISBLANK(MAIN!D825), "--", IF(ISNUMBER(MATCH(SUBSTITUTE(LEFT(MAIN!D825, IFERROR(FIND(",", MAIN!D825)-1, LEN(MAIN!D825))), " ", ""), lookup_values!$B$2:$B$51, 0)), UPPER(SUBSTITUTE(LEFT(MAIN!D825, IFERROR(FIND(",", MAIN!D825)-1, LEN(MAIN!D825))), " ", "")), IF(ISNA(VLOOKUP(SUBSTITUTE(LEFT(MAIN!D825, IFERROR(FIND(",", MAIN!D825)-1, LEN(MAIN!D825))), " ", ""), lookup_values!$A$2:$B$51, 2, FALSE)), "--", VLOOKUP(SUBSTITUTE(LEFT(MAIN!D825, IFERROR(FIND(",", MAIN!D825)-1, LEN(MAIN!D825))), " ", ""), lookup_values!$A$2:$B$51, 2, FALSE))))</f>
        <v>--</v>
      </c>
      <c r="E825" t="str">
        <f>IF(CLEAN_DATA!D825&lt;&gt;"--","US",IF(ISBLANK(MAIN!E825), "--", IF(ISNUMBER(MATCH(SUBSTITUTE(LEFT(MAIN!E825, IFERROR(FIND(",", MAIN!E825)-1, LEN(MAIN!E825))), " ", ""), lookup_values!$E$2:$E$197, 0)), UPPER(SUBSTITUTE(LEFT(MAIN!E825, IFERROR(FIND(",", MAIN!E825)-1, LEN(MAIN!E825))), " ", "")), IF(ISNA(VLOOKUP(SUBSTITUTE(LEFT(MAIN!E825, IFERROR(FIND(",", MAIN!E825)-1, LEN(MAIN!E825))), " ", ""), lookup_values!$D$2:$E$197, 2, FALSE)), "--", VLOOKUP(SUBSTITUTE(LEFT(MAIN!E825, IFERROR(FIND(",", MAIN!E825)-1, LEN(MAIN!E825))), " ", ""), lookup_values!$D$2:$E$197, 2, FALSE)))))</f>
        <v>--</v>
      </c>
      <c r="F825" t="str">
        <f>IF(ISBLANK(MAIN!F825), "", IF(AND(ISNUMBER(VALUE(TRIM(MAIN!F825))), LEN(TRIM(MAIN!F825))=4), VALUE(TRIM(MAIN!F825)), ""))</f>
        <v/>
      </c>
      <c r="G825">
        <f>IF(ISBLANK(MAIN!G825), 0, IF(ISNUMBER(VALUE(TRIM(MAIN!G825))), VALUE(TRIM(MAIN!G825)), 0))</f>
        <v>0</v>
      </c>
      <c r="H825">
        <f>IF(ISBLANK(MAIN!H825), 0, IF(ISNUMBER(VALUE(TRIM(MAIN!H825))), VALUE(TRIM(MAIN!H825)), 0))</f>
        <v>0</v>
      </c>
      <c r="I825">
        <f>IF(ISBLANK(MAIN!I825), 0, IF(ISNUMBER(VALUE(TRIM(MAIN!I825))), VALUE(TRIM(MAIN!I825)), 0))</f>
        <v>0</v>
      </c>
      <c r="J825">
        <f>IF(ISBLANK(MAIN!J825), 0, IF(ISNUMBER(VALUE(TRIM(MAIN!J825))), VALUE(TRIM(MAIN!J825)), 0))</f>
        <v>0</v>
      </c>
      <c r="K825" cm="1">
        <f t="array" ref="K825">IFERROR(
    VALUE(
        IFERROR(
            UPPER(
                IF(MAX(IFERROR(SEARCH("WD",MAIN!G825:J825), 0))&gt;0, "WD",
                IF(MAX(IFERROR(SEARCH("NS",MAIN!G825:J825), 0))&gt;0, "NS",
                IF(MAX(IFERROR(SEARCH("NC",MAIN!G825:J825), 0))&gt;0, "NC",
                IF(MAX(IFERROR(SEARCH("DQ",MAIN!G825:J825), 0))&gt;0, "DQ",
                IF(ISNUMBER(SEARCH("WD",MAIN!K825)), "WD",
                IF(ISNUMBER(SEARCH("NS",MAIN!K825)), "NS",
                IF(ISNUMBER(SEARCH("NC",MAIN!K825)), "NC",
                IF(ISNUMBER(SEARCH("DQ",MAIN!K825)), "DQ",
                IF(ISNUMBER(SEARCH("A",MAIN!K825)), 0,
                IF(OR(MAIN!K825=0,MAIN!K825=""), 0, --TRIM(MAIN!K825)))))))))))),
            0
        )
    ),
    IFERROR(
        UPPER(
            IF(MAX(IFERROR(SEARCH("WD",MAIN!G825:J825), 0))&gt;0, "WD",
            IF(MAX(IFERROR(SEARCH("NS",MAIN!G825:J825), 0))&gt;0, "NS",
            IF(MAX(IFERROR(SEARCH("NC",MAIN!G825:J825), 0))&gt;0, "NC",
            IF(MAX(IFERROR(SEARCH("DQ",MAIN!G825:J825), 0))&gt;0, "DQ",
            IF(ISNUMBER(SEARCH("WD",MAIN!K825)), "WD",
            IF(ISNUMBER(SEARCH("NS",MAIN!K825)), "NS",
            IF(ISNUMBER(SEARCH("NC",MAIN!K825)), "NC",
            IF(ISNUMBER(SEARCH("DQ",MAIN!K825)), "DQ",
            IF(ISNUMBER(SEARCH("A",MAIN!K825)), 0,
            IF(OR(MAIN!K825=0,MAIN!K825=""), 0, --TRIM(MAIN!K825)))))))))))),
        0
    )
)</f>
        <v>0</v>
      </c>
    </row>
    <row r="826" spans="1:11" x14ac:dyDescent="0.25">
      <c r="A826" t="str">
        <f>IF(ISBLANK(MAIN!A826), "--", IFERROR(PROPER(SUBSTITUTE(SUBSTITUTE(SUBSTITUTE(SUBSTITUTE(SUBSTITUTE(SUBSTITUTE(SUBSTITUTE(SUBSTITUTE(SUBSTITUTE(SUBSTITUTE(LEFT(MAIN!A826, FIND(",",MAIN!A826) -1), "0", ""), "1", ""), "2", ""), "3", ""), "4", ""), "5", ""), "6", ""), "7", ""), "8", ""), "9", "")), PROPER(SUBSTITUTE(SUBSTITUTE(SUBSTITUTE(SUBSTITUTE(SUBSTITUTE(SUBSTITUTE(SUBSTITUTE(SUBSTITUTE(SUBSTITUTE(SUBSTITUTE(MAIN!A826, "0", ""), "1", ""), "2", ""), "3", ""), "4", ""), "5", ""), "6", ""), "7", ""), "8", ""), "9", ""))))</f>
        <v>--</v>
      </c>
      <c r="B826" t="str">
        <f>IF(ISBLANK(MAIN!B826), "--", IFERROR(PROPER(SUBSTITUTE(SUBSTITUTE(SUBSTITUTE(SUBSTITUTE(SUBSTITUTE(SUBSTITUTE(SUBSTITUTE(SUBSTITUTE(SUBSTITUTE(SUBSTITUTE(LEFT(MAIN!B826, FIND(",",MAIN!B826) -1), "0", ""), "1", ""), "2", ""), "3", ""), "4", ""), "5", ""), "6", ""), "7", ""), "8", ""), "9", "")), PROPER(SUBSTITUTE(SUBSTITUTE(SUBSTITUTE(SUBSTITUTE(SUBSTITUTE(SUBSTITUTE(SUBSTITUTE(SUBSTITUTE(SUBSTITUTE(SUBSTITUTE(MAIN!B826, "0", ""), "1", ""), "2", ""), "3", ""), "4", ""), "5", ""), "6", ""), "7", ""), "8", ""), "9", ""))))</f>
        <v>--</v>
      </c>
      <c r="C826" t="str">
        <f>IF(ISBLANK(MAIN!C826), "--", IFERROR(PROPER(SUBSTITUTE(SUBSTITUTE(SUBSTITUTE(SUBSTITUTE(SUBSTITUTE(SUBSTITUTE(SUBSTITUTE(SUBSTITUTE(SUBSTITUTE(SUBSTITUTE(LEFT(MAIN!C826, FIND(",",MAIN!C826) -1), "0", ""), "1", ""), "2", ""), "3", ""), "4", ""), "5", ""), "6", ""), "7", ""), "8", ""), "9", "")), PROPER(SUBSTITUTE(SUBSTITUTE(SUBSTITUTE(SUBSTITUTE(SUBSTITUTE(SUBSTITUTE(SUBSTITUTE(SUBSTITUTE(SUBSTITUTE(SUBSTITUTE(MAIN!C826, "0", ""), "1", ""), "2", ""), "3", ""), "4", ""), "5", ""), "6", ""), "7", ""), "8", ""), "9", ""))))</f>
        <v>--</v>
      </c>
      <c r="D826" t="str">
        <f>IF(ISBLANK(MAIN!D826), "--", IF(ISNUMBER(MATCH(SUBSTITUTE(LEFT(MAIN!D826, IFERROR(FIND(",", MAIN!D826)-1, LEN(MAIN!D826))), " ", ""), lookup_values!$B$2:$B$51, 0)), UPPER(SUBSTITUTE(LEFT(MAIN!D826, IFERROR(FIND(",", MAIN!D826)-1, LEN(MAIN!D826))), " ", "")), IF(ISNA(VLOOKUP(SUBSTITUTE(LEFT(MAIN!D826, IFERROR(FIND(",", MAIN!D826)-1, LEN(MAIN!D826))), " ", ""), lookup_values!$A$2:$B$51, 2, FALSE)), "--", VLOOKUP(SUBSTITUTE(LEFT(MAIN!D826, IFERROR(FIND(",", MAIN!D826)-1, LEN(MAIN!D826))), " ", ""), lookup_values!$A$2:$B$51, 2, FALSE))))</f>
        <v>--</v>
      </c>
      <c r="E826" t="str">
        <f>IF(CLEAN_DATA!D826&lt;&gt;"--","US",IF(ISBLANK(MAIN!E826), "--", IF(ISNUMBER(MATCH(SUBSTITUTE(LEFT(MAIN!E826, IFERROR(FIND(",", MAIN!E826)-1, LEN(MAIN!E826))), " ", ""), lookup_values!$E$2:$E$197, 0)), UPPER(SUBSTITUTE(LEFT(MAIN!E826, IFERROR(FIND(",", MAIN!E826)-1, LEN(MAIN!E826))), " ", "")), IF(ISNA(VLOOKUP(SUBSTITUTE(LEFT(MAIN!E826, IFERROR(FIND(",", MAIN!E826)-1, LEN(MAIN!E826))), " ", ""), lookup_values!$D$2:$E$197, 2, FALSE)), "--", VLOOKUP(SUBSTITUTE(LEFT(MAIN!E826, IFERROR(FIND(",", MAIN!E826)-1, LEN(MAIN!E826))), " ", ""), lookup_values!$D$2:$E$197, 2, FALSE)))))</f>
        <v>--</v>
      </c>
      <c r="F826" t="str">
        <f>IF(ISBLANK(MAIN!F826), "", IF(AND(ISNUMBER(VALUE(TRIM(MAIN!F826))), LEN(TRIM(MAIN!F826))=4), VALUE(TRIM(MAIN!F826)), ""))</f>
        <v/>
      </c>
      <c r="G826">
        <f>IF(ISBLANK(MAIN!G826), 0, IF(ISNUMBER(VALUE(TRIM(MAIN!G826))), VALUE(TRIM(MAIN!G826)), 0))</f>
        <v>0</v>
      </c>
      <c r="H826">
        <f>IF(ISBLANK(MAIN!H826), 0, IF(ISNUMBER(VALUE(TRIM(MAIN!H826))), VALUE(TRIM(MAIN!H826)), 0))</f>
        <v>0</v>
      </c>
      <c r="I826">
        <f>IF(ISBLANK(MAIN!I826), 0, IF(ISNUMBER(VALUE(TRIM(MAIN!I826))), VALUE(TRIM(MAIN!I826)), 0))</f>
        <v>0</v>
      </c>
      <c r="J826">
        <f>IF(ISBLANK(MAIN!J826), 0, IF(ISNUMBER(VALUE(TRIM(MAIN!J826))), VALUE(TRIM(MAIN!J826)), 0))</f>
        <v>0</v>
      </c>
      <c r="K826" cm="1">
        <f t="array" ref="K826">IFERROR(
    VALUE(
        IFERROR(
            UPPER(
                IF(MAX(IFERROR(SEARCH("WD",MAIN!G826:J826), 0))&gt;0, "WD",
                IF(MAX(IFERROR(SEARCH("NS",MAIN!G826:J826), 0))&gt;0, "NS",
                IF(MAX(IFERROR(SEARCH("NC",MAIN!G826:J826), 0))&gt;0, "NC",
                IF(MAX(IFERROR(SEARCH("DQ",MAIN!G826:J826), 0))&gt;0, "DQ",
                IF(ISNUMBER(SEARCH("WD",MAIN!K826)), "WD",
                IF(ISNUMBER(SEARCH("NS",MAIN!K826)), "NS",
                IF(ISNUMBER(SEARCH("NC",MAIN!K826)), "NC",
                IF(ISNUMBER(SEARCH("DQ",MAIN!K826)), "DQ",
                IF(ISNUMBER(SEARCH("A",MAIN!K826)), 0,
                IF(OR(MAIN!K826=0,MAIN!K826=""), 0, --TRIM(MAIN!K826)))))))))))),
            0
        )
    ),
    IFERROR(
        UPPER(
            IF(MAX(IFERROR(SEARCH("WD",MAIN!G826:J826), 0))&gt;0, "WD",
            IF(MAX(IFERROR(SEARCH("NS",MAIN!G826:J826), 0))&gt;0, "NS",
            IF(MAX(IFERROR(SEARCH("NC",MAIN!G826:J826), 0))&gt;0, "NC",
            IF(MAX(IFERROR(SEARCH("DQ",MAIN!G826:J826), 0))&gt;0, "DQ",
            IF(ISNUMBER(SEARCH("WD",MAIN!K826)), "WD",
            IF(ISNUMBER(SEARCH("NS",MAIN!K826)), "NS",
            IF(ISNUMBER(SEARCH("NC",MAIN!K826)), "NC",
            IF(ISNUMBER(SEARCH("DQ",MAIN!K826)), "DQ",
            IF(ISNUMBER(SEARCH("A",MAIN!K826)), 0,
            IF(OR(MAIN!K826=0,MAIN!K826=""), 0, --TRIM(MAIN!K826)))))))))))),
        0
    )
)</f>
        <v>0</v>
      </c>
    </row>
    <row r="827" spans="1:11" x14ac:dyDescent="0.25">
      <c r="A827" t="str">
        <f>IF(ISBLANK(MAIN!A827), "--", IFERROR(PROPER(SUBSTITUTE(SUBSTITUTE(SUBSTITUTE(SUBSTITUTE(SUBSTITUTE(SUBSTITUTE(SUBSTITUTE(SUBSTITUTE(SUBSTITUTE(SUBSTITUTE(LEFT(MAIN!A827, FIND(",",MAIN!A827) -1), "0", ""), "1", ""), "2", ""), "3", ""), "4", ""), "5", ""), "6", ""), "7", ""), "8", ""), "9", "")), PROPER(SUBSTITUTE(SUBSTITUTE(SUBSTITUTE(SUBSTITUTE(SUBSTITUTE(SUBSTITUTE(SUBSTITUTE(SUBSTITUTE(SUBSTITUTE(SUBSTITUTE(MAIN!A827, "0", ""), "1", ""), "2", ""), "3", ""), "4", ""), "5", ""), "6", ""), "7", ""), "8", ""), "9", ""))))</f>
        <v>--</v>
      </c>
      <c r="B827" t="str">
        <f>IF(ISBLANK(MAIN!B827), "--", IFERROR(PROPER(SUBSTITUTE(SUBSTITUTE(SUBSTITUTE(SUBSTITUTE(SUBSTITUTE(SUBSTITUTE(SUBSTITUTE(SUBSTITUTE(SUBSTITUTE(SUBSTITUTE(LEFT(MAIN!B827, FIND(",",MAIN!B827) -1), "0", ""), "1", ""), "2", ""), "3", ""), "4", ""), "5", ""), "6", ""), "7", ""), "8", ""), "9", "")), PROPER(SUBSTITUTE(SUBSTITUTE(SUBSTITUTE(SUBSTITUTE(SUBSTITUTE(SUBSTITUTE(SUBSTITUTE(SUBSTITUTE(SUBSTITUTE(SUBSTITUTE(MAIN!B827, "0", ""), "1", ""), "2", ""), "3", ""), "4", ""), "5", ""), "6", ""), "7", ""), "8", ""), "9", ""))))</f>
        <v>--</v>
      </c>
      <c r="C827" t="str">
        <f>IF(ISBLANK(MAIN!C827), "--", IFERROR(PROPER(SUBSTITUTE(SUBSTITUTE(SUBSTITUTE(SUBSTITUTE(SUBSTITUTE(SUBSTITUTE(SUBSTITUTE(SUBSTITUTE(SUBSTITUTE(SUBSTITUTE(LEFT(MAIN!C827, FIND(",",MAIN!C827) -1), "0", ""), "1", ""), "2", ""), "3", ""), "4", ""), "5", ""), "6", ""), "7", ""), "8", ""), "9", "")), PROPER(SUBSTITUTE(SUBSTITUTE(SUBSTITUTE(SUBSTITUTE(SUBSTITUTE(SUBSTITUTE(SUBSTITUTE(SUBSTITUTE(SUBSTITUTE(SUBSTITUTE(MAIN!C827, "0", ""), "1", ""), "2", ""), "3", ""), "4", ""), "5", ""), "6", ""), "7", ""), "8", ""), "9", ""))))</f>
        <v>--</v>
      </c>
      <c r="D827" t="str">
        <f>IF(ISBLANK(MAIN!D827), "--", IF(ISNUMBER(MATCH(SUBSTITUTE(LEFT(MAIN!D827, IFERROR(FIND(",", MAIN!D827)-1, LEN(MAIN!D827))), " ", ""), lookup_values!$B$2:$B$51, 0)), UPPER(SUBSTITUTE(LEFT(MAIN!D827, IFERROR(FIND(",", MAIN!D827)-1, LEN(MAIN!D827))), " ", "")), IF(ISNA(VLOOKUP(SUBSTITUTE(LEFT(MAIN!D827, IFERROR(FIND(",", MAIN!D827)-1, LEN(MAIN!D827))), " ", ""), lookup_values!$A$2:$B$51, 2, FALSE)), "--", VLOOKUP(SUBSTITUTE(LEFT(MAIN!D827, IFERROR(FIND(",", MAIN!D827)-1, LEN(MAIN!D827))), " ", ""), lookup_values!$A$2:$B$51, 2, FALSE))))</f>
        <v>--</v>
      </c>
      <c r="E827" t="str">
        <f>IF(CLEAN_DATA!D827&lt;&gt;"--","US",IF(ISBLANK(MAIN!E827), "--", IF(ISNUMBER(MATCH(SUBSTITUTE(LEFT(MAIN!E827, IFERROR(FIND(",", MAIN!E827)-1, LEN(MAIN!E827))), " ", ""), lookup_values!$E$2:$E$197, 0)), UPPER(SUBSTITUTE(LEFT(MAIN!E827, IFERROR(FIND(",", MAIN!E827)-1, LEN(MAIN!E827))), " ", "")), IF(ISNA(VLOOKUP(SUBSTITUTE(LEFT(MAIN!E827, IFERROR(FIND(",", MAIN!E827)-1, LEN(MAIN!E827))), " ", ""), lookup_values!$D$2:$E$197, 2, FALSE)), "--", VLOOKUP(SUBSTITUTE(LEFT(MAIN!E827, IFERROR(FIND(",", MAIN!E827)-1, LEN(MAIN!E827))), " ", ""), lookup_values!$D$2:$E$197, 2, FALSE)))))</f>
        <v>--</v>
      </c>
      <c r="F827" t="str">
        <f>IF(ISBLANK(MAIN!F827), "", IF(AND(ISNUMBER(VALUE(TRIM(MAIN!F827))), LEN(TRIM(MAIN!F827))=4), VALUE(TRIM(MAIN!F827)), ""))</f>
        <v/>
      </c>
      <c r="G827">
        <f>IF(ISBLANK(MAIN!G827), 0, IF(ISNUMBER(VALUE(TRIM(MAIN!G827))), VALUE(TRIM(MAIN!G827)), 0))</f>
        <v>0</v>
      </c>
      <c r="H827">
        <f>IF(ISBLANK(MAIN!H827), 0, IF(ISNUMBER(VALUE(TRIM(MAIN!H827))), VALUE(TRIM(MAIN!H827)), 0))</f>
        <v>0</v>
      </c>
      <c r="I827">
        <f>IF(ISBLANK(MAIN!I827), 0, IF(ISNUMBER(VALUE(TRIM(MAIN!I827))), VALUE(TRIM(MAIN!I827)), 0))</f>
        <v>0</v>
      </c>
      <c r="J827">
        <f>IF(ISBLANK(MAIN!J827), 0, IF(ISNUMBER(VALUE(TRIM(MAIN!J827))), VALUE(TRIM(MAIN!J827)), 0))</f>
        <v>0</v>
      </c>
      <c r="K827" cm="1">
        <f t="array" ref="K827">IFERROR(
    VALUE(
        IFERROR(
            UPPER(
                IF(MAX(IFERROR(SEARCH("WD",MAIN!G827:J827), 0))&gt;0, "WD",
                IF(MAX(IFERROR(SEARCH("NS",MAIN!G827:J827), 0))&gt;0, "NS",
                IF(MAX(IFERROR(SEARCH("NC",MAIN!G827:J827), 0))&gt;0, "NC",
                IF(MAX(IFERROR(SEARCH("DQ",MAIN!G827:J827), 0))&gt;0, "DQ",
                IF(ISNUMBER(SEARCH("WD",MAIN!K827)), "WD",
                IF(ISNUMBER(SEARCH("NS",MAIN!K827)), "NS",
                IF(ISNUMBER(SEARCH("NC",MAIN!K827)), "NC",
                IF(ISNUMBER(SEARCH("DQ",MAIN!K827)), "DQ",
                IF(ISNUMBER(SEARCH("A",MAIN!K827)), 0,
                IF(OR(MAIN!K827=0,MAIN!K827=""), 0, --TRIM(MAIN!K827)))))))))))),
            0
        )
    ),
    IFERROR(
        UPPER(
            IF(MAX(IFERROR(SEARCH("WD",MAIN!G827:J827), 0))&gt;0, "WD",
            IF(MAX(IFERROR(SEARCH("NS",MAIN!G827:J827), 0))&gt;0, "NS",
            IF(MAX(IFERROR(SEARCH("NC",MAIN!G827:J827), 0))&gt;0, "NC",
            IF(MAX(IFERROR(SEARCH("DQ",MAIN!G827:J827), 0))&gt;0, "DQ",
            IF(ISNUMBER(SEARCH("WD",MAIN!K827)), "WD",
            IF(ISNUMBER(SEARCH("NS",MAIN!K827)), "NS",
            IF(ISNUMBER(SEARCH("NC",MAIN!K827)), "NC",
            IF(ISNUMBER(SEARCH("DQ",MAIN!K827)), "DQ",
            IF(ISNUMBER(SEARCH("A",MAIN!K827)), 0,
            IF(OR(MAIN!K827=0,MAIN!K827=""), 0, --TRIM(MAIN!K827)))))))))))),
        0
    )
)</f>
        <v>0</v>
      </c>
    </row>
    <row r="828" spans="1:11" x14ac:dyDescent="0.25">
      <c r="A828" t="str">
        <f>IF(ISBLANK(MAIN!A828), "--", IFERROR(PROPER(SUBSTITUTE(SUBSTITUTE(SUBSTITUTE(SUBSTITUTE(SUBSTITUTE(SUBSTITUTE(SUBSTITUTE(SUBSTITUTE(SUBSTITUTE(SUBSTITUTE(LEFT(MAIN!A828, FIND(",",MAIN!A828) -1), "0", ""), "1", ""), "2", ""), "3", ""), "4", ""), "5", ""), "6", ""), "7", ""), "8", ""), "9", "")), PROPER(SUBSTITUTE(SUBSTITUTE(SUBSTITUTE(SUBSTITUTE(SUBSTITUTE(SUBSTITUTE(SUBSTITUTE(SUBSTITUTE(SUBSTITUTE(SUBSTITUTE(MAIN!A828, "0", ""), "1", ""), "2", ""), "3", ""), "4", ""), "5", ""), "6", ""), "7", ""), "8", ""), "9", ""))))</f>
        <v>--</v>
      </c>
      <c r="B828" t="str">
        <f>IF(ISBLANK(MAIN!B828), "--", IFERROR(PROPER(SUBSTITUTE(SUBSTITUTE(SUBSTITUTE(SUBSTITUTE(SUBSTITUTE(SUBSTITUTE(SUBSTITUTE(SUBSTITUTE(SUBSTITUTE(SUBSTITUTE(LEFT(MAIN!B828, FIND(",",MAIN!B828) -1), "0", ""), "1", ""), "2", ""), "3", ""), "4", ""), "5", ""), "6", ""), "7", ""), "8", ""), "9", "")), PROPER(SUBSTITUTE(SUBSTITUTE(SUBSTITUTE(SUBSTITUTE(SUBSTITUTE(SUBSTITUTE(SUBSTITUTE(SUBSTITUTE(SUBSTITUTE(SUBSTITUTE(MAIN!B828, "0", ""), "1", ""), "2", ""), "3", ""), "4", ""), "5", ""), "6", ""), "7", ""), "8", ""), "9", ""))))</f>
        <v>--</v>
      </c>
      <c r="C828" t="str">
        <f>IF(ISBLANK(MAIN!C828), "--", IFERROR(PROPER(SUBSTITUTE(SUBSTITUTE(SUBSTITUTE(SUBSTITUTE(SUBSTITUTE(SUBSTITUTE(SUBSTITUTE(SUBSTITUTE(SUBSTITUTE(SUBSTITUTE(LEFT(MAIN!C828, FIND(",",MAIN!C828) -1), "0", ""), "1", ""), "2", ""), "3", ""), "4", ""), "5", ""), "6", ""), "7", ""), "8", ""), "9", "")), PROPER(SUBSTITUTE(SUBSTITUTE(SUBSTITUTE(SUBSTITUTE(SUBSTITUTE(SUBSTITUTE(SUBSTITUTE(SUBSTITUTE(SUBSTITUTE(SUBSTITUTE(MAIN!C828, "0", ""), "1", ""), "2", ""), "3", ""), "4", ""), "5", ""), "6", ""), "7", ""), "8", ""), "9", ""))))</f>
        <v>--</v>
      </c>
      <c r="D828" t="str">
        <f>IF(ISBLANK(MAIN!D828), "--", IF(ISNUMBER(MATCH(SUBSTITUTE(LEFT(MAIN!D828, IFERROR(FIND(",", MAIN!D828)-1, LEN(MAIN!D828))), " ", ""), lookup_values!$B$2:$B$51, 0)), UPPER(SUBSTITUTE(LEFT(MAIN!D828, IFERROR(FIND(",", MAIN!D828)-1, LEN(MAIN!D828))), " ", "")), IF(ISNA(VLOOKUP(SUBSTITUTE(LEFT(MAIN!D828, IFERROR(FIND(",", MAIN!D828)-1, LEN(MAIN!D828))), " ", ""), lookup_values!$A$2:$B$51, 2, FALSE)), "--", VLOOKUP(SUBSTITUTE(LEFT(MAIN!D828, IFERROR(FIND(",", MAIN!D828)-1, LEN(MAIN!D828))), " ", ""), lookup_values!$A$2:$B$51, 2, FALSE))))</f>
        <v>--</v>
      </c>
      <c r="E828" t="str">
        <f>IF(CLEAN_DATA!D828&lt;&gt;"--","US",IF(ISBLANK(MAIN!E828), "--", IF(ISNUMBER(MATCH(SUBSTITUTE(LEFT(MAIN!E828, IFERROR(FIND(",", MAIN!E828)-1, LEN(MAIN!E828))), " ", ""), lookup_values!$E$2:$E$197, 0)), UPPER(SUBSTITUTE(LEFT(MAIN!E828, IFERROR(FIND(",", MAIN!E828)-1, LEN(MAIN!E828))), " ", "")), IF(ISNA(VLOOKUP(SUBSTITUTE(LEFT(MAIN!E828, IFERROR(FIND(",", MAIN!E828)-1, LEN(MAIN!E828))), " ", ""), lookup_values!$D$2:$E$197, 2, FALSE)), "--", VLOOKUP(SUBSTITUTE(LEFT(MAIN!E828, IFERROR(FIND(",", MAIN!E828)-1, LEN(MAIN!E828))), " ", ""), lookup_values!$D$2:$E$197, 2, FALSE)))))</f>
        <v>--</v>
      </c>
      <c r="F828" t="str">
        <f>IF(ISBLANK(MAIN!F828), "", IF(AND(ISNUMBER(VALUE(TRIM(MAIN!F828))), LEN(TRIM(MAIN!F828))=4), VALUE(TRIM(MAIN!F828)), ""))</f>
        <v/>
      </c>
      <c r="G828">
        <f>IF(ISBLANK(MAIN!G828), 0, IF(ISNUMBER(VALUE(TRIM(MAIN!G828))), VALUE(TRIM(MAIN!G828)), 0))</f>
        <v>0</v>
      </c>
      <c r="H828">
        <f>IF(ISBLANK(MAIN!H828), 0, IF(ISNUMBER(VALUE(TRIM(MAIN!H828))), VALUE(TRIM(MAIN!H828)), 0))</f>
        <v>0</v>
      </c>
      <c r="I828">
        <f>IF(ISBLANK(MAIN!I828), 0, IF(ISNUMBER(VALUE(TRIM(MAIN!I828))), VALUE(TRIM(MAIN!I828)), 0))</f>
        <v>0</v>
      </c>
      <c r="J828">
        <f>IF(ISBLANK(MAIN!J828), 0, IF(ISNUMBER(VALUE(TRIM(MAIN!J828))), VALUE(TRIM(MAIN!J828)), 0))</f>
        <v>0</v>
      </c>
      <c r="K828" cm="1">
        <f t="array" ref="K828">IFERROR(
    VALUE(
        IFERROR(
            UPPER(
                IF(MAX(IFERROR(SEARCH("WD",MAIN!G828:J828), 0))&gt;0, "WD",
                IF(MAX(IFERROR(SEARCH("NS",MAIN!G828:J828), 0))&gt;0, "NS",
                IF(MAX(IFERROR(SEARCH("NC",MAIN!G828:J828), 0))&gt;0, "NC",
                IF(MAX(IFERROR(SEARCH("DQ",MAIN!G828:J828), 0))&gt;0, "DQ",
                IF(ISNUMBER(SEARCH("WD",MAIN!K828)), "WD",
                IF(ISNUMBER(SEARCH("NS",MAIN!K828)), "NS",
                IF(ISNUMBER(SEARCH("NC",MAIN!K828)), "NC",
                IF(ISNUMBER(SEARCH("DQ",MAIN!K828)), "DQ",
                IF(ISNUMBER(SEARCH("A",MAIN!K828)), 0,
                IF(OR(MAIN!K828=0,MAIN!K828=""), 0, --TRIM(MAIN!K828)))))))))))),
            0
        )
    ),
    IFERROR(
        UPPER(
            IF(MAX(IFERROR(SEARCH("WD",MAIN!G828:J828), 0))&gt;0, "WD",
            IF(MAX(IFERROR(SEARCH("NS",MAIN!G828:J828), 0))&gt;0, "NS",
            IF(MAX(IFERROR(SEARCH("NC",MAIN!G828:J828), 0))&gt;0, "NC",
            IF(MAX(IFERROR(SEARCH("DQ",MAIN!G828:J828), 0))&gt;0, "DQ",
            IF(ISNUMBER(SEARCH("WD",MAIN!K828)), "WD",
            IF(ISNUMBER(SEARCH("NS",MAIN!K828)), "NS",
            IF(ISNUMBER(SEARCH("NC",MAIN!K828)), "NC",
            IF(ISNUMBER(SEARCH("DQ",MAIN!K828)), "DQ",
            IF(ISNUMBER(SEARCH("A",MAIN!K828)), 0,
            IF(OR(MAIN!K828=0,MAIN!K828=""), 0, --TRIM(MAIN!K828)))))))))))),
        0
    )
)</f>
        <v>0</v>
      </c>
    </row>
    <row r="829" spans="1:11" x14ac:dyDescent="0.25">
      <c r="A829" t="str">
        <f>IF(ISBLANK(MAIN!A829), "--", IFERROR(PROPER(SUBSTITUTE(SUBSTITUTE(SUBSTITUTE(SUBSTITUTE(SUBSTITUTE(SUBSTITUTE(SUBSTITUTE(SUBSTITUTE(SUBSTITUTE(SUBSTITUTE(LEFT(MAIN!A829, FIND(",",MAIN!A829) -1), "0", ""), "1", ""), "2", ""), "3", ""), "4", ""), "5", ""), "6", ""), "7", ""), "8", ""), "9", "")), PROPER(SUBSTITUTE(SUBSTITUTE(SUBSTITUTE(SUBSTITUTE(SUBSTITUTE(SUBSTITUTE(SUBSTITUTE(SUBSTITUTE(SUBSTITUTE(SUBSTITUTE(MAIN!A829, "0", ""), "1", ""), "2", ""), "3", ""), "4", ""), "5", ""), "6", ""), "7", ""), "8", ""), "9", ""))))</f>
        <v>--</v>
      </c>
      <c r="B829" t="str">
        <f>IF(ISBLANK(MAIN!B829), "--", IFERROR(PROPER(SUBSTITUTE(SUBSTITUTE(SUBSTITUTE(SUBSTITUTE(SUBSTITUTE(SUBSTITUTE(SUBSTITUTE(SUBSTITUTE(SUBSTITUTE(SUBSTITUTE(LEFT(MAIN!B829, FIND(",",MAIN!B829) -1), "0", ""), "1", ""), "2", ""), "3", ""), "4", ""), "5", ""), "6", ""), "7", ""), "8", ""), "9", "")), PROPER(SUBSTITUTE(SUBSTITUTE(SUBSTITUTE(SUBSTITUTE(SUBSTITUTE(SUBSTITUTE(SUBSTITUTE(SUBSTITUTE(SUBSTITUTE(SUBSTITUTE(MAIN!B829, "0", ""), "1", ""), "2", ""), "3", ""), "4", ""), "5", ""), "6", ""), "7", ""), "8", ""), "9", ""))))</f>
        <v>--</v>
      </c>
      <c r="C829" t="str">
        <f>IF(ISBLANK(MAIN!C829), "--", IFERROR(PROPER(SUBSTITUTE(SUBSTITUTE(SUBSTITUTE(SUBSTITUTE(SUBSTITUTE(SUBSTITUTE(SUBSTITUTE(SUBSTITUTE(SUBSTITUTE(SUBSTITUTE(LEFT(MAIN!C829, FIND(",",MAIN!C829) -1), "0", ""), "1", ""), "2", ""), "3", ""), "4", ""), "5", ""), "6", ""), "7", ""), "8", ""), "9", "")), PROPER(SUBSTITUTE(SUBSTITUTE(SUBSTITUTE(SUBSTITUTE(SUBSTITUTE(SUBSTITUTE(SUBSTITUTE(SUBSTITUTE(SUBSTITUTE(SUBSTITUTE(MAIN!C829, "0", ""), "1", ""), "2", ""), "3", ""), "4", ""), "5", ""), "6", ""), "7", ""), "8", ""), "9", ""))))</f>
        <v>--</v>
      </c>
      <c r="D829" t="str">
        <f>IF(ISBLANK(MAIN!D829), "--", IF(ISNUMBER(MATCH(SUBSTITUTE(LEFT(MAIN!D829, IFERROR(FIND(",", MAIN!D829)-1, LEN(MAIN!D829))), " ", ""), lookup_values!$B$2:$B$51, 0)), UPPER(SUBSTITUTE(LEFT(MAIN!D829, IFERROR(FIND(",", MAIN!D829)-1, LEN(MAIN!D829))), " ", "")), IF(ISNA(VLOOKUP(SUBSTITUTE(LEFT(MAIN!D829, IFERROR(FIND(",", MAIN!D829)-1, LEN(MAIN!D829))), " ", ""), lookup_values!$A$2:$B$51, 2, FALSE)), "--", VLOOKUP(SUBSTITUTE(LEFT(MAIN!D829, IFERROR(FIND(",", MAIN!D829)-1, LEN(MAIN!D829))), " ", ""), lookup_values!$A$2:$B$51, 2, FALSE))))</f>
        <v>--</v>
      </c>
      <c r="E829" t="str">
        <f>IF(CLEAN_DATA!D829&lt;&gt;"--","US",IF(ISBLANK(MAIN!E829), "--", IF(ISNUMBER(MATCH(SUBSTITUTE(LEFT(MAIN!E829, IFERROR(FIND(",", MAIN!E829)-1, LEN(MAIN!E829))), " ", ""), lookup_values!$E$2:$E$197, 0)), UPPER(SUBSTITUTE(LEFT(MAIN!E829, IFERROR(FIND(",", MAIN!E829)-1, LEN(MAIN!E829))), " ", "")), IF(ISNA(VLOOKUP(SUBSTITUTE(LEFT(MAIN!E829, IFERROR(FIND(",", MAIN!E829)-1, LEN(MAIN!E829))), " ", ""), lookup_values!$D$2:$E$197, 2, FALSE)), "--", VLOOKUP(SUBSTITUTE(LEFT(MAIN!E829, IFERROR(FIND(",", MAIN!E829)-1, LEN(MAIN!E829))), " ", ""), lookup_values!$D$2:$E$197, 2, FALSE)))))</f>
        <v>--</v>
      </c>
      <c r="F829" t="str">
        <f>IF(ISBLANK(MAIN!F829), "", IF(AND(ISNUMBER(VALUE(TRIM(MAIN!F829))), LEN(TRIM(MAIN!F829))=4), VALUE(TRIM(MAIN!F829)), ""))</f>
        <v/>
      </c>
      <c r="G829">
        <f>IF(ISBLANK(MAIN!G829), 0, IF(ISNUMBER(VALUE(TRIM(MAIN!G829))), VALUE(TRIM(MAIN!G829)), 0))</f>
        <v>0</v>
      </c>
      <c r="H829">
        <f>IF(ISBLANK(MAIN!H829), 0, IF(ISNUMBER(VALUE(TRIM(MAIN!H829))), VALUE(TRIM(MAIN!H829)), 0))</f>
        <v>0</v>
      </c>
      <c r="I829">
        <f>IF(ISBLANK(MAIN!I829), 0, IF(ISNUMBER(VALUE(TRIM(MAIN!I829))), VALUE(TRIM(MAIN!I829)), 0))</f>
        <v>0</v>
      </c>
      <c r="J829">
        <f>IF(ISBLANK(MAIN!J829), 0, IF(ISNUMBER(VALUE(TRIM(MAIN!J829))), VALUE(TRIM(MAIN!J829)), 0))</f>
        <v>0</v>
      </c>
      <c r="K829" cm="1">
        <f t="array" ref="K829">IFERROR(
    VALUE(
        IFERROR(
            UPPER(
                IF(MAX(IFERROR(SEARCH("WD",MAIN!G829:J829), 0))&gt;0, "WD",
                IF(MAX(IFERROR(SEARCH("NS",MAIN!G829:J829), 0))&gt;0, "NS",
                IF(MAX(IFERROR(SEARCH("NC",MAIN!G829:J829), 0))&gt;0, "NC",
                IF(MAX(IFERROR(SEARCH("DQ",MAIN!G829:J829), 0))&gt;0, "DQ",
                IF(ISNUMBER(SEARCH("WD",MAIN!K829)), "WD",
                IF(ISNUMBER(SEARCH("NS",MAIN!K829)), "NS",
                IF(ISNUMBER(SEARCH("NC",MAIN!K829)), "NC",
                IF(ISNUMBER(SEARCH("DQ",MAIN!K829)), "DQ",
                IF(ISNUMBER(SEARCH("A",MAIN!K829)), 0,
                IF(OR(MAIN!K829=0,MAIN!K829=""), 0, --TRIM(MAIN!K829)))))))))))),
            0
        )
    ),
    IFERROR(
        UPPER(
            IF(MAX(IFERROR(SEARCH("WD",MAIN!G829:J829), 0))&gt;0, "WD",
            IF(MAX(IFERROR(SEARCH("NS",MAIN!G829:J829), 0))&gt;0, "NS",
            IF(MAX(IFERROR(SEARCH("NC",MAIN!G829:J829), 0))&gt;0, "NC",
            IF(MAX(IFERROR(SEARCH("DQ",MAIN!G829:J829), 0))&gt;0, "DQ",
            IF(ISNUMBER(SEARCH("WD",MAIN!K829)), "WD",
            IF(ISNUMBER(SEARCH("NS",MAIN!K829)), "NS",
            IF(ISNUMBER(SEARCH("NC",MAIN!K829)), "NC",
            IF(ISNUMBER(SEARCH("DQ",MAIN!K829)), "DQ",
            IF(ISNUMBER(SEARCH("A",MAIN!K829)), 0,
            IF(OR(MAIN!K829=0,MAIN!K829=""), 0, --TRIM(MAIN!K829)))))))))))),
        0
    )
)</f>
        <v>0</v>
      </c>
    </row>
    <row r="830" spans="1:11" x14ac:dyDescent="0.25">
      <c r="A830" t="str">
        <f>IF(ISBLANK(MAIN!A830), "--", IFERROR(PROPER(SUBSTITUTE(SUBSTITUTE(SUBSTITUTE(SUBSTITUTE(SUBSTITUTE(SUBSTITUTE(SUBSTITUTE(SUBSTITUTE(SUBSTITUTE(SUBSTITUTE(LEFT(MAIN!A830, FIND(",",MAIN!A830) -1), "0", ""), "1", ""), "2", ""), "3", ""), "4", ""), "5", ""), "6", ""), "7", ""), "8", ""), "9", "")), PROPER(SUBSTITUTE(SUBSTITUTE(SUBSTITUTE(SUBSTITUTE(SUBSTITUTE(SUBSTITUTE(SUBSTITUTE(SUBSTITUTE(SUBSTITUTE(SUBSTITUTE(MAIN!A830, "0", ""), "1", ""), "2", ""), "3", ""), "4", ""), "5", ""), "6", ""), "7", ""), "8", ""), "9", ""))))</f>
        <v>--</v>
      </c>
      <c r="B830" t="str">
        <f>IF(ISBLANK(MAIN!B830), "--", IFERROR(PROPER(SUBSTITUTE(SUBSTITUTE(SUBSTITUTE(SUBSTITUTE(SUBSTITUTE(SUBSTITUTE(SUBSTITUTE(SUBSTITUTE(SUBSTITUTE(SUBSTITUTE(LEFT(MAIN!B830, FIND(",",MAIN!B830) -1), "0", ""), "1", ""), "2", ""), "3", ""), "4", ""), "5", ""), "6", ""), "7", ""), "8", ""), "9", "")), PROPER(SUBSTITUTE(SUBSTITUTE(SUBSTITUTE(SUBSTITUTE(SUBSTITUTE(SUBSTITUTE(SUBSTITUTE(SUBSTITUTE(SUBSTITUTE(SUBSTITUTE(MAIN!B830, "0", ""), "1", ""), "2", ""), "3", ""), "4", ""), "5", ""), "6", ""), "7", ""), "8", ""), "9", ""))))</f>
        <v>--</v>
      </c>
      <c r="C830" t="str">
        <f>IF(ISBLANK(MAIN!C830), "--", IFERROR(PROPER(SUBSTITUTE(SUBSTITUTE(SUBSTITUTE(SUBSTITUTE(SUBSTITUTE(SUBSTITUTE(SUBSTITUTE(SUBSTITUTE(SUBSTITUTE(SUBSTITUTE(LEFT(MAIN!C830, FIND(",",MAIN!C830) -1), "0", ""), "1", ""), "2", ""), "3", ""), "4", ""), "5", ""), "6", ""), "7", ""), "8", ""), "9", "")), PROPER(SUBSTITUTE(SUBSTITUTE(SUBSTITUTE(SUBSTITUTE(SUBSTITUTE(SUBSTITUTE(SUBSTITUTE(SUBSTITUTE(SUBSTITUTE(SUBSTITUTE(MAIN!C830, "0", ""), "1", ""), "2", ""), "3", ""), "4", ""), "5", ""), "6", ""), "7", ""), "8", ""), "9", ""))))</f>
        <v>--</v>
      </c>
      <c r="D830" t="str">
        <f>IF(ISBLANK(MAIN!D830), "--", IF(ISNUMBER(MATCH(SUBSTITUTE(LEFT(MAIN!D830, IFERROR(FIND(",", MAIN!D830)-1, LEN(MAIN!D830))), " ", ""), lookup_values!$B$2:$B$51, 0)), UPPER(SUBSTITUTE(LEFT(MAIN!D830, IFERROR(FIND(",", MAIN!D830)-1, LEN(MAIN!D830))), " ", "")), IF(ISNA(VLOOKUP(SUBSTITUTE(LEFT(MAIN!D830, IFERROR(FIND(",", MAIN!D830)-1, LEN(MAIN!D830))), " ", ""), lookup_values!$A$2:$B$51, 2, FALSE)), "--", VLOOKUP(SUBSTITUTE(LEFT(MAIN!D830, IFERROR(FIND(",", MAIN!D830)-1, LEN(MAIN!D830))), " ", ""), lookup_values!$A$2:$B$51, 2, FALSE))))</f>
        <v>--</v>
      </c>
      <c r="E830" t="str">
        <f>IF(CLEAN_DATA!D830&lt;&gt;"--","US",IF(ISBLANK(MAIN!E830), "--", IF(ISNUMBER(MATCH(SUBSTITUTE(LEFT(MAIN!E830, IFERROR(FIND(",", MAIN!E830)-1, LEN(MAIN!E830))), " ", ""), lookup_values!$E$2:$E$197, 0)), UPPER(SUBSTITUTE(LEFT(MAIN!E830, IFERROR(FIND(",", MAIN!E830)-1, LEN(MAIN!E830))), " ", "")), IF(ISNA(VLOOKUP(SUBSTITUTE(LEFT(MAIN!E830, IFERROR(FIND(",", MAIN!E830)-1, LEN(MAIN!E830))), " ", ""), lookup_values!$D$2:$E$197, 2, FALSE)), "--", VLOOKUP(SUBSTITUTE(LEFT(MAIN!E830, IFERROR(FIND(",", MAIN!E830)-1, LEN(MAIN!E830))), " ", ""), lookup_values!$D$2:$E$197, 2, FALSE)))))</f>
        <v>--</v>
      </c>
      <c r="F830" t="str">
        <f>IF(ISBLANK(MAIN!F830), "", IF(AND(ISNUMBER(VALUE(TRIM(MAIN!F830))), LEN(TRIM(MAIN!F830))=4), VALUE(TRIM(MAIN!F830)), ""))</f>
        <v/>
      </c>
      <c r="G830">
        <f>IF(ISBLANK(MAIN!G830), 0, IF(ISNUMBER(VALUE(TRIM(MAIN!G830))), VALUE(TRIM(MAIN!G830)), 0))</f>
        <v>0</v>
      </c>
      <c r="H830">
        <f>IF(ISBLANK(MAIN!H830), 0, IF(ISNUMBER(VALUE(TRIM(MAIN!H830))), VALUE(TRIM(MAIN!H830)), 0))</f>
        <v>0</v>
      </c>
      <c r="I830">
        <f>IF(ISBLANK(MAIN!I830), 0, IF(ISNUMBER(VALUE(TRIM(MAIN!I830))), VALUE(TRIM(MAIN!I830)), 0))</f>
        <v>0</v>
      </c>
      <c r="J830">
        <f>IF(ISBLANK(MAIN!J830), 0, IF(ISNUMBER(VALUE(TRIM(MAIN!J830))), VALUE(TRIM(MAIN!J830)), 0))</f>
        <v>0</v>
      </c>
      <c r="K830" cm="1">
        <f t="array" ref="K830">IFERROR(
    VALUE(
        IFERROR(
            UPPER(
                IF(MAX(IFERROR(SEARCH("WD",MAIN!G830:J830), 0))&gt;0, "WD",
                IF(MAX(IFERROR(SEARCH("NS",MAIN!G830:J830), 0))&gt;0, "NS",
                IF(MAX(IFERROR(SEARCH("NC",MAIN!G830:J830), 0))&gt;0, "NC",
                IF(MAX(IFERROR(SEARCH("DQ",MAIN!G830:J830), 0))&gt;0, "DQ",
                IF(ISNUMBER(SEARCH("WD",MAIN!K830)), "WD",
                IF(ISNUMBER(SEARCH("NS",MAIN!K830)), "NS",
                IF(ISNUMBER(SEARCH("NC",MAIN!K830)), "NC",
                IF(ISNUMBER(SEARCH("DQ",MAIN!K830)), "DQ",
                IF(ISNUMBER(SEARCH("A",MAIN!K830)), 0,
                IF(OR(MAIN!K830=0,MAIN!K830=""), 0, --TRIM(MAIN!K830)))))))))))),
            0
        )
    ),
    IFERROR(
        UPPER(
            IF(MAX(IFERROR(SEARCH("WD",MAIN!G830:J830), 0))&gt;0, "WD",
            IF(MAX(IFERROR(SEARCH("NS",MAIN!G830:J830), 0))&gt;0, "NS",
            IF(MAX(IFERROR(SEARCH("NC",MAIN!G830:J830), 0))&gt;0, "NC",
            IF(MAX(IFERROR(SEARCH("DQ",MAIN!G830:J830), 0))&gt;0, "DQ",
            IF(ISNUMBER(SEARCH("WD",MAIN!K830)), "WD",
            IF(ISNUMBER(SEARCH("NS",MAIN!K830)), "NS",
            IF(ISNUMBER(SEARCH("NC",MAIN!K830)), "NC",
            IF(ISNUMBER(SEARCH("DQ",MAIN!K830)), "DQ",
            IF(ISNUMBER(SEARCH("A",MAIN!K830)), 0,
            IF(OR(MAIN!K830=0,MAIN!K830=""), 0, --TRIM(MAIN!K830)))))))))))),
        0
    )
)</f>
        <v>0</v>
      </c>
    </row>
    <row r="831" spans="1:11" x14ac:dyDescent="0.25">
      <c r="A831" t="str">
        <f>IF(ISBLANK(MAIN!A831), "--", IFERROR(PROPER(SUBSTITUTE(SUBSTITUTE(SUBSTITUTE(SUBSTITUTE(SUBSTITUTE(SUBSTITUTE(SUBSTITUTE(SUBSTITUTE(SUBSTITUTE(SUBSTITUTE(LEFT(MAIN!A831, FIND(",",MAIN!A831) -1), "0", ""), "1", ""), "2", ""), "3", ""), "4", ""), "5", ""), "6", ""), "7", ""), "8", ""), "9", "")), PROPER(SUBSTITUTE(SUBSTITUTE(SUBSTITUTE(SUBSTITUTE(SUBSTITUTE(SUBSTITUTE(SUBSTITUTE(SUBSTITUTE(SUBSTITUTE(SUBSTITUTE(MAIN!A831, "0", ""), "1", ""), "2", ""), "3", ""), "4", ""), "5", ""), "6", ""), "7", ""), "8", ""), "9", ""))))</f>
        <v>--</v>
      </c>
      <c r="B831" t="str">
        <f>IF(ISBLANK(MAIN!B831), "--", IFERROR(PROPER(SUBSTITUTE(SUBSTITUTE(SUBSTITUTE(SUBSTITUTE(SUBSTITUTE(SUBSTITUTE(SUBSTITUTE(SUBSTITUTE(SUBSTITUTE(SUBSTITUTE(LEFT(MAIN!B831, FIND(",",MAIN!B831) -1), "0", ""), "1", ""), "2", ""), "3", ""), "4", ""), "5", ""), "6", ""), "7", ""), "8", ""), "9", "")), PROPER(SUBSTITUTE(SUBSTITUTE(SUBSTITUTE(SUBSTITUTE(SUBSTITUTE(SUBSTITUTE(SUBSTITUTE(SUBSTITUTE(SUBSTITUTE(SUBSTITUTE(MAIN!B831, "0", ""), "1", ""), "2", ""), "3", ""), "4", ""), "5", ""), "6", ""), "7", ""), "8", ""), "9", ""))))</f>
        <v>--</v>
      </c>
      <c r="C831" t="str">
        <f>IF(ISBLANK(MAIN!C831), "--", IFERROR(PROPER(SUBSTITUTE(SUBSTITUTE(SUBSTITUTE(SUBSTITUTE(SUBSTITUTE(SUBSTITUTE(SUBSTITUTE(SUBSTITUTE(SUBSTITUTE(SUBSTITUTE(LEFT(MAIN!C831, FIND(",",MAIN!C831) -1), "0", ""), "1", ""), "2", ""), "3", ""), "4", ""), "5", ""), "6", ""), "7", ""), "8", ""), "9", "")), PROPER(SUBSTITUTE(SUBSTITUTE(SUBSTITUTE(SUBSTITUTE(SUBSTITUTE(SUBSTITUTE(SUBSTITUTE(SUBSTITUTE(SUBSTITUTE(SUBSTITUTE(MAIN!C831, "0", ""), "1", ""), "2", ""), "3", ""), "4", ""), "5", ""), "6", ""), "7", ""), "8", ""), "9", ""))))</f>
        <v>--</v>
      </c>
      <c r="D831" t="str">
        <f>IF(ISBLANK(MAIN!D831), "--", IF(ISNUMBER(MATCH(SUBSTITUTE(LEFT(MAIN!D831, IFERROR(FIND(",", MAIN!D831)-1, LEN(MAIN!D831))), " ", ""), lookup_values!$B$2:$B$51, 0)), UPPER(SUBSTITUTE(LEFT(MAIN!D831, IFERROR(FIND(",", MAIN!D831)-1, LEN(MAIN!D831))), " ", "")), IF(ISNA(VLOOKUP(SUBSTITUTE(LEFT(MAIN!D831, IFERROR(FIND(",", MAIN!D831)-1, LEN(MAIN!D831))), " ", ""), lookup_values!$A$2:$B$51, 2, FALSE)), "--", VLOOKUP(SUBSTITUTE(LEFT(MAIN!D831, IFERROR(FIND(",", MAIN!D831)-1, LEN(MAIN!D831))), " ", ""), lookup_values!$A$2:$B$51, 2, FALSE))))</f>
        <v>--</v>
      </c>
      <c r="E831" t="str">
        <f>IF(CLEAN_DATA!D831&lt;&gt;"--","US",IF(ISBLANK(MAIN!E831), "--", IF(ISNUMBER(MATCH(SUBSTITUTE(LEFT(MAIN!E831, IFERROR(FIND(",", MAIN!E831)-1, LEN(MAIN!E831))), " ", ""), lookup_values!$E$2:$E$197, 0)), UPPER(SUBSTITUTE(LEFT(MAIN!E831, IFERROR(FIND(",", MAIN!E831)-1, LEN(MAIN!E831))), " ", "")), IF(ISNA(VLOOKUP(SUBSTITUTE(LEFT(MAIN!E831, IFERROR(FIND(",", MAIN!E831)-1, LEN(MAIN!E831))), " ", ""), lookup_values!$D$2:$E$197, 2, FALSE)), "--", VLOOKUP(SUBSTITUTE(LEFT(MAIN!E831, IFERROR(FIND(",", MAIN!E831)-1, LEN(MAIN!E831))), " ", ""), lookup_values!$D$2:$E$197, 2, FALSE)))))</f>
        <v>--</v>
      </c>
      <c r="F831" t="str">
        <f>IF(ISBLANK(MAIN!F831), "", IF(AND(ISNUMBER(VALUE(TRIM(MAIN!F831))), LEN(TRIM(MAIN!F831))=4), VALUE(TRIM(MAIN!F831)), ""))</f>
        <v/>
      </c>
      <c r="G831">
        <f>IF(ISBLANK(MAIN!G831), 0, IF(ISNUMBER(VALUE(TRIM(MAIN!G831))), VALUE(TRIM(MAIN!G831)), 0))</f>
        <v>0</v>
      </c>
      <c r="H831">
        <f>IF(ISBLANK(MAIN!H831), 0, IF(ISNUMBER(VALUE(TRIM(MAIN!H831))), VALUE(TRIM(MAIN!H831)), 0))</f>
        <v>0</v>
      </c>
      <c r="I831">
        <f>IF(ISBLANK(MAIN!I831), 0, IF(ISNUMBER(VALUE(TRIM(MAIN!I831))), VALUE(TRIM(MAIN!I831)), 0))</f>
        <v>0</v>
      </c>
      <c r="J831">
        <f>IF(ISBLANK(MAIN!J831), 0, IF(ISNUMBER(VALUE(TRIM(MAIN!J831))), VALUE(TRIM(MAIN!J831)), 0))</f>
        <v>0</v>
      </c>
      <c r="K831" cm="1">
        <f t="array" ref="K831">IFERROR(
    VALUE(
        IFERROR(
            UPPER(
                IF(MAX(IFERROR(SEARCH("WD",MAIN!G831:J831), 0))&gt;0, "WD",
                IF(MAX(IFERROR(SEARCH("NS",MAIN!G831:J831), 0))&gt;0, "NS",
                IF(MAX(IFERROR(SEARCH("NC",MAIN!G831:J831), 0))&gt;0, "NC",
                IF(MAX(IFERROR(SEARCH("DQ",MAIN!G831:J831), 0))&gt;0, "DQ",
                IF(ISNUMBER(SEARCH("WD",MAIN!K831)), "WD",
                IF(ISNUMBER(SEARCH("NS",MAIN!K831)), "NS",
                IF(ISNUMBER(SEARCH("NC",MAIN!K831)), "NC",
                IF(ISNUMBER(SEARCH("DQ",MAIN!K831)), "DQ",
                IF(ISNUMBER(SEARCH("A",MAIN!K831)), 0,
                IF(OR(MAIN!K831=0,MAIN!K831=""), 0, --TRIM(MAIN!K831)))))))))))),
            0
        )
    ),
    IFERROR(
        UPPER(
            IF(MAX(IFERROR(SEARCH("WD",MAIN!G831:J831), 0))&gt;0, "WD",
            IF(MAX(IFERROR(SEARCH("NS",MAIN!G831:J831), 0))&gt;0, "NS",
            IF(MAX(IFERROR(SEARCH("NC",MAIN!G831:J831), 0))&gt;0, "NC",
            IF(MAX(IFERROR(SEARCH("DQ",MAIN!G831:J831), 0))&gt;0, "DQ",
            IF(ISNUMBER(SEARCH("WD",MAIN!K831)), "WD",
            IF(ISNUMBER(SEARCH("NS",MAIN!K831)), "NS",
            IF(ISNUMBER(SEARCH("NC",MAIN!K831)), "NC",
            IF(ISNUMBER(SEARCH("DQ",MAIN!K831)), "DQ",
            IF(ISNUMBER(SEARCH("A",MAIN!K831)), 0,
            IF(OR(MAIN!K831=0,MAIN!K831=""), 0, --TRIM(MAIN!K831)))))))))))),
        0
    )
)</f>
        <v>0</v>
      </c>
    </row>
    <row r="832" spans="1:11" x14ac:dyDescent="0.25">
      <c r="A832" t="str">
        <f>IF(ISBLANK(MAIN!A832), "--", IFERROR(PROPER(SUBSTITUTE(SUBSTITUTE(SUBSTITUTE(SUBSTITUTE(SUBSTITUTE(SUBSTITUTE(SUBSTITUTE(SUBSTITUTE(SUBSTITUTE(SUBSTITUTE(LEFT(MAIN!A832, FIND(",",MAIN!A832) -1), "0", ""), "1", ""), "2", ""), "3", ""), "4", ""), "5", ""), "6", ""), "7", ""), "8", ""), "9", "")), PROPER(SUBSTITUTE(SUBSTITUTE(SUBSTITUTE(SUBSTITUTE(SUBSTITUTE(SUBSTITUTE(SUBSTITUTE(SUBSTITUTE(SUBSTITUTE(SUBSTITUTE(MAIN!A832, "0", ""), "1", ""), "2", ""), "3", ""), "4", ""), "5", ""), "6", ""), "7", ""), "8", ""), "9", ""))))</f>
        <v>--</v>
      </c>
      <c r="B832" t="str">
        <f>IF(ISBLANK(MAIN!B832), "--", IFERROR(PROPER(SUBSTITUTE(SUBSTITUTE(SUBSTITUTE(SUBSTITUTE(SUBSTITUTE(SUBSTITUTE(SUBSTITUTE(SUBSTITUTE(SUBSTITUTE(SUBSTITUTE(LEFT(MAIN!B832, FIND(",",MAIN!B832) -1), "0", ""), "1", ""), "2", ""), "3", ""), "4", ""), "5", ""), "6", ""), "7", ""), "8", ""), "9", "")), PROPER(SUBSTITUTE(SUBSTITUTE(SUBSTITUTE(SUBSTITUTE(SUBSTITUTE(SUBSTITUTE(SUBSTITUTE(SUBSTITUTE(SUBSTITUTE(SUBSTITUTE(MAIN!B832, "0", ""), "1", ""), "2", ""), "3", ""), "4", ""), "5", ""), "6", ""), "7", ""), "8", ""), "9", ""))))</f>
        <v>--</v>
      </c>
      <c r="C832" t="str">
        <f>IF(ISBLANK(MAIN!C832), "--", IFERROR(PROPER(SUBSTITUTE(SUBSTITUTE(SUBSTITUTE(SUBSTITUTE(SUBSTITUTE(SUBSTITUTE(SUBSTITUTE(SUBSTITUTE(SUBSTITUTE(SUBSTITUTE(LEFT(MAIN!C832, FIND(",",MAIN!C832) -1), "0", ""), "1", ""), "2", ""), "3", ""), "4", ""), "5", ""), "6", ""), "7", ""), "8", ""), "9", "")), PROPER(SUBSTITUTE(SUBSTITUTE(SUBSTITUTE(SUBSTITUTE(SUBSTITUTE(SUBSTITUTE(SUBSTITUTE(SUBSTITUTE(SUBSTITUTE(SUBSTITUTE(MAIN!C832, "0", ""), "1", ""), "2", ""), "3", ""), "4", ""), "5", ""), "6", ""), "7", ""), "8", ""), "9", ""))))</f>
        <v>--</v>
      </c>
      <c r="D832" t="str">
        <f>IF(ISBLANK(MAIN!D832), "--", IF(ISNUMBER(MATCH(SUBSTITUTE(LEFT(MAIN!D832, IFERROR(FIND(",", MAIN!D832)-1, LEN(MAIN!D832))), " ", ""), lookup_values!$B$2:$B$51, 0)), UPPER(SUBSTITUTE(LEFT(MAIN!D832, IFERROR(FIND(",", MAIN!D832)-1, LEN(MAIN!D832))), " ", "")), IF(ISNA(VLOOKUP(SUBSTITUTE(LEFT(MAIN!D832, IFERROR(FIND(",", MAIN!D832)-1, LEN(MAIN!D832))), " ", ""), lookup_values!$A$2:$B$51, 2, FALSE)), "--", VLOOKUP(SUBSTITUTE(LEFT(MAIN!D832, IFERROR(FIND(",", MAIN!D832)-1, LEN(MAIN!D832))), " ", ""), lookup_values!$A$2:$B$51, 2, FALSE))))</f>
        <v>--</v>
      </c>
      <c r="E832" t="str">
        <f>IF(CLEAN_DATA!D832&lt;&gt;"--","US",IF(ISBLANK(MAIN!E832), "--", IF(ISNUMBER(MATCH(SUBSTITUTE(LEFT(MAIN!E832, IFERROR(FIND(",", MAIN!E832)-1, LEN(MAIN!E832))), " ", ""), lookup_values!$E$2:$E$197, 0)), UPPER(SUBSTITUTE(LEFT(MAIN!E832, IFERROR(FIND(",", MAIN!E832)-1, LEN(MAIN!E832))), " ", "")), IF(ISNA(VLOOKUP(SUBSTITUTE(LEFT(MAIN!E832, IFERROR(FIND(",", MAIN!E832)-1, LEN(MAIN!E832))), " ", ""), lookup_values!$D$2:$E$197, 2, FALSE)), "--", VLOOKUP(SUBSTITUTE(LEFT(MAIN!E832, IFERROR(FIND(",", MAIN!E832)-1, LEN(MAIN!E832))), " ", ""), lookup_values!$D$2:$E$197, 2, FALSE)))))</f>
        <v>--</v>
      </c>
      <c r="F832" t="str">
        <f>IF(ISBLANK(MAIN!F832), "", IF(AND(ISNUMBER(VALUE(TRIM(MAIN!F832))), LEN(TRIM(MAIN!F832))=4), VALUE(TRIM(MAIN!F832)), ""))</f>
        <v/>
      </c>
      <c r="G832">
        <f>IF(ISBLANK(MAIN!G832), 0, IF(ISNUMBER(VALUE(TRIM(MAIN!G832))), VALUE(TRIM(MAIN!G832)), 0))</f>
        <v>0</v>
      </c>
      <c r="H832">
        <f>IF(ISBLANK(MAIN!H832), 0, IF(ISNUMBER(VALUE(TRIM(MAIN!H832))), VALUE(TRIM(MAIN!H832)), 0))</f>
        <v>0</v>
      </c>
      <c r="I832">
        <f>IF(ISBLANK(MAIN!I832), 0, IF(ISNUMBER(VALUE(TRIM(MAIN!I832))), VALUE(TRIM(MAIN!I832)), 0))</f>
        <v>0</v>
      </c>
      <c r="J832">
        <f>IF(ISBLANK(MAIN!J832), 0, IF(ISNUMBER(VALUE(TRIM(MAIN!J832))), VALUE(TRIM(MAIN!J832)), 0))</f>
        <v>0</v>
      </c>
      <c r="K832" cm="1">
        <f t="array" ref="K832">IFERROR(
    VALUE(
        IFERROR(
            UPPER(
                IF(MAX(IFERROR(SEARCH("WD",MAIN!G832:J832), 0))&gt;0, "WD",
                IF(MAX(IFERROR(SEARCH("NS",MAIN!G832:J832), 0))&gt;0, "NS",
                IF(MAX(IFERROR(SEARCH("NC",MAIN!G832:J832), 0))&gt;0, "NC",
                IF(MAX(IFERROR(SEARCH("DQ",MAIN!G832:J832), 0))&gt;0, "DQ",
                IF(ISNUMBER(SEARCH("WD",MAIN!K832)), "WD",
                IF(ISNUMBER(SEARCH("NS",MAIN!K832)), "NS",
                IF(ISNUMBER(SEARCH("NC",MAIN!K832)), "NC",
                IF(ISNUMBER(SEARCH("DQ",MAIN!K832)), "DQ",
                IF(ISNUMBER(SEARCH("A",MAIN!K832)), 0,
                IF(OR(MAIN!K832=0,MAIN!K832=""), 0, --TRIM(MAIN!K832)))))))))))),
            0
        )
    ),
    IFERROR(
        UPPER(
            IF(MAX(IFERROR(SEARCH("WD",MAIN!G832:J832), 0))&gt;0, "WD",
            IF(MAX(IFERROR(SEARCH("NS",MAIN!G832:J832), 0))&gt;0, "NS",
            IF(MAX(IFERROR(SEARCH("NC",MAIN!G832:J832), 0))&gt;0, "NC",
            IF(MAX(IFERROR(SEARCH("DQ",MAIN!G832:J832), 0))&gt;0, "DQ",
            IF(ISNUMBER(SEARCH("WD",MAIN!K832)), "WD",
            IF(ISNUMBER(SEARCH("NS",MAIN!K832)), "NS",
            IF(ISNUMBER(SEARCH("NC",MAIN!K832)), "NC",
            IF(ISNUMBER(SEARCH("DQ",MAIN!K832)), "DQ",
            IF(ISNUMBER(SEARCH("A",MAIN!K832)), 0,
            IF(OR(MAIN!K832=0,MAIN!K832=""), 0, --TRIM(MAIN!K832)))))))))))),
        0
    )
)</f>
        <v>0</v>
      </c>
    </row>
    <row r="833" spans="1:11" x14ac:dyDescent="0.25">
      <c r="A833" t="str">
        <f>IF(ISBLANK(MAIN!A833), "--", IFERROR(PROPER(SUBSTITUTE(SUBSTITUTE(SUBSTITUTE(SUBSTITUTE(SUBSTITUTE(SUBSTITUTE(SUBSTITUTE(SUBSTITUTE(SUBSTITUTE(SUBSTITUTE(LEFT(MAIN!A833, FIND(",",MAIN!A833) -1), "0", ""), "1", ""), "2", ""), "3", ""), "4", ""), "5", ""), "6", ""), "7", ""), "8", ""), "9", "")), PROPER(SUBSTITUTE(SUBSTITUTE(SUBSTITUTE(SUBSTITUTE(SUBSTITUTE(SUBSTITUTE(SUBSTITUTE(SUBSTITUTE(SUBSTITUTE(SUBSTITUTE(MAIN!A833, "0", ""), "1", ""), "2", ""), "3", ""), "4", ""), "5", ""), "6", ""), "7", ""), "8", ""), "9", ""))))</f>
        <v>--</v>
      </c>
      <c r="B833" t="str">
        <f>IF(ISBLANK(MAIN!B833), "--", IFERROR(PROPER(SUBSTITUTE(SUBSTITUTE(SUBSTITUTE(SUBSTITUTE(SUBSTITUTE(SUBSTITUTE(SUBSTITUTE(SUBSTITUTE(SUBSTITUTE(SUBSTITUTE(LEFT(MAIN!B833, FIND(",",MAIN!B833) -1), "0", ""), "1", ""), "2", ""), "3", ""), "4", ""), "5", ""), "6", ""), "7", ""), "8", ""), "9", "")), PROPER(SUBSTITUTE(SUBSTITUTE(SUBSTITUTE(SUBSTITUTE(SUBSTITUTE(SUBSTITUTE(SUBSTITUTE(SUBSTITUTE(SUBSTITUTE(SUBSTITUTE(MAIN!B833, "0", ""), "1", ""), "2", ""), "3", ""), "4", ""), "5", ""), "6", ""), "7", ""), "8", ""), "9", ""))))</f>
        <v>--</v>
      </c>
      <c r="C833" t="str">
        <f>IF(ISBLANK(MAIN!C833), "--", IFERROR(PROPER(SUBSTITUTE(SUBSTITUTE(SUBSTITUTE(SUBSTITUTE(SUBSTITUTE(SUBSTITUTE(SUBSTITUTE(SUBSTITUTE(SUBSTITUTE(SUBSTITUTE(LEFT(MAIN!C833, FIND(",",MAIN!C833) -1), "0", ""), "1", ""), "2", ""), "3", ""), "4", ""), "5", ""), "6", ""), "7", ""), "8", ""), "9", "")), PROPER(SUBSTITUTE(SUBSTITUTE(SUBSTITUTE(SUBSTITUTE(SUBSTITUTE(SUBSTITUTE(SUBSTITUTE(SUBSTITUTE(SUBSTITUTE(SUBSTITUTE(MAIN!C833, "0", ""), "1", ""), "2", ""), "3", ""), "4", ""), "5", ""), "6", ""), "7", ""), "8", ""), "9", ""))))</f>
        <v>--</v>
      </c>
      <c r="D833" t="str">
        <f>IF(ISBLANK(MAIN!D833), "--", IF(ISNUMBER(MATCH(SUBSTITUTE(LEFT(MAIN!D833, IFERROR(FIND(",", MAIN!D833)-1, LEN(MAIN!D833))), " ", ""), lookup_values!$B$2:$B$51, 0)), UPPER(SUBSTITUTE(LEFT(MAIN!D833, IFERROR(FIND(",", MAIN!D833)-1, LEN(MAIN!D833))), " ", "")), IF(ISNA(VLOOKUP(SUBSTITUTE(LEFT(MAIN!D833, IFERROR(FIND(",", MAIN!D833)-1, LEN(MAIN!D833))), " ", ""), lookup_values!$A$2:$B$51, 2, FALSE)), "--", VLOOKUP(SUBSTITUTE(LEFT(MAIN!D833, IFERROR(FIND(",", MAIN!D833)-1, LEN(MAIN!D833))), " ", ""), lookup_values!$A$2:$B$51, 2, FALSE))))</f>
        <v>--</v>
      </c>
      <c r="E833" t="str">
        <f>IF(CLEAN_DATA!D833&lt;&gt;"--","US",IF(ISBLANK(MAIN!E833), "--", IF(ISNUMBER(MATCH(SUBSTITUTE(LEFT(MAIN!E833, IFERROR(FIND(",", MAIN!E833)-1, LEN(MAIN!E833))), " ", ""), lookup_values!$E$2:$E$197, 0)), UPPER(SUBSTITUTE(LEFT(MAIN!E833, IFERROR(FIND(",", MAIN!E833)-1, LEN(MAIN!E833))), " ", "")), IF(ISNA(VLOOKUP(SUBSTITUTE(LEFT(MAIN!E833, IFERROR(FIND(",", MAIN!E833)-1, LEN(MAIN!E833))), " ", ""), lookup_values!$D$2:$E$197, 2, FALSE)), "--", VLOOKUP(SUBSTITUTE(LEFT(MAIN!E833, IFERROR(FIND(",", MAIN!E833)-1, LEN(MAIN!E833))), " ", ""), lookup_values!$D$2:$E$197, 2, FALSE)))))</f>
        <v>--</v>
      </c>
      <c r="F833" t="str">
        <f>IF(ISBLANK(MAIN!F833), "", IF(AND(ISNUMBER(VALUE(TRIM(MAIN!F833))), LEN(TRIM(MAIN!F833))=4), VALUE(TRIM(MAIN!F833)), ""))</f>
        <v/>
      </c>
      <c r="G833">
        <f>IF(ISBLANK(MAIN!G833), 0, IF(ISNUMBER(VALUE(TRIM(MAIN!G833))), VALUE(TRIM(MAIN!G833)), 0))</f>
        <v>0</v>
      </c>
      <c r="H833">
        <f>IF(ISBLANK(MAIN!H833), 0, IF(ISNUMBER(VALUE(TRIM(MAIN!H833))), VALUE(TRIM(MAIN!H833)), 0))</f>
        <v>0</v>
      </c>
      <c r="I833">
        <f>IF(ISBLANK(MAIN!I833), 0, IF(ISNUMBER(VALUE(TRIM(MAIN!I833))), VALUE(TRIM(MAIN!I833)), 0))</f>
        <v>0</v>
      </c>
      <c r="J833">
        <f>IF(ISBLANK(MAIN!J833), 0, IF(ISNUMBER(VALUE(TRIM(MAIN!J833))), VALUE(TRIM(MAIN!J833)), 0))</f>
        <v>0</v>
      </c>
      <c r="K833" cm="1">
        <f t="array" ref="K833">IFERROR(
    VALUE(
        IFERROR(
            UPPER(
                IF(MAX(IFERROR(SEARCH("WD",MAIN!G833:J833), 0))&gt;0, "WD",
                IF(MAX(IFERROR(SEARCH("NS",MAIN!G833:J833), 0))&gt;0, "NS",
                IF(MAX(IFERROR(SEARCH("NC",MAIN!G833:J833), 0))&gt;0, "NC",
                IF(MAX(IFERROR(SEARCH("DQ",MAIN!G833:J833), 0))&gt;0, "DQ",
                IF(ISNUMBER(SEARCH("WD",MAIN!K833)), "WD",
                IF(ISNUMBER(SEARCH("NS",MAIN!K833)), "NS",
                IF(ISNUMBER(SEARCH("NC",MAIN!K833)), "NC",
                IF(ISNUMBER(SEARCH("DQ",MAIN!K833)), "DQ",
                IF(ISNUMBER(SEARCH("A",MAIN!K833)), 0,
                IF(OR(MAIN!K833=0,MAIN!K833=""), 0, --TRIM(MAIN!K833)))))))))))),
            0
        )
    ),
    IFERROR(
        UPPER(
            IF(MAX(IFERROR(SEARCH("WD",MAIN!G833:J833), 0))&gt;0, "WD",
            IF(MAX(IFERROR(SEARCH("NS",MAIN!G833:J833), 0))&gt;0, "NS",
            IF(MAX(IFERROR(SEARCH("NC",MAIN!G833:J833), 0))&gt;0, "NC",
            IF(MAX(IFERROR(SEARCH("DQ",MAIN!G833:J833), 0))&gt;0, "DQ",
            IF(ISNUMBER(SEARCH("WD",MAIN!K833)), "WD",
            IF(ISNUMBER(SEARCH("NS",MAIN!K833)), "NS",
            IF(ISNUMBER(SEARCH("NC",MAIN!K833)), "NC",
            IF(ISNUMBER(SEARCH("DQ",MAIN!K833)), "DQ",
            IF(ISNUMBER(SEARCH("A",MAIN!K833)), 0,
            IF(OR(MAIN!K833=0,MAIN!K833=""), 0, --TRIM(MAIN!K833)))))))))))),
        0
    )
)</f>
        <v>0</v>
      </c>
    </row>
    <row r="834" spans="1:11" x14ac:dyDescent="0.25">
      <c r="A834" t="str">
        <f>IF(ISBLANK(MAIN!A834), "--", IFERROR(PROPER(SUBSTITUTE(SUBSTITUTE(SUBSTITUTE(SUBSTITUTE(SUBSTITUTE(SUBSTITUTE(SUBSTITUTE(SUBSTITUTE(SUBSTITUTE(SUBSTITUTE(LEFT(MAIN!A834, FIND(",",MAIN!A834) -1), "0", ""), "1", ""), "2", ""), "3", ""), "4", ""), "5", ""), "6", ""), "7", ""), "8", ""), "9", "")), PROPER(SUBSTITUTE(SUBSTITUTE(SUBSTITUTE(SUBSTITUTE(SUBSTITUTE(SUBSTITUTE(SUBSTITUTE(SUBSTITUTE(SUBSTITUTE(SUBSTITUTE(MAIN!A834, "0", ""), "1", ""), "2", ""), "3", ""), "4", ""), "5", ""), "6", ""), "7", ""), "8", ""), "9", ""))))</f>
        <v>--</v>
      </c>
      <c r="B834" t="str">
        <f>IF(ISBLANK(MAIN!B834), "--", IFERROR(PROPER(SUBSTITUTE(SUBSTITUTE(SUBSTITUTE(SUBSTITUTE(SUBSTITUTE(SUBSTITUTE(SUBSTITUTE(SUBSTITUTE(SUBSTITUTE(SUBSTITUTE(LEFT(MAIN!B834, FIND(",",MAIN!B834) -1), "0", ""), "1", ""), "2", ""), "3", ""), "4", ""), "5", ""), "6", ""), "7", ""), "8", ""), "9", "")), PROPER(SUBSTITUTE(SUBSTITUTE(SUBSTITUTE(SUBSTITUTE(SUBSTITUTE(SUBSTITUTE(SUBSTITUTE(SUBSTITUTE(SUBSTITUTE(SUBSTITUTE(MAIN!B834, "0", ""), "1", ""), "2", ""), "3", ""), "4", ""), "5", ""), "6", ""), "7", ""), "8", ""), "9", ""))))</f>
        <v>--</v>
      </c>
      <c r="C834" t="str">
        <f>IF(ISBLANK(MAIN!C834), "--", IFERROR(PROPER(SUBSTITUTE(SUBSTITUTE(SUBSTITUTE(SUBSTITUTE(SUBSTITUTE(SUBSTITUTE(SUBSTITUTE(SUBSTITUTE(SUBSTITUTE(SUBSTITUTE(LEFT(MAIN!C834, FIND(",",MAIN!C834) -1), "0", ""), "1", ""), "2", ""), "3", ""), "4", ""), "5", ""), "6", ""), "7", ""), "8", ""), "9", "")), PROPER(SUBSTITUTE(SUBSTITUTE(SUBSTITUTE(SUBSTITUTE(SUBSTITUTE(SUBSTITUTE(SUBSTITUTE(SUBSTITUTE(SUBSTITUTE(SUBSTITUTE(MAIN!C834, "0", ""), "1", ""), "2", ""), "3", ""), "4", ""), "5", ""), "6", ""), "7", ""), "8", ""), "9", ""))))</f>
        <v>--</v>
      </c>
      <c r="D834" t="str">
        <f>IF(ISBLANK(MAIN!D834), "--", IF(ISNUMBER(MATCH(SUBSTITUTE(LEFT(MAIN!D834, IFERROR(FIND(",", MAIN!D834)-1, LEN(MAIN!D834))), " ", ""), lookup_values!$B$2:$B$51, 0)), UPPER(SUBSTITUTE(LEFT(MAIN!D834, IFERROR(FIND(",", MAIN!D834)-1, LEN(MAIN!D834))), " ", "")), IF(ISNA(VLOOKUP(SUBSTITUTE(LEFT(MAIN!D834, IFERROR(FIND(",", MAIN!D834)-1, LEN(MAIN!D834))), " ", ""), lookup_values!$A$2:$B$51, 2, FALSE)), "--", VLOOKUP(SUBSTITUTE(LEFT(MAIN!D834, IFERROR(FIND(",", MAIN!D834)-1, LEN(MAIN!D834))), " ", ""), lookup_values!$A$2:$B$51, 2, FALSE))))</f>
        <v>--</v>
      </c>
      <c r="E834" t="str">
        <f>IF(CLEAN_DATA!D834&lt;&gt;"--","US",IF(ISBLANK(MAIN!E834), "--", IF(ISNUMBER(MATCH(SUBSTITUTE(LEFT(MAIN!E834, IFERROR(FIND(",", MAIN!E834)-1, LEN(MAIN!E834))), " ", ""), lookup_values!$E$2:$E$197, 0)), UPPER(SUBSTITUTE(LEFT(MAIN!E834, IFERROR(FIND(",", MAIN!E834)-1, LEN(MAIN!E834))), " ", "")), IF(ISNA(VLOOKUP(SUBSTITUTE(LEFT(MAIN!E834, IFERROR(FIND(",", MAIN!E834)-1, LEN(MAIN!E834))), " ", ""), lookup_values!$D$2:$E$197, 2, FALSE)), "--", VLOOKUP(SUBSTITUTE(LEFT(MAIN!E834, IFERROR(FIND(",", MAIN!E834)-1, LEN(MAIN!E834))), " ", ""), lookup_values!$D$2:$E$197, 2, FALSE)))))</f>
        <v>--</v>
      </c>
      <c r="F834" t="str">
        <f>IF(ISBLANK(MAIN!F834), "", IF(AND(ISNUMBER(VALUE(TRIM(MAIN!F834))), LEN(TRIM(MAIN!F834))=4), VALUE(TRIM(MAIN!F834)), ""))</f>
        <v/>
      </c>
      <c r="G834">
        <f>IF(ISBLANK(MAIN!G834), 0, IF(ISNUMBER(VALUE(TRIM(MAIN!G834))), VALUE(TRIM(MAIN!G834)), 0))</f>
        <v>0</v>
      </c>
      <c r="H834">
        <f>IF(ISBLANK(MAIN!H834), 0, IF(ISNUMBER(VALUE(TRIM(MAIN!H834))), VALUE(TRIM(MAIN!H834)), 0))</f>
        <v>0</v>
      </c>
      <c r="I834">
        <f>IF(ISBLANK(MAIN!I834), 0, IF(ISNUMBER(VALUE(TRIM(MAIN!I834))), VALUE(TRIM(MAIN!I834)), 0))</f>
        <v>0</v>
      </c>
      <c r="J834">
        <f>IF(ISBLANK(MAIN!J834), 0, IF(ISNUMBER(VALUE(TRIM(MAIN!J834))), VALUE(TRIM(MAIN!J834)), 0))</f>
        <v>0</v>
      </c>
      <c r="K834" cm="1">
        <f t="array" ref="K834">IFERROR(
    VALUE(
        IFERROR(
            UPPER(
                IF(MAX(IFERROR(SEARCH("WD",MAIN!G834:J834), 0))&gt;0, "WD",
                IF(MAX(IFERROR(SEARCH("NS",MAIN!G834:J834), 0))&gt;0, "NS",
                IF(MAX(IFERROR(SEARCH("NC",MAIN!G834:J834), 0))&gt;0, "NC",
                IF(MAX(IFERROR(SEARCH("DQ",MAIN!G834:J834), 0))&gt;0, "DQ",
                IF(ISNUMBER(SEARCH("WD",MAIN!K834)), "WD",
                IF(ISNUMBER(SEARCH("NS",MAIN!K834)), "NS",
                IF(ISNUMBER(SEARCH("NC",MAIN!K834)), "NC",
                IF(ISNUMBER(SEARCH("DQ",MAIN!K834)), "DQ",
                IF(ISNUMBER(SEARCH("A",MAIN!K834)), 0,
                IF(OR(MAIN!K834=0,MAIN!K834=""), 0, --TRIM(MAIN!K834)))))))))))),
            0
        )
    ),
    IFERROR(
        UPPER(
            IF(MAX(IFERROR(SEARCH("WD",MAIN!G834:J834), 0))&gt;0, "WD",
            IF(MAX(IFERROR(SEARCH("NS",MAIN!G834:J834), 0))&gt;0, "NS",
            IF(MAX(IFERROR(SEARCH("NC",MAIN!G834:J834), 0))&gt;0, "NC",
            IF(MAX(IFERROR(SEARCH("DQ",MAIN!G834:J834), 0))&gt;0, "DQ",
            IF(ISNUMBER(SEARCH("WD",MAIN!K834)), "WD",
            IF(ISNUMBER(SEARCH("NS",MAIN!K834)), "NS",
            IF(ISNUMBER(SEARCH("NC",MAIN!K834)), "NC",
            IF(ISNUMBER(SEARCH("DQ",MAIN!K834)), "DQ",
            IF(ISNUMBER(SEARCH("A",MAIN!K834)), 0,
            IF(OR(MAIN!K834=0,MAIN!K834=""), 0, --TRIM(MAIN!K834)))))))))))),
        0
    )
)</f>
        <v>0</v>
      </c>
    </row>
    <row r="835" spans="1:11" x14ac:dyDescent="0.25">
      <c r="A835" t="str">
        <f>IF(ISBLANK(MAIN!A835), "--", IFERROR(PROPER(SUBSTITUTE(SUBSTITUTE(SUBSTITUTE(SUBSTITUTE(SUBSTITUTE(SUBSTITUTE(SUBSTITUTE(SUBSTITUTE(SUBSTITUTE(SUBSTITUTE(LEFT(MAIN!A835, FIND(",",MAIN!A835) -1), "0", ""), "1", ""), "2", ""), "3", ""), "4", ""), "5", ""), "6", ""), "7", ""), "8", ""), "9", "")), PROPER(SUBSTITUTE(SUBSTITUTE(SUBSTITUTE(SUBSTITUTE(SUBSTITUTE(SUBSTITUTE(SUBSTITUTE(SUBSTITUTE(SUBSTITUTE(SUBSTITUTE(MAIN!A835, "0", ""), "1", ""), "2", ""), "3", ""), "4", ""), "5", ""), "6", ""), "7", ""), "8", ""), "9", ""))))</f>
        <v>--</v>
      </c>
      <c r="B835" t="str">
        <f>IF(ISBLANK(MAIN!B835), "--", IFERROR(PROPER(SUBSTITUTE(SUBSTITUTE(SUBSTITUTE(SUBSTITUTE(SUBSTITUTE(SUBSTITUTE(SUBSTITUTE(SUBSTITUTE(SUBSTITUTE(SUBSTITUTE(LEFT(MAIN!B835, FIND(",",MAIN!B835) -1), "0", ""), "1", ""), "2", ""), "3", ""), "4", ""), "5", ""), "6", ""), "7", ""), "8", ""), "9", "")), PROPER(SUBSTITUTE(SUBSTITUTE(SUBSTITUTE(SUBSTITUTE(SUBSTITUTE(SUBSTITUTE(SUBSTITUTE(SUBSTITUTE(SUBSTITUTE(SUBSTITUTE(MAIN!B835, "0", ""), "1", ""), "2", ""), "3", ""), "4", ""), "5", ""), "6", ""), "7", ""), "8", ""), "9", ""))))</f>
        <v>--</v>
      </c>
      <c r="C835" t="str">
        <f>IF(ISBLANK(MAIN!C835), "--", IFERROR(PROPER(SUBSTITUTE(SUBSTITUTE(SUBSTITUTE(SUBSTITUTE(SUBSTITUTE(SUBSTITUTE(SUBSTITUTE(SUBSTITUTE(SUBSTITUTE(SUBSTITUTE(LEFT(MAIN!C835, FIND(",",MAIN!C835) -1), "0", ""), "1", ""), "2", ""), "3", ""), "4", ""), "5", ""), "6", ""), "7", ""), "8", ""), "9", "")), PROPER(SUBSTITUTE(SUBSTITUTE(SUBSTITUTE(SUBSTITUTE(SUBSTITUTE(SUBSTITUTE(SUBSTITUTE(SUBSTITUTE(SUBSTITUTE(SUBSTITUTE(MAIN!C835, "0", ""), "1", ""), "2", ""), "3", ""), "4", ""), "5", ""), "6", ""), "7", ""), "8", ""), "9", ""))))</f>
        <v>--</v>
      </c>
      <c r="D835" t="str">
        <f>IF(ISBLANK(MAIN!D835), "--", IF(ISNUMBER(MATCH(SUBSTITUTE(LEFT(MAIN!D835, IFERROR(FIND(",", MAIN!D835)-1, LEN(MAIN!D835))), " ", ""), lookup_values!$B$2:$B$51, 0)), UPPER(SUBSTITUTE(LEFT(MAIN!D835, IFERROR(FIND(",", MAIN!D835)-1, LEN(MAIN!D835))), " ", "")), IF(ISNA(VLOOKUP(SUBSTITUTE(LEFT(MAIN!D835, IFERROR(FIND(",", MAIN!D835)-1, LEN(MAIN!D835))), " ", ""), lookup_values!$A$2:$B$51, 2, FALSE)), "--", VLOOKUP(SUBSTITUTE(LEFT(MAIN!D835, IFERROR(FIND(",", MAIN!D835)-1, LEN(MAIN!D835))), " ", ""), lookup_values!$A$2:$B$51, 2, FALSE))))</f>
        <v>--</v>
      </c>
      <c r="E835" t="str">
        <f>IF(CLEAN_DATA!D835&lt;&gt;"--","US",IF(ISBLANK(MAIN!E835), "--", IF(ISNUMBER(MATCH(SUBSTITUTE(LEFT(MAIN!E835, IFERROR(FIND(",", MAIN!E835)-1, LEN(MAIN!E835))), " ", ""), lookup_values!$E$2:$E$197, 0)), UPPER(SUBSTITUTE(LEFT(MAIN!E835, IFERROR(FIND(",", MAIN!E835)-1, LEN(MAIN!E835))), " ", "")), IF(ISNA(VLOOKUP(SUBSTITUTE(LEFT(MAIN!E835, IFERROR(FIND(",", MAIN!E835)-1, LEN(MAIN!E835))), " ", ""), lookup_values!$D$2:$E$197, 2, FALSE)), "--", VLOOKUP(SUBSTITUTE(LEFT(MAIN!E835, IFERROR(FIND(",", MAIN!E835)-1, LEN(MAIN!E835))), " ", ""), lookup_values!$D$2:$E$197, 2, FALSE)))))</f>
        <v>--</v>
      </c>
      <c r="F835" t="str">
        <f>IF(ISBLANK(MAIN!F835), "", IF(AND(ISNUMBER(VALUE(TRIM(MAIN!F835))), LEN(TRIM(MAIN!F835))=4), VALUE(TRIM(MAIN!F835)), ""))</f>
        <v/>
      </c>
      <c r="G835">
        <f>IF(ISBLANK(MAIN!G835), 0, IF(ISNUMBER(VALUE(TRIM(MAIN!G835))), VALUE(TRIM(MAIN!G835)), 0))</f>
        <v>0</v>
      </c>
      <c r="H835">
        <f>IF(ISBLANK(MAIN!H835), 0, IF(ISNUMBER(VALUE(TRIM(MAIN!H835))), VALUE(TRIM(MAIN!H835)), 0))</f>
        <v>0</v>
      </c>
      <c r="I835">
        <f>IF(ISBLANK(MAIN!I835), 0, IF(ISNUMBER(VALUE(TRIM(MAIN!I835))), VALUE(TRIM(MAIN!I835)), 0))</f>
        <v>0</v>
      </c>
      <c r="J835">
        <f>IF(ISBLANK(MAIN!J835), 0, IF(ISNUMBER(VALUE(TRIM(MAIN!J835))), VALUE(TRIM(MAIN!J835)), 0))</f>
        <v>0</v>
      </c>
      <c r="K835" cm="1">
        <f t="array" ref="K835">IFERROR(
    VALUE(
        IFERROR(
            UPPER(
                IF(MAX(IFERROR(SEARCH("WD",MAIN!G835:J835), 0))&gt;0, "WD",
                IF(MAX(IFERROR(SEARCH("NS",MAIN!G835:J835), 0))&gt;0, "NS",
                IF(MAX(IFERROR(SEARCH("NC",MAIN!G835:J835), 0))&gt;0, "NC",
                IF(MAX(IFERROR(SEARCH("DQ",MAIN!G835:J835), 0))&gt;0, "DQ",
                IF(ISNUMBER(SEARCH("WD",MAIN!K835)), "WD",
                IF(ISNUMBER(SEARCH("NS",MAIN!K835)), "NS",
                IF(ISNUMBER(SEARCH("NC",MAIN!K835)), "NC",
                IF(ISNUMBER(SEARCH("DQ",MAIN!K835)), "DQ",
                IF(ISNUMBER(SEARCH("A",MAIN!K835)), 0,
                IF(OR(MAIN!K835=0,MAIN!K835=""), 0, --TRIM(MAIN!K835)))))))))))),
            0
        )
    ),
    IFERROR(
        UPPER(
            IF(MAX(IFERROR(SEARCH("WD",MAIN!G835:J835), 0))&gt;0, "WD",
            IF(MAX(IFERROR(SEARCH("NS",MAIN!G835:J835), 0))&gt;0, "NS",
            IF(MAX(IFERROR(SEARCH("NC",MAIN!G835:J835), 0))&gt;0, "NC",
            IF(MAX(IFERROR(SEARCH("DQ",MAIN!G835:J835), 0))&gt;0, "DQ",
            IF(ISNUMBER(SEARCH("WD",MAIN!K835)), "WD",
            IF(ISNUMBER(SEARCH("NS",MAIN!K835)), "NS",
            IF(ISNUMBER(SEARCH("NC",MAIN!K835)), "NC",
            IF(ISNUMBER(SEARCH("DQ",MAIN!K835)), "DQ",
            IF(ISNUMBER(SEARCH("A",MAIN!K835)), 0,
            IF(OR(MAIN!K835=0,MAIN!K835=""), 0, --TRIM(MAIN!K835)))))))))))),
        0
    )
)</f>
        <v>0</v>
      </c>
    </row>
    <row r="836" spans="1:11" x14ac:dyDescent="0.25">
      <c r="A836" t="str">
        <f>IF(ISBLANK(MAIN!A836), "--", IFERROR(PROPER(SUBSTITUTE(SUBSTITUTE(SUBSTITUTE(SUBSTITUTE(SUBSTITUTE(SUBSTITUTE(SUBSTITUTE(SUBSTITUTE(SUBSTITUTE(SUBSTITUTE(LEFT(MAIN!A836, FIND(",",MAIN!A836) -1), "0", ""), "1", ""), "2", ""), "3", ""), "4", ""), "5", ""), "6", ""), "7", ""), "8", ""), "9", "")), PROPER(SUBSTITUTE(SUBSTITUTE(SUBSTITUTE(SUBSTITUTE(SUBSTITUTE(SUBSTITUTE(SUBSTITUTE(SUBSTITUTE(SUBSTITUTE(SUBSTITUTE(MAIN!A836, "0", ""), "1", ""), "2", ""), "3", ""), "4", ""), "5", ""), "6", ""), "7", ""), "8", ""), "9", ""))))</f>
        <v>--</v>
      </c>
      <c r="B836" t="str">
        <f>IF(ISBLANK(MAIN!B836), "--", IFERROR(PROPER(SUBSTITUTE(SUBSTITUTE(SUBSTITUTE(SUBSTITUTE(SUBSTITUTE(SUBSTITUTE(SUBSTITUTE(SUBSTITUTE(SUBSTITUTE(SUBSTITUTE(LEFT(MAIN!B836, FIND(",",MAIN!B836) -1), "0", ""), "1", ""), "2", ""), "3", ""), "4", ""), "5", ""), "6", ""), "7", ""), "8", ""), "9", "")), PROPER(SUBSTITUTE(SUBSTITUTE(SUBSTITUTE(SUBSTITUTE(SUBSTITUTE(SUBSTITUTE(SUBSTITUTE(SUBSTITUTE(SUBSTITUTE(SUBSTITUTE(MAIN!B836, "0", ""), "1", ""), "2", ""), "3", ""), "4", ""), "5", ""), "6", ""), "7", ""), "8", ""), "9", ""))))</f>
        <v>--</v>
      </c>
      <c r="C836" t="str">
        <f>IF(ISBLANK(MAIN!C836), "--", IFERROR(PROPER(SUBSTITUTE(SUBSTITUTE(SUBSTITUTE(SUBSTITUTE(SUBSTITUTE(SUBSTITUTE(SUBSTITUTE(SUBSTITUTE(SUBSTITUTE(SUBSTITUTE(LEFT(MAIN!C836, FIND(",",MAIN!C836) -1), "0", ""), "1", ""), "2", ""), "3", ""), "4", ""), "5", ""), "6", ""), "7", ""), "8", ""), "9", "")), PROPER(SUBSTITUTE(SUBSTITUTE(SUBSTITUTE(SUBSTITUTE(SUBSTITUTE(SUBSTITUTE(SUBSTITUTE(SUBSTITUTE(SUBSTITUTE(SUBSTITUTE(MAIN!C836, "0", ""), "1", ""), "2", ""), "3", ""), "4", ""), "5", ""), "6", ""), "7", ""), "8", ""), "9", ""))))</f>
        <v>--</v>
      </c>
      <c r="D836" t="str">
        <f>IF(ISBLANK(MAIN!D836), "--", IF(ISNUMBER(MATCH(SUBSTITUTE(LEFT(MAIN!D836, IFERROR(FIND(",", MAIN!D836)-1, LEN(MAIN!D836))), " ", ""), lookup_values!$B$2:$B$51, 0)), UPPER(SUBSTITUTE(LEFT(MAIN!D836, IFERROR(FIND(",", MAIN!D836)-1, LEN(MAIN!D836))), " ", "")), IF(ISNA(VLOOKUP(SUBSTITUTE(LEFT(MAIN!D836, IFERROR(FIND(",", MAIN!D836)-1, LEN(MAIN!D836))), " ", ""), lookup_values!$A$2:$B$51, 2, FALSE)), "--", VLOOKUP(SUBSTITUTE(LEFT(MAIN!D836, IFERROR(FIND(",", MAIN!D836)-1, LEN(MAIN!D836))), " ", ""), lookup_values!$A$2:$B$51, 2, FALSE))))</f>
        <v>--</v>
      </c>
      <c r="E836" t="str">
        <f>IF(CLEAN_DATA!D836&lt;&gt;"--","US",IF(ISBLANK(MAIN!E836), "--", IF(ISNUMBER(MATCH(SUBSTITUTE(LEFT(MAIN!E836, IFERROR(FIND(",", MAIN!E836)-1, LEN(MAIN!E836))), " ", ""), lookup_values!$E$2:$E$197, 0)), UPPER(SUBSTITUTE(LEFT(MAIN!E836, IFERROR(FIND(",", MAIN!E836)-1, LEN(MAIN!E836))), " ", "")), IF(ISNA(VLOOKUP(SUBSTITUTE(LEFT(MAIN!E836, IFERROR(FIND(",", MAIN!E836)-1, LEN(MAIN!E836))), " ", ""), lookup_values!$D$2:$E$197, 2, FALSE)), "--", VLOOKUP(SUBSTITUTE(LEFT(MAIN!E836, IFERROR(FIND(",", MAIN!E836)-1, LEN(MAIN!E836))), " ", ""), lookup_values!$D$2:$E$197, 2, FALSE)))))</f>
        <v>--</v>
      </c>
      <c r="F836" t="str">
        <f>IF(ISBLANK(MAIN!F836), "", IF(AND(ISNUMBER(VALUE(TRIM(MAIN!F836))), LEN(TRIM(MAIN!F836))=4), VALUE(TRIM(MAIN!F836)), ""))</f>
        <v/>
      </c>
      <c r="G836">
        <f>IF(ISBLANK(MAIN!G836), 0, IF(ISNUMBER(VALUE(TRIM(MAIN!G836))), VALUE(TRIM(MAIN!G836)), 0))</f>
        <v>0</v>
      </c>
      <c r="H836">
        <f>IF(ISBLANK(MAIN!H836), 0, IF(ISNUMBER(VALUE(TRIM(MAIN!H836))), VALUE(TRIM(MAIN!H836)), 0))</f>
        <v>0</v>
      </c>
      <c r="I836">
        <f>IF(ISBLANK(MAIN!I836), 0, IF(ISNUMBER(VALUE(TRIM(MAIN!I836))), VALUE(TRIM(MAIN!I836)), 0))</f>
        <v>0</v>
      </c>
      <c r="J836">
        <f>IF(ISBLANK(MAIN!J836), 0, IF(ISNUMBER(VALUE(TRIM(MAIN!J836))), VALUE(TRIM(MAIN!J836)), 0))</f>
        <v>0</v>
      </c>
      <c r="K836" cm="1">
        <f t="array" ref="K836">IFERROR(
    VALUE(
        IFERROR(
            UPPER(
                IF(MAX(IFERROR(SEARCH("WD",MAIN!G836:J836), 0))&gt;0, "WD",
                IF(MAX(IFERROR(SEARCH("NS",MAIN!G836:J836), 0))&gt;0, "NS",
                IF(MAX(IFERROR(SEARCH("NC",MAIN!G836:J836), 0))&gt;0, "NC",
                IF(MAX(IFERROR(SEARCH("DQ",MAIN!G836:J836), 0))&gt;0, "DQ",
                IF(ISNUMBER(SEARCH("WD",MAIN!K836)), "WD",
                IF(ISNUMBER(SEARCH("NS",MAIN!K836)), "NS",
                IF(ISNUMBER(SEARCH("NC",MAIN!K836)), "NC",
                IF(ISNUMBER(SEARCH("DQ",MAIN!K836)), "DQ",
                IF(ISNUMBER(SEARCH("A",MAIN!K836)), 0,
                IF(OR(MAIN!K836=0,MAIN!K836=""), 0, --TRIM(MAIN!K836)))))))))))),
            0
        )
    ),
    IFERROR(
        UPPER(
            IF(MAX(IFERROR(SEARCH("WD",MAIN!G836:J836), 0))&gt;0, "WD",
            IF(MAX(IFERROR(SEARCH("NS",MAIN!G836:J836), 0))&gt;0, "NS",
            IF(MAX(IFERROR(SEARCH("NC",MAIN!G836:J836), 0))&gt;0, "NC",
            IF(MAX(IFERROR(SEARCH("DQ",MAIN!G836:J836), 0))&gt;0, "DQ",
            IF(ISNUMBER(SEARCH("WD",MAIN!K836)), "WD",
            IF(ISNUMBER(SEARCH("NS",MAIN!K836)), "NS",
            IF(ISNUMBER(SEARCH("NC",MAIN!K836)), "NC",
            IF(ISNUMBER(SEARCH("DQ",MAIN!K836)), "DQ",
            IF(ISNUMBER(SEARCH("A",MAIN!K836)), 0,
            IF(OR(MAIN!K836=0,MAIN!K836=""), 0, --TRIM(MAIN!K836)))))))))))),
        0
    )
)</f>
        <v>0</v>
      </c>
    </row>
    <row r="837" spans="1:11" x14ac:dyDescent="0.25">
      <c r="A837" t="str">
        <f>IF(ISBLANK(MAIN!A837), "--", IFERROR(PROPER(SUBSTITUTE(SUBSTITUTE(SUBSTITUTE(SUBSTITUTE(SUBSTITUTE(SUBSTITUTE(SUBSTITUTE(SUBSTITUTE(SUBSTITUTE(SUBSTITUTE(LEFT(MAIN!A837, FIND(",",MAIN!A837) -1), "0", ""), "1", ""), "2", ""), "3", ""), "4", ""), "5", ""), "6", ""), "7", ""), "8", ""), "9", "")), PROPER(SUBSTITUTE(SUBSTITUTE(SUBSTITUTE(SUBSTITUTE(SUBSTITUTE(SUBSTITUTE(SUBSTITUTE(SUBSTITUTE(SUBSTITUTE(SUBSTITUTE(MAIN!A837, "0", ""), "1", ""), "2", ""), "3", ""), "4", ""), "5", ""), "6", ""), "7", ""), "8", ""), "9", ""))))</f>
        <v>--</v>
      </c>
      <c r="B837" t="str">
        <f>IF(ISBLANK(MAIN!B837), "--", IFERROR(PROPER(SUBSTITUTE(SUBSTITUTE(SUBSTITUTE(SUBSTITUTE(SUBSTITUTE(SUBSTITUTE(SUBSTITUTE(SUBSTITUTE(SUBSTITUTE(SUBSTITUTE(LEFT(MAIN!B837, FIND(",",MAIN!B837) -1), "0", ""), "1", ""), "2", ""), "3", ""), "4", ""), "5", ""), "6", ""), "7", ""), "8", ""), "9", "")), PROPER(SUBSTITUTE(SUBSTITUTE(SUBSTITUTE(SUBSTITUTE(SUBSTITUTE(SUBSTITUTE(SUBSTITUTE(SUBSTITUTE(SUBSTITUTE(SUBSTITUTE(MAIN!B837, "0", ""), "1", ""), "2", ""), "3", ""), "4", ""), "5", ""), "6", ""), "7", ""), "8", ""), "9", ""))))</f>
        <v>--</v>
      </c>
      <c r="C837" t="str">
        <f>IF(ISBLANK(MAIN!C837), "--", IFERROR(PROPER(SUBSTITUTE(SUBSTITUTE(SUBSTITUTE(SUBSTITUTE(SUBSTITUTE(SUBSTITUTE(SUBSTITUTE(SUBSTITUTE(SUBSTITUTE(SUBSTITUTE(LEFT(MAIN!C837, FIND(",",MAIN!C837) -1), "0", ""), "1", ""), "2", ""), "3", ""), "4", ""), "5", ""), "6", ""), "7", ""), "8", ""), "9", "")), PROPER(SUBSTITUTE(SUBSTITUTE(SUBSTITUTE(SUBSTITUTE(SUBSTITUTE(SUBSTITUTE(SUBSTITUTE(SUBSTITUTE(SUBSTITUTE(SUBSTITUTE(MAIN!C837, "0", ""), "1", ""), "2", ""), "3", ""), "4", ""), "5", ""), "6", ""), "7", ""), "8", ""), "9", ""))))</f>
        <v>--</v>
      </c>
      <c r="D837" t="str">
        <f>IF(ISBLANK(MAIN!D837), "--", IF(ISNUMBER(MATCH(SUBSTITUTE(LEFT(MAIN!D837, IFERROR(FIND(",", MAIN!D837)-1, LEN(MAIN!D837))), " ", ""), lookup_values!$B$2:$B$51, 0)), UPPER(SUBSTITUTE(LEFT(MAIN!D837, IFERROR(FIND(",", MAIN!D837)-1, LEN(MAIN!D837))), " ", "")), IF(ISNA(VLOOKUP(SUBSTITUTE(LEFT(MAIN!D837, IFERROR(FIND(",", MAIN!D837)-1, LEN(MAIN!D837))), " ", ""), lookup_values!$A$2:$B$51, 2, FALSE)), "--", VLOOKUP(SUBSTITUTE(LEFT(MAIN!D837, IFERROR(FIND(",", MAIN!D837)-1, LEN(MAIN!D837))), " ", ""), lookup_values!$A$2:$B$51, 2, FALSE))))</f>
        <v>--</v>
      </c>
      <c r="E837" t="str">
        <f>IF(CLEAN_DATA!D837&lt;&gt;"--","US",IF(ISBLANK(MAIN!E837), "--", IF(ISNUMBER(MATCH(SUBSTITUTE(LEFT(MAIN!E837, IFERROR(FIND(",", MAIN!E837)-1, LEN(MAIN!E837))), " ", ""), lookup_values!$E$2:$E$197, 0)), UPPER(SUBSTITUTE(LEFT(MAIN!E837, IFERROR(FIND(",", MAIN!E837)-1, LEN(MAIN!E837))), " ", "")), IF(ISNA(VLOOKUP(SUBSTITUTE(LEFT(MAIN!E837, IFERROR(FIND(",", MAIN!E837)-1, LEN(MAIN!E837))), " ", ""), lookup_values!$D$2:$E$197, 2, FALSE)), "--", VLOOKUP(SUBSTITUTE(LEFT(MAIN!E837, IFERROR(FIND(",", MAIN!E837)-1, LEN(MAIN!E837))), " ", ""), lookup_values!$D$2:$E$197, 2, FALSE)))))</f>
        <v>--</v>
      </c>
      <c r="F837" t="str">
        <f>IF(ISBLANK(MAIN!F837), "", IF(AND(ISNUMBER(VALUE(TRIM(MAIN!F837))), LEN(TRIM(MAIN!F837))=4), VALUE(TRIM(MAIN!F837)), ""))</f>
        <v/>
      </c>
      <c r="G837">
        <f>IF(ISBLANK(MAIN!G837), 0, IF(ISNUMBER(VALUE(TRIM(MAIN!G837))), VALUE(TRIM(MAIN!G837)), 0))</f>
        <v>0</v>
      </c>
      <c r="H837">
        <f>IF(ISBLANK(MAIN!H837), 0, IF(ISNUMBER(VALUE(TRIM(MAIN!H837))), VALUE(TRIM(MAIN!H837)), 0))</f>
        <v>0</v>
      </c>
      <c r="I837">
        <f>IF(ISBLANK(MAIN!I837), 0, IF(ISNUMBER(VALUE(TRIM(MAIN!I837))), VALUE(TRIM(MAIN!I837)), 0))</f>
        <v>0</v>
      </c>
      <c r="J837">
        <f>IF(ISBLANK(MAIN!J837), 0, IF(ISNUMBER(VALUE(TRIM(MAIN!J837))), VALUE(TRIM(MAIN!J837)), 0))</f>
        <v>0</v>
      </c>
      <c r="K837" cm="1">
        <f t="array" ref="K837">IFERROR(
    VALUE(
        IFERROR(
            UPPER(
                IF(MAX(IFERROR(SEARCH("WD",MAIN!G837:J837), 0))&gt;0, "WD",
                IF(MAX(IFERROR(SEARCH("NS",MAIN!G837:J837), 0))&gt;0, "NS",
                IF(MAX(IFERROR(SEARCH("NC",MAIN!G837:J837), 0))&gt;0, "NC",
                IF(MAX(IFERROR(SEARCH("DQ",MAIN!G837:J837), 0))&gt;0, "DQ",
                IF(ISNUMBER(SEARCH("WD",MAIN!K837)), "WD",
                IF(ISNUMBER(SEARCH("NS",MAIN!K837)), "NS",
                IF(ISNUMBER(SEARCH("NC",MAIN!K837)), "NC",
                IF(ISNUMBER(SEARCH("DQ",MAIN!K837)), "DQ",
                IF(ISNUMBER(SEARCH("A",MAIN!K837)), 0,
                IF(OR(MAIN!K837=0,MAIN!K837=""), 0, --TRIM(MAIN!K837)))))))))))),
            0
        )
    ),
    IFERROR(
        UPPER(
            IF(MAX(IFERROR(SEARCH("WD",MAIN!G837:J837), 0))&gt;0, "WD",
            IF(MAX(IFERROR(SEARCH("NS",MAIN!G837:J837), 0))&gt;0, "NS",
            IF(MAX(IFERROR(SEARCH("NC",MAIN!G837:J837), 0))&gt;0, "NC",
            IF(MAX(IFERROR(SEARCH("DQ",MAIN!G837:J837), 0))&gt;0, "DQ",
            IF(ISNUMBER(SEARCH("WD",MAIN!K837)), "WD",
            IF(ISNUMBER(SEARCH("NS",MAIN!K837)), "NS",
            IF(ISNUMBER(SEARCH("NC",MAIN!K837)), "NC",
            IF(ISNUMBER(SEARCH("DQ",MAIN!K837)), "DQ",
            IF(ISNUMBER(SEARCH("A",MAIN!K837)), 0,
            IF(OR(MAIN!K837=0,MAIN!K837=""), 0, --TRIM(MAIN!K837)))))))))))),
        0
    )
)</f>
        <v>0</v>
      </c>
    </row>
    <row r="838" spans="1:11" x14ac:dyDescent="0.25">
      <c r="A838" t="str">
        <f>IF(ISBLANK(MAIN!A838), "--", IFERROR(PROPER(SUBSTITUTE(SUBSTITUTE(SUBSTITUTE(SUBSTITUTE(SUBSTITUTE(SUBSTITUTE(SUBSTITUTE(SUBSTITUTE(SUBSTITUTE(SUBSTITUTE(LEFT(MAIN!A838, FIND(",",MAIN!A838) -1), "0", ""), "1", ""), "2", ""), "3", ""), "4", ""), "5", ""), "6", ""), "7", ""), "8", ""), "9", "")), PROPER(SUBSTITUTE(SUBSTITUTE(SUBSTITUTE(SUBSTITUTE(SUBSTITUTE(SUBSTITUTE(SUBSTITUTE(SUBSTITUTE(SUBSTITUTE(SUBSTITUTE(MAIN!A838, "0", ""), "1", ""), "2", ""), "3", ""), "4", ""), "5", ""), "6", ""), "7", ""), "8", ""), "9", ""))))</f>
        <v>--</v>
      </c>
      <c r="B838" t="str">
        <f>IF(ISBLANK(MAIN!B838), "--", IFERROR(PROPER(SUBSTITUTE(SUBSTITUTE(SUBSTITUTE(SUBSTITUTE(SUBSTITUTE(SUBSTITUTE(SUBSTITUTE(SUBSTITUTE(SUBSTITUTE(SUBSTITUTE(LEFT(MAIN!B838, FIND(",",MAIN!B838) -1), "0", ""), "1", ""), "2", ""), "3", ""), "4", ""), "5", ""), "6", ""), "7", ""), "8", ""), "9", "")), PROPER(SUBSTITUTE(SUBSTITUTE(SUBSTITUTE(SUBSTITUTE(SUBSTITUTE(SUBSTITUTE(SUBSTITUTE(SUBSTITUTE(SUBSTITUTE(SUBSTITUTE(MAIN!B838, "0", ""), "1", ""), "2", ""), "3", ""), "4", ""), "5", ""), "6", ""), "7", ""), "8", ""), "9", ""))))</f>
        <v>--</v>
      </c>
      <c r="C838" t="str">
        <f>IF(ISBLANK(MAIN!C838), "--", IFERROR(PROPER(SUBSTITUTE(SUBSTITUTE(SUBSTITUTE(SUBSTITUTE(SUBSTITUTE(SUBSTITUTE(SUBSTITUTE(SUBSTITUTE(SUBSTITUTE(SUBSTITUTE(LEFT(MAIN!C838, FIND(",",MAIN!C838) -1), "0", ""), "1", ""), "2", ""), "3", ""), "4", ""), "5", ""), "6", ""), "7", ""), "8", ""), "9", "")), PROPER(SUBSTITUTE(SUBSTITUTE(SUBSTITUTE(SUBSTITUTE(SUBSTITUTE(SUBSTITUTE(SUBSTITUTE(SUBSTITUTE(SUBSTITUTE(SUBSTITUTE(MAIN!C838, "0", ""), "1", ""), "2", ""), "3", ""), "4", ""), "5", ""), "6", ""), "7", ""), "8", ""), "9", ""))))</f>
        <v>--</v>
      </c>
      <c r="D838" t="str">
        <f>IF(ISBLANK(MAIN!D838), "--", IF(ISNUMBER(MATCH(SUBSTITUTE(LEFT(MAIN!D838, IFERROR(FIND(",", MAIN!D838)-1, LEN(MAIN!D838))), " ", ""), lookup_values!$B$2:$B$51, 0)), UPPER(SUBSTITUTE(LEFT(MAIN!D838, IFERROR(FIND(",", MAIN!D838)-1, LEN(MAIN!D838))), " ", "")), IF(ISNA(VLOOKUP(SUBSTITUTE(LEFT(MAIN!D838, IFERROR(FIND(",", MAIN!D838)-1, LEN(MAIN!D838))), " ", ""), lookup_values!$A$2:$B$51, 2, FALSE)), "--", VLOOKUP(SUBSTITUTE(LEFT(MAIN!D838, IFERROR(FIND(",", MAIN!D838)-1, LEN(MAIN!D838))), " ", ""), lookup_values!$A$2:$B$51, 2, FALSE))))</f>
        <v>--</v>
      </c>
      <c r="E838" t="str">
        <f>IF(CLEAN_DATA!D838&lt;&gt;"--","US",IF(ISBLANK(MAIN!E838), "--", IF(ISNUMBER(MATCH(SUBSTITUTE(LEFT(MAIN!E838, IFERROR(FIND(",", MAIN!E838)-1, LEN(MAIN!E838))), " ", ""), lookup_values!$E$2:$E$197, 0)), UPPER(SUBSTITUTE(LEFT(MAIN!E838, IFERROR(FIND(",", MAIN!E838)-1, LEN(MAIN!E838))), " ", "")), IF(ISNA(VLOOKUP(SUBSTITUTE(LEFT(MAIN!E838, IFERROR(FIND(",", MAIN!E838)-1, LEN(MAIN!E838))), " ", ""), lookup_values!$D$2:$E$197, 2, FALSE)), "--", VLOOKUP(SUBSTITUTE(LEFT(MAIN!E838, IFERROR(FIND(",", MAIN!E838)-1, LEN(MAIN!E838))), " ", ""), lookup_values!$D$2:$E$197, 2, FALSE)))))</f>
        <v>--</v>
      </c>
      <c r="F838" t="str">
        <f>IF(ISBLANK(MAIN!F838), "", IF(AND(ISNUMBER(VALUE(TRIM(MAIN!F838))), LEN(TRIM(MAIN!F838))=4), VALUE(TRIM(MAIN!F838)), ""))</f>
        <v/>
      </c>
      <c r="G838">
        <f>IF(ISBLANK(MAIN!G838), 0, IF(ISNUMBER(VALUE(TRIM(MAIN!G838))), VALUE(TRIM(MAIN!G838)), 0))</f>
        <v>0</v>
      </c>
      <c r="H838">
        <f>IF(ISBLANK(MAIN!H838), 0, IF(ISNUMBER(VALUE(TRIM(MAIN!H838))), VALUE(TRIM(MAIN!H838)), 0))</f>
        <v>0</v>
      </c>
      <c r="I838">
        <f>IF(ISBLANK(MAIN!I838), 0, IF(ISNUMBER(VALUE(TRIM(MAIN!I838))), VALUE(TRIM(MAIN!I838)), 0))</f>
        <v>0</v>
      </c>
      <c r="J838">
        <f>IF(ISBLANK(MAIN!J838), 0, IF(ISNUMBER(VALUE(TRIM(MAIN!J838))), VALUE(TRIM(MAIN!J838)), 0))</f>
        <v>0</v>
      </c>
      <c r="K838" cm="1">
        <f t="array" ref="K838">IFERROR(
    VALUE(
        IFERROR(
            UPPER(
                IF(MAX(IFERROR(SEARCH("WD",MAIN!G838:J838), 0))&gt;0, "WD",
                IF(MAX(IFERROR(SEARCH("NS",MAIN!G838:J838), 0))&gt;0, "NS",
                IF(MAX(IFERROR(SEARCH("NC",MAIN!G838:J838), 0))&gt;0, "NC",
                IF(MAX(IFERROR(SEARCH("DQ",MAIN!G838:J838), 0))&gt;0, "DQ",
                IF(ISNUMBER(SEARCH("WD",MAIN!K838)), "WD",
                IF(ISNUMBER(SEARCH("NS",MAIN!K838)), "NS",
                IF(ISNUMBER(SEARCH("NC",MAIN!K838)), "NC",
                IF(ISNUMBER(SEARCH("DQ",MAIN!K838)), "DQ",
                IF(ISNUMBER(SEARCH("A",MAIN!K838)), 0,
                IF(OR(MAIN!K838=0,MAIN!K838=""), 0, --TRIM(MAIN!K838)))))))))))),
            0
        )
    ),
    IFERROR(
        UPPER(
            IF(MAX(IFERROR(SEARCH("WD",MAIN!G838:J838), 0))&gt;0, "WD",
            IF(MAX(IFERROR(SEARCH("NS",MAIN!G838:J838), 0))&gt;0, "NS",
            IF(MAX(IFERROR(SEARCH("NC",MAIN!G838:J838), 0))&gt;0, "NC",
            IF(MAX(IFERROR(SEARCH("DQ",MAIN!G838:J838), 0))&gt;0, "DQ",
            IF(ISNUMBER(SEARCH("WD",MAIN!K838)), "WD",
            IF(ISNUMBER(SEARCH("NS",MAIN!K838)), "NS",
            IF(ISNUMBER(SEARCH("NC",MAIN!K838)), "NC",
            IF(ISNUMBER(SEARCH("DQ",MAIN!K838)), "DQ",
            IF(ISNUMBER(SEARCH("A",MAIN!K838)), 0,
            IF(OR(MAIN!K838=0,MAIN!K838=""), 0, --TRIM(MAIN!K838)))))))))))),
        0
    )
)</f>
        <v>0</v>
      </c>
    </row>
    <row r="839" spans="1:11" x14ac:dyDescent="0.25">
      <c r="A839" t="str">
        <f>IF(ISBLANK(MAIN!A839), "--", IFERROR(PROPER(SUBSTITUTE(SUBSTITUTE(SUBSTITUTE(SUBSTITUTE(SUBSTITUTE(SUBSTITUTE(SUBSTITUTE(SUBSTITUTE(SUBSTITUTE(SUBSTITUTE(LEFT(MAIN!A839, FIND(",",MAIN!A839) -1), "0", ""), "1", ""), "2", ""), "3", ""), "4", ""), "5", ""), "6", ""), "7", ""), "8", ""), "9", "")), PROPER(SUBSTITUTE(SUBSTITUTE(SUBSTITUTE(SUBSTITUTE(SUBSTITUTE(SUBSTITUTE(SUBSTITUTE(SUBSTITUTE(SUBSTITUTE(SUBSTITUTE(MAIN!A839, "0", ""), "1", ""), "2", ""), "3", ""), "4", ""), "5", ""), "6", ""), "7", ""), "8", ""), "9", ""))))</f>
        <v>--</v>
      </c>
      <c r="B839" t="str">
        <f>IF(ISBLANK(MAIN!B839), "--", IFERROR(PROPER(SUBSTITUTE(SUBSTITUTE(SUBSTITUTE(SUBSTITUTE(SUBSTITUTE(SUBSTITUTE(SUBSTITUTE(SUBSTITUTE(SUBSTITUTE(SUBSTITUTE(LEFT(MAIN!B839, FIND(",",MAIN!B839) -1), "0", ""), "1", ""), "2", ""), "3", ""), "4", ""), "5", ""), "6", ""), "7", ""), "8", ""), "9", "")), PROPER(SUBSTITUTE(SUBSTITUTE(SUBSTITUTE(SUBSTITUTE(SUBSTITUTE(SUBSTITUTE(SUBSTITUTE(SUBSTITUTE(SUBSTITUTE(SUBSTITUTE(MAIN!B839, "0", ""), "1", ""), "2", ""), "3", ""), "4", ""), "5", ""), "6", ""), "7", ""), "8", ""), "9", ""))))</f>
        <v>--</v>
      </c>
      <c r="C839" t="str">
        <f>IF(ISBLANK(MAIN!C839), "--", IFERROR(PROPER(SUBSTITUTE(SUBSTITUTE(SUBSTITUTE(SUBSTITUTE(SUBSTITUTE(SUBSTITUTE(SUBSTITUTE(SUBSTITUTE(SUBSTITUTE(SUBSTITUTE(LEFT(MAIN!C839, FIND(",",MAIN!C839) -1), "0", ""), "1", ""), "2", ""), "3", ""), "4", ""), "5", ""), "6", ""), "7", ""), "8", ""), "9", "")), PROPER(SUBSTITUTE(SUBSTITUTE(SUBSTITUTE(SUBSTITUTE(SUBSTITUTE(SUBSTITUTE(SUBSTITUTE(SUBSTITUTE(SUBSTITUTE(SUBSTITUTE(MAIN!C839, "0", ""), "1", ""), "2", ""), "3", ""), "4", ""), "5", ""), "6", ""), "7", ""), "8", ""), "9", ""))))</f>
        <v>--</v>
      </c>
      <c r="D839" t="str">
        <f>IF(ISBLANK(MAIN!D839), "--", IF(ISNUMBER(MATCH(SUBSTITUTE(LEFT(MAIN!D839, IFERROR(FIND(",", MAIN!D839)-1, LEN(MAIN!D839))), " ", ""), lookup_values!$B$2:$B$51, 0)), UPPER(SUBSTITUTE(LEFT(MAIN!D839, IFERROR(FIND(",", MAIN!D839)-1, LEN(MAIN!D839))), " ", "")), IF(ISNA(VLOOKUP(SUBSTITUTE(LEFT(MAIN!D839, IFERROR(FIND(",", MAIN!D839)-1, LEN(MAIN!D839))), " ", ""), lookup_values!$A$2:$B$51, 2, FALSE)), "--", VLOOKUP(SUBSTITUTE(LEFT(MAIN!D839, IFERROR(FIND(",", MAIN!D839)-1, LEN(MAIN!D839))), " ", ""), lookup_values!$A$2:$B$51, 2, FALSE))))</f>
        <v>--</v>
      </c>
      <c r="E839" t="str">
        <f>IF(CLEAN_DATA!D839&lt;&gt;"--","US",IF(ISBLANK(MAIN!E839), "--", IF(ISNUMBER(MATCH(SUBSTITUTE(LEFT(MAIN!E839, IFERROR(FIND(",", MAIN!E839)-1, LEN(MAIN!E839))), " ", ""), lookup_values!$E$2:$E$197, 0)), UPPER(SUBSTITUTE(LEFT(MAIN!E839, IFERROR(FIND(",", MAIN!E839)-1, LEN(MAIN!E839))), " ", "")), IF(ISNA(VLOOKUP(SUBSTITUTE(LEFT(MAIN!E839, IFERROR(FIND(",", MAIN!E839)-1, LEN(MAIN!E839))), " ", ""), lookup_values!$D$2:$E$197, 2, FALSE)), "--", VLOOKUP(SUBSTITUTE(LEFT(MAIN!E839, IFERROR(FIND(",", MAIN!E839)-1, LEN(MAIN!E839))), " ", ""), lookup_values!$D$2:$E$197, 2, FALSE)))))</f>
        <v>--</v>
      </c>
      <c r="F839" t="str">
        <f>IF(ISBLANK(MAIN!F839), "", IF(AND(ISNUMBER(VALUE(TRIM(MAIN!F839))), LEN(TRIM(MAIN!F839))=4), VALUE(TRIM(MAIN!F839)), ""))</f>
        <v/>
      </c>
      <c r="G839">
        <f>IF(ISBLANK(MAIN!G839), 0, IF(ISNUMBER(VALUE(TRIM(MAIN!G839))), VALUE(TRIM(MAIN!G839)), 0))</f>
        <v>0</v>
      </c>
      <c r="H839">
        <f>IF(ISBLANK(MAIN!H839), 0, IF(ISNUMBER(VALUE(TRIM(MAIN!H839))), VALUE(TRIM(MAIN!H839)), 0))</f>
        <v>0</v>
      </c>
      <c r="I839">
        <f>IF(ISBLANK(MAIN!I839), 0, IF(ISNUMBER(VALUE(TRIM(MAIN!I839))), VALUE(TRIM(MAIN!I839)), 0))</f>
        <v>0</v>
      </c>
      <c r="J839">
        <f>IF(ISBLANK(MAIN!J839), 0, IF(ISNUMBER(VALUE(TRIM(MAIN!J839))), VALUE(TRIM(MAIN!J839)), 0))</f>
        <v>0</v>
      </c>
      <c r="K839" cm="1">
        <f t="array" ref="K839">IFERROR(
    VALUE(
        IFERROR(
            UPPER(
                IF(MAX(IFERROR(SEARCH("WD",MAIN!G839:J839), 0))&gt;0, "WD",
                IF(MAX(IFERROR(SEARCH("NS",MAIN!G839:J839), 0))&gt;0, "NS",
                IF(MAX(IFERROR(SEARCH("NC",MAIN!G839:J839), 0))&gt;0, "NC",
                IF(MAX(IFERROR(SEARCH("DQ",MAIN!G839:J839), 0))&gt;0, "DQ",
                IF(ISNUMBER(SEARCH("WD",MAIN!K839)), "WD",
                IF(ISNUMBER(SEARCH("NS",MAIN!K839)), "NS",
                IF(ISNUMBER(SEARCH("NC",MAIN!K839)), "NC",
                IF(ISNUMBER(SEARCH("DQ",MAIN!K839)), "DQ",
                IF(ISNUMBER(SEARCH("A",MAIN!K839)), 0,
                IF(OR(MAIN!K839=0,MAIN!K839=""), 0, --TRIM(MAIN!K839)))))))))))),
            0
        )
    ),
    IFERROR(
        UPPER(
            IF(MAX(IFERROR(SEARCH("WD",MAIN!G839:J839), 0))&gt;0, "WD",
            IF(MAX(IFERROR(SEARCH("NS",MAIN!G839:J839), 0))&gt;0, "NS",
            IF(MAX(IFERROR(SEARCH("NC",MAIN!G839:J839), 0))&gt;0, "NC",
            IF(MAX(IFERROR(SEARCH("DQ",MAIN!G839:J839), 0))&gt;0, "DQ",
            IF(ISNUMBER(SEARCH("WD",MAIN!K839)), "WD",
            IF(ISNUMBER(SEARCH("NS",MAIN!K839)), "NS",
            IF(ISNUMBER(SEARCH("NC",MAIN!K839)), "NC",
            IF(ISNUMBER(SEARCH("DQ",MAIN!K839)), "DQ",
            IF(ISNUMBER(SEARCH("A",MAIN!K839)), 0,
            IF(OR(MAIN!K839=0,MAIN!K839=""), 0, --TRIM(MAIN!K839)))))))))))),
        0
    )
)</f>
        <v>0</v>
      </c>
    </row>
    <row r="840" spans="1:11" x14ac:dyDescent="0.25">
      <c r="A840" t="str">
        <f>IF(ISBLANK(MAIN!A840), "--", IFERROR(PROPER(SUBSTITUTE(SUBSTITUTE(SUBSTITUTE(SUBSTITUTE(SUBSTITUTE(SUBSTITUTE(SUBSTITUTE(SUBSTITUTE(SUBSTITUTE(SUBSTITUTE(LEFT(MAIN!A840, FIND(",",MAIN!A840) -1), "0", ""), "1", ""), "2", ""), "3", ""), "4", ""), "5", ""), "6", ""), "7", ""), "8", ""), "9", "")), PROPER(SUBSTITUTE(SUBSTITUTE(SUBSTITUTE(SUBSTITUTE(SUBSTITUTE(SUBSTITUTE(SUBSTITUTE(SUBSTITUTE(SUBSTITUTE(SUBSTITUTE(MAIN!A840, "0", ""), "1", ""), "2", ""), "3", ""), "4", ""), "5", ""), "6", ""), "7", ""), "8", ""), "9", ""))))</f>
        <v>--</v>
      </c>
      <c r="B840" t="str">
        <f>IF(ISBLANK(MAIN!B840), "--", IFERROR(PROPER(SUBSTITUTE(SUBSTITUTE(SUBSTITUTE(SUBSTITUTE(SUBSTITUTE(SUBSTITUTE(SUBSTITUTE(SUBSTITUTE(SUBSTITUTE(SUBSTITUTE(LEFT(MAIN!B840, FIND(",",MAIN!B840) -1), "0", ""), "1", ""), "2", ""), "3", ""), "4", ""), "5", ""), "6", ""), "7", ""), "8", ""), "9", "")), PROPER(SUBSTITUTE(SUBSTITUTE(SUBSTITUTE(SUBSTITUTE(SUBSTITUTE(SUBSTITUTE(SUBSTITUTE(SUBSTITUTE(SUBSTITUTE(SUBSTITUTE(MAIN!B840, "0", ""), "1", ""), "2", ""), "3", ""), "4", ""), "5", ""), "6", ""), "7", ""), "8", ""), "9", ""))))</f>
        <v>--</v>
      </c>
      <c r="C840" t="str">
        <f>IF(ISBLANK(MAIN!C840), "--", IFERROR(PROPER(SUBSTITUTE(SUBSTITUTE(SUBSTITUTE(SUBSTITUTE(SUBSTITUTE(SUBSTITUTE(SUBSTITUTE(SUBSTITUTE(SUBSTITUTE(SUBSTITUTE(LEFT(MAIN!C840, FIND(",",MAIN!C840) -1), "0", ""), "1", ""), "2", ""), "3", ""), "4", ""), "5", ""), "6", ""), "7", ""), "8", ""), "9", "")), PROPER(SUBSTITUTE(SUBSTITUTE(SUBSTITUTE(SUBSTITUTE(SUBSTITUTE(SUBSTITUTE(SUBSTITUTE(SUBSTITUTE(SUBSTITUTE(SUBSTITUTE(MAIN!C840, "0", ""), "1", ""), "2", ""), "3", ""), "4", ""), "5", ""), "6", ""), "7", ""), "8", ""), "9", ""))))</f>
        <v>--</v>
      </c>
      <c r="D840" t="str">
        <f>IF(ISBLANK(MAIN!D840), "--", IF(ISNUMBER(MATCH(SUBSTITUTE(LEFT(MAIN!D840, IFERROR(FIND(",", MAIN!D840)-1, LEN(MAIN!D840))), " ", ""), lookup_values!$B$2:$B$51, 0)), UPPER(SUBSTITUTE(LEFT(MAIN!D840, IFERROR(FIND(",", MAIN!D840)-1, LEN(MAIN!D840))), " ", "")), IF(ISNA(VLOOKUP(SUBSTITUTE(LEFT(MAIN!D840, IFERROR(FIND(",", MAIN!D840)-1, LEN(MAIN!D840))), " ", ""), lookup_values!$A$2:$B$51, 2, FALSE)), "--", VLOOKUP(SUBSTITUTE(LEFT(MAIN!D840, IFERROR(FIND(",", MAIN!D840)-1, LEN(MAIN!D840))), " ", ""), lookup_values!$A$2:$B$51, 2, FALSE))))</f>
        <v>--</v>
      </c>
      <c r="E840" t="str">
        <f>IF(CLEAN_DATA!D840&lt;&gt;"--","US",IF(ISBLANK(MAIN!E840), "--", IF(ISNUMBER(MATCH(SUBSTITUTE(LEFT(MAIN!E840, IFERROR(FIND(",", MAIN!E840)-1, LEN(MAIN!E840))), " ", ""), lookup_values!$E$2:$E$197, 0)), UPPER(SUBSTITUTE(LEFT(MAIN!E840, IFERROR(FIND(",", MAIN!E840)-1, LEN(MAIN!E840))), " ", "")), IF(ISNA(VLOOKUP(SUBSTITUTE(LEFT(MAIN!E840, IFERROR(FIND(",", MAIN!E840)-1, LEN(MAIN!E840))), " ", ""), lookup_values!$D$2:$E$197, 2, FALSE)), "--", VLOOKUP(SUBSTITUTE(LEFT(MAIN!E840, IFERROR(FIND(",", MAIN!E840)-1, LEN(MAIN!E840))), " ", ""), lookup_values!$D$2:$E$197, 2, FALSE)))))</f>
        <v>--</v>
      </c>
      <c r="F840" t="str">
        <f>IF(ISBLANK(MAIN!F840), "", IF(AND(ISNUMBER(VALUE(TRIM(MAIN!F840))), LEN(TRIM(MAIN!F840))=4), VALUE(TRIM(MAIN!F840)), ""))</f>
        <v/>
      </c>
      <c r="G840">
        <f>IF(ISBLANK(MAIN!G840), 0, IF(ISNUMBER(VALUE(TRIM(MAIN!G840))), VALUE(TRIM(MAIN!G840)), 0))</f>
        <v>0</v>
      </c>
      <c r="H840">
        <f>IF(ISBLANK(MAIN!H840), 0, IF(ISNUMBER(VALUE(TRIM(MAIN!H840))), VALUE(TRIM(MAIN!H840)), 0))</f>
        <v>0</v>
      </c>
      <c r="I840">
        <f>IF(ISBLANK(MAIN!I840), 0, IF(ISNUMBER(VALUE(TRIM(MAIN!I840))), VALUE(TRIM(MAIN!I840)), 0))</f>
        <v>0</v>
      </c>
      <c r="J840">
        <f>IF(ISBLANK(MAIN!J840), 0, IF(ISNUMBER(VALUE(TRIM(MAIN!J840))), VALUE(TRIM(MAIN!J840)), 0))</f>
        <v>0</v>
      </c>
      <c r="K840" cm="1">
        <f t="array" ref="K840">IFERROR(
    VALUE(
        IFERROR(
            UPPER(
                IF(MAX(IFERROR(SEARCH("WD",MAIN!G840:J840), 0))&gt;0, "WD",
                IF(MAX(IFERROR(SEARCH("NS",MAIN!G840:J840), 0))&gt;0, "NS",
                IF(MAX(IFERROR(SEARCH("NC",MAIN!G840:J840), 0))&gt;0, "NC",
                IF(MAX(IFERROR(SEARCH("DQ",MAIN!G840:J840), 0))&gt;0, "DQ",
                IF(ISNUMBER(SEARCH("WD",MAIN!K840)), "WD",
                IF(ISNUMBER(SEARCH("NS",MAIN!K840)), "NS",
                IF(ISNUMBER(SEARCH("NC",MAIN!K840)), "NC",
                IF(ISNUMBER(SEARCH("DQ",MAIN!K840)), "DQ",
                IF(ISNUMBER(SEARCH("A",MAIN!K840)), 0,
                IF(OR(MAIN!K840=0,MAIN!K840=""), 0, --TRIM(MAIN!K840)))))))))))),
            0
        )
    ),
    IFERROR(
        UPPER(
            IF(MAX(IFERROR(SEARCH("WD",MAIN!G840:J840), 0))&gt;0, "WD",
            IF(MAX(IFERROR(SEARCH("NS",MAIN!G840:J840), 0))&gt;0, "NS",
            IF(MAX(IFERROR(SEARCH("NC",MAIN!G840:J840), 0))&gt;0, "NC",
            IF(MAX(IFERROR(SEARCH("DQ",MAIN!G840:J840), 0))&gt;0, "DQ",
            IF(ISNUMBER(SEARCH("WD",MAIN!K840)), "WD",
            IF(ISNUMBER(SEARCH("NS",MAIN!K840)), "NS",
            IF(ISNUMBER(SEARCH("NC",MAIN!K840)), "NC",
            IF(ISNUMBER(SEARCH("DQ",MAIN!K840)), "DQ",
            IF(ISNUMBER(SEARCH("A",MAIN!K840)), 0,
            IF(OR(MAIN!K840=0,MAIN!K840=""), 0, --TRIM(MAIN!K840)))))))))))),
        0
    )
)</f>
        <v>0</v>
      </c>
    </row>
    <row r="841" spans="1:11" x14ac:dyDescent="0.25">
      <c r="A841" t="str">
        <f>IF(ISBLANK(MAIN!A841), "--", IFERROR(PROPER(SUBSTITUTE(SUBSTITUTE(SUBSTITUTE(SUBSTITUTE(SUBSTITUTE(SUBSTITUTE(SUBSTITUTE(SUBSTITUTE(SUBSTITUTE(SUBSTITUTE(LEFT(MAIN!A841, FIND(",",MAIN!A841) -1), "0", ""), "1", ""), "2", ""), "3", ""), "4", ""), "5", ""), "6", ""), "7", ""), "8", ""), "9", "")), PROPER(SUBSTITUTE(SUBSTITUTE(SUBSTITUTE(SUBSTITUTE(SUBSTITUTE(SUBSTITUTE(SUBSTITUTE(SUBSTITUTE(SUBSTITUTE(SUBSTITUTE(MAIN!A841, "0", ""), "1", ""), "2", ""), "3", ""), "4", ""), "5", ""), "6", ""), "7", ""), "8", ""), "9", ""))))</f>
        <v>--</v>
      </c>
      <c r="B841" t="str">
        <f>IF(ISBLANK(MAIN!B841), "--", IFERROR(PROPER(SUBSTITUTE(SUBSTITUTE(SUBSTITUTE(SUBSTITUTE(SUBSTITUTE(SUBSTITUTE(SUBSTITUTE(SUBSTITUTE(SUBSTITUTE(SUBSTITUTE(LEFT(MAIN!B841, FIND(",",MAIN!B841) -1), "0", ""), "1", ""), "2", ""), "3", ""), "4", ""), "5", ""), "6", ""), "7", ""), "8", ""), "9", "")), PROPER(SUBSTITUTE(SUBSTITUTE(SUBSTITUTE(SUBSTITUTE(SUBSTITUTE(SUBSTITUTE(SUBSTITUTE(SUBSTITUTE(SUBSTITUTE(SUBSTITUTE(MAIN!B841, "0", ""), "1", ""), "2", ""), "3", ""), "4", ""), "5", ""), "6", ""), "7", ""), "8", ""), "9", ""))))</f>
        <v>--</v>
      </c>
      <c r="C841" t="str">
        <f>IF(ISBLANK(MAIN!C841), "--", IFERROR(PROPER(SUBSTITUTE(SUBSTITUTE(SUBSTITUTE(SUBSTITUTE(SUBSTITUTE(SUBSTITUTE(SUBSTITUTE(SUBSTITUTE(SUBSTITUTE(SUBSTITUTE(LEFT(MAIN!C841, FIND(",",MAIN!C841) -1), "0", ""), "1", ""), "2", ""), "3", ""), "4", ""), "5", ""), "6", ""), "7", ""), "8", ""), "9", "")), PROPER(SUBSTITUTE(SUBSTITUTE(SUBSTITUTE(SUBSTITUTE(SUBSTITUTE(SUBSTITUTE(SUBSTITUTE(SUBSTITUTE(SUBSTITUTE(SUBSTITUTE(MAIN!C841, "0", ""), "1", ""), "2", ""), "3", ""), "4", ""), "5", ""), "6", ""), "7", ""), "8", ""), "9", ""))))</f>
        <v>--</v>
      </c>
      <c r="D841" t="str">
        <f>IF(ISBLANK(MAIN!D841), "--", IF(ISNUMBER(MATCH(SUBSTITUTE(LEFT(MAIN!D841, IFERROR(FIND(",", MAIN!D841)-1, LEN(MAIN!D841))), " ", ""), lookup_values!$B$2:$B$51, 0)), UPPER(SUBSTITUTE(LEFT(MAIN!D841, IFERROR(FIND(",", MAIN!D841)-1, LEN(MAIN!D841))), " ", "")), IF(ISNA(VLOOKUP(SUBSTITUTE(LEFT(MAIN!D841, IFERROR(FIND(",", MAIN!D841)-1, LEN(MAIN!D841))), " ", ""), lookup_values!$A$2:$B$51, 2, FALSE)), "--", VLOOKUP(SUBSTITUTE(LEFT(MAIN!D841, IFERROR(FIND(",", MAIN!D841)-1, LEN(MAIN!D841))), " ", ""), lookup_values!$A$2:$B$51, 2, FALSE))))</f>
        <v>--</v>
      </c>
      <c r="E841" t="str">
        <f>IF(CLEAN_DATA!D841&lt;&gt;"--","US",IF(ISBLANK(MAIN!E841), "--", IF(ISNUMBER(MATCH(SUBSTITUTE(LEFT(MAIN!E841, IFERROR(FIND(",", MAIN!E841)-1, LEN(MAIN!E841))), " ", ""), lookup_values!$E$2:$E$197, 0)), UPPER(SUBSTITUTE(LEFT(MAIN!E841, IFERROR(FIND(",", MAIN!E841)-1, LEN(MAIN!E841))), " ", "")), IF(ISNA(VLOOKUP(SUBSTITUTE(LEFT(MAIN!E841, IFERROR(FIND(",", MAIN!E841)-1, LEN(MAIN!E841))), " ", ""), lookup_values!$D$2:$E$197, 2, FALSE)), "--", VLOOKUP(SUBSTITUTE(LEFT(MAIN!E841, IFERROR(FIND(",", MAIN!E841)-1, LEN(MAIN!E841))), " ", ""), lookup_values!$D$2:$E$197, 2, FALSE)))))</f>
        <v>--</v>
      </c>
      <c r="F841" t="str">
        <f>IF(ISBLANK(MAIN!F841), "", IF(AND(ISNUMBER(VALUE(TRIM(MAIN!F841))), LEN(TRIM(MAIN!F841))=4), VALUE(TRIM(MAIN!F841)), ""))</f>
        <v/>
      </c>
      <c r="G841">
        <f>IF(ISBLANK(MAIN!G841), 0, IF(ISNUMBER(VALUE(TRIM(MAIN!G841))), VALUE(TRIM(MAIN!G841)), 0))</f>
        <v>0</v>
      </c>
      <c r="H841">
        <f>IF(ISBLANK(MAIN!H841), 0, IF(ISNUMBER(VALUE(TRIM(MAIN!H841))), VALUE(TRIM(MAIN!H841)), 0))</f>
        <v>0</v>
      </c>
      <c r="I841">
        <f>IF(ISBLANK(MAIN!I841), 0, IF(ISNUMBER(VALUE(TRIM(MAIN!I841))), VALUE(TRIM(MAIN!I841)), 0))</f>
        <v>0</v>
      </c>
      <c r="J841">
        <f>IF(ISBLANK(MAIN!J841), 0, IF(ISNUMBER(VALUE(TRIM(MAIN!J841))), VALUE(TRIM(MAIN!J841)), 0))</f>
        <v>0</v>
      </c>
      <c r="K841" cm="1">
        <f t="array" ref="K841">IFERROR(
    VALUE(
        IFERROR(
            UPPER(
                IF(MAX(IFERROR(SEARCH("WD",MAIN!G841:J841), 0))&gt;0, "WD",
                IF(MAX(IFERROR(SEARCH("NS",MAIN!G841:J841), 0))&gt;0, "NS",
                IF(MAX(IFERROR(SEARCH("NC",MAIN!G841:J841), 0))&gt;0, "NC",
                IF(MAX(IFERROR(SEARCH("DQ",MAIN!G841:J841), 0))&gt;0, "DQ",
                IF(ISNUMBER(SEARCH("WD",MAIN!K841)), "WD",
                IF(ISNUMBER(SEARCH("NS",MAIN!K841)), "NS",
                IF(ISNUMBER(SEARCH("NC",MAIN!K841)), "NC",
                IF(ISNUMBER(SEARCH("DQ",MAIN!K841)), "DQ",
                IF(ISNUMBER(SEARCH("A",MAIN!K841)), 0,
                IF(OR(MAIN!K841=0,MAIN!K841=""), 0, --TRIM(MAIN!K841)))))))))))),
            0
        )
    ),
    IFERROR(
        UPPER(
            IF(MAX(IFERROR(SEARCH("WD",MAIN!G841:J841), 0))&gt;0, "WD",
            IF(MAX(IFERROR(SEARCH("NS",MAIN!G841:J841), 0))&gt;0, "NS",
            IF(MAX(IFERROR(SEARCH("NC",MAIN!G841:J841), 0))&gt;0, "NC",
            IF(MAX(IFERROR(SEARCH("DQ",MAIN!G841:J841), 0))&gt;0, "DQ",
            IF(ISNUMBER(SEARCH("WD",MAIN!K841)), "WD",
            IF(ISNUMBER(SEARCH("NS",MAIN!K841)), "NS",
            IF(ISNUMBER(SEARCH("NC",MAIN!K841)), "NC",
            IF(ISNUMBER(SEARCH("DQ",MAIN!K841)), "DQ",
            IF(ISNUMBER(SEARCH("A",MAIN!K841)), 0,
            IF(OR(MAIN!K841=0,MAIN!K841=""), 0, --TRIM(MAIN!K841)))))))))))),
        0
    )
)</f>
        <v>0</v>
      </c>
    </row>
    <row r="842" spans="1:11" x14ac:dyDescent="0.25">
      <c r="A842" t="str">
        <f>IF(ISBLANK(MAIN!A842), "--", IFERROR(PROPER(SUBSTITUTE(SUBSTITUTE(SUBSTITUTE(SUBSTITUTE(SUBSTITUTE(SUBSTITUTE(SUBSTITUTE(SUBSTITUTE(SUBSTITUTE(SUBSTITUTE(LEFT(MAIN!A842, FIND(",",MAIN!A842) -1), "0", ""), "1", ""), "2", ""), "3", ""), "4", ""), "5", ""), "6", ""), "7", ""), "8", ""), "9", "")), PROPER(SUBSTITUTE(SUBSTITUTE(SUBSTITUTE(SUBSTITUTE(SUBSTITUTE(SUBSTITUTE(SUBSTITUTE(SUBSTITUTE(SUBSTITUTE(SUBSTITUTE(MAIN!A842, "0", ""), "1", ""), "2", ""), "3", ""), "4", ""), "5", ""), "6", ""), "7", ""), "8", ""), "9", ""))))</f>
        <v>--</v>
      </c>
      <c r="B842" t="str">
        <f>IF(ISBLANK(MAIN!B842), "--", IFERROR(PROPER(SUBSTITUTE(SUBSTITUTE(SUBSTITUTE(SUBSTITUTE(SUBSTITUTE(SUBSTITUTE(SUBSTITUTE(SUBSTITUTE(SUBSTITUTE(SUBSTITUTE(LEFT(MAIN!B842, FIND(",",MAIN!B842) -1), "0", ""), "1", ""), "2", ""), "3", ""), "4", ""), "5", ""), "6", ""), "7", ""), "8", ""), "9", "")), PROPER(SUBSTITUTE(SUBSTITUTE(SUBSTITUTE(SUBSTITUTE(SUBSTITUTE(SUBSTITUTE(SUBSTITUTE(SUBSTITUTE(SUBSTITUTE(SUBSTITUTE(MAIN!B842, "0", ""), "1", ""), "2", ""), "3", ""), "4", ""), "5", ""), "6", ""), "7", ""), "8", ""), "9", ""))))</f>
        <v>--</v>
      </c>
      <c r="C842" t="str">
        <f>IF(ISBLANK(MAIN!C842), "--", IFERROR(PROPER(SUBSTITUTE(SUBSTITUTE(SUBSTITUTE(SUBSTITUTE(SUBSTITUTE(SUBSTITUTE(SUBSTITUTE(SUBSTITUTE(SUBSTITUTE(SUBSTITUTE(LEFT(MAIN!C842, FIND(",",MAIN!C842) -1), "0", ""), "1", ""), "2", ""), "3", ""), "4", ""), "5", ""), "6", ""), "7", ""), "8", ""), "9", "")), PROPER(SUBSTITUTE(SUBSTITUTE(SUBSTITUTE(SUBSTITUTE(SUBSTITUTE(SUBSTITUTE(SUBSTITUTE(SUBSTITUTE(SUBSTITUTE(SUBSTITUTE(MAIN!C842, "0", ""), "1", ""), "2", ""), "3", ""), "4", ""), "5", ""), "6", ""), "7", ""), "8", ""), "9", ""))))</f>
        <v>--</v>
      </c>
      <c r="D842" t="str">
        <f>IF(ISBLANK(MAIN!D842), "--", IF(ISNUMBER(MATCH(SUBSTITUTE(LEFT(MAIN!D842, IFERROR(FIND(",", MAIN!D842)-1, LEN(MAIN!D842))), " ", ""), lookup_values!$B$2:$B$51, 0)), UPPER(SUBSTITUTE(LEFT(MAIN!D842, IFERROR(FIND(",", MAIN!D842)-1, LEN(MAIN!D842))), " ", "")), IF(ISNA(VLOOKUP(SUBSTITUTE(LEFT(MAIN!D842, IFERROR(FIND(",", MAIN!D842)-1, LEN(MAIN!D842))), " ", ""), lookup_values!$A$2:$B$51, 2, FALSE)), "--", VLOOKUP(SUBSTITUTE(LEFT(MAIN!D842, IFERROR(FIND(",", MAIN!D842)-1, LEN(MAIN!D842))), " ", ""), lookup_values!$A$2:$B$51, 2, FALSE))))</f>
        <v>--</v>
      </c>
      <c r="E842" t="str">
        <f>IF(CLEAN_DATA!D842&lt;&gt;"--","US",IF(ISBLANK(MAIN!E842), "--", IF(ISNUMBER(MATCH(SUBSTITUTE(LEFT(MAIN!E842, IFERROR(FIND(",", MAIN!E842)-1, LEN(MAIN!E842))), " ", ""), lookup_values!$E$2:$E$197, 0)), UPPER(SUBSTITUTE(LEFT(MAIN!E842, IFERROR(FIND(",", MAIN!E842)-1, LEN(MAIN!E842))), " ", "")), IF(ISNA(VLOOKUP(SUBSTITUTE(LEFT(MAIN!E842, IFERROR(FIND(",", MAIN!E842)-1, LEN(MAIN!E842))), " ", ""), lookup_values!$D$2:$E$197, 2, FALSE)), "--", VLOOKUP(SUBSTITUTE(LEFT(MAIN!E842, IFERROR(FIND(",", MAIN!E842)-1, LEN(MAIN!E842))), " ", ""), lookup_values!$D$2:$E$197, 2, FALSE)))))</f>
        <v>--</v>
      </c>
      <c r="F842" t="str">
        <f>IF(ISBLANK(MAIN!F842), "", IF(AND(ISNUMBER(VALUE(TRIM(MAIN!F842))), LEN(TRIM(MAIN!F842))=4), VALUE(TRIM(MAIN!F842)), ""))</f>
        <v/>
      </c>
      <c r="G842">
        <f>IF(ISBLANK(MAIN!G842), 0, IF(ISNUMBER(VALUE(TRIM(MAIN!G842))), VALUE(TRIM(MAIN!G842)), 0))</f>
        <v>0</v>
      </c>
      <c r="H842">
        <f>IF(ISBLANK(MAIN!H842), 0, IF(ISNUMBER(VALUE(TRIM(MAIN!H842))), VALUE(TRIM(MAIN!H842)), 0))</f>
        <v>0</v>
      </c>
      <c r="I842">
        <f>IF(ISBLANK(MAIN!I842), 0, IF(ISNUMBER(VALUE(TRIM(MAIN!I842))), VALUE(TRIM(MAIN!I842)), 0))</f>
        <v>0</v>
      </c>
      <c r="J842">
        <f>IF(ISBLANK(MAIN!J842), 0, IF(ISNUMBER(VALUE(TRIM(MAIN!J842))), VALUE(TRIM(MAIN!J842)), 0))</f>
        <v>0</v>
      </c>
      <c r="K842" cm="1">
        <f t="array" ref="K842">IFERROR(
    VALUE(
        IFERROR(
            UPPER(
                IF(MAX(IFERROR(SEARCH("WD",MAIN!G842:J842), 0))&gt;0, "WD",
                IF(MAX(IFERROR(SEARCH("NS",MAIN!G842:J842), 0))&gt;0, "NS",
                IF(MAX(IFERROR(SEARCH("NC",MAIN!G842:J842), 0))&gt;0, "NC",
                IF(MAX(IFERROR(SEARCH("DQ",MAIN!G842:J842), 0))&gt;0, "DQ",
                IF(ISNUMBER(SEARCH("WD",MAIN!K842)), "WD",
                IF(ISNUMBER(SEARCH("NS",MAIN!K842)), "NS",
                IF(ISNUMBER(SEARCH("NC",MAIN!K842)), "NC",
                IF(ISNUMBER(SEARCH("DQ",MAIN!K842)), "DQ",
                IF(ISNUMBER(SEARCH("A",MAIN!K842)), 0,
                IF(OR(MAIN!K842=0,MAIN!K842=""), 0, --TRIM(MAIN!K842)))))))))))),
            0
        )
    ),
    IFERROR(
        UPPER(
            IF(MAX(IFERROR(SEARCH("WD",MAIN!G842:J842), 0))&gt;0, "WD",
            IF(MAX(IFERROR(SEARCH("NS",MAIN!G842:J842), 0))&gt;0, "NS",
            IF(MAX(IFERROR(SEARCH("NC",MAIN!G842:J842), 0))&gt;0, "NC",
            IF(MAX(IFERROR(SEARCH("DQ",MAIN!G842:J842), 0))&gt;0, "DQ",
            IF(ISNUMBER(SEARCH("WD",MAIN!K842)), "WD",
            IF(ISNUMBER(SEARCH("NS",MAIN!K842)), "NS",
            IF(ISNUMBER(SEARCH("NC",MAIN!K842)), "NC",
            IF(ISNUMBER(SEARCH("DQ",MAIN!K842)), "DQ",
            IF(ISNUMBER(SEARCH("A",MAIN!K842)), 0,
            IF(OR(MAIN!K842=0,MAIN!K842=""), 0, --TRIM(MAIN!K842)))))))))))),
        0
    )
)</f>
        <v>0</v>
      </c>
    </row>
    <row r="843" spans="1:11" x14ac:dyDescent="0.25">
      <c r="A843" t="str">
        <f>IF(ISBLANK(MAIN!A843), "--", IFERROR(PROPER(SUBSTITUTE(SUBSTITUTE(SUBSTITUTE(SUBSTITUTE(SUBSTITUTE(SUBSTITUTE(SUBSTITUTE(SUBSTITUTE(SUBSTITUTE(SUBSTITUTE(LEFT(MAIN!A843, FIND(",",MAIN!A843) -1), "0", ""), "1", ""), "2", ""), "3", ""), "4", ""), "5", ""), "6", ""), "7", ""), "8", ""), "9", "")), PROPER(SUBSTITUTE(SUBSTITUTE(SUBSTITUTE(SUBSTITUTE(SUBSTITUTE(SUBSTITUTE(SUBSTITUTE(SUBSTITUTE(SUBSTITUTE(SUBSTITUTE(MAIN!A843, "0", ""), "1", ""), "2", ""), "3", ""), "4", ""), "5", ""), "6", ""), "7", ""), "8", ""), "9", ""))))</f>
        <v>--</v>
      </c>
      <c r="B843" t="str">
        <f>IF(ISBLANK(MAIN!B843), "--", IFERROR(PROPER(SUBSTITUTE(SUBSTITUTE(SUBSTITUTE(SUBSTITUTE(SUBSTITUTE(SUBSTITUTE(SUBSTITUTE(SUBSTITUTE(SUBSTITUTE(SUBSTITUTE(LEFT(MAIN!B843, FIND(",",MAIN!B843) -1), "0", ""), "1", ""), "2", ""), "3", ""), "4", ""), "5", ""), "6", ""), "7", ""), "8", ""), "9", "")), PROPER(SUBSTITUTE(SUBSTITUTE(SUBSTITUTE(SUBSTITUTE(SUBSTITUTE(SUBSTITUTE(SUBSTITUTE(SUBSTITUTE(SUBSTITUTE(SUBSTITUTE(MAIN!B843, "0", ""), "1", ""), "2", ""), "3", ""), "4", ""), "5", ""), "6", ""), "7", ""), "8", ""), "9", ""))))</f>
        <v>--</v>
      </c>
      <c r="C843" t="str">
        <f>IF(ISBLANK(MAIN!C843), "--", IFERROR(PROPER(SUBSTITUTE(SUBSTITUTE(SUBSTITUTE(SUBSTITUTE(SUBSTITUTE(SUBSTITUTE(SUBSTITUTE(SUBSTITUTE(SUBSTITUTE(SUBSTITUTE(LEFT(MAIN!C843, FIND(",",MAIN!C843) -1), "0", ""), "1", ""), "2", ""), "3", ""), "4", ""), "5", ""), "6", ""), "7", ""), "8", ""), "9", "")), PROPER(SUBSTITUTE(SUBSTITUTE(SUBSTITUTE(SUBSTITUTE(SUBSTITUTE(SUBSTITUTE(SUBSTITUTE(SUBSTITUTE(SUBSTITUTE(SUBSTITUTE(MAIN!C843, "0", ""), "1", ""), "2", ""), "3", ""), "4", ""), "5", ""), "6", ""), "7", ""), "8", ""), "9", ""))))</f>
        <v>--</v>
      </c>
      <c r="D843" t="str">
        <f>IF(ISBLANK(MAIN!D843), "--", IF(ISNUMBER(MATCH(SUBSTITUTE(LEFT(MAIN!D843, IFERROR(FIND(",", MAIN!D843)-1, LEN(MAIN!D843))), " ", ""), lookup_values!$B$2:$B$51, 0)), UPPER(SUBSTITUTE(LEFT(MAIN!D843, IFERROR(FIND(",", MAIN!D843)-1, LEN(MAIN!D843))), " ", "")), IF(ISNA(VLOOKUP(SUBSTITUTE(LEFT(MAIN!D843, IFERROR(FIND(",", MAIN!D843)-1, LEN(MAIN!D843))), " ", ""), lookup_values!$A$2:$B$51, 2, FALSE)), "--", VLOOKUP(SUBSTITUTE(LEFT(MAIN!D843, IFERROR(FIND(",", MAIN!D843)-1, LEN(MAIN!D843))), " ", ""), lookup_values!$A$2:$B$51, 2, FALSE))))</f>
        <v>--</v>
      </c>
      <c r="E843" t="str">
        <f>IF(CLEAN_DATA!D843&lt;&gt;"--","US",IF(ISBLANK(MAIN!E843), "--", IF(ISNUMBER(MATCH(SUBSTITUTE(LEFT(MAIN!E843, IFERROR(FIND(",", MAIN!E843)-1, LEN(MAIN!E843))), " ", ""), lookup_values!$E$2:$E$197, 0)), UPPER(SUBSTITUTE(LEFT(MAIN!E843, IFERROR(FIND(",", MAIN!E843)-1, LEN(MAIN!E843))), " ", "")), IF(ISNA(VLOOKUP(SUBSTITUTE(LEFT(MAIN!E843, IFERROR(FIND(",", MAIN!E843)-1, LEN(MAIN!E843))), " ", ""), lookup_values!$D$2:$E$197, 2, FALSE)), "--", VLOOKUP(SUBSTITUTE(LEFT(MAIN!E843, IFERROR(FIND(",", MAIN!E843)-1, LEN(MAIN!E843))), " ", ""), lookup_values!$D$2:$E$197, 2, FALSE)))))</f>
        <v>--</v>
      </c>
      <c r="F843" t="str">
        <f>IF(ISBLANK(MAIN!F843), "", IF(AND(ISNUMBER(VALUE(TRIM(MAIN!F843))), LEN(TRIM(MAIN!F843))=4), VALUE(TRIM(MAIN!F843)), ""))</f>
        <v/>
      </c>
      <c r="G843">
        <f>IF(ISBLANK(MAIN!G843), 0, IF(ISNUMBER(VALUE(TRIM(MAIN!G843))), VALUE(TRIM(MAIN!G843)), 0))</f>
        <v>0</v>
      </c>
      <c r="H843">
        <f>IF(ISBLANK(MAIN!H843), 0, IF(ISNUMBER(VALUE(TRIM(MAIN!H843))), VALUE(TRIM(MAIN!H843)), 0))</f>
        <v>0</v>
      </c>
      <c r="I843">
        <f>IF(ISBLANK(MAIN!I843), 0, IF(ISNUMBER(VALUE(TRIM(MAIN!I843))), VALUE(TRIM(MAIN!I843)), 0))</f>
        <v>0</v>
      </c>
      <c r="J843">
        <f>IF(ISBLANK(MAIN!J843), 0, IF(ISNUMBER(VALUE(TRIM(MAIN!J843))), VALUE(TRIM(MAIN!J843)), 0))</f>
        <v>0</v>
      </c>
      <c r="K843" cm="1">
        <f t="array" ref="K843">IFERROR(
    VALUE(
        IFERROR(
            UPPER(
                IF(MAX(IFERROR(SEARCH("WD",MAIN!G843:J843), 0))&gt;0, "WD",
                IF(MAX(IFERROR(SEARCH("NS",MAIN!G843:J843), 0))&gt;0, "NS",
                IF(MAX(IFERROR(SEARCH("NC",MAIN!G843:J843), 0))&gt;0, "NC",
                IF(MAX(IFERROR(SEARCH("DQ",MAIN!G843:J843), 0))&gt;0, "DQ",
                IF(ISNUMBER(SEARCH("WD",MAIN!K843)), "WD",
                IF(ISNUMBER(SEARCH("NS",MAIN!K843)), "NS",
                IF(ISNUMBER(SEARCH("NC",MAIN!K843)), "NC",
                IF(ISNUMBER(SEARCH("DQ",MAIN!K843)), "DQ",
                IF(ISNUMBER(SEARCH("A",MAIN!K843)), 0,
                IF(OR(MAIN!K843=0,MAIN!K843=""), 0, --TRIM(MAIN!K843)))))))))))),
            0
        )
    ),
    IFERROR(
        UPPER(
            IF(MAX(IFERROR(SEARCH("WD",MAIN!G843:J843), 0))&gt;0, "WD",
            IF(MAX(IFERROR(SEARCH("NS",MAIN!G843:J843), 0))&gt;0, "NS",
            IF(MAX(IFERROR(SEARCH("NC",MAIN!G843:J843), 0))&gt;0, "NC",
            IF(MAX(IFERROR(SEARCH("DQ",MAIN!G843:J843), 0))&gt;0, "DQ",
            IF(ISNUMBER(SEARCH("WD",MAIN!K843)), "WD",
            IF(ISNUMBER(SEARCH("NS",MAIN!K843)), "NS",
            IF(ISNUMBER(SEARCH("NC",MAIN!K843)), "NC",
            IF(ISNUMBER(SEARCH("DQ",MAIN!K843)), "DQ",
            IF(ISNUMBER(SEARCH("A",MAIN!K843)), 0,
            IF(OR(MAIN!K843=0,MAIN!K843=""), 0, --TRIM(MAIN!K843)))))))))))),
        0
    )
)</f>
        <v>0</v>
      </c>
    </row>
    <row r="844" spans="1:11" x14ac:dyDescent="0.25">
      <c r="A844" t="str">
        <f>IF(ISBLANK(MAIN!A844), "--", IFERROR(PROPER(SUBSTITUTE(SUBSTITUTE(SUBSTITUTE(SUBSTITUTE(SUBSTITUTE(SUBSTITUTE(SUBSTITUTE(SUBSTITUTE(SUBSTITUTE(SUBSTITUTE(LEFT(MAIN!A844, FIND(",",MAIN!A844) -1), "0", ""), "1", ""), "2", ""), "3", ""), "4", ""), "5", ""), "6", ""), "7", ""), "8", ""), "9", "")), PROPER(SUBSTITUTE(SUBSTITUTE(SUBSTITUTE(SUBSTITUTE(SUBSTITUTE(SUBSTITUTE(SUBSTITUTE(SUBSTITUTE(SUBSTITUTE(SUBSTITUTE(MAIN!A844, "0", ""), "1", ""), "2", ""), "3", ""), "4", ""), "5", ""), "6", ""), "7", ""), "8", ""), "9", ""))))</f>
        <v>--</v>
      </c>
      <c r="B844" t="str">
        <f>IF(ISBLANK(MAIN!B844), "--", IFERROR(PROPER(SUBSTITUTE(SUBSTITUTE(SUBSTITUTE(SUBSTITUTE(SUBSTITUTE(SUBSTITUTE(SUBSTITUTE(SUBSTITUTE(SUBSTITUTE(SUBSTITUTE(LEFT(MAIN!B844, FIND(",",MAIN!B844) -1), "0", ""), "1", ""), "2", ""), "3", ""), "4", ""), "5", ""), "6", ""), "7", ""), "8", ""), "9", "")), PROPER(SUBSTITUTE(SUBSTITUTE(SUBSTITUTE(SUBSTITUTE(SUBSTITUTE(SUBSTITUTE(SUBSTITUTE(SUBSTITUTE(SUBSTITUTE(SUBSTITUTE(MAIN!B844, "0", ""), "1", ""), "2", ""), "3", ""), "4", ""), "5", ""), "6", ""), "7", ""), "8", ""), "9", ""))))</f>
        <v>--</v>
      </c>
      <c r="C844" t="str">
        <f>IF(ISBLANK(MAIN!C844), "--", IFERROR(PROPER(SUBSTITUTE(SUBSTITUTE(SUBSTITUTE(SUBSTITUTE(SUBSTITUTE(SUBSTITUTE(SUBSTITUTE(SUBSTITUTE(SUBSTITUTE(SUBSTITUTE(LEFT(MAIN!C844, FIND(",",MAIN!C844) -1), "0", ""), "1", ""), "2", ""), "3", ""), "4", ""), "5", ""), "6", ""), "7", ""), "8", ""), "9", "")), PROPER(SUBSTITUTE(SUBSTITUTE(SUBSTITUTE(SUBSTITUTE(SUBSTITUTE(SUBSTITUTE(SUBSTITUTE(SUBSTITUTE(SUBSTITUTE(SUBSTITUTE(MAIN!C844, "0", ""), "1", ""), "2", ""), "3", ""), "4", ""), "5", ""), "6", ""), "7", ""), "8", ""), "9", ""))))</f>
        <v>--</v>
      </c>
      <c r="D844" t="str">
        <f>IF(ISBLANK(MAIN!D844), "--", IF(ISNUMBER(MATCH(SUBSTITUTE(LEFT(MAIN!D844, IFERROR(FIND(",", MAIN!D844)-1, LEN(MAIN!D844))), " ", ""), lookup_values!$B$2:$B$51, 0)), UPPER(SUBSTITUTE(LEFT(MAIN!D844, IFERROR(FIND(",", MAIN!D844)-1, LEN(MAIN!D844))), " ", "")), IF(ISNA(VLOOKUP(SUBSTITUTE(LEFT(MAIN!D844, IFERROR(FIND(",", MAIN!D844)-1, LEN(MAIN!D844))), " ", ""), lookup_values!$A$2:$B$51, 2, FALSE)), "--", VLOOKUP(SUBSTITUTE(LEFT(MAIN!D844, IFERROR(FIND(",", MAIN!D844)-1, LEN(MAIN!D844))), " ", ""), lookup_values!$A$2:$B$51, 2, FALSE))))</f>
        <v>--</v>
      </c>
      <c r="E844" t="str">
        <f>IF(CLEAN_DATA!D844&lt;&gt;"--","US",IF(ISBLANK(MAIN!E844), "--", IF(ISNUMBER(MATCH(SUBSTITUTE(LEFT(MAIN!E844, IFERROR(FIND(",", MAIN!E844)-1, LEN(MAIN!E844))), " ", ""), lookup_values!$E$2:$E$197, 0)), UPPER(SUBSTITUTE(LEFT(MAIN!E844, IFERROR(FIND(",", MAIN!E844)-1, LEN(MAIN!E844))), " ", "")), IF(ISNA(VLOOKUP(SUBSTITUTE(LEFT(MAIN!E844, IFERROR(FIND(",", MAIN!E844)-1, LEN(MAIN!E844))), " ", ""), lookup_values!$D$2:$E$197, 2, FALSE)), "--", VLOOKUP(SUBSTITUTE(LEFT(MAIN!E844, IFERROR(FIND(",", MAIN!E844)-1, LEN(MAIN!E844))), " ", ""), lookup_values!$D$2:$E$197, 2, FALSE)))))</f>
        <v>--</v>
      </c>
      <c r="F844" t="str">
        <f>IF(ISBLANK(MAIN!F844), "", IF(AND(ISNUMBER(VALUE(TRIM(MAIN!F844))), LEN(TRIM(MAIN!F844))=4), VALUE(TRIM(MAIN!F844)), ""))</f>
        <v/>
      </c>
      <c r="G844">
        <f>IF(ISBLANK(MAIN!G844), 0, IF(ISNUMBER(VALUE(TRIM(MAIN!G844))), VALUE(TRIM(MAIN!G844)), 0))</f>
        <v>0</v>
      </c>
      <c r="H844">
        <f>IF(ISBLANK(MAIN!H844), 0, IF(ISNUMBER(VALUE(TRIM(MAIN!H844))), VALUE(TRIM(MAIN!H844)), 0))</f>
        <v>0</v>
      </c>
      <c r="I844">
        <f>IF(ISBLANK(MAIN!I844), 0, IF(ISNUMBER(VALUE(TRIM(MAIN!I844))), VALUE(TRIM(MAIN!I844)), 0))</f>
        <v>0</v>
      </c>
      <c r="J844">
        <f>IF(ISBLANK(MAIN!J844), 0, IF(ISNUMBER(VALUE(TRIM(MAIN!J844))), VALUE(TRIM(MAIN!J844)), 0))</f>
        <v>0</v>
      </c>
      <c r="K844" cm="1">
        <f t="array" ref="K844">IFERROR(
    VALUE(
        IFERROR(
            UPPER(
                IF(MAX(IFERROR(SEARCH("WD",MAIN!G844:J844), 0))&gt;0, "WD",
                IF(MAX(IFERROR(SEARCH("NS",MAIN!G844:J844), 0))&gt;0, "NS",
                IF(MAX(IFERROR(SEARCH("NC",MAIN!G844:J844), 0))&gt;0, "NC",
                IF(MAX(IFERROR(SEARCH("DQ",MAIN!G844:J844), 0))&gt;0, "DQ",
                IF(ISNUMBER(SEARCH("WD",MAIN!K844)), "WD",
                IF(ISNUMBER(SEARCH("NS",MAIN!K844)), "NS",
                IF(ISNUMBER(SEARCH("NC",MAIN!K844)), "NC",
                IF(ISNUMBER(SEARCH("DQ",MAIN!K844)), "DQ",
                IF(ISNUMBER(SEARCH("A",MAIN!K844)), 0,
                IF(OR(MAIN!K844=0,MAIN!K844=""), 0, --TRIM(MAIN!K844)))))))))))),
            0
        )
    ),
    IFERROR(
        UPPER(
            IF(MAX(IFERROR(SEARCH("WD",MAIN!G844:J844), 0))&gt;0, "WD",
            IF(MAX(IFERROR(SEARCH("NS",MAIN!G844:J844), 0))&gt;0, "NS",
            IF(MAX(IFERROR(SEARCH("NC",MAIN!G844:J844), 0))&gt;0, "NC",
            IF(MAX(IFERROR(SEARCH("DQ",MAIN!G844:J844), 0))&gt;0, "DQ",
            IF(ISNUMBER(SEARCH("WD",MAIN!K844)), "WD",
            IF(ISNUMBER(SEARCH("NS",MAIN!K844)), "NS",
            IF(ISNUMBER(SEARCH("NC",MAIN!K844)), "NC",
            IF(ISNUMBER(SEARCH("DQ",MAIN!K844)), "DQ",
            IF(ISNUMBER(SEARCH("A",MAIN!K844)), 0,
            IF(OR(MAIN!K844=0,MAIN!K844=""), 0, --TRIM(MAIN!K844)))))))))))),
        0
    )
)</f>
        <v>0</v>
      </c>
    </row>
    <row r="845" spans="1:11" x14ac:dyDescent="0.25">
      <c r="A845" t="str">
        <f>IF(ISBLANK(MAIN!A845), "--", IFERROR(PROPER(SUBSTITUTE(SUBSTITUTE(SUBSTITUTE(SUBSTITUTE(SUBSTITUTE(SUBSTITUTE(SUBSTITUTE(SUBSTITUTE(SUBSTITUTE(SUBSTITUTE(LEFT(MAIN!A845, FIND(",",MAIN!A845) -1), "0", ""), "1", ""), "2", ""), "3", ""), "4", ""), "5", ""), "6", ""), "7", ""), "8", ""), "9", "")), PROPER(SUBSTITUTE(SUBSTITUTE(SUBSTITUTE(SUBSTITUTE(SUBSTITUTE(SUBSTITUTE(SUBSTITUTE(SUBSTITUTE(SUBSTITUTE(SUBSTITUTE(MAIN!A845, "0", ""), "1", ""), "2", ""), "3", ""), "4", ""), "5", ""), "6", ""), "7", ""), "8", ""), "9", ""))))</f>
        <v>--</v>
      </c>
      <c r="B845" t="str">
        <f>IF(ISBLANK(MAIN!B845), "--", IFERROR(PROPER(SUBSTITUTE(SUBSTITUTE(SUBSTITUTE(SUBSTITUTE(SUBSTITUTE(SUBSTITUTE(SUBSTITUTE(SUBSTITUTE(SUBSTITUTE(SUBSTITUTE(LEFT(MAIN!B845, FIND(",",MAIN!B845) -1), "0", ""), "1", ""), "2", ""), "3", ""), "4", ""), "5", ""), "6", ""), "7", ""), "8", ""), "9", "")), PROPER(SUBSTITUTE(SUBSTITUTE(SUBSTITUTE(SUBSTITUTE(SUBSTITUTE(SUBSTITUTE(SUBSTITUTE(SUBSTITUTE(SUBSTITUTE(SUBSTITUTE(MAIN!B845, "0", ""), "1", ""), "2", ""), "3", ""), "4", ""), "5", ""), "6", ""), "7", ""), "8", ""), "9", ""))))</f>
        <v>--</v>
      </c>
      <c r="C845" t="str">
        <f>IF(ISBLANK(MAIN!C845), "--", IFERROR(PROPER(SUBSTITUTE(SUBSTITUTE(SUBSTITUTE(SUBSTITUTE(SUBSTITUTE(SUBSTITUTE(SUBSTITUTE(SUBSTITUTE(SUBSTITUTE(SUBSTITUTE(LEFT(MAIN!C845, FIND(",",MAIN!C845) -1), "0", ""), "1", ""), "2", ""), "3", ""), "4", ""), "5", ""), "6", ""), "7", ""), "8", ""), "9", "")), PROPER(SUBSTITUTE(SUBSTITUTE(SUBSTITUTE(SUBSTITUTE(SUBSTITUTE(SUBSTITUTE(SUBSTITUTE(SUBSTITUTE(SUBSTITUTE(SUBSTITUTE(MAIN!C845, "0", ""), "1", ""), "2", ""), "3", ""), "4", ""), "5", ""), "6", ""), "7", ""), "8", ""), "9", ""))))</f>
        <v>--</v>
      </c>
      <c r="D845" t="str">
        <f>IF(ISBLANK(MAIN!D845), "--", IF(ISNUMBER(MATCH(SUBSTITUTE(LEFT(MAIN!D845, IFERROR(FIND(",", MAIN!D845)-1, LEN(MAIN!D845))), " ", ""), lookup_values!$B$2:$B$51, 0)), UPPER(SUBSTITUTE(LEFT(MAIN!D845, IFERROR(FIND(",", MAIN!D845)-1, LEN(MAIN!D845))), " ", "")), IF(ISNA(VLOOKUP(SUBSTITUTE(LEFT(MAIN!D845, IFERROR(FIND(",", MAIN!D845)-1, LEN(MAIN!D845))), " ", ""), lookup_values!$A$2:$B$51, 2, FALSE)), "--", VLOOKUP(SUBSTITUTE(LEFT(MAIN!D845, IFERROR(FIND(",", MAIN!D845)-1, LEN(MAIN!D845))), " ", ""), lookup_values!$A$2:$B$51, 2, FALSE))))</f>
        <v>--</v>
      </c>
      <c r="E845" t="str">
        <f>IF(CLEAN_DATA!D845&lt;&gt;"--","US",IF(ISBLANK(MAIN!E845), "--", IF(ISNUMBER(MATCH(SUBSTITUTE(LEFT(MAIN!E845, IFERROR(FIND(",", MAIN!E845)-1, LEN(MAIN!E845))), " ", ""), lookup_values!$E$2:$E$197, 0)), UPPER(SUBSTITUTE(LEFT(MAIN!E845, IFERROR(FIND(",", MAIN!E845)-1, LEN(MAIN!E845))), " ", "")), IF(ISNA(VLOOKUP(SUBSTITUTE(LEFT(MAIN!E845, IFERROR(FIND(",", MAIN!E845)-1, LEN(MAIN!E845))), " ", ""), lookup_values!$D$2:$E$197, 2, FALSE)), "--", VLOOKUP(SUBSTITUTE(LEFT(MAIN!E845, IFERROR(FIND(",", MAIN!E845)-1, LEN(MAIN!E845))), " ", ""), lookup_values!$D$2:$E$197, 2, FALSE)))))</f>
        <v>--</v>
      </c>
      <c r="F845" t="str">
        <f>IF(ISBLANK(MAIN!F845), "", IF(AND(ISNUMBER(VALUE(TRIM(MAIN!F845))), LEN(TRIM(MAIN!F845))=4), VALUE(TRIM(MAIN!F845)), ""))</f>
        <v/>
      </c>
      <c r="G845">
        <f>IF(ISBLANK(MAIN!G845), 0, IF(ISNUMBER(VALUE(TRIM(MAIN!G845))), VALUE(TRIM(MAIN!G845)), 0))</f>
        <v>0</v>
      </c>
      <c r="H845">
        <f>IF(ISBLANK(MAIN!H845), 0, IF(ISNUMBER(VALUE(TRIM(MAIN!H845))), VALUE(TRIM(MAIN!H845)), 0))</f>
        <v>0</v>
      </c>
      <c r="I845">
        <f>IF(ISBLANK(MAIN!I845), 0, IF(ISNUMBER(VALUE(TRIM(MAIN!I845))), VALUE(TRIM(MAIN!I845)), 0))</f>
        <v>0</v>
      </c>
      <c r="J845">
        <f>IF(ISBLANK(MAIN!J845), 0, IF(ISNUMBER(VALUE(TRIM(MAIN!J845))), VALUE(TRIM(MAIN!J845)), 0))</f>
        <v>0</v>
      </c>
      <c r="K845" cm="1">
        <f t="array" ref="K845">IFERROR(
    VALUE(
        IFERROR(
            UPPER(
                IF(MAX(IFERROR(SEARCH("WD",MAIN!G845:J845), 0))&gt;0, "WD",
                IF(MAX(IFERROR(SEARCH("NS",MAIN!G845:J845), 0))&gt;0, "NS",
                IF(MAX(IFERROR(SEARCH("NC",MAIN!G845:J845), 0))&gt;0, "NC",
                IF(MAX(IFERROR(SEARCH("DQ",MAIN!G845:J845), 0))&gt;0, "DQ",
                IF(ISNUMBER(SEARCH("WD",MAIN!K845)), "WD",
                IF(ISNUMBER(SEARCH("NS",MAIN!K845)), "NS",
                IF(ISNUMBER(SEARCH("NC",MAIN!K845)), "NC",
                IF(ISNUMBER(SEARCH("DQ",MAIN!K845)), "DQ",
                IF(ISNUMBER(SEARCH("A",MAIN!K845)), 0,
                IF(OR(MAIN!K845=0,MAIN!K845=""), 0, --TRIM(MAIN!K845)))))))))))),
            0
        )
    ),
    IFERROR(
        UPPER(
            IF(MAX(IFERROR(SEARCH("WD",MAIN!G845:J845), 0))&gt;0, "WD",
            IF(MAX(IFERROR(SEARCH("NS",MAIN!G845:J845), 0))&gt;0, "NS",
            IF(MAX(IFERROR(SEARCH("NC",MAIN!G845:J845), 0))&gt;0, "NC",
            IF(MAX(IFERROR(SEARCH("DQ",MAIN!G845:J845), 0))&gt;0, "DQ",
            IF(ISNUMBER(SEARCH("WD",MAIN!K845)), "WD",
            IF(ISNUMBER(SEARCH("NS",MAIN!K845)), "NS",
            IF(ISNUMBER(SEARCH("NC",MAIN!K845)), "NC",
            IF(ISNUMBER(SEARCH("DQ",MAIN!K845)), "DQ",
            IF(ISNUMBER(SEARCH("A",MAIN!K845)), 0,
            IF(OR(MAIN!K845=0,MAIN!K845=""), 0, --TRIM(MAIN!K845)))))))))))),
        0
    )
)</f>
        <v>0</v>
      </c>
    </row>
    <row r="846" spans="1:11" x14ac:dyDescent="0.25">
      <c r="A846" t="str">
        <f>IF(ISBLANK(MAIN!A846), "--", IFERROR(PROPER(SUBSTITUTE(SUBSTITUTE(SUBSTITUTE(SUBSTITUTE(SUBSTITUTE(SUBSTITUTE(SUBSTITUTE(SUBSTITUTE(SUBSTITUTE(SUBSTITUTE(LEFT(MAIN!A846, FIND(",",MAIN!A846) -1), "0", ""), "1", ""), "2", ""), "3", ""), "4", ""), "5", ""), "6", ""), "7", ""), "8", ""), "9", "")), PROPER(SUBSTITUTE(SUBSTITUTE(SUBSTITUTE(SUBSTITUTE(SUBSTITUTE(SUBSTITUTE(SUBSTITUTE(SUBSTITUTE(SUBSTITUTE(SUBSTITUTE(MAIN!A846, "0", ""), "1", ""), "2", ""), "3", ""), "4", ""), "5", ""), "6", ""), "7", ""), "8", ""), "9", ""))))</f>
        <v>--</v>
      </c>
      <c r="B846" t="str">
        <f>IF(ISBLANK(MAIN!B846), "--", IFERROR(PROPER(SUBSTITUTE(SUBSTITUTE(SUBSTITUTE(SUBSTITUTE(SUBSTITUTE(SUBSTITUTE(SUBSTITUTE(SUBSTITUTE(SUBSTITUTE(SUBSTITUTE(LEFT(MAIN!B846, FIND(",",MAIN!B846) -1), "0", ""), "1", ""), "2", ""), "3", ""), "4", ""), "5", ""), "6", ""), "7", ""), "8", ""), "9", "")), PROPER(SUBSTITUTE(SUBSTITUTE(SUBSTITUTE(SUBSTITUTE(SUBSTITUTE(SUBSTITUTE(SUBSTITUTE(SUBSTITUTE(SUBSTITUTE(SUBSTITUTE(MAIN!B846, "0", ""), "1", ""), "2", ""), "3", ""), "4", ""), "5", ""), "6", ""), "7", ""), "8", ""), "9", ""))))</f>
        <v>--</v>
      </c>
      <c r="C846" t="str">
        <f>IF(ISBLANK(MAIN!C846), "--", IFERROR(PROPER(SUBSTITUTE(SUBSTITUTE(SUBSTITUTE(SUBSTITUTE(SUBSTITUTE(SUBSTITUTE(SUBSTITUTE(SUBSTITUTE(SUBSTITUTE(SUBSTITUTE(LEFT(MAIN!C846, FIND(",",MAIN!C846) -1), "0", ""), "1", ""), "2", ""), "3", ""), "4", ""), "5", ""), "6", ""), "7", ""), "8", ""), "9", "")), PROPER(SUBSTITUTE(SUBSTITUTE(SUBSTITUTE(SUBSTITUTE(SUBSTITUTE(SUBSTITUTE(SUBSTITUTE(SUBSTITUTE(SUBSTITUTE(SUBSTITUTE(MAIN!C846, "0", ""), "1", ""), "2", ""), "3", ""), "4", ""), "5", ""), "6", ""), "7", ""), "8", ""), "9", ""))))</f>
        <v>--</v>
      </c>
      <c r="D846" t="str">
        <f>IF(ISBLANK(MAIN!D846), "--", IF(ISNUMBER(MATCH(SUBSTITUTE(LEFT(MAIN!D846, IFERROR(FIND(",", MAIN!D846)-1, LEN(MAIN!D846))), " ", ""), lookup_values!$B$2:$B$51, 0)), UPPER(SUBSTITUTE(LEFT(MAIN!D846, IFERROR(FIND(",", MAIN!D846)-1, LEN(MAIN!D846))), " ", "")), IF(ISNA(VLOOKUP(SUBSTITUTE(LEFT(MAIN!D846, IFERROR(FIND(",", MAIN!D846)-1, LEN(MAIN!D846))), " ", ""), lookup_values!$A$2:$B$51, 2, FALSE)), "--", VLOOKUP(SUBSTITUTE(LEFT(MAIN!D846, IFERROR(FIND(",", MAIN!D846)-1, LEN(MAIN!D846))), " ", ""), lookup_values!$A$2:$B$51, 2, FALSE))))</f>
        <v>--</v>
      </c>
      <c r="E846" t="str">
        <f>IF(CLEAN_DATA!D846&lt;&gt;"--","US",IF(ISBLANK(MAIN!E846), "--", IF(ISNUMBER(MATCH(SUBSTITUTE(LEFT(MAIN!E846, IFERROR(FIND(",", MAIN!E846)-1, LEN(MAIN!E846))), " ", ""), lookup_values!$E$2:$E$197, 0)), UPPER(SUBSTITUTE(LEFT(MAIN!E846, IFERROR(FIND(",", MAIN!E846)-1, LEN(MAIN!E846))), " ", "")), IF(ISNA(VLOOKUP(SUBSTITUTE(LEFT(MAIN!E846, IFERROR(FIND(",", MAIN!E846)-1, LEN(MAIN!E846))), " ", ""), lookup_values!$D$2:$E$197, 2, FALSE)), "--", VLOOKUP(SUBSTITUTE(LEFT(MAIN!E846, IFERROR(FIND(",", MAIN!E846)-1, LEN(MAIN!E846))), " ", ""), lookup_values!$D$2:$E$197, 2, FALSE)))))</f>
        <v>--</v>
      </c>
      <c r="F846" t="str">
        <f>IF(ISBLANK(MAIN!F846), "", IF(AND(ISNUMBER(VALUE(TRIM(MAIN!F846))), LEN(TRIM(MAIN!F846))=4), VALUE(TRIM(MAIN!F846)), ""))</f>
        <v/>
      </c>
      <c r="G846">
        <f>IF(ISBLANK(MAIN!G846), 0, IF(ISNUMBER(VALUE(TRIM(MAIN!G846))), VALUE(TRIM(MAIN!G846)), 0))</f>
        <v>0</v>
      </c>
      <c r="H846">
        <f>IF(ISBLANK(MAIN!H846), 0, IF(ISNUMBER(VALUE(TRIM(MAIN!H846))), VALUE(TRIM(MAIN!H846)), 0))</f>
        <v>0</v>
      </c>
      <c r="I846">
        <f>IF(ISBLANK(MAIN!I846), 0, IF(ISNUMBER(VALUE(TRIM(MAIN!I846))), VALUE(TRIM(MAIN!I846)), 0))</f>
        <v>0</v>
      </c>
      <c r="J846">
        <f>IF(ISBLANK(MAIN!J846), 0, IF(ISNUMBER(VALUE(TRIM(MAIN!J846))), VALUE(TRIM(MAIN!J846)), 0))</f>
        <v>0</v>
      </c>
      <c r="K846" cm="1">
        <f t="array" ref="K846">IFERROR(
    VALUE(
        IFERROR(
            UPPER(
                IF(MAX(IFERROR(SEARCH("WD",MAIN!G846:J846), 0))&gt;0, "WD",
                IF(MAX(IFERROR(SEARCH("NS",MAIN!G846:J846), 0))&gt;0, "NS",
                IF(MAX(IFERROR(SEARCH("NC",MAIN!G846:J846), 0))&gt;0, "NC",
                IF(MAX(IFERROR(SEARCH("DQ",MAIN!G846:J846), 0))&gt;0, "DQ",
                IF(ISNUMBER(SEARCH("WD",MAIN!K846)), "WD",
                IF(ISNUMBER(SEARCH("NS",MAIN!K846)), "NS",
                IF(ISNUMBER(SEARCH("NC",MAIN!K846)), "NC",
                IF(ISNUMBER(SEARCH("DQ",MAIN!K846)), "DQ",
                IF(ISNUMBER(SEARCH("A",MAIN!K846)), 0,
                IF(OR(MAIN!K846=0,MAIN!K846=""), 0, --TRIM(MAIN!K846)))))))))))),
            0
        )
    ),
    IFERROR(
        UPPER(
            IF(MAX(IFERROR(SEARCH("WD",MAIN!G846:J846), 0))&gt;0, "WD",
            IF(MAX(IFERROR(SEARCH("NS",MAIN!G846:J846), 0))&gt;0, "NS",
            IF(MAX(IFERROR(SEARCH("NC",MAIN!G846:J846), 0))&gt;0, "NC",
            IF(MAX(IFERROR(SEARCH("DQ",MAIN!G846:J846), 0))&gt;0, "DQ",
            IF(ISNUMBER(SEARCH("WD",MAIN!K846)), "WD",
            IF(ISNUMBER(SEARCH("NS",MAIN!K846)), "NS",
            IF(ISNUMBER(SEARCH("NC",MAIN!K846)), "NC",
            IF(ISNUMBER(SEARCH("DQ",MAIN!K846)), "DQ",
            IF(ISNUMBER(SEARCH("A",MAIN!K846)), 0,
            IF(OR(MAIN!K846=0,MAIN!K846=""), 0, --TRIM(MAIN!K846)))))))))))),
        0
    )
)</f>
        <v>0</v>
      </c>
    </row>
    <row r="847" spans="1:11" x14ac:dyDescent="0.25">
      <c r="A847" t="str">
        <f>IF(ISBLANK(MAIN!A847), "--", IFERROR(PROPER(SUBSTITUTE(SUBSTITUTE(SUBSTITUTE(SUBSTITUTE(SUBSTITUTE(SUBSTITUTE(SUBSTITUTE(SUBSTITUTE(SUBSTITUTE(SUBSTITUTE(LEFT(MAIN!A847, FIND(",",MAIN!A847) -1), "0", ""), "1", ""), "2", ""), "3", ""), "4", ""), "5", ""), "6", ""), "7", ""), "8", ""), "9", "")), PROPER(SUBSTITUTE(SUBSTITUTE(SUBSTITUTE(SUBSTITUTE(SUBSTITUTE(SUBSTITUTE(SUBSTITUTE(SUBSTITUTE(SUBSTITUTE(SUBSTITUTE(MAIN!A847, "0", ""), "1", ""), "2", ""), "3", ""), "4", ""), "5", ""), "6", ""), "7", ""), "8", ""), "9", ""))))</f>
        <v>--</v>
      </c>
      <c r="B847" t="str">
        <f>IF(ISBLANK(MAIN!B847), "--", IFERROR(PROPER(SUBSTITUTE(SUBSTITUTE(SUBSTITUTE(SUBSTITUTE(SUBSTITUTE(SUBSTITUTE(SUBSTITUTE(SUBSTITUTE(SUBSTITUTE(SUBSTITUTE(LEFT(MAIN!B847, FIND(",",MAIN!B847) -1), "0", ""), "1", ""), "2", ""), "3", ""), "4", ""), "5", ""), "6", ""), "7", ""), "8", ""), "9", "")), PROPER(SUBSTITUTE(SUBSTITUTE(SUBSTITUTE(SUBSTITUTE(SUBSTITUTE(SUBSTITUTE(SUBSTITUTE(SUBSTITUTE(SUBSTITUTE(SUBSTITUTE(MAIN!B847, "0", ""), "1", ""), "2", ""), "3", ""), "4", ""), "5", ""), "6", ""), "7", ""), "8", ""), "9", ""))))</f>
        <v>--</v>
      </c>
      <c r="C847" t="str">
        <f>IF(ISBLANK(MAIN!C847), "--", IFERROR(PROPER(SUBSTITUTE(SUBSTITUTE(SUBSTITUTE(SUBSTITUTE(SUBSTITUTE(SUBSTITUTE(SUBSTITUTE(SUBSTITUTE(SUBSTITUTE(SUBSTITUTE(LEFT(MAIN!C847, FIND(",",MAIN!C847) -1), "0", ""), "1", ""), "2", ""), "3", ""), "4", ""), "5", ""), "6", ""), "7", ""), "8", ""), "9", "")), PROPER(SUBSTITUTE(SUBSTITUTE(SUBSTITUTE(SUBSTITUTE(SUBSTITUTE(SUBSTITUTE(SUBSTITUTE(SUBSTITUTE(SUBSTITUTE(SUBSTITUTE(MAIN!C847, "0", ""), "1", ""), "2", ""), "3", ""), "4", ""), "5", ""), "6", ""), "7", ""), "8", ""), "9", ""))))</f>
        <v>--</v>
      </c>
      <c r="D847" t="str">
        <f>IF(ISBLANK(MAIN!D847), "--", IF(ISNUMBER(MATCH(SUBSTITUTE(LEFT(MAIN!D847, IFERROR(FIND(",", MAIN!D847)-1, LEN(MAIN!D847))), " ", ""), lookup_values!$B$2:$B$51, 0)), UPPER(SUBSTITUTE(LEFT(MAIN!D847, IFERROR(FIND(",", MAIN!D847)-1, LEN(MAIN!D847))), " ", "")), IF(ISNA(VLOOKUP(SUBSTITUTE(LEFT(MAIN!D847, IFERROR(FIND(",", MAIN!D847)-1, LEN(MAIN!D847))), " ", ""), lookup_values!$A$2:$B$51, 2, FALSE)), "--", VLOOKUP(SUBSTITUTE(LEFT(MAIN!D847, IFERROR(FIND(",", MAIN!D847)-1, LEN(MAIN!D847))), " ", ""), lookup_values!$A$2:$B$51, 2, FALSE))))</f>
        <v>--</v>
      </c>
      <c r="E847" t="str">
        <f>IF(CLEAN_DATA!D847&lt;&gt;"--","US",IF(ISBLANK(MAIN!E847), "--", IF(ISNUMBER(MATCH(SUBSTITUTE(LEFT(MAIN!E847, IFERROR(FIND(",", MAIN!E847)-1, LEN(MAIN!E847))), " ", ""), lookup_values!$E$2:$E$197, 0)), UPPER(SUBSTITUTE(LEFT(MAIN!E847, IFERROR(FIND(",", MAIN!E847)-1, LEN(MAIN!E847))), " ", "")), IF(ISNA(VLOOKUP(SUBSTITUTE(LEFT(MAIN!E847, IFERROR(FIND(",", MAIN!E847)-1, LEN(MAIN!E847))), " ", ""), lookup_values!$D$2:$E$197, 2, FALSE)), "--", VLOOKUP(SUBSTITUTE(LEFT(MAIN!E847, IFERROR(FIND(",", MAIN!E847)-1, LEN(MAIN!E847))), " ", ""), lookup_values!$D$2:$E$197, 2, FALSE)))))</f>
        <v>--</v>
      </c>
      <c r="F847" t="str">
        <f>IF(ISBLANK(MAIN!F847), "", IF(AND(ISNUMBER(VALUE(TRIM(MAIN!F847))), LEN(TRIM(MAIN!F847))=4), VALUE(TRIM(MAIN!F847)), ""))</f>
        <v/>
      </c>
      <c r="G847">
        <f>IF(ISBLANK(MAIN!G847), 0, IF(ISNUMBER(VALUE(TRIM(MAIN!G847))), VALUE(TRIM(MAIN!G847)), 0))</f>
        <v>0</v>
      </c>
      <c r="H847">
        <f>IF(ISBLANK(MAIN!H847), 0, IF(ISNUMBER(VALUE(TRIM(MAIN!H847))), VALUE(TRIM(MAIN!H847)), 0))</f>
        <v>0</v>
      </c>
      <c r="I847">
        <f>IF(ISBLANK(MAIN!I847), 0, IF(ISNUMBER(VALUE(TRIM(MAIN!I847))), VALUE(TRIM(MAIN!I847)), 0))</f>
        <v>0</v>
      </c>
      <c r="J847">
        <f>IF(ISBLANK(MAIN!J847), 0, IF(ISNUMBER(VALUE(TRIM(MAIN!J847))), VALUE(TRIM(MAIN!J847)), 0))</f>
        <v>0</v>
      </c>
      <c r="K847" cm="1">
        <f t="array" ref="K847">IFERROR(
    VALUE(
        IFERROR(
            UPPER(
                IF(MAX(IFERROR(SEARCH("WD",MAIN!G847:J847), 0))&gt;0, "WD",
                IF(MAX(IFERROR(SEARCH("NS",MAIN!G847:J847), 0))&gt;0, "NS",
                IF(MAX(IFERROR(SEARCH("NC",MAIN!G847:J847), 0))&gt;0, "NC",
                IF(MAX(IFERROR(SEARCH("DQ",MAIN!G847:J847), 0))&gt;0, "DQ",
                IF(ISNUMBER(SEARCH("WD",MAIN!K847)), "WD",
                IF(ISNUMBER(SEARCH("NS",MAIN!K847)), "NS",
                IF(ISNUMBER(SEARCH("NC",MAIN!K847)), "NC",
                IF(ISNUMBER(SEARCH("DQ",MAIN!K847)), "DQ",
                IF(ISNUMBER(SEARCH("A",MAIN!K847)), 0,
                IF(OR(MAIN!K847=0,MAIN!K847=""), 0, --TRIM(MAIN!K847)))))))))))),
            0
        )
    ),
    IFERROR(
        UPPER(
            IF(MAX(IFERROR(SEARCH("WD",MAIN!G847:J847), 0))&gt;0, "WD",
            IF(MAX(IFERROR(SEARCH("NS",MAIN!G847:J847), 0))&gt;0, "NS",
            IF(MAX(IFERROR(SEARCH("NC",MAIN!G847:J847), 0))&gt;0, "NC",
            IF(MAX(IFERROR(SEARCH("DQ",MAIN!G847:J847), 0))&gt;0, "DQ",
            IF(ISNUMBER(SEARCH("WD",MAIN!K847)), "WD",
            IF(ISNUMBER(SEARCH("NS",MAIN!K847)), "NS",
            IF(ISNUMBER(SEARCH("NC",MAIN!K847)), "NC",
            IF(ISNUMBER(SEARCH("DQ",MAIN!K847)), "DQ",
            IF(ISNUMBER(SEARCH("A",MAIN!K847)), 0,
            IF(OR(MAIN!K847=0,MAIN!K847=""), 0, --TRIM(MAIN!K847)))))))))))),
        0
    )
)</f>
        <v>0</v>
      </c>
    </row>
    <row r="848" spans="1:11" x14ac:dyDescent="0.25">
      <c r="A848" t="str">
        <f>IF(ISBLANK(MAIN!A848), "--", IFERROR(PROPER(SUBSTITUTE(SUBSTITUTE(SUBSTITUTE(SUBSTITUTE(SUBSTITUTE(SUBSTITUTE(SUBSTITUTE(SUBSTITUTE(SUBSTITUTE(SUBSTITUTE(LEFT(MAIN!A848, FIND(",",MAIN!A848) -1), "0", ""), "1", ""), "2", ""), "3", ""), "4", ""), "5", ""), "6", ""), "7", ""), "8", ""), "9", "")), PROPER(SUBSTITUTE(SUBSTITUTE(SUBSTITUTE(SUBSTITUTE(SUBSTITUTE(SUBSTITUTE(SUBSTITUTE(SUBSTITUTE(SUBSTITUTE(SUBSTITUTE(MAIN!A848, "0", ""), "1", ""), "2", ""), "3", ""), "4", ""), "5", ""), "6", ""), "7", ""), "8", ""), "9", ""))))</f>
        <v>--</v>
      </c>
      <c r="B848" t="str">
        <f>IF(ISBLANK(MAIN!B848), "--", IFERROR(PROPER(SUBSTITUTE(SUBSTITUTE(SUBSTITUTE(SUBSTITUTE(SUBSTITUTE(SUBSTITUTE(SUBSTITUTE(SUBSTITUTE(SUBSTITUTE(SUBSTITUTE(LEFT(MAIN!B848, FIND(",",MAIN!B848) -1), "0", ""), "1", ""), "2", ""), "3", ""), "4", ""), "5", ""), "6", ""), "7", ""), "8", ""), "9", "")), PROPER(SUBSTITUTE(SUBSTITUTE(SUBSTITUTE(SUBSTITUTE(SUBSTITUTE(SUBSTITUTE(SUBSTITUTE(SUBSTITUTE(SUBSTITUTE(SUBSTITUTE(MAIN!B848, "0", ""), "1", ""), "2", ""), "3", ""), "4", ""), "5", ""), "6", ""), "7", ""), "8", ""), "9", ""))))</f>
        <v>--</v>
      </c>
      <c r="C848" t="str">
        <f>IF(ISBLANK(MAIN!C848), "--", IFERROR(PROPER(SUBSTITUTE(SUBSTITUTE(SUBSTITUTE(SUBSTITUTE(SUBSTITUTE(SUBSTITUTE(SUBSTITUTE(SUBSTITUTE(SUBSTITUTE(SUBSTITUTE(LEFT(MAIN!C848, FIND(",",MAIN!C848) -1), "0", ""), "1", ""), "2", ""), "3", ""), "4", ""), "5", ""), "6", ""), "7", ""), "8", ""), "9", "")), PROPER(SUBSTITUTE(SUBSTITUTE(SUBSTITUTE(SUBSTITUTE(SUBSTITUTE(SUBSTITUTE(SUBSTITUTE(SUBSTITUTE(SUBSTITUTE(SUBSTITUTE(MAIN!C848, "0", ""), "1", ""), "2", ""), "3", ""), "4", ""), "5", ""), "6", ""), "7", ""), "8", ""), "9", ""))))</f>
        <v>--</v>
      </c>
      <c r="D848" t="str">
        <f>IF(ISBLANK(MAIN!D848), "--", IF(ISNUMBER(MATCH(SUBSTITUTE(LEFT(MAIN!D848, IFERROR(FIND(",", MAIN!D848)-1, LEN(MAIN!D848))), " ", ""), lookup_values!$B$2:$B$51, 0)), UPPER(SUBSTITUTE(LEFT(MAIN!D848, IFERROR(FIND(",", MAIN!D848)-1, LEN(MAIN!D848))), " ", "")), IF(ISNA(VLOOKUP(SUBSTITUTE(LEFT(MAIN!D848, IFERROR(FIND(",", MAIN!D848)-1, LEN(MAIN!D848))), " ", ""), lookup_values!$A$2:$B$51, 2, FALSE)), "--", VLOOKUP(SUBSTITUTE(LEFT(MAIN!D848, IFERROR(FIND(",", MAIN!D848)-1, LEN(MAIN!D848))), " ", ""), lookup_values!$A$2:$B$51, 2, FALSE))))</f>
        <v>--</v>
      </c>
      <c r="E848" t="str">
        <f>IF(CLEAN_DATA!D848&lt;&gt;"--","US",IF(ISBLANK(MAIN!E848), "--", IF(ISNUMBER(MATCH(SUBSTITUTE(LEFT(MAIN!E848, IFERROR(FIND(",", MAIN!E848)-1, LEN(MAIN!E848))), " ", ""), lookup_values!$E$2:$E$197, 0)), UPPER(SUBSTITUTE(LEFT(MAIN!E848, IFERROR(FIND(",", MAIN!E848)-1, LEN(MAIN!E848))), " ", "")), IF(ISNA(VLOOKUP(SUBSTITUTE(LEFT(MAIN!E848, IFERROR(FIND(",", MAIN!E848)-1, LEN(MAIN!E848))), " ", ""), lookup_values!$D$2:$E$197, 2, FALSE)), "--", VLOOKUP(SUBSTITUTE(LEFT(MAIN!E848, IFERROR(FIND(",", MAIN!E848)-1, LEN(MAIN!E848))), " ", ""), lookup_values!$D$2:$E$197, 2, FALSE)))))</f>
        <v>--</v>
      </c>
      <c r="F848" t="str">
        <f>IF(ISBLANK(MAIN!F848), "", IF(AND(ISNUMBER(VALUE(TRIM(MAIN!F848))), LEN(TRIM(MAIN!F848))=4), VALUE(TRIM(MAIN!F848)), ""))</f>
        <v/>
      </c>
      <c r="G848">
        <f>IF(ISBLANK(MAIN!G848), 0, IF(ISNUMBER(VALUE(TRIM(MAIN!G848))), VALUE(TRIM(MAIN!G848)), 0))</f>
        <v>0</v>
      </c>
      <c r="H848">
        <f>IF(ISBLANK(MAIN!H848), 0, IF(ISNUMBER(VALUE(TRIM(MAIN!H848))), VALUE(TRIM(MAIN!H848)), 0))</f>
        <v>0</v>
      </c>
      <c r="I848">
        <f>IF(ISBLANK(MAIN!I848), 0, IF(ISNUMBER(VALUE(TRIM(MAIN!I848))), VALUE(TRIM(MAIN!I848)), 0))</f>
        <v>0</v>
      </c>
      <c r="J848">
        <f>IF(ISBLANK(MAIN!J848), 0, IF(ISNUMBER(VALUE(TRIM(MAIN!J848))), VALUE(TRIM(MAIN!J848)), 0))</f>
        <v>0</v>
      </c>
      <c r="K848" cm="1">
        <f t="array" ref="K848">IFERROR(
    VALUE(
        IFERROR(
            UPPER(
                IF(MAX(IFERROR(SEARCH("WD",MAIN!G848:J848), 0))&gt;0, "WD",
                IF(MAX(IFERROR(SEARCH("NS",MAIN!G848:J848), 0))&gt;0, "NS",
                IF(MAX(IFERROR(SEARCH("NC",MAIN!G848:J848), 0))&gt;0, "NC",
                IF(MAX(IFERROR(SEARCH("DQ",MAIN!G848:J848), 0))&gt;0, "DQ",
                IF(ISNUMBER(SEARCH("WD",MAIN!K848)), "WD",
                IF(ISNUMBER(SEARCH("NS",MAIN!K848)), "NS",
                IF(ISNUMBER(SEARCH("NC",MAIN!K848)), "NC",
                IF(ISNUMBER(SEARCH("DQ",MAIN!K848)), "DQ",
                IF(ISNUMBER(SEARCH("A",MAIN!K848)), 0,
                IF(OR(MAIN!K848=0,MAIN!K848=""), 0, --TRIM(MAIN!K848)))))))))))),
            0
        )
    ),
    IFERROR(
        UPPER(
            IF(MAX(IFERROR(SEARCH("WD",MAIN!G848:J848), 0))&gt;0, "WD",
            IF(MAX(IFERROR(SEARCH("NS",MAIN!G848:J848), 0))&gt;0, "NS",
            IF(MAX(IFERROR(SEARCH("NC",MAIN!G848:J848), 0))&gt;0, "NC",
            IF(MAX(IFERROR(SEARCH("DQ",MAIN!G848:J848), 0))&gt;0, "DQ",
            IF(ISNUMBER(SEARCH("WD",MAIN!K848)), "WD",
            IF(ISNUMBER(SEARCH("NS",MAIN!K848)), "NS",
            IF(ISNUMBER(SEARCH("NC",MAIN!K848)), "NC",
            IF(ISNUMBER(SEARCH("DQ",MAIN!K848)), "DQ",
            IF(ISNUMBER(SEARCH("A",MAIN!K848)), 0,
            IF(OR(MAIN!K848=0,MAIN!K848=""), 0, --TRIM(MAIN!K848)))))))))))),
        0
    )
)</f>
        <v>0</v>
      </c>
    </row>
    <row r="849" spans="1:11" x14ac:dyDescent="0.25">
      <c r="A849" t="str">
        <f>IF(ISBLANK(MAIN!A849), "--", IFERROR(PROPER(SUBSTITUTE(SUBSTITUTE(SUBSTITUTE(SUBSTITUTE(SUBSTITUTE(SUBSTITUTE(SUBSTITUTE(SUBSTITUTE(SUBSTITUTE(SUBSTITUTE(LEFT(MAIN!A849, FIND(",",MAIN!A849) -1), "0", ""), "1", ""), "2", ""), "3", ""), "4", ""), "5", ""), "6", ""), "7", ""), "8", ""), "9", "")), PROPER(SUBSTITUTE(SUBSTITUTE(SUBSTITUTE(SUBSTITUTE(SUBSTITUTE(SUBSTITUTE(SUBSTITUTE(SUBSTITUTE(SUBSTITUTE(SUBSTITUTE(MAIN!A849, "0", ""), "1", ""), "2", ""), "3", ""), "4", ""), "5", ""), "6", ""), "7", ""), "8", ""), "9", ""))))</f>
        <v>--</v>
      </c>
      <c r="B849" t="str">
        <f>IF(ISBLANK(MAIN!B849), "--", IFERROR(PROPER(SUBSTITUTE(SUBSTITUTE(SUBSTITUTE(SUBSTITUTE(SUBSTITUTE(SUBSTITUTE(SUBSTITUTE(SUBSTITUTE(SUBSTITUTE(SUBSTITUTE(LEFT(MAIN!B849, FIND(",",MAIN!B849) -1), "0", ""), "1", ""), "2", ""), "3", ""), "4", ""), "5", ""), "6", ""), "7", ""), "8", ""), "9", "")), PROPER(SUBSTITUTE(SUBSTITUTE(SUBSTITUTE(SUBSTITUTE(SUBSTITUTE(SUBSTITUTE(SUBSTITUTE(SUBSTITUTE(SUBSTITUTE(SUBSTITUTE(MAIN!B849, "0", ""), "1", ""), "2", ""), "3", ""), "4", ""), "5", ""), "6", ""), "7", ""), "8", ""), "9", ""))))</f>
        <v>--</v>
      </c>
      <c r="C849" t="str">
        <f>IF(ISBLANK(MAIN!C849), "--", IFERROR(PROPER(SUBSTITUTE(SUBSTITUTE(SUBSTITUTE(SUBSTITUTE(SUBSTITUTE(SUBSTITUTE(SUBSTITUTE(SUBSTITUTE(SUBSTITUTE(SUBSTITUTE(LEFT(MAIN!C849, FIND(",",MAIN!C849) -1), "0", ""), "1", ""), "2", ""), "3", ""), "4", ""), "5", ""), "6", ""), "7", ""), "8", ""), "9", "")), PROPER(SUBSTITUTE(SUBSTITUTE(SUBSTITUTE(SUBSTITUTE(SUBSTITUTE(SUBSTITUTE(SUBSTITUTE(SUBSTITUTE(SUBSTITUTE(SUBSTITUTE(MAIN!C849, "0", ""), "1", ""), "2", ""), "3", ""), "4", ""), "5", ""), "6", ""), "7", ""), "8", ""), "9", ""))))</f>
        <v>--</v>
      </c>
      <c r="D849" t="str">
        <f>IF(ISBLANK(MAIN!D849), "--", IF(ISNUMBER(MATCH(SUBSTITUTE(LEFT(MAIN!D849, IFERROR(FIND(",", MAIN!D849)-1, LEN(MAIN!D849))), " ", ""), lookup_values!$B$2:$B$51, 0)), UPPER(SUBSTITUTE(LEFT(MAIN!D849, IFERROR(FIND(",", MAIN!D849)-1, LEN(MAIN!D849))), " ", "")), IF(ISNA(VLOOKUP(SUBSTITUTE(LEFT(MAIN!D849, IFERROR(FIND(",", MAIN!D849)-1, LEN(MAIN!D849))), " ", ""), lookup_values!$A$2:$B$51, 2, FALSE)), "--", VLOOKUP(SUBSTITUTE(LEFT(MAIN!D849, IFERROR(FIND(",", MAIN!D849)-1, LEN(MAIN!D849))), " ", ""), lookup_values!$A$2:$B$51, 2, FALSE))))</f>
        <v>--</v>
      </c>
      <c r="E849" t="str">
        <f>IF(CLEAN_DATA!D849&lt;&gt;"--","US",IF(ISBLANK(MAIN!E849), "--", IF(ISNUMBER(MATCH(SUBSTITUTE(LEFT(MAIN!E849, IFERROR(FIND(",", MAIN!E849)-1, LEN(MAIN!E849))), " ", ""), lookup_values!$E$2:$E$197, 0)), UPPER(SUBSTITUTE(LEFT(MAIN!E849, IFERROR(FIND(",", MAIN!E849)-1, LEN(MAIN!E849))), " ", "")), IF(ISNA(VLOOKUP(SUBSTITUTE(LEFT(MAIN!E849, IFERROR(FIND(",", MAIN!E849)-1, LEN(MAIN!E849))), " ", ""), lookup_values!$D$2:$E$197, 2, FALSE)), "--", VLOOKUP(SUBSTITUTE(LEFT(MAIN!E849, IFERROR(FIND(",", MAIN!E849)-1, LEN(MAIN!E849))), " ", ""), lookup_values!$D$2:$E$197, 2, FALSE)))))</f>
        <v>--</v>
      </c>
      <c r="F849" t="str">
        <f>IF(ISBLANK(MAIN!F849), "", IF(AND(ISNUMBER(VALUE(TRIM(MAIN!F849))), LEN(TRIM(MAIN!F849))=4), VALUE(TRIM(MAIN!F849)), ""))</f>
        <v/>
      </c>
      <c r="G849">
        <f>IF(ISBLANK(MAIN!G849), 0, IF(ISNUMBER(VALUE(TRIM(MAIN!G849))), VALUE(TRIM(MAIN!G849)), 0))</f>
        <v>0</v>
      </c>
      <c r="H849">
        <f>IF(ISBLANK(MAIN!H849), 0, IF(ISNUMBER(VALUE(TRIM(MAIN!H849))), VALUE(TRIM(MAIN!H849)), 0))</f>
        <v>0</v>
      </c>
      <c r="I849">
        <f>IF(ISBLANK(MAIN!I849), 0, IF(ISNUMBER(VALUE(TRIM(MAIN!I849))), VALUE(TRIM(MAIN!I849)), 0))</f>
        <v>0</v>
      </c>
      <c r="J849">
        <f>IF(ISBLANK(MAIN!J849), 0, IF(ISNUMBER(VALUE(TRIM(MAIN!J849))), VALUE(TRIM(MAIN!J849)), 0))</f>
        <v>0</v>
      </c>
      <c r="K849" cm="1">
        <f t="array" ref="K849">IFERROR(
    VALUE(
        IFERROR(
            UPPER(
                IF(MAX(IFERROR(SEARCH("WD",MAIN!G849:J849), 0))&gt;0, "WD",
                IF(MAX(IFERROR(SEARCH("NS",MAIN!G849:J849), 0))&gt;0, "NS",
                IF(MAX(IFERROR(SEARCH("NC",MAIN!G849:J849), 0))&gt;0, "NC",
                IF(MAX(IFERROR(SEARCH("DQ",MAIN!G849:J849), 0))&gt;0, "DQ",
                IF(ISNUMBER(SEARCH("WD",MAIN!K849)), "WD",
                IF(ISNUMBER(SEARCH("NS",MAIN!K849)), "NS",
                IF(ISNUMBER(SEARCH("NC",MAIN!K849)), "NC",
                IF(ISNUMBER(SEARCH("DQ",MAIN!K849)), "DQ",
                IF(ISNUMBER(SEARCH("A",MAIN!K849)), 0,
                IF(OR(MAIN!K849=0,MAIN!K849=""), 0, --TRIM(MAIN!K849)))))))))))),
            0
        )
    ),
    IFERROR(
        UPPER(
            IF(MAX(IFERROR(SEARCH("WD",MAIN!G849:J849), 0))&gt;0, "WD",
            IF(MAX(IFERROR(SEARCH("NS",MAIN!G849:J849), 0))&gt;0, "NS",
            IF(MAX(IFERROR(SEARCH("NC",MAIN!G849:J849), 0))&gt;0, "NC",
            IF(MAX(IFERROR(SEARCH("DQ",MAIN!G849:J849), 0))&gt;0, "DQ",
            IF(ISNUMBER(SEARCH("WD",MAIN!K849)), "WD",
            IF(ISNUMBER(SEARCH("NS",MAIN!K849)), "NS",
            IF(ISNUMBER(SEARCH("NC",MAIN!K849)), "NC",
            IF(ISNUMBER(SEARCH("DQ",MAIN!K849)), "DQ",
            IF(ISNUMBER(SEARCH("A",MAIN!K849)), 0,
            IF(OR(MAIN!K849=0,MAIN!K849=""), 0, --TRIM(MAIN!K849)))))))))))),
        0
    )
)</f>
        <v>0</v>
      </c>
    </row>
    <row r="850" spans="1:11" x14ac:dyDescent="0.25">
      <c r="A850" t="str">
        <f>IF(ISBLANK(MAIN!A850), "--", IFERROR(PROPER(SUBSTITUTE(SUBSTITUTE(SUBSTITUTE(SUBSTITUTE(SUBSTITUTE(SUBSTITUTE(SUBSTITUTE(SUBSTITUTE(SUBSTITUTE(SUBSTITUTE(LEFT(MAIN!A850, FIND(",",MAIN!A850) -1), "0", ""), "1", ""), "2", ""), "3", ""), "4", ""), "5", ""), "6", ""), "7", ""), "8", ""), "9", "")), PROPER(SUBSTITUTE(SUBSTITUTE(SUBSTITUTE(SUBSTITUTE(SUBSTITUTE(SUBSTITUTE(SUBSTITUTE(SUBSTITUTE(SUBSTITUTE(SUBSTITUTE(MAIN!A850, "0", ""), "1", ""), "2", ""), "3", ""), "4", ""), "5", ""), "6", ""), "7", ""), "8", ""), "9", ""))))</f>
        <v>--</v>
      </c>
      <c r="B850" t="str">
        <f>IF(ISBLANK(MAIN!B850), "--", IFERROR(PROPER(SUBSTITUTE(SUBSTITUTE(SUBSTITUTE(SUBSTITUTE(SUBSTITUTE(SUBSTITUTE(SUBSTITUTE(SUBSTITUTE(SUBSTITUTE(SUBSTITUTE(LEFT(MAIN!B850, FIND(",",MAIN!B850) -1), "0", ""), "1", ""), "2", ""), "3", ""), "4", ""), "5", ""), "6", ""), "7", ""), "8", ""), "9", "")), PROPER(SUBSTITUTE(SUBSTITUTE(SUBSTITUTE(SUBSTITUTE(SUBSTITUTE(SUBSTITUTE(SUBSTITUTE(SUBSTITUTE(SUBSTITUTE(SUBSTITUTE(MAIN!B850, "0", ""), "1", ""), "2", ""), "3", ""), "4", ""), "5", ""), "6", ""), "7", ""), "8", ""), "9", ""))))</f>
        <v>--</v>
      </c>
      <c r="C850" t="str">
        <f>IF(ISBLANK(MAIN!C850), "--", IFERROR(PROPER(SUBSTITUTE(SUBSTITUTE(SUBSTITUTE(SUBSTITUTE(SUBSTITUTE(SUBSTITUTE(SUBSTITUTE(SUBSTITUTE(SUBSTITUTE(SUBSTITUTE(LEFT(MAIN!C850, FIND(",",MAIN!C850) -1), "0", ""), "1", ""), "2", ""), "3", ""), "4", ""), "5", ""), "6", ""), "7", ""), "8", ""), "9", "")), PROPER(SUBSTITUTE(SUBSTITUTE(SUBSTITUTE(SUBSTITUTE(SUBSTITUTE(SUBSTITUTE(SUBSTITUTE(SUBSTITUTE(SUBSTITUTE(SUBSTITUTE(MAIN!C850, "0", ""), "1", ""), "2", ""), "3", ""), "4", ""), "5", ""), "6", ""), "7", ""), "8", ""), "9", ""))))</f>
        <v>--</v>
      </c>
      <c r="D850" t="str">
        <f>IF(ISBLANK(MAIN!D850), "--", IF(ISNUMBER(MATCH(SUBSTITUTE(LEFT(MAIN!D850, IFERROR(FIND(",", MAIN!D850)-1, LEN(MAIN!D850))), " ", ""), lookup_values!$B$2:$B$51, 0)), UPPER(SUBSTITUTE(LEFT(MAIN!D850, IFERROR(FIND(",", MAIN!D850)-1, LEN(MAIN!D850))), " ", "")), IF(ISNA(VLOOKUP(SUBSTITUTE(LEFT(MAIN!D850, IFERROR(FIND(",", MAIN!D850)-1, LEN(MAIN!D850))), " ", ""), lookup_values!$A$2:$B$51, 2, FALSE)), "--", VLOOKUP(SUBSTITUTE(LEFT(MAIN!D850, IFERROR(FIND(",", MAIN!D850)-1, LEN(MAIN!D850))), " ", ""), lookup_values!$A$2:$B$51, 2, FALSE))))</f>
        <v>--</v>
      </c>
      <c r="E850" t="str">
        <f>IF(CLEAN_DATA!D850&lt;&gt;"--","US",IF(ISBLANK(MAIN!E850), "--", IF(ISNUMBER(MATCH(SUBSTITUTE(LEFT(MAIN!E850, IFERROR(FIND(",", MAIN!E850)-1, LEN(MAIN!E850))), " ", ""), lookup_values!$E$2:$E$197, 0)), UPPER(SUBSTITUTE(LEFT(MAIN!E850, IFERROR(FIND(",", MAIN!E850)-1, LEN(MAIN!E850))), " ", "")), IF(ISNA(VLOOKUP(SUBSTITUTE(LEFT(MAIN!E850, IFERROR(FIND(",", MAIN!E850)-1, LEN(MAIN!E850))), " ", ""), lookup_values!$D$2:$E$197, 2, FALSE)), "--", VLOOKUP(SUBSTITUTE(LEFT(MAIN!E850, IFERROR(FIND(",", MAIN!E850)-1, LEN(MAIN!E850))), " ", ""), lookup_values!$D$2:$E$197, 2, FALSE)))))</f>
        <v>--</v>
      </c>
      <c r="F850" t="str">
        <f>IF(ISBLANK(MAIN!F850), "", IF(AND(ISNUMBER(VALUE(TRIM(MAIN!F850))), LEN(TRIM(MAIN!F850))=4), VALUE(TRIM(MAIN!F850)), ""))</f>
        <v/>
      </c>
      <c r="G850">
        <f>IF(ISBLANK(MAIN!G850), 0, IF(ISNUMBER(VALUE(TRIM(MAIN!G850))), VALUE(TRIM(MAIN!G850)), 0))</f>
        <v>0</v>
      </c>
      <c r="H850">
        <f>IF(ISBLANK(MAIN!H850), 0, IF(ISNUMBER(VALUE(TRIM(MAIN!H850))), VALUE(TRIM(MAIN!H850)), 0))</f>
        <v>0</v>
      </c>
      <c r="I850">
        <f>IF(ISBLANK(MAIN!I850), 0, IF(ISNUMBER(VALUE(TRIM(MAIN!I850))), VALUE(TRIM(MAIN!I850)), 0))</f>
        <v>0</v>
      </c>
      <c r="J850">
        <f>IF(ISBLANK(MAIN!J850), 0, IF(ISNUMBER(VALUE(TRIM(MAIN!J850))), VALUE(TRIM(MAIN!J850)), 0))</f>
        <v>0</v>
      </c>
      <c r="K850" cm="1">
        <f t="array" ref="K850">IFERROR(
    VALUE(
        IFERROR(
            UPPER(
                IF(MAX(IFERROR(SEARCH("WD",MAIN!G850:J850), 0))&gt;0, "WD",
                IF(MAX(IFERROR(SEARCH("NS",MAIN!G850:J850), 0))&gt;0, "NS",
                IF(MAX(IFERROR(SEARCH("NC",MAIN!G850:J850), 0))&gt;0, "NC",
                IF(MAX(IFERROR(SEARCH("DQ",MAIN!G850:J850), 0))&gt;0, "DQ",
                IF(ISNUMBER(SEARCH("WD",MAIN!K850)), "WD",
                IF(ISNUMBER(SEARCH("NS",MAIN!K850)), "NS",
                IF(ISNUMBER(SEARCH("NC",MAIN!K850)), "NC",
                IF(ISNUMBER(SEARCH("DQ",MAIN!K850)), "DQ",
                IF(ISNUMBER(SEARCH("A",MAIN!K850)), 0,
                IF(OR(MAIN!K850=0,MAIN!K850=""), 0, --TRIM(MAIN!K850)))))))))))),
            0
        )
    ),
    IFERROR(
        UPPER(
            IF(MAX(IFERROR(SEARCH("WD",MAIN!G850:J850), 0))&gt;0, "WD",
            IF(MAX(IFERROR(SEARCH("NS",MAIN!G850:J850), 0))&gt;0, "NS",
            IF(MAX(IFERROR(SEARCH("NC",MAIN!G850:J850), 0))&gt;0, "NC",
            IF(MAX(IFERROR(SEARCH("DQ",MAIN!G850:J850), 0))&gt;0, "DQ",
            IF(ISNUMBER(SEARCH("WD",MAIN!K850)), "WD",
            IF(ISNUMBER(SEARCH("NS",MAIN!K850)), "NS",
            IF(ISNUMBER(SEARCH("NC",MAIN!K850)), "NC",
            IF(ISNUMBER(SEARCH("DQ",MAIN!K850)), "DQ",
            IF(ISNUMBER(SEARCH("A",MAIN!K850)), 0,
            IF(OR(MAIN!K850=0,MAIN!K850=""), 0, --TRIM(MAIN!K850)))))))))))),
        0
    )
)</f>
        <v>0</v>
      </c>
    </row>
    <row r="851" spans="1:11" x14ac:dyDescent="0.25">
      <c r="A851" t="str">
        <f>IF(ISBLANK(MAIN!A851), "--", IFERROR(PROPER(SUBSTITUTE(SUBSTITUTE(SUBSTITUTE(SUBSTITUTE(SUBSTITUTE(SUBSTITUTE(SUBSTITUTE(SUBSTITUTE(SUBSTITUTE(SUBSTITUTE(LEFT(MAIN!A851, FIND(",",MAIN!A851) -1), "0", ""), "1", ""), "2", ""), "3", ""), "4", ""), "5", ""), "6", ""), "7", ""), "8", ""), "9", "")), PROPER(SUBSTITUTE(SUBSTITUTE(SUBSTITUTE(SUBSTITUTE(SUBSTITUTE(SUBSTITUTE(SUBSTITUTE(SUBSTITUTE(SUBSTITUTE(SUBSTITUTE(MAIN!A851, "0", ""), "1", ""), "2", ""), "3", ""), "4", ""), "5", ""), "6", ""), "7", ""), "8", ""), "9", ""))))</f>
        <v>--</v>
      </c>
      <c r="B851" t="str">
        <f>IF(ISBLANK(MAIN!B851), "--", IFERROR(PROPER(SUBSTITUTE(SUBSTITUTE(SUBSTITUTE(SUBSTITUTE(SUBSTITUTE(SUBSTITUTE(SUBSTITUTE(SUBSTITUTE(SUBSTITUTE(SUBSTITUTE(LEFT(MAIN!B851, FIND(",",MAIN!B851) -1), "0", ""), "1", ""), "2", ""), "3", ""), "4", ""), "5", ""), "6", ""), "7", ""), "8", ""), "9", "")), PROPER(SUBSTITUTE(SUBSTITUTE(SUBSTITUTE(SUBSTITUTE(SUBSTITUTE(SUBSTITUTE(SUBSTITUTE(SUBSTITUTE(SUBSTITUTE(SUBSTITUTE(MAIN!B851, "0", ""), "1", ""), "2", ""), "3", ""), "4", ""), "5", ""), "6", ""), "7", ""), "8", ""), "9", ""))))</f>
        <v>--</v>
      </c>
      <c r="C851" t="str">
        <f>IF(ISBLANK(MAIN!C851), "--", IFERROR(PROPER(SUBSTITUTE(SUBSTITUTE(SUBSTITUTE(SUBSTITUTE(SUBSTITUTE(SUBSTITUTE(SUBSTITUTE(SUBSTITUTE(SUBSTITUTE(SUBSTITUTE(LEFT(MAIN!C851, FIND(",",MAIN!C851) -1), "0", ""), "1", ""), "2", ""), "3", ""), "4", ""), "5", ""), "6", ""), "7", ""), "8", ""), "9", "")), PROPER(SUBSTITUTE(SUBSTITUTE(SUBSTITUTE(SUBSTITUTE(SUBSTITUTE(SUBSTITUTE(SUBSTITUTE(SUBSTITUTE(SUBSTITUTE(SUBSTITUTE(MAIN!C851, "0", ""), "1", ""), "2", ""), "3", ""), "4", ""), "5", ""), "6", ""), "7", ""), "8", ""), "9", ""))))</f>
        <v>--</v>
      </c>
      <c r="D851" t="str">
        <f>IF(ISBLANK(MAIN!D851), "--", IF(ISNUMBER(MATCH(SUBSTITUTE(LEFT(MAIN!D851, IFERROR(FIND(",", MAIN!D851)-1, LEN(MAIN!D851))), " ", ""), lookup_values!$B$2:$B$51, 0)), UPPER(SUBSTITUTE(LEFT(MAIN!D851, IFERROR(FIND(",", MAIN!D851)-1, LEN(MAIN!D851))), " ", "")), IF(ISNA(VLOOKUP(SUBSTITUTE(LEFT(MAIN!D851, IFERROR(FIND(",", MAIN!D851)-1, LEN(MAIN!D851))), " ", ""), lookup_values!$A$2:$B$51, 2, FALSE)), "--", VLOOKUP(SUBSTITUTE(LEFT(MAIN!D851, IFERROR(FIND(",", MAIN!D851)-1, LEN(MAIN!D851))), " ", ""), lookup_values!$A$2:$B$51, 2, FALSE))))</f>
        <v>--</v>
      </c>
      <c r="E851" t="str">
        <f>IF(CLEAN_DATA!D851&lt;&gt;"--","US",IF(ISBLANK(MAIN!E851), "--", IF(ISNUMBER(MATCH(SUBSTITUTE(LEFT(MAIN!E851, IFERROR(FIND(",", MAIN!E851)-1, LEN(MAIN!E851))), " ", ""), lookup_values!$E$2:$E$197, 0)), UPPER(SUBSTITUTE(LEFT(MAIN!E851, IFERROR(FIND(",", MAIN!E851)-1, LEN(MAIN!E851))), " ", "")), IF(ISNA(VLOOKUP(SUBSTITUTE(LEFT(MAIN!E851, IFERROR(FIND(",", MAIN!E851)-1, LEN(MAIN!E851))), " ", ""), lookup_values!$D$2:$E$197, 2, FALSE)), "--", VLOOKUP(SUBSTITUTE(LEFT(MAIN!E851, IFERROR(FIND(",", MAIN!E851)-1, LEN(MAIN!E851))), " ", ""), lookup_values!$D$2:$E$197, 2, FALSE)))))</f>
        <v>--</v>
      </c>
      <c r="F851" t="str">
        <f>IF(ISBLANK(MAIN!F851), "", IF(AND(ISNUMBER(VALUE(TRIM(MAIN!F851))), LEN(TRIM(MAIN!F851))=4), VALUE(TRIM(MAIN!F851)), ""))</f>
        <v/>
      </c>
      <c r="G851">
        <f>IF(ISBLANK(MAIN!G851), 0, IF(ISNUMBER(VALUE(TRIM(MAIN!G851))), VALUE(TRIM(MAIN!G851)), 0))</f>
        <v>0</v>
      </c>
      <c r="H851">
        <f>IF(ISBLANK(MAIN!H851), 0, IF(ISNUMBER(VALUE(TRIM(MAIN!H851))), VALUE(TRIM(MAIN!H851)), 0))</f>
        <v>0</v>
      </c>
      <c r="I851">
        <f>IF(ISBLANK(MAIN!I851), 0, IF(ISNUMBER(VALUE(TRIM(MAIN!I851))), VALUE(TRIM(MAIN!I851)), 0))</f>
        <v>0</v>
      </c>
      <c r="J851">
        <f>IF(ISBLANK(MAIN!J851), 0, IF(ISNUMBER(VALUE(TRIM(MAIN!J851))), VALUE(TRIM(MAIN!J851)), 0))</f>
        <v>0</v>
      </c>
      <c r="K851" cm="1">
        <f t="array" ref="K851">IFERROR(
    VALUE(
        IFERROR(
            UPPER(
                IF(MAX(IFERROR(SEARCH("WD",MAIN!G851:J851), 0))&gt;0, "WD",
                IF(MAX(IFERROR(SEARCH("NS",MAIN!G851:J851), 0))&gt;0, "NS",
                IF(MAX(IFERROR(SEARCH("NC",MAIN!G851:J851), 0))&gt;0, "NC",
                IF(MAX(IFERROR(SEARCH("DQ",MAIN!G851:J851), 0))&gt;0, "DQ",
                IF(ISNUMBER(SEARCH("WD",MAIN!K851)), "WD",
                IF(ISNUMBER(SEARCH("NS",MAIN!K851)), "NS",
                IF(ISNUMBER(SEARCH("NC",MAIN!K851)), "NC",
                IF(ISNUMBER(SEARCH("DQ",MAIN!K851)), "DQ",
                IF(ISNUMBER(SEARCH("A",MAIN!K851)), 0,
                IF(OR(MAIN!K851=0,MAIN!K851=""), 0, --TRIM(MAIN!K851)))))))))))),
            0
        )
    ),
    IFERROR(
        UPPER(
            IF(MAX(IFERROR(SEARCH("WD",MAIN!G851:J851), 0))&gt;0, "WD",
            IF(MAX(IFERROR(SEARCH("NS",MAIN!G851:J851), 0))&gt;0, "NS",
            IF(MAX(IFERROR(SEARCH("NC",MAIN!G851:J851), 0))&gt;0, "NC",
            IF(MAX(IFERROR(SEARCH("DQ",MAIN!G851:J851), 0))&gt;0, "DQ",
            IF(ISNUMBER(SEARCH("WD",MAIN!K851)), "WD",
            IF(ISNUMBER(SEARCH("NS",MAIN!K851)), "NS",
            IF(ISNUMBER(SEARCH("NC",MAIN!K851)), "NC",
            IF(ISNUMBER(SEARCH("DQ",MAIN!K851)), "DQ",
            IF(ISNUMBER(SEARCH("A",MAIN!K851)), 0,
            IF(OR(MAIN!K851=0,MAIN!K851=""), 0, --TRIM(MAIN!K851)))))))))))),
        0
    )
)</f>
        <v>0</v>
      </c>
    </row>
    <row r="852" spans="1:11" x14ac:dyDescent="0.25">
      <c r="A852" t="str">
        <f>IF(ISBLANK(MAIN!A852), "--", IFERROR(PROPER(SUBSTITUTE(SUBSTITUTE(SUBSTITUTE(SUBSTITUTE(SUBSTITUTE(SUBSTITUTE(SUBSTITUTE(SUBSTITUTE(SUBSTITUTE(SUBSTITUTE(LEFT(MAIN!A852, FIND(",",MAIN!A852) -1), "0", ""), "1", ""), "2", ""), "3", ""), "4", ""), "5", ""), "6", ""), "7", ""), "8", ""), "9", "")), PROPER(SUBSTITUTE(SUBSTITUTE(SUBSTITUTE(SUBSTITUTE(SUBSTITUTE(SUBSTITUTE(SUBSTITUTE(SUBSTITUTE(SUBSTITUTE(SUBSTITUTE(MAIN!A852, "0", ""), "1", ""), "2", ""), "3", ""), "4", ""), "5", ""), "6", ""), "7", ""), "8", ""), "9", ""))))</f>
        <v>--</v>
      </c>
      <c r="B852" t="str">
        <f>IF(ISBLANK(MAIN!B852), "--", IFERROR(PROPER(SUBSTITUTE(SUBSTITUTE(SUBSTITUTE(SUBSTITUTE(SUBSTITUTE(SUBSTITUTE(SUBSTITUTE(SUBSTITUTE(SUBSTITUTE(SUBSTITUTE(LEFT(MAIN!B852, FIND(",",MAIN!B852) -1), "0", ""), "1", ""), "2", ""), "3", ""), "4", ""), "5", ""), "6", ""), "7", ""), "8", ""), "9", "")), PROPER(SUBSTITUTE(SUBSTITUTE(SUBSTITUTE(SUBSTITUTE(SUBSTITUTE(SUBSTITUTE(SUBSTITUTE(SUBSTITUTE(SUBSTITUTE(SUBSTITUTE(MAIN!B852, "0", ""), "1", ""), "2", ""), "3", ""), "4", ""), "5", ""), "6", ""), "7", ""), "8", ""), "9", ""))))</f>
        <v>--</v>
      </c>
      <c r="C852" t="str">
        <f>IF(ISBLANK(MAIN!C852), "--", IFERROR(PROPER(SUBSTITUTE(SUBSTITUTE(SUBSTITUTE(SUBSTITUTE(SUBSTITUTE(SUBSTITUTE(SUBSTITUTE(SUBSTITUTE(SUBSTITUTE(SUBSTITUTE(LEFT(MAIN!C852, FIND(",",MAIN!C852) -1), "0", ""), "1", ""), "2", ""), "3", ""), "4", ""), "5", ""), "6", ""), "7", ""), "8", ""), "9", "")), PROPER(SUBSTITUTE(SUBSTITUTE(SUBSTITUTE(SUBSTITUTE(SUBSTITUTE(SUBSTITUTE(SUBSTITUTE(SUBSTITUTE(SUBSTITUTE(SUBSTITUTE(MAIN!C852, "0", ""), "1", ""), "2", ""), "3", ""), "4", ""), "5", ""), "6", ""), "7", ""), "8", ""), "9", ""))))</f>
        <v>--</v>
      </c>
      <c r="D852" t="str">
        <f>IF(ISBLANK(MAIN!D852), "--", IF(ISNUMBER(MATCH(SUBSTITUTE(LEFT(MAIN!D852, IFERROR(FIND(",", MAIN!D852)-1, LEN(MAIN!D852))), " ", ""), lookup_values!$B$2:$B$51, 0)), UPPER(SUBSTITUTE(LEFT(MAIN!D852, IFERROR(FIND(",", MAIN!D852)-1, LEN(MAIN!D852))), " ", "")), IF(ISNA(VLOOKUP(SUBSTITUTE(LEFT(MAIN!D852, IFERROR(FIND(",", MAIN!D852)-1, LEN(MAIN!D852))), " ", ""), lookup_values!$A$2:$B$51, 2, FALSE)), "--", VLOOKUP(SUBSTITUTE(LEFT(MAIN!D852, IFERROR(FIND(",", MAIN!D852)-1, LEN(MAIN!D852))), " ", ""), lookup_values!$A$2:$B$51, 2, FALSE))))</f>
        <v>--</v>
      </c>
      <c r="E852" t="str">
        <f>IF(CLEAN_DATA!D852&lt;&gt;"--","US",IF(ISBLANK(MAIN!E852), "--", IF(ISNUMBER(MATCH(SUBSTITUTE(LEFT(MAIN!E852, IFERROR(FIND(",", MAIN!E852)-1, LEN(MAIN!E852))), " ", ""), lookup_values!$E$2:$E$197, 0)), UPPER(SUBSTITUTE(LEFT(MAIN!E852, IFERROR(FIND(",", MAIN!E852)-1, LEN(MAIN!E852))), " ", "")), IF(ISNA(VLOOKUP(SUBSTITUTE(LEFT(MAIN!E852, IFERROR(FIND(",", MAIN!E852)-1, LEN(MAIN!E852))), " ", ""), lookup_values!$D$2:$E$197, 2, FALSE)), "--", VLOOKUP(SUBSTITUTE(LEFT(MAIN!E852, IFERROR(FIND(",", MAIN!E852)-1, LEN(MAIN!E852))), " ", ""), lookup_values!$D$2:$E$197, 2, FALSE)))))</f>
        <v>--</v>
      </c>
      <c r="F852" t="str">
        <f>IF(ISBLANK(MAIN!F852), "", IF(AND(ISNUMBER(VALUE(TRIM(MAIN!F852))), LEN(TRIM(MAIN!F852))=4), VALUE(TRIM(MAIN!F852)), ""))</f>
        <v/>
      </c>
      <c r="G852">
        <f>IF(ISBLANK(MAIN!G852), 0, IF(ISNUMBER(VALUE(TRIM(MAIN!G852))), VALUE(TRIM(MAIN!G852)), 0))</f>
        <v>0</v>
      </c>
      <c r="H852">
        <f>IF(ISBLANK(MAIN!H852), 0, IF(ISNUMBER(VALUE(TRIM(MAIN!H852))), VALUE(TRIM(MAIN!H852)), 0))</f>
        <v>0</v>
      </c>
      <c r="I852">
        <f>IF(ISBLANK(MAIN!I852), 0, IF(ISNUMBER(VALUE(TRIM(MAIN!I852))), VALUE(TRIM(MAIN!I852)), 0))</f>
        <v>0</v>
      </c>
      <c r="J852">
        <f>IF(ISBLANK(MAIN!J852), 0, IF(ISNUMBER(VALUE(TRIM(MAIN!J852))), VALUE(TRIM(MAIN!J852)), 0))</f>
        <v>0</v>
      </c>
      <c r="K852" cm="1">
        <f t="array" ref="K852">IFERROR(
    VALUE(
        IFERROR(
            UPPER(
                IF(MAX(IFERROR(SEARCH("WD",MAIN!G852:J852), 0))&gt;0, "WD",
                IF(MAX(IFERROR(SEARCH("NS",MAIN!G852:J852), 0))&gt;0, "NS",
                IF(MAX(IFERROR(SEARCH("NC",MAIN!G852:J852), 0))&gt;0, "NC",
                IF(MAX(IFERROR(SEARCH("DQ",MAIN!G852:J852), 0))&gt;0, "DQ",
                IF(ISNUMBER(SEARCH("WD",MAIN!K852)), "WD",
                IF(ISNUMBER(SEARCH("NS",MAIN!K852)), "NS",
                IF(ISNUMBER(SEARCH("NC",MAIN!K852)), "NC",
                IF(ISNUMBER(SEARCH("DQ",MAIN!K852)), "DQ",
                IF(ISNUMBER(SEARCH("A",MAIN!K852)), 0,
                IF(OR(MAIN!K852=0,MAIN!K852=""), 0, --TRIM(MAIN!K852)))))))))))),
            0
        )
    ),
    IFERROR(
        UPPER(
            IF(MAX(IFERROR(SEARCH("WD",MAIN!G852:J852), 0))&gt;0, "WD",
            IF(MAX(IFERROR(SEARCH("NS",MAIN!G852:J852), 0))&gt;0, "NS",
            IF(MAX(IFERROR(SEARCH("NC",MAIN!G852:J852), 0))&gt;0, "NC",
            IF(MAX(IFERROR(SEARCH("DQ",MAIN!G852:J852), 0))&gt;0, "DQ",
            IF(ISNUMBER(SEARCH("WD",MAIN!K852)), "WD",
            IF(ISNUMBER(SEARCH("NS",MAIN!K852)), "NS",
            IF(ISNUMBER(SEARCH("NC",MAIN!K852)), "NC",
            IF(ISNUMBER(SEARCH("DQ",MAIN!K852)), "DQ",
            IF(ISNUMBER(SEARCH("A",MAIN!K852)), 0,
            IF(OR(MAIN!K852=0,MAIN!K852=""), 0, --TRIM(MAIN!K852)))))))))))),
        0
    )
)</f>
        <v>0</v>
      </c>
    </row>
    <row r="853" spans="1:11" x14ac:dyDescent="0.25">
      <c r="A853" t="str">
        <f>IF(ISBLANK(MAIN!A853), "--", IFERROR(PROPER(SUBSTITUTE(SUBSTITUTE(SUBSTITUTE(SUBSTITUTE(SUBSTITUTE(SUBSTITUTE(SUBSTITUTE(SUBSTITUTE(SUBSTITUTE(SUBSTITUTE(LEFT(MAIN!A853, FIND(",",MAIN!A853) -1), "0", ""), "1", ""), "2", ""), "3", ""), "4", ""), "5", ""), "6", ""), "7", ""), "8", ""), "9", "")), PROPER(SUBSTITUTE(SUBSTITUTE(SUBSTITUTE(SUBSTITUTE(SUBSTITUTE(SUBSTITUTE(SUBSTITUTE(SUBSTITUTE(SUBSTITUTE(SUBSTITUTE(MAIN!A853, "0", ""), "1", ""), "2", ""), "3", ""), "4", ""), "5", ""), "6", ""), "7", ""), "8", ""), "9", ""))))</f>
        <v>--</v>
      </c>
      <c r="B853" t="str">
        <f>IF(ISBLANK(MAIN!B853), "--", IFERROR(PROPER(SUBSTITUTE(SUBSTITUTE(SUBSTITUTE(SUBSTITUTE(SUBSTITUTE(SUBSTITUTE(SUBSTITUTE(SUBSTITUTE(SUBSTITUTE(SUBSTITUTE(LEFT(MAIN!B853, FIND(",",MAIN!B853) -1), "0", ""), "1", ""), "2", ""), "3", ""), "4", ""), "5", ""), "6", ""), "7", ""), "8", ""), "9", "")), PROPER(SUBSTITUTE(SUBSTITUTE(SUBSTITUTE(SUBSTITUTE(SUBSTITUTE(SUBSTITUTE(SUBSTITUTE(SUBSTITUTE(SUBSTITUTE(SUBSTITUTE(MAIN!B853, "0", ""), "1", ""), "2", ""), "3", ""), "4", ""), "5", ""), "6", ""), "7", ""), "8", ""), "9", ""))))</f>
        <v>--</v>
      </c>
      <c r="C853" t="str">
        <f>IF(ISBLANK(MAIN!C853), "--", IFERROR(PROPER(SUBSTITUTE(SUBSTITUTE(SUBSTITUTE(SUBSTITUTE(SUBSTITUTE(SUBSTITUTE(SUBSTITUTE(SUBSTITUTE(SUBSTITUTE(SUBSTITUTE(LEFT(MAIN!C853, FIND(",",MAIN!C853) -1), "0", ""), "1", ""), "2", ""), "3", ""), "4", ""), "5", ""), "6", ""), "7", ""), "8", ""), "9", "")), PROPER(SUBSTITUTE(SUBSTITUTE(SUBSTITUTE(SUBSTITUTE(SUBSTITUTE(SUBSTITUTE(SUBSTITUTE(SUBSTITUTE(SUBSTITUTE(SUBSTITUTE(MAIN!C853, "0", ""), "1", ""), "2", ""), "3", ""), "4", ""), "5", ""), "6", ""), "7", ""), "8", ""), "9", ""))))</f>
        <v>--</v>
      </c>
      <c r="D853" t="str">
        <f>IF(ISBLANK(MAIN!D853), "--", IF(ISNUMBER(MATCH(SUBSTITUTE(LEFT(MAIN!D853, IFERROR(FIND(",", MAIN!D853)-1, LEN(MAIN!D853))), " ", ""), lookup_values!$B$2:$B$51, 0)), UPPER(SUBSTITUTE(LEFT(MAIN!D853, IFERROR(FIND(",", MAIN!D853)-1, LEN(MAIN!D853))), " ", "")), IF(ISNA(VLOOKUP(SUBSTITUTE(LEFT(MAIN!D853, IFERROR(FIND(",", MAIN!D853)-1, LEN(MAIN!D853))), " ", ""), lookup_values!$A$2:$B$51, 2, FALSE)), "--", VLOOKUP(SUBSTITUTE(LEFT(MAIN!D853, IFERROR(FIND(",", MAIN!D853)-1, LEN(MAIN!D853))), " ", ""), lookup_values!$A$2:$B$51, 2, FALSE))))</f>
        <v>--</v>
      </c>
      <c r="E853" t="str">
        <f>IF(CLEAN_DATA!D853&lt;&gt;"--","US",IF(ISBLANK(MAIN!E853), "--", IF(ISNUMBER(MATCH(SUBSTITUTE(LEFT(MAIN!E853, IFERROR(FIND(",", MAIN!E853)-1, LEN(MAIN!E853))), " ", ""), lookup_values!$E$2:$E$197, 0)), UPPER(SUBSTITUTE(LEFT(MAIN!E853, IFERROR(FIND(",", MAIN!E853)-1, LEN(MAIN!E853))), " ", "")), IF(ISNA(VLOOKUP(SUBSTITUTE(LEFT(MAIN!E853, IFERROR(FIND(",", MAIN!E853)-1, LEN(MAIN!E853))), " ", ""), lookup_values!$D$2:$E$197, 2, FALSE)), "--", VLOOKUP(SUBSTITUTE(LEFT(MAIN!E853, IFERROR(FIND(",", MAIN!E853)-1, LEN(MAIN!E853))), " ", ""), lookup_values!$D$2:$E$197, 2, FALSE)))))</f>
        <v>--</v>
      </c>
      <c r="F853" t="str">
        <f>IF(ISBLANK(MAIN!F853), "", IF(AND(ISNUMBER(VALUE(TRIM(MAIN!F853))), LEN(TRIM(MAIN!F853))=4), VALUE(TRIM(MAIN!F853)), ""))</f>
        <v/>
      </c>
      <c r="G853">
        <f>IF(ISBLANK(MAIN!G853), 0, IF(ISNUMBER(VALUE(TRIM(MAIN!G853))), VALUE(TRIM(MAIN!G853)), 0))</f>
        <v>0</v>
      </c>
      <c r="H853">
        <f>IF(ISBLANK(MAIN!H853), 0, IF(ISNUMBER(VALUE(TRIM(MAIN!H853))), VALUE(TRIM(MAIN!H853)), 0))</f>
        <v>0</v>
      </c>
      <c r="I853">
        <f>IF(ISBLANK(MAIN!I853), 0, IF(ISNUMBER(VALUE(TRIM(MAIN!I853))), VALUE(TRIM(MAIN!I853)), 0))</f>
        <v>0</v>
      </c>
      <c r="J853">
        <f>IF(ISBLANK(MAIN!J853), 0, IF(ISNUMBER(VALUE(TRIM(MAIN!J853))), VALUE(TRIM(MAIN!J853)), 0))</f>
        <v>0</v>
      </c>
      <c r="K853" cm="1">
        <f t="array" ref="K853">IFERROR(
    VALUE(
        IFERROR(
            UPPER(
                IF(MAX(IFERROR(SEARCH("WD",MAIN!G853:J853), 0))&gt;0, "WD",
                IF(MAX(IFERROR(SEARCH("NS",MAIN!G853:J853), 0))&gt;0, "NS",
                IF(MAX(IFERROR(SEARCH("NC",MAIN!G853:J853), 0))&gt;0, "NC",
                IF(MAX(IFERROR(SEARCH("DQ",MAIN!G853:J853), 0))&gt;0, "DQ",
                IF(ISNUMBER(SEARCH("WD",MAIN!K853)), "WD",
                IF(ISNUMBER(SEARCH("NS",MAIN!K853)), "NS",
                IF(ISNUMBER(SEARCH("NC",MAIN!K853)), "NC",
                IF(ISNUMBER(SEARCH("DQ",MAIN!K853)), "DQ",
                IF(ISNUMBER(SEARCH("A",MAIN!K853)), 0,
                IF(OR(MAIN!K853=0,MAIN!K853=""), 0, --TRIM(MAIN!K853)))))))))))),
            0
        )
    ),
    IFERROR(
        UPPER(
            IF(MAX(IFERROR(SEARCH("WD",MAIN!G853:J853), 0))&gt;0, "WD",
            IF(MAX(IFERROR(SEARCH("NS",MAIN!G853:J853), 0))&gt;0, "NS",
            IF(MAX(IFERROR(SEARCH("NC",MAIN!G853:J853), 0))&gt;0, "NC",
            IF(MAX(IFERROR(SEARCH("DQ",MAIN!G853:J853), 0))&gt;0, "DQ",
            IF(ISNUMBER(SEARCH("WD",MAIN!K853)), "WD",
            IF(ISNUMBER(SEARCH("NS",MAIN!K853)), "NS",
            IF(ISNUMBER(SEARCH("NC",MAIN!K853)), "NC",
            IF(ISNUMBER(SEARCH("DQ",MAIN!K853)), "DQ",
            IF(ISNUMBER(SEARCH("A",MAIN!K853)), 0,
            IF(OR(MAIN!K853=0,MAIN!K853=""), 0, --TRIM(MAIN!K853)))))))))))),
        0
    )
)</f>
        <v>0</v>
      </c>
    </row>
    <row r="854" spans="1:11" x14ac:dyDescent="0.25">
      <c r="A854" t="str">
        <f>IF(ISBLANK(MAIN!A854), "--", IFERROR(PROPER(SUBSTITUTE(SUBSTITUTE(SUBSTITUTE(SUBSTITUTE(SUBSTITUTE(SUBSTITUTE(SUBSTITUTE(SUBSTITUTE(SUBSTITUTE(SUBSTITUTE(LEFT(MAIN!A854, FIND(",",MAIN!A854) -1), "0", ""), "1", ""), "2", ""), "3", ""), "4", ""), "5", ""), "6", ""), "7", ""), "8", ""), "9", "")), PROPER(SUBSTITUTE(SUBSTITUTE(SUBSTITUTE(SUBSTITUTE(SUBSTITUTE(SUBSTITUTE(SUBSTITUTE(SUBSTITUTE(SUBSTITUTE(SUBSTITUTE(MAIN!A854, "0", ""), "1", ""), "2", ""), "3", ""), "4", ""), "5", ""), "6", ""), "7", ""), "8", ""), "9", ""))))</f>
        <v>--</v>
      </c>
      <c r="B854" t="str">
        <f>IF(ISBLANK(MAIN!B854), "--", IFERROR(PROPER(SUBSTITUTE(SUBSTITUTE(SUBSTITUTE(SUBSTITUTE(SUBSTITUTE(SUBSTITUTE(SUBSTITUTE(SUBSTITUTE(SUBSTITUTE(SUBSTITUTE(LEFT(MAIN!B854, FIND(",",MAIN!B854) -1), "0", ""), "1", ""), "2", ""), "3", ""), "4", ""), "5", ""), "6", ""), "7", ""), "8", ""), "9", "")), PROPER(SUBSTITUTE(SUBSTITUTE(SUBSTITUTE(SUBSTITUTE(SUBSTITUTE(SUBSTITUTE(SUBSTITUTE(SUBSTITUTE(SUBSTITUTE(SUBSTITUTE(MAIN!B854, "0", ""), "1", ""), "2", ""), "3", ""), "4", ""), "5", ""), "6", ""), "7", ""), "8", ""), "9", ""))))</f>
        <v>--</v>
      </c>
      <c r="C854" t="str">
        <f>IF(ISBLANK(MAIN!C854), "--", IFERROR(PROPER(SUBSTITUTE(SUBSTITUTE(SUBSTITUTE(SUBSTITUTE(SUBSTITUTE(SUBSTITUTE(SUBSTITUTE(SUBSTITUTE(SUBSTITUTE(SUBSTITUTE(LEFT(MAIN!C854, FIND(",",MAIN!C854) -1), "0", ""), "1", ""), "2", ""), "3", ""), "4", ""), "5", ""), "6", ""), "7", ""), "8", ""), "9", "")), PROPER(SUBSTITUTE(SUBSTITUTE(SUBSTITUTE(SUBSTITUTE(SUBSTITUTE(SUBSTITUTE(SUBSTITUTE(SUBSTITUTE(SUBSTITUTE(SUBSTITUTE(MAIN!C854, "0", ""), "1", ""), "2", ""), "3", ""), "4", ""), "5", ""), "6", ""), "7", ""), "8", ""), "9", ""))))</f>
        <v>--</v>
      </c>
      <c r="D854" t="str">
        <f>IF(ISBLANK(MAIN!D854), "--", IF(ISNUMBER(MATCH(SUBSTITUTE(LEFT(MAIN!D854, IFERROR(FIND(",", MAIN!D854)-1, LEN(MAIN!D854))), " ", ""), lookup_values!$B$2:$B$51, 0)), UPPER(SUBSTITUTE(LEFT(MAIN!D854, IFERROR(FIND(",", MAIN!D854)-1, LEN(MAIN!D854))), " ", "")), IF(ISNA(VLOOKUP(SUBSTITUTE(LEFT(MAIN!D854, IFERROR(FIND(",", MAIN!D854)-1, LEN(MAIN!D854))), " ", ""), lookup_values!$A$2:$B$51, 2, FALSE)), "--", VLOOKUP(SUBSTITUTE(LEFT(MAIN!D854, IFERROR(FIND(",", MAIN!D854)-1, LEN(MAIN!D854))), " ", ""), lookup_values!$A$2:$B$51, 2, FALSE))))</f>
        <v>--</v>
      </c>
      <c r="E854" t="str">
        <f>IF(CLEAN_DATA!D854&lt;&gt;"--","US",IF(ISBLANK(MAIN!E854), "--", IF(ISNUMBER(MATCH(SUBSTITUTE(LEFT(MAIN!E854, IFERROR(FIND(",", MAIN!E854)-1, LEN(MAIN!E854))), " ", ""), lookup_values!$E$2:$E$197, 0)), UPPER(SUBSTITUTE(LEFT(MAIN!E854, IFERROR(FIND(",", MAIN!E854)-1, LEN(MAIN!E854))), " ", "")), IF(ISNA(VLOOKUP(SUBSTITUTE(LEFT(MAIN!E854, IFERROR(FIND(",", MAIN!E854)-1, LEN(MAIN!E854))), " ", ""), lookup_values!$D$2:$E$197, 2, FALSE)), "--", VLOOKUP(SUBSTITUTE(LEFT(MAIN!E854, IFERROR(FIND(",", MAIN!E854)-1, LEN(MAIN!E854))), " ", ""), lookup_values!$D$2:$E$197, 2, FALSE)))))</f>
        <v>--</v>
      </c>
      <c r="F854" t="str">
        <f>IF(ISBLANK(MAIN!F854), "", IF(AND(ISNUMBER(VALUE(TRIM(MAIN!F854))), LEN(TRIM(MAIN!F854))=4), VALUE(TRIM(MAIN!F854)), ""))</f>
        <v/>
      </c>
      <c r="G854">
        <f>IF(ISBLANK(MAIN!G854), 0, IF(ISNUMBER(VALUE(TRIM(MAIN!G854))), VALUE(TRIM(MAIN!G854)), 0))</f>
        <v>0</v>
      </c>
      <c r="H854">
        <f>IF(ISBLANK(MAIN!H854), 0, IF(ISNUMBER(VALUE(TRIM(MAIN!H854))), VALUE(TRIM(MAIN!H854)), 0))</f>
        <v>0</v>
      </c>
      <c r="I854">
        <f>IF(ISBLANK(MAIN!I854), 0, IF(ISNUMBER(VALUE(TRIM(MAIN!I854))), VALUE(TRIM(MAIN!I854)), 0))</f>
        <v>0</v>
      </c>
      <c r="J854">
        <f>IF(ISBLANK(MAIN!J854), 0, IF(ISNUMBER(VALUE(TRIM(MAIN!J854))), VALUE(TRIM(MAIN!J854)), 0))</f>
        <v>0</v>
      </c>
      <c r="K854" cm="1">
        <f t="array" ref="K854">IFERROR(
    VALUE(
        IFERROR(
            UPPER(
                IF(MAX(IFERROR(SEARCH("WD",MAIN!G854:J854), 0))&gt;0, "WD",
                IF(MAX(IFERROR(SEARCH("NS",MAIN!G854:J854), 0))&gt;0, "NS",
                IF(MAX(IFERROR(SEARCH("NC",MAIN!G854:J854), 0))&gt;0, "NC",
                IF(MAX(IFERROR(SEARCH("DQ",MAIN!G854:J854), 0))&gt;0, "DQ",
                IF(ISNUMBER(SEARCH("WD",MAIN!K854)), "WD",
                IF(ISNUMBER(SEARCH("NS",MAIN!K854)), "NS",
                IF(ISNUMBER(SEARCH("NC",MAIN!K854)), "NC",
                IF(ISNUMBER(SEARCH("DQ",MAIN!K854)), "DQ",
                IF(ISNUMBER(SEARCH("A",MAIN!K854)), 0,
                IF(OR(MAIN!K854=0,MAIN!K854=""), 0, --TRIM(MAIN!K854)))))))))))),
            0
        )
    ),
    IFERROR(
        UPPER(
            IF(MAX(IFERROR(SEARCH("WD",MAIN!G854:J854), 0))&gt;0, "WD",
            IF(MAX(IFERROR(SEARCH("NS",MAIN!G854:J854), 0))&gt;0, "NS",
            IF(MAX(IFERROR(SEARCH("NC",MAIN!G854:J854), 0))&gt;0, "NC",
            IF(MAX(IFERROR(SEARCH("DQ",MAIN!G854:J854), 0))&gt;0, "DQ",
            IF(ISNUMBER(SEARCH("WD",MAIN!K854)), "WD",
            IF(ISNUMBER(SEARCH("NS",MAIN!K854)), "NS",
            IF(ISNUMBER(SEARCH("NC",MAIN!K854)), "NC",
            IF(ISNUMBER(SEARCH("DQ",MAIN!K854)), "DQ",
            IF(ISNUMBER(SEARCH("A",MAIN!K854)), 0,
            IF(OR(MAIN!K854=0,MAIN!K854=""), 0, --TRIM(MAIN!K854)))))))))))),
        0
    )
)</f>
        <v>0</v>
      </c>
    </row>
    <row r="855" spans="1:11" x14ac:dyDescent="0.25">
      <c r="A855" t="str">
        <f>IF(ISBLANK(MAIN!A855), "--", IFERROR(PROPER(SUBSTITUTE(SUBSTITUTE(SUBSTITUTE(SUBSTITUTE(SUBSTITUTE(SUBSTITUTE(SUBSTITUTE(SUBSTITUTE(SUBSTITUTE(SUBSTITUTE(LEFT(MAIN!A855, FIND(",",MAIN!A855) -1), "0", ""), "1", ""), "2", ""), "3", ""), "4", ""), "5", ""), "6", ""), "7", ""), "8", ""), "9", "")), PROPER(SUBSTITUTE(SUBSTITUTE(SUBSTITUTE(SUBSTITUTE(SUBSTITUTE(SUBSTITUTE(SUBSTITUTE(SUBSTITUTE(SUBSTITUTE(SUBSTITUTE(MAIN!A855, "0", ""), "1", ""), "2", ""), "3", ""), "4", ""), "5", ""), "6", ""), "7", ""), "8", ""), "9", ""))))</f>
        <v>--</v>
      </c>
      <c r="B855" t="str">
        <f>IF(ISBLANK(MAIN!B855), "--", IFERROR(PROPER(SUBSTITUTE(SUBSTITUTE(SUBSTITUTE(SUBSTITUTE(SUBSTITUTE(SUBSTITUTE(SUBSTITUTE(SUBSTITUTE(SUBSTITUTE(SUBSTITUTE(LEFT(MAIN!B855, FIND(",",MAIN!B855) -1), "0", ""), "1", ""), "2", ""), "3", ""), "4", ""), "5", ""), "6", ""), "7", ""), "8", ""), "9", "")), PROPER(SUBSTITUTE(SUBSTITUTE(SUBSTITUTE(SUBSTITUTE(SUBSTITUTE(SUBSTITUTE(SUBSTITUTE(SUBSTITUTE(SUBSTITUTE(SUBSTITUTE(MAIN!B855, "0", ""), "1", ""), "2", ""), "3", ""), "4", ""), "5", ""), "6", ""), "7", ""), "8", ""), "9", ""))))</f>
        <v>--</v>
      </c>
      <c r="C855" t="str">
        <f>IF(ISBLANK(MAIN!C855), "--", IFERROR(PROPER(SUBSTITUTE(SUBSTITUTE(SUBSTITUTE(SUBSTITUTE(SUBSTITUTE(SUBSTITUTE(SUBSTITUTE(SUBSTITUTE(SUBSTITUTE(SUBSTITUTE(LEFT(MAIN!C855, FIND(",",MAIN!C855) -1), "0", ""), "1", ""), "2", ""), "3", ""), "4", ""), "5", ""), "6", ""), "7", ""), "8", ""), "9", "")), PROPER(SUBSTITUTE(SUBSTITUTE(SUBSTITUTE(SUBSTITUTE(SUBSTITUTE(SUBSTITUTE(SUBSTITUTE(SUBSTITUTE(SUBSTITUTE(SUBSTITUTE(MAIN!C855, "0", ""), "1", ""), "2", ""), "3", ""), "4", ""), "5", ""), "6", ""), "7", ""), "8", ""), "9", ""))))</f>
        <v>--</v>
      </c>
      <c r="D855" t="str">
        <f>IF(ISBLANK(MAIN!D855), "--", IF(ISNUMBER(MATCH(SUBSTITUTE(LEFT(MAIN!D855, IFERROR(FIND(",", MAIN!D855)-1, LEN(MAIN!D855))), " ", ""), lookup_values!$B$2:$B$51, 0)), UPPER(SUBSTITUTE(LEFT(MAIN!D855, IFERROR(FIND(",", MAIN!D855)-1, LEN(MAIN!D855))), " ", "")), IF(ISNA(VLOOKUP(SUBSTITUTE(LEFT(MAIN!D855, IFERROR(FIND(",", MAIN!D855)-1, LEN(MAIN!D855))), " ", ""), lookup_values!$A$2:$B$51, 2, FALSE)), "--", VLOOKUP(SUBSTITUTE(LEFT(MAIN!D855, IFERROR(FIND(",", MAIN!D855)-1, LEN(MAIN!D855))), " ", ""), lookup_values!$A$2:$B$51, 2, FALSE))))</f>
        <v>--</v>
      </c>
      <c r="E855" t="str">
        <f>IF(CLEAN_DATA!D855&lt;&gt;"--","US",IF(ISBLANK(MAIN!E855), "--", IF(ISNUMBER(MATCH(SUBSTITUTE(LEFT(MAIN!E855, IFERROR(FIND(",", MAIN!E855)-1, LEN(MAIN!E855))), " ", ""), lookup_values!$E$2:$E$197, 0)), UPPER(SUBSTITUTE(LEFT(MAIN!E855, IFERROR(FIND(",", MAIN!E855)-1, LEN(MAIN!E855))), " ", "")), IF(ISNA(VLOOKUP(SUBSTITUTE(LEFT(MAIN!E855, IFERROR(FIND(",", MAIN!E855)-1, LEN(MAIN!E855))), " ", ""), lookup_values!$D$2:$E$197, 2, FALSE)), "--", VLOOKUP(SUBSTITUTE(LEFT(MAIN!E855, IFERROR(FIND(",", MAIN!E855)-1, LEN(MAIN!E855))), " ", ""), lookup_values!$D$2:$E$197, 2, FALSE)))))</f>
        <v>--</v>
      </c>
      <c r="F855" t="str">
        <f>IF(ISBLANK(MAIN!F855), "", IF(AND(ISNUMBER(VALUE(TRIM(MAIN!F855))), LEN(TRIM(MAIN!F855))=4), VALUE(TRIM(MAIN!F855)), ""))</f>
        <v/>
      </c>
      <c r="G855">
        <f>IF(ISBLANK(MAIN!G855), 0, IF(ISNUMBER(VALUE(TRIM(MAIN!G855))), VALUE(TRIM(MAIN!G855)), 0))</f>
        <v>0</v>
      </c>
      <c r="H855">
        <f>IF(ISBLANK(MAIN!H855), 0, IF(ISNUMBER(VALUE(TRIM(MAIN!H855))), VALUE(TRIM(MAIN!H855)), 0))</f>
        <v>0</v>
      </c>
      <c r="I855">
        <f>IF(ISBLANK(MAIN!I855), 0, IF(ISNUMBER(VALUE(TRIM(MAIN!I855))), VALUE(TRIM(MAIN!I855)), 0))</f>
        <v>0</v>
      </c>
      <c r="J855">
        <f>IF(ISBLANK(MAIN!J855), 0, IF(ISNUMBER(VALUE(TRIM(MAIN!J855))), VALUE(TRIM(MAIN!J855)), 0))</f>
        <v>0</v>
      </c>
      <c r="K855" cm="1">
        <f t="array" ref="K855">IFERROR(
    VALUE(
        IFERROR(
            UPPER(
                IF(MAX(IFERROR(SEARCH("WD",MAIN!G855:J855), 0))&gt;0, "WD",
                IF(MAX(IFERROR(SEARCH("NS",MAIN!G855:J855), 0))&gt;0, "NS",
                IF(MAX(IFERROR(SEARCH("NC",MAIN!G855:J855), 0))&gt;0, "NC",
                IF(MAX(IFERROR(SEARCH("DQ",MAIN!G855:J855), 0))&gt;0, "DQ",
                IF(ISNUMBER(SEARCH("WD",MAIN!K855)), "WD",
                IF(ISNUMBER(SEARCH("NS",MAIN!K855)), "NS",
                IF(ISNUMBER(SEARCH("NC",MAIN!K855)), "NC",
                IF(ISNUMBER(SEARCH("DQ",MAIN!K855)), "DQ",
                IF(ISNUMBER(SEARCH("A",MAIN!K855)), 0,
                IF(OR(MAIN!K855=0,MAIN!K855=""), 0, --TRIM(MAIN!K855)))))))))))),
            0
        )
    ),
    IFERROR(
        UPPER(
            IF(MAX(IFERROR(SEARCH("WD",MAIN!G855:J855), 0))&gt;0, "WD",
            IF(MAX(IFERROR(SEARCH("NS",MAIN!G855:J855), 0))&gt;0, "NS",
            IF(MAX(IFERROR(SEARCH("NC",MAIN!G855:J855), 0))&gt;0, "NC",
            IF(MAX(IFERROR(SEARCH("DQ",MAIN!G855:J855), 0))&gt;0, "DQ",
            IF(ISNUMBER(SEARCH("WD",MAIN!K855)), "WD",
            IF(ISNUMBER(SEARCH("NS",MAIN!K855)), "NS",
            IF(ISNUMBER(SEARCH("NC",MAIN!K855)), "NC",
            IF(ISNUMBER(SEARCH("DQ",MAIN!K855)), "DQ",
            IF(ISNUMBER(SEARCH("A",MAIN!K855)), 0,
            IF(OR(MAIN!K855=0,MAIN!K855=""), 0, --TRIM(MAIN!K855)))))))))))),
        0
    )
)</f>
        <v>0</v>
      </c>
    </row>
    <row r="856" spans="1:11" x14ac:dyDescent="0.25">
      <c r="A856" t="str">
        <f>IF(ISBLANK(MAIN!A856), "--", IFERROR(PROPER(SUBSTITUTE(SUBSTITUTE(SUBSTITUTE(SUBSTITUTE(SUBSTITUTE(SUBSTITUTE(SUBSTITUTE(SUBSTITUTE(SUBSTITUTE(SUBSTITUTE(LEFT(MAIN!A856, FIND(",",MAIN!A856) -1), "0", ""), "1", ""), "2", ""), "3", ""), "4", ""), "5", ""), "6", ""), "7", ""), "8", ""), "9", "")), PROPER(SUBSTITUTE(SUBSTITUTE(SUBSTITUTE(SUBSTITUTE(SUBSTITUTE(SUBSTITUTE(SUBSTITUTE(SUBSTITUTE(SUBSTITUTE(SUBSTITUTE(MAIN!A856, "0", ""), "1", ""), "2", ""), "3", ""), "4", ""), "5", ""), "6", ""), "7", ""), "8", ""), "9", ""))))</f>
        <v>--</v>
      </c>
      <c r="B856" t="str">
        <f>IF(ISBLANK(MAIN!B856), "--", IFERROR(PROPER(SUBSTITUTE(SUBSTITUTE(SUBSTITUTE(SUBSTITUTE(SUBSTITUTE(SUBSTITUTE(SUBSTITUTE(SUBSTITUTE(SUBSTITUTE(SUBSTITUTE(LEFT(MAIN!B856, FIND(",",MAIN!B856) -1), "0", ""), "1", ""), "2", ""), "3", ""), "4", ""), "5", ""), "6", ""), "7", ""), "8", ""), "9", "")), PROPER(SUBSTITUTE(SUBSTITUTE(SUBSTITUTE(SUBSTITUTE(SUBSTITUTE(SUBSTITUTE(SUBSTITUTE(SUBSTITUTE(SUBSTITUTE(SUBSTITUTE(MAIN!B856, "0", ""), "1", ""), "2", ""), "3", ""), "4", ""), "5", ""), "6", ""), "7", ""), "8", ""), "9", ""))))</f>
        <v>--</v>
      </c>
      <c r="C856" t="str">
        <f>IF(ISBLANK(MAIN!C856), "--", IFERROR(PROPER(SUBSTITUTE(SUBSTITUTE(SUBSTITUTE(SUBSTITUTE(SUBSTITUTE(SUBSTITUTE(SUBSTITUTE(SUBSTITUTE(SUBSTITUTE(SUBSTITUTE(LEFT(MAIN!C856, FIND(",",MAIN!C856) -1), "0", ""), "1", ""), "2", ""), "3", ""), "4", ""), "5", ""), "6", ""), "7", ""), "8", ""), "9", "")), PROPER(SUBSTITUTE(SUBSTITUTE(SUBSTITUTE(SUBSTITUTE(SUBSTITUTE(SUBSTITUTE(SUBSTITUTE(SUBSTITUTE(SUBSTITUTE(SUBSTITUTE(MAIN!C856, "0", ""), "1", ""), "2", ""), "3", ""), "4", ""), "5", ""), "6", ""), "7", ""), "8", ""), "9", ""))))</f>
        <v>--</v>
      </c>
      <c r="D856" t="str">
        <f>IF(ISBLANK(MAIN!D856), "--", IF(ISNUMBER(MATCH(SUBSTITUTE(LEFT(MAIN!D856, IFERROR(FIND(",", MAIN!D856)-1, LEN(MAIN!D856))), " ", ""), lookup_values!$B$2:$B$51, 0)), UPPER(SUBSTITUTE(LEFT(MAIN!D856, IFERROR(FIND(",", MAIN!D856)-1, LEN(MAIN!D856))), " ", "")), IF(ISNA(VLOOKUP(SUBSTITUTE(LEFT(MAIN!D856, IFERROR(FIND(",", MAIN!D856)-1, LEN(MAIN!D856))), " ", ""), lookup_values!$A$2:$B$51, 2, FALSE)), "--", VLOOKUP(SUBSTITUTE(LEFT(MAIN!D856, IFERROR(FIND(",", MAIN!D856)-1, LEN(MAIN!D856))), " ", ""), lookup_values!$A$2:$B$51, 2, FALSE))))</f>
        <v>--</v>
      </c>
      <c r="E856" t="str">
        <f>IF(CLEAN_DATA!D856&lt;&gt;"--","US",IF(ISBLANK(MAIN!E856), "--", IF(ISNUMBER(MATCH(SUBSTITUTE(LEFT(MAIN!E856, IFERROR(FIND(",", MAIN!E856)-1, LEN(MAIN!E856))), " ", ""), lookup_values!$E$2:$E$197, 0)), UPPER(SUBSTITUTE(LEFT(MAIN!E856, IFERROR(FIND(",", MAIN!E856)-1, LEN(MAIN!E856))), " ", "")), IF(ISNA(VLOOKUP(SUBSTITUTE(LEFT(MAIN!E856, IFERROR(FIND(",", MAIN!E856)-1, LEN(MAIN!E856))), " ", ""), lookup_values!$D$2:$E$197, 2, FALSE)), "--", VLOOKUP(SUBSTITUTE(LEFT(MAIN!E856, IFERROR(FIND(",", MAIN!E856)-1, LEN(MAIN!E856))), " ", ""), lookup_values!$D$2:$E$197, 2, FALSE)))))</f>
        <v>--</v>
      </c>
      <c r="F856" t="str">
        <f>IF(ISBLANK(MAIN!F856), "", IF(AND(ISNUMBER(VALUE(TRIM(MAIN!F856))), LEN(TRIM(MAIN!F856))=4), VALUE(TRIM(MAIN!F856)), ""))</f>
        <v/>
      </c>
      <c r="G856">
        <f>IF(ISBLANK(MAIN!G856), 0, IF(ISNUMBER(VALUE(TRIM(MAIN!G856))), VALUE(TRIM(MAIN!G856)), 0))</f>
        <v>0</v>
      </c>
      <c r="H856">
        <f>IF(ISBLANK(MAIN!H856), 0, IF(ISNUMBER(VALUE(TRIM(MAIN!H856))), VALUE(TRIM(MAIN!H856)), 0))</f>
        <v>0</v>
      </c>
      <c r="I856">
        <f>IF(ISBLANK(MAIN!I856), 0, IF(ISNUMBER(VALUE(TRIM(MAIN!I856))), VALUE(TRIM(MAIN!I856)), 0))</f>
        <v>0</v>
      </c>
      <c r="J856">
        <f>IF(ISBLANK(MAIN!J856), 0, IF(ISNUMBER(VALUE(TRIM(MAIN!J856))), VALUE(TRIM(MAIN!J856)), 0))</f>
        <v>0</v>
      </c>
      <c r="K856" cm="1">
        <f t="array" ref="K856">IFERROR(
    VALUE(
        IFERROR(
            UPPER(
                IF(MAX(IFERROR(SEARCH("WD",MAIN!G856:J856), 0))&gt;0, "WD",
                IF(MAX(IFERROR(SEARCH("NS",MAIN!G856:J856), 0))&gt;0, "NS",
                IF(MAX(IFERROR(SEARCH("NC",MAIN!G856:J856), 0))&gt;0, "NC",
                IF(MAX(IFERROR(SEARCH("DQ",MAIN!G856:J856), 0))&gt;0, "DQ",
                IF(ISNUMBER(SEARCH("WD",MAIN!K856)), "WD",
                IF(ISNUMBER(SEARCH("NS",MAIN!K856)), "NS",
                IF(ISNUMBER(SEARCH("NC",MAIN!K856)), "NC",
                IF(ISNUMBER(SEARCH("DQ",MAIN!K856)), "DQ",
                IF(ISNUMBER(SEARCH("A",MAIN!K856)), 0,
                IF(OR(MAIN!K856=0,MAIN!K856=""), 0, --TRIM(MAIN!K856)))))))))))),
            0
        )
    ),
    IFERROR(
        UPPER(
            IF(MAX(IFERROR(SEARCH("WD",MAIN!G856:J856), 0))&gt;0, "WD",
            IF(MAX(IFERROR(SEARCH("NS",MAIN!G856:J856), 0))&gt;0, "NS",
            IF(MAX(IFERROR(SEARCH("NC",MAIN!G856:J856), 0))&gt;0, "NC",
            IF(MAX(IFERROR(SEARCH("DQ",MAIN!G856:J856), 0))&gt;0, "DQ",
            IF(ISNUMBER(SEARCH("WD",MAIN!K856)), "WD",
            IF(ISNUMBER(SEARCH("NS",MAIN!K856)), "NS",
            IF(ISNUMBER(SEARCH("NC",MAIN!K856)), "NC",
            IF(ISNUMBER(SEARCH("DQ",MAIN!K856)), "DQ",
            IF(ISNUMBER(SEARCH("A",MAIN!K856)), 0,
            IF(OR(MAIN!K856=0,MAIN!K856=""), 0, --TRIM(MAIN!K856)))))))))))),
        0
    )
)</f>
        <v>0</v>
      </c>
    </row>
    <row r="857" spans="1:11" x14ac:dyDescent="0.25">
      <c r="A857" t="str">
        <f>IF(ISBLANK(MAIN!A857), "--", IFERROR(PROPER(SUBSTITUTE(SUBSTITUTE(SUBSTITUTE(SUBSTITUTE(SUBSTITUTE(SUBSTITUTE(SUBSTITUTE(SUBSTITUTE(SUBSTITUTE(SUBSTITUTE(LEFT(MAIN!A857, FIND(",",MAIN!A857) -1), "0", ""), "1", ""), "2", ""), "3", ""), "4", ""), "5", ""), "6", ""), "7", ""), "8", ""), "9", "")), PROPER(SUBSTITUTE(SUBSTITUTE(SUBSTITUTE(SUBSTITUTE(SUBSTITUTE(SUBSTITUTE(SUBSTITUTE(SUBSTITUTE(SUBSTITUTE(SUBSTITUTE(MAIN!A857, "0", ""), "1", ""), "2", ""), "3", ""), "4", ""), "5", ""), "6", ""), "7", ""), "8", ""), "9", ""))))</f>
        <v>--</v>
      </c>
      <c r="B857" t="str">
        <f>IF(ISBLANK(MAIN!B857), "--", IFERROR(PROPER(SUBSTITUTE(SUBSTITUTE(SUBSTITUTE(SUBSTITUTE(SUBSTITUTE(SUBSTITUTE(SUBSTITUTE(SUBSTITUTE(SUBSTITUTE(SUBSTITUTE(LEFT(MAIN!B857, FIND(",",MAIN!B857) -1), "0", ""), "1", ""), "2", ""), "3", ""), "4", ""), "5", ""), "6", ""), "7", ""), "8", ""), "9", "")), PROPER(SUBSTITUTE(SUBSTITUTE(SUBSTITUTE(SUBSTITUTE(SUBSTITUTE(SUBSTITUTE(SUBSTITUTE(SUBSTITUTE(SUBSTITUTE(SUBSTITUTE(MAIN!B857, "0", ""), "1", ""), "2", ""), "3", ""), "4", ""), "5", ""), "6", ""), "7", ""), "8", ""), "9", ""))))</f>
        <v>--</v>
      </c>
      <c r="C857" t="str">
        <f>IF(ISBLANK(MAIN!C857), "--", IFERROR(PROPER(SUBSTITUTE(SUBSTITUTE(SUBSTITUTE(SUBSTITUTE(SUBSTITUTE(SUBSTITUTE(SUBSTITUTE(SUBSTITUTE(SUBSTITUTE(SUBSTITUTE(LEFT(MAIN!C857, FIND(",",MAIN!C857) -1), "0", ""), "1", ""), "2", ""), "3", ""), "4", ""), "5", ""), "6", ""), "7", ""), "8", ""), "9", "")), PROPER(SUBSTITUTE(SUBSTITUTE(SUBSTITUTE(SUBSTITUTE(SUBSTITUTE(SUBSTITUTE(SUBSTITUTE(SUBSTITUTE(SUBSTITUTE(SUBSTITUTE(MAIN!C857, "0", ""), "1", ""), "2", ""), "3", ""), "4", ""), "5", ""), "6", ""), "7", ""), "8", ""), "9", ""))))</f>
        <v>--</v>
      </c>
      <c r="D857" t="str">
        <f>IF(ISBLANK(MAIN!D857), "--", IF(ISNUMBER(MATCH(SUBSTITUTE(LEFT(MAIN!D857, IFERROR(FIND(",", MAIN!D857)-1, LEN(MAIN!D857))), " ", ""), lookup_values!$B$2:$B$51, 0)), UPPER(SUBSTITUTE(LEFT(MAIN!D857, IFERROR(FIND(",", MAIN!D857)-1, LEN(MAIN!D857))), " ", "")), IF(ISNA(VLOOKUP(SUBSTITUTE(LEFT(MAIN!D857, IFERROR(FIND(",", MAIN!D857)-1, LEN(MAIN!D857))), " ", ""), lookup_values!$A$2:$B$51, 2, FALSE)), "--", VLOOKUP(SUBSTITUTE(LEFT(MAIN!D857, IFERROR(FIND(",", MAIN!D857)-1, LEN(MAIN!D857))), " ", ""), lookup_values!$A$2:$B$51, 2, FALSE))))</f>
        <v>--</v>
      </c>
      <c r="E857" t="str">
        <f>IF(CLEAN_DATA!D857&lt;&gt;"--","US",IF(ISBLANK(MAIN!E857), "--", IF(ISNUMBER(MATCH(SUBSTITUTE(LEFT(MAIN!E857, IFERROR(FIND(",", MAIN!E857)-1, LEN(MAIN!E857))), " ", ""), lookup_values!$E$2:$E$197, 0)), UPPER(SUBSTITUTE(LEFT(MAIN!E857, IFERROR(FIND(",", MAIN!E857)-1, LEN(MAIN!E857))), " ", "")), IF(ISNA(VLOOKUP(SUBSTITUTE(LEFT(MAIN!E857, IFERROR(FIND(",", MAIN!E857)-1, LEN(MAIN!E857))), " ", ""), lookup_values!$D$2:$E$197, 2, FALSE)), "--", VLOOKUP(SUBSTITUTE(LEFT(MAIN!E857, IFERROR(FIND(",", MAIN!E857)-1, LEN(MAIN!E857))), " ", ""), lookup_values!$D$2:$E$197, 2, FALSE)))))</f>
        <v>--</v>
      </c>
      <c r="F857" t="str">
        <f>IF(ISBLANK(MAIN!F857), "", IF(AND(ISNUMBER(VALUE(TRIM(MAIN!F857))), LEN(TRIM(MAIN!F857))=4), VALUE(TRIM(MAIN!F857)), ""))</f>
        <v/>
      </c>
      <c r="G857">
        <f>IF(ISBLANK(MAIN!G857), 0, IF(ISNUMBER(VALUE(TRIM(MAIN!G857))), VALUE(TRIM(MAIN!G857)), 0))</f>
        <v>0</v>
      </c>
      <c r="H857">
        <f>IF(ISBLANK(MAIN!H857), 0, IF(ISNUMBER(VALUE(TRIM(MAIN!H857))), VALUE(TRIM(MAIN!H857)), 0))</f>
        <v>0</v>
      </c>
      <c r="I857">
        <f>IF(ISBLANK(MAIN!I857), 0, IF(ISNUMBER(VALUE(TRIM(MAIN!I857))), VALUE(TRIM(MAIN!I857)), 0))</f>
        <v>0</v>
      </c>
      <c r="J857">
        <f>IF(ISBLANK(MAIN!J857), 0, IF(ISNUMBER(VALUE(TRIM(MAIN!J857))), VALUE(TRIM(MAIN!J857)), 0))</f>
        <v>0</v>
      </c>
      <c r="K857" cm="1">
        <f t="array" ref="K857">IFERROR(
    VALUE(
        IFERROR(
            UPPER(
                IF(MAX(IFERROR(SEARCH("WD",MAIN!G857:J857), 0))&gt;0, "WD",
                IF(MAX(IFERROR(SEARCH("NS",MAIN!G857:J857), 0))&gt;0, "NS",
                IF(MAX(IFERROR(SEARCH("NC",MAIN!G857:J857), 0))&gt;0, "NC",
                IF(MAX(IFERROR(SEARCH("DQ",MAIN!G857:J857), 0))&gt;0, "DQ",
                IF(ISNUMBER(SEARCH("WD",MAIN!K857)), "WD",
                IF(ISNUMBER(SEARCH("NS",MAIN!K857)), "NS",
                IF(ISNUMBER(SEARCH("NC",MAIN!K857)), "NC",
                IF(ISNUMBER(SEARCH("DQ",MAIN!K857)), "DQ",
                IF(ISNUMBER(SEARCH("A",MAIN!K857)), 0,
                IF(OR(MAIN!K857=0,MAIN!K857=""), 0, --TRIM(MAIN!K857)))))))))))),
            0
        )
    ),
    IFERROR(
        UPPER(
            IF(MAX(IFERROR(SEARCH("WD",MAIN!G857:J857), 0))&gt;0, "WD",
            IF(MAX(IFERROR(SEARCH("NS",MAIN!G857:J857), 0))&gt;0, "NS",
            IF(MAX(IFERROR(SEARCH("NC",MAIN!G857:J857), 0))&gt;0, "NC",
            IF(MAX(IFERROR(SEARCH("DQ",MAIN!G857:J857), 0))&gt;0, "DQ",
            IF(ISNUMBER(SEARCH("WD",MAIN!K857)), "WD",
            IF(ISNUMBER(SEARCH("NS",MAIN!K857)), "NS",
            IF(ISNUMBER(SEARCH("NC",MAIN!K857)), "NC",
            IF(ISNUMBER(SEARCH("DQ",MAIN!K857)), "DQ",
            IF(ISNUMBER(SEARCH("A",MAIN!K857)), 0,
            IF(OR(MAIN!K857=0,MAIN!K857=""), 0, --TRIM(MAIN!K857)))))))))))),
        0
    )
)</f>
        <v>0</v>
      </c>
    </row>
    <row r="858" spans="1:11" x14ac:dyDescent="0.25">
      <c r="A858" t="str">
        <f>IF(ISBLANK(MAIN!A858), "--", IFERROR(PROPER(SUBSTITUTE(SUBSTITUTE(SUBSTITUTE(SUBSTITUTE(SUBSTITUTE(SUBSTITUTE(SUBSTITUTE(SUBSTITUTE(SUBSTITUTE(SUBSTITUTE(LEFT(MAIN!A858, FIND(",",MAIN!A858) -1), "0", ""), "1", ""), "2", ""), "3", ""), "4", ""), "5", ""), "6", ""), "7", ""), "8", ""), "9", "")), PROPER(SUBSTITUTE(SUBSTITUTE(SUBSTITUTE(SUBSTITUTE(SUBSTITUTE(SUBSTITUTE(SUBSTITUTE(SUBSTITUTE(SUBSTITUTE(SUBSTITUTE(MAIN!A858, "0", ""), "1", ""), "2", ""), "3", ""), "4", ""), "5", ""), "6", ""), "7", ""), "8", ""), "9", ""))))</f>
        <v>--</v>
      </c>
      <c r="B858" t="str">
        <f>IF(ISBLANK(MAIN!B858), "--", IFERROR(PROPER(SUBSTITUTE(SUBSTITUTE(SUBSTITUTE(SUBSTITUTE(SUBSTITUTE(SUBSTITUTE(SUBSTITUTE(SUBSTITUTE(SUBSTITUTE(SUBSTITUTE(LEFT(MAIN!B858, FIND(",",MAIN!B858) -1), "0", ""), "1", ""), "2", ""), "3", ""), "4", ""), "5", ""), "6", ""), "7", ""), "8", ""), "9", "")), PROPER(SUBSTITUTE(SUBSTITUTE(SUBSTITUTE(SUBSTITUTE(SUBSTITUTE(SUBSTITUTE(SUBSTITUTE(SUBSTITUTE(SUBSTITUTE(SUBSTITUTE(MAIN!B858, "0", ""), "1", ""), "2", ""), "3", ""), "4", ""), "5", ""), "6", ""), "7", ""), "8", ""), "9", ""))))</f>
        <v>--</v>
      </c>
      <c r="C858" t="str">
        <f>IF(ISBLANK(MAIN!C858), "--", IFERROR(PROPER(SUBSTITUTE(SUBSTITUTE(SUBSTITUTE(SUBSTITUTE(SUBSTITUTE(SUBSTITUTE(SUBSTITUTE(SUBSTITUTE(SUBSTITUTE(SUBSTITUTE(LEFT(MAIN!C858, FIND(",",MAIN!C858) -1), "0", ""), "1", ""), "2", ""), "3", ""), "4", ""), "5", ""), "6", ""), "7", ""), "8", ""), "9", "")), PROPER(SUBSTITUTE(SUBSTITUTE(SUBSTITUTE(SUBSTITUTE(SUBSTITUTE(SUBSTITUTE(SUBSTITUTE(SUBSTITUTE(SUBSTITUTE(SUBSTITUTE(MAIN!C858, "0", ""), "1", ""), "2", ""), "3", ""), "4", ""), "5", ""), "6", ""), "7", ""), "8", ""), "9", ""))))</f>
        <v>--</v>
      </c>
      <c r="D858" t="str">
        <f>IF(ISBLANK(MAIN!D858), "--", IF(ISNUMBER(MATCH(SUBSTITUTE(LEFT(MAIN!D858, IFERROR(FIND(",", MAIN!D858)-1, LEN(MAIN!D858))), " ", ""), lookup_values!$B$2:$B$51, 0)), UPPER(SUBSTITUTE(LEFT(MAIN!D858, IFERROR(FIND(",", MAIN!D858)-1, LEN(MAIN!D858))), " ", "")), IF(ISNA(VLOOKUP(SUBSTITUTE(LEFT(MAIN!D858, IFERROR(FIND(",", MAIN!D858)-1, LEN(MAIN!D858))), " ", ""), lookup_values!$A$2:$B$51, 2, FALSE)), "--", VLOOKUP(SUBSTITUTE(LEFT(MAIN!D858, IFERROR(FIND(",", MAIN!D858)-1, LEN(MAIN!D858))), " ", ""), lookup_values!$A$2:$B$51, 2, FALSE))))</f>
        <v>--</v>
      </c>
      <c r="E858" t="str">
        <f>IF(CLEAN_DATA!D858&lt;&gt;"--","US",IF(ISBLANK(MAIN!E858), "--", IF(ISNUMBER(MATCH(SUBSTITUTE(LEFT(MAIN!E858, IFERROR(FIND(",", MAIN!E858)-1, LEN(MAIN!E858))), " ", ""), lookup_values!$E$2:$E$197, 0)), UPPER(SUBSTITUTE(LEFT(MAIN!E858, IFERROR(FIND(",", MAIN!E858)-1, LEN(MAIN!E858))), " ", "")), IF(ISNA(VLOOKUP(SUBSTITUTE(LEFT(MAIN!E858, IFERROR(FIND(",", MAIN!E858)-1, LEN(MAIN!E858))), " ", ""), lookup_values!$D$2:$E$197, 2, FALSE)), "--", VLOOKUP(SUBSTITUTE(LEFT(MAIN!E858, IFERROR(FIND(",", MAIN!E858)-1, LEN(MAIN!E858))), " ", ""), lookup_values!$D$2:$E$197, 2, FALSE)))))</f>
        <v>--</v>
      </c>
      <c r="F858" t="str">
        <f>IF(ISBLANK(MAIN!F858), "", IF(AND(ISNUMBER(VALUE(TRIM(MAIN!F858))), LEN(TRIM(MAIN!F858))=4), VALUE(TRIM(MAIN!F858)), ""))</f>
        <v/>
      </c>
      <c r="G858">
        <f>IF(ISBLANK(MAIN!G858), 0, IF(ISNUMBER(VALUE(TRIM(MAIN!G858))), VALUE(TRIM(MAIN!G858)), 0))</f>
        <v>0</v>
      </c>
      <c r="H858">
        <f>IF(ISBLANK(MAIN!H858), 0, IF(ISNUMBER(VALUE(TRIM(MAIN!H858))), VALUE(TRIM(MAIN!H858)), 0))</f>
        <v>0</v>
      </c>
      <c r="I858">
        <f>IF(ISBLANK(MAIN!I858), 0, IF(ISNUMBER(VALUE(TRIM(MAIN!I858))), VALUE(TRIM(MAIN!I858)), 0))</f>
        <v>0</v>
      </c>
      <c r="J858">
        <f>IF(ISBLANK(MAIN!J858), 0, IF(ISNUMBER(VALUE(TRIM(MAIN!J858))), VALUE(TRIM(MAIN!J858)), 0))</f>
        <v>0</v>
      </c>
      <c r="K858" cm="1">
        <f t="array" ref="K858">IFERROR(
    VALUE(
        IFERROR(
            UPPER(
                IF(MAX(IFERROR(SEARCH("WD",MAIN!G858:J858), 0))&gt;0, "WD",
                IF(MAX(IFERROR(SEARCH("NS",MAIN!G858:J858), 0))&gt;0, "NS",
                IF(MAX(IFERROR(SEARCH("NC",MAIN!G858:J858), 0))&gt;0, "NC",
                IF(MAX(IFERROR(SEARCH("DQ",MAIN!G858:J858), 0))&gt;0, "DQ",
                IF(ISNUMBER(SEARCH("WD",MAIN!K858)), "WD",
                IF(ISNUMBER(SEARCH("NS",MAIN!K858)), "NS",
                IF(ISNUMBER(SEARCH("NC",MAIN!K858)), "NC",
                IF(ISNUMBER(SEARCH("DQ",MAIN!K858)), "DQ",
                IF(ISNUMBER(SEARCH("A",MAIN!K858)), 0,
                IF(OR(MAIN!K858=0,MAIN!K858=""), 0, --TRIM(MAIN!K858)))))))))))),
            0
        )
    ),
    IFERROR(
        UPPER(
            IF(MAX(IFERROR(SEARCH("WD",MAIN!G858:J858), 0))&gt;0, "WD",
            IF(MAX(IFERROR(SEARCH("NS",MAIN!G858:J858), 0))&gt;0, "NS",
            IF(MAX(IFERROR(SEARCH("NC",MAIN!G858:J858), 0))&gt;0, "NC",
            IF(MAX(IFERROR(SEARCH("DQ",MAIN!G858:J858), 0))&gt;0, "DQ",
            IF(ISNUMBER(SEARCH("WD",MAIN!K858)), "WD",
            IF(ISNUMBER(SEARCH("NS",MAIN!K858)), "NS",
            IF(ISNUMBER(SEARCH("NC",MAIN!K858)), "NC",
            IF(ISNUMBER(SEARCH("DQ",MAIN!K858)), "DQ",
            IF(ISNUMBER(SEARCH("A",MAIN!K858)), 0,
            IF(OR(MAIN!K858=0,MAIN!K858=""), 0, --TRIM(MAIN!K858)))))))))))),
        0
    )
)</f>
        <v>0</v>
      </c>
    </row>
    <row r="859" spans="1:11" x14ac:dyDescent="0.25">
      <c r="A859" t="str">
        <f>IF(ISBLANK(MAIN!A859), "--", IFERROR(PROPER(SUBSTITUTE(SUBSTITUTE(SUBSTITUTE(SUBSTITUTE(SUBSTITUTE(SUBSTITUTE(SUBSTITUTE(SUBSTITUTE(SUBSTITUTE(SUBSTITUTE(LEFT(MAIN!A859, FIND(",",MAIN!A859) -1), "0", ""), "1", ""), "2", ""), "3", ""), "4", ""), "5", ""), "6", ""), "7", ""), "8", ""), "9", "")), PROPER(SUBSTITUTE(SUBSTITUTE(SUBSTITUTE(SUBSTITUTE(SUBSTITUTE(SUBSTITUTE(SUBSTITUTE(SUBSTITUTE(SUBSTITUTE(SUBSTITUTE(MAIN!A859, "0", ""), "1", ""), "2", ""), "3", ""), "4", ""), "5", ""), "6", ""), "7", ""), "8", ""), "9", ""))))</f>
        <v>--</v>
      </c>
      <c r="B859" t="str">
        <f>IF(ISBLANK(MAIN!B859), "--", IFERROR(PROPER(SUBSTITUTE(SUBSTITUTE(SUBSTITUTE(SUBSTITUTE(SUBSTITUTE(SUBSTITUTE(SUBSTITUTE(SUBSTITUTE(SUBSTITUTE(SUBSTITUTE(LEFT(MAIN!B859, FIND(",",MAIN!B859) -1), "0", ""), "1", ""), "2", ""), "3", ""), "4", ""), "5", ""), "6", ""), "7", ""), "8", ""), "9", "")), PROPER(SUBSTITUTE(SUBSTITUTE(SUBSTITUTE(SUBSTITUTE(SUBSTITUTE(SUBSTITUTE(SUBSTITUTE(SUBSTITUTE(SUBSTITUTE(SUBSTITUTE(MAIN!B859, "0", ""), "1", ""), "2", ""), "3", ""), "4", ""), "5", ""), "6", ""), "7", ""), "8", ""), "9", ""))))</f>
        <v>--</v>
      </c>
      <c r="C859" t="str">
        <f>IF(ISBLANK(MAIN!C859), "--", IFERROR(PROPER(SUBSTITUTE(SUBSTITUTE(SUBSTITUTE(SUBSTITUTE(SUBSTITUTE(SUBSTITUTE(SUBSTITUTE(SUBSTITUTE(SUBSTITUTE(SUBSTITUTE(LEFT(MAIN!C859, FIND(",",MAIN!C859) -1), "0", ""), "1", ""), "2", ""), "3", ""), "4", ""), "5", ""), "6", ""), "7", ""), "8", ""), "9", "")), PROPER(SUBSTITUTE(SUBSTITUTE(SUBSTITUTE(SUBSTITUTE(SUBSTITUTE(SUBSTITUTE(SUBSTITUTE(SUBSTITUTE(SUBSTITUTE(SUBSTITUTE(MAIN!C859, "0", ""), "1", ""), "2", ""), "3", ""), "4", ""), "5", ""), "6", ""), "7", ""), "8", ""), "9", ""))))</f>
        <v>--</v>
      </c>
      <c r="D859" t="str">
        <f>IF(ISBLANK(MAIN!D859), "--", IF(ISNUMBER(MATCH(SUBSTITUTE(LEFT(MAIN!D859, IFERROR(FIND(",", MAIN!D859)-1, LEN(MAIN!D859))), " ", ""), lookup_values!$B$2:$B$51, 0)), UPPER(SUBSTITUTE(LEFT(MAIN!D859, IFERROR(FIND(",", MAIN!D859)-1, LEN(MAIN!D859))), " ", "")), IF(ISNA(VLOOKUP(SUBSTITUTE(LEFT(MAIN!D859, IFERROR(FIND(",", MAIN!D859)-1, LEN(MAIN!D859))), " ", ""), lookup_values!$A$2:$B$51, 2, FALSE)), "--", VLOOKUP(SUBSTITUTE(LEFT(MAIN!D859, IFERROR(FIND(",", MAIN!D859)-1, LEN(MAIN!D859))), " ", ""), lookup_values!$A$2:$B$51, 2, FALSE))))</f>
        <v>--</v>
      </c>
      <c r="E859" t="str">
        <f>IF(CLEAN_DATA!D859&lt;&gt;"--","US",IF(ISBLANK(MAIN!E859), "--", IF(ISNUMBER(MATCH(SUBSTITUTE(LEFT(MAIN!E859, IFERROR(FIND(",", MAIN!E859)-1, LEN(MAIN!E859))), " ", ""), lookup_values!$E$2:$E$197, 0)), UPPER(SUBSTITUTE(LEFT(MAIN!E859, IFERROR(FIND(",", MAIN!E859)-1, LEN(MAIN!E859))), " ", "")), IF(ISNA(VLOOKUP(SUBSTITUTE(LEFT(MAIN!E859, IFERROR(FIND(",", MAIN!E859)-1, LEN(MAIN!E859))), " ", ""), lookup_values!$D$2:$E$197, 2, FALSE)), "--", VLOOKUP(SUBSTITUTE(LEFT(MAIN!E859, IFERROR(FIND(",", MAIN!E859)-1, LEN(MAIN!E859))), " ", ""), lookup_values!$D$2:$E$197, 2, FALSE)))))</f>
        <v>--</v>
      </c>
      <c r="F859" t="str">
        <f>IF(ISBLANK(MAIN!F859), "", IF(AND(ISNUMBER(VALUE(TRIM(MAIN!F859))), LEN(TRIM(MAIN!F859))=4), VALUE(TRIM(MAIN!F859)), ""))</f>
        <v/>
      </c>
      <c r="G859">
        <f>IF(ISBLANK(MAIN!G859), 0, IF(ISNUMBER(VALUE(TRIM(MAIN!G859))), VALUE(TRIM(MAIN!G859)), 0))</f>
        <v>0</v>
      </c>
      <c r="H859">
        <f>IF(ISBLANK(MAIN!H859), 0, IF(ISNUMBER(VALUE(TRIM(MAIN!H859))), VALUE(TRIM(MAIN!H859)), 0))</f>
        <v>0</v>
      </c>
      <c r="I859">
        <f>IF(ISBLANK(MAIN!I859), 0, IF(ISNUMBER(VALUE(TRIM(MAIN!I859))), VALUE(TRIM(MAIN!I859)), 0))</f>
        <v>0</v>
      </c>
      <c r="J859">
        <f>IF(ISBLANK(MAIN!J859), 0, IF(ISNUMBER(VALUE(TRIM(MAIN!J859))), VALUE(TRIM(MAIN!J859)), 0))</f>
        <v>0</v>
      </c>
      <c r="K859" cm="1">
        <f t="array" ref="K859">IFERROR(
    VALUE(
        IFERROR(
            UPPER(
                IF(MAX(IFERROR(SEARCH("WD",MAIN!G859:J859), 0))&gt;0, "WD",
                IF(MAX(IFERROR(SEARCH("NS",MAIN!G859:J859), 0))&gt;0, "NS",
                IF(MAX(IFERROR(SEARCH("NC",MAIN!G859:J859), 0))&gt;0, "NC",
                IF(MAX(IFERROR(SEARCH("DQ",MAIN!G859:J859), 0))&gt;0, "DQ",
                IF(ISNUMBER(SEARCH("WD",MAIN!K859)), "WD",
                IF(ISNUMBER(SEARCH("NS",MAIN!K859)), "NS",
                IF(ISNUMBER(SEARCH("NC",MAIN!K859)), "NC",
                IF(ISNUMBER(SEARCH("DQ",MAIN!K859)), "DQ",
                IF(ISNUMBER(SEARCH("A",MAIN!K859)), 0,
                IF(OR(MAIN!K859=0,MAIN!K859=""), 0, --TRIM(MAIN!K859)))))))))))),
            0
        )
    ),
    IFERROR(
        UPPER(
            IF(MAX(IFERROR(SEARCH("WD",MAIN!G859:J859), 0))&gt;0, "WD",
            IF(MAX(IFERROR(SEARCH("NS",MAIN!G859:J859), 0))&gt;0, "NS",
            IF(MAX(IFERROR(SEARCH("NC",MAIN!G859:J859), 0))&gt;0, "NC",
            IF(MAX(IFERROR(SEARCH("DQ",MAIN!G859:J859), 0))&gt;0, "DQ",
            IF(ISNUMBER(SEARCH("WD",MAIN!K859)), "WD",
            IF(ISNUMBER(SEARCH("NS",MAIN!K859)), "NS",
            IF(ISNUMBER(SEARCH("NC",MAIN!K859)), "NC",
            IF(ISNUMBER(SEARCH("DQ",MAIN!K859)), "DQ",
            IF(ISNUMBER(SEARCH("A",MAIN!K859)), 0,
            IF(OR(MAIN!K859=0,MAIN!K859=""), 0, --TRIM(MAIN!K859)))))))))))),
        0
    )
)</f>
        <v>0</v>
      </c>
    </row>
    <row r="860" spans="1:11" x14ac:dyDescent="0.25">
      <c r="A860" t="str">
        <f>IF(ISBLANK(MAIN!A860), "--", IFERROR(PROPER(SUBSTITUTE(SUBSTITUTE(SUBSTITUTE(SUBSTITUTE(SUBSTITUTE(SUBSTITUTE(SUBSTITUTE(SUBSTITUTE(SUBSTITUTE(SUBSTITUTE(LEFT(MAIN!A860, FIND(",",MAIN!A860) -1), "0", ""), "1", ""), "2", ""), "3", ""), "4", ""), "5", ""), "6", ""), "7", ""), "8", ""), "9", "")), PROPER(SUBSTITUTE(SUBSTITUTE(SUBSTITUTE(SUBSTITUTE(SUBSTITUTE(SUBSTITUTE(SUBSTITUTE(SUBSTITUTE(SUBSTITUTE(SUBSTITUTE(MAIN!A860, "0", ""), "1", ""), "2", ""), "3", ""), "4", ""), "5", ""), "6", ""), "7", ""), "8", ""), "9", ""))))</f>
        <v>--</v>
      </c>
      <c r="B860" t="str">
        <f>IF(ISBLANK(MAIN!B860), "--", IFERROR(PROPER(SUBSTITUTE(SUBSTITUTE(SUBSTITUTE(SUBSTITUTE(SUBSTITUTE(SUBSTITUTE(SUBSTITUTE(SUBSTITUTE(SUBSTITUTE(SUBSTITUTE(LEFT(MAIN!B860, FIND(",",MAIN!B860) -1), "0", ""), "1", ""), "2", ""), "3", ""), "4", ""), "5", ""), "6", ""), "7", ""), "8", ""), "9", "")), PROPER(SUBSTITUTE(SUBSTITUTE(SUBSTITUTE(SUBSTITUTE(SUBSTITUTE(SUBSTITUTE(SUBSTITUTE(SUBSTITUTE(SUBSTITUTE(SUBSTITUTE(MAIN!B860, "0", ""), "1", ""), "2", ""), "3", ""), "4", ""), "5", ""), "6", ""), "7", ""), "8", ""), "9", ""))))</f>
        <v>--</v>
      </c>
      <c r="C860" t="str">
        <f>IF(ISBLANK(MAIN!C860), "--", IFERROR(PROPER(SUBSTITUTE(SUBSTITUTE(SUBSTITUTE(SUBSTITUTE(SUBSTITUTE(SUBSTITUTE(SUBSTITUTE(SUBSTITUTE(SUBSTITUTE(SUBSTITUTE(LEFT(MAIN!C860, FIND(",",MAIN!C860) -1), "0", ""), "1", ""), "2", ""), "3", ""), "4", ""), "5", ""), "6", ""), "7", ""), "8", ""), "9", "")), PROPER(SUBSTITUTE(SUBSTITUTE(SUBSTITUTE(SUBSTITUTE(SUBSTITUTE(SUBSTITUTE(SUBSTITUTE(SUBSTITUTE(SUBSTITUTE(SUBSTITUTE(MAIN!C860, "0", ""), "1", ""), "2", ""), "3", ""), "4", ""), "5", ""), "6", ""), "7", ""), "8", ""), "9", ""))))</f>
        <v>--</v>
      </c>
      <c r="D860" t="str">
        <f>IF(ISBLANK(MAIN!D860), "--", IF(ISNUMBER(MATCH(SUBSTITUTE(LEFT(MAIN!D860, IFERROR(FIND(",", MAIN!D860)-1, LEN(MAIN!D860))), " ", ""), lookup_values!$B$2:$B$51, 0)), UPPER(SUBSTITUTE(LEFT(MAIN!D860, IFERROR(FIND(",", MAIN!D860)-1, LEN(MAIN!D860))), " ", "")), IF(ISNA(VLOOKUP(SUBSTITUTE(LEFT(MAIN!D860, IFERROR(FIND(",", MAIN!D860)-1, LEN(MAIN!D860))), " ", ""), lookup_values!$A$2:$B$51, 2, FALSE)), "--", VLOOKUP(SUBSTITUTE(LEFT(MAIN!D860, IFERROR(FIND(",", MAIN!D860)-1, LEN(MAIN!D860))), " ", ""), lookup_values!$A$2:$B$51, 2, FALSE))))</f>
        <v>--</v>
      </c>
      <c r="E860" t="str">
        <f>IF(CLEAN_DATA!D860&lt;&gt;"--","US",IF(ISBLANK(MAIN!E860), "--", IF(ISNUMBER(MATCH(SUBSTITUTE(LEFT(MAIN!E860, IFERROR(FIND(",", MAIN!E860)-1, LEN(MAIN!E860))), " ", ""), lookup_values!$E$2:$E$197, 0)), UPPER(SUBSTITUTE(LEFT(MAIN!E860, IFERROR(FIND(",", MAIN!E860)-1, LEN(MAIN!E860))), " ", "")), IF(ISNA(VLOOKUP(SUBSTITUTE(LEFT(MAIN!E860, IFERROR(FIND(",", MAIN!E860)-1, LEN(MAIN!E860))), " ", ""), lookup_values!$D$2:$E$197, 2, FALSE)), "--", VLOOKUP(SUBSTITUTE(LEFT(MAIN!E860, IFERROR(FIND(",", MAIN!E860)-1, LEN(MAIN!E860))), " ", ""), lookup_values!$D$2:$E$197, 2, FALSE)))))</f>
        <v>--</v>
      </c>
      <c r="F860" t="str">
        <f>IF(ISBLANK(MAIN!F860), "", IF(AND(ISNUMBER(VALUE(TRIM(MAIN!F860))), LEN(TRIM(MAIN!F860))=4), VALUE(TRIM(MAIN!F860)), ""))</f>
        <v/>
      </c>
      <c r="G860">
        <f>IF(ISBLANK(MAIN!G860), 0, IF(ISNUMBER(VALUE(TRIM(MAIN!G860))), VALUE(TRIM(MAIN!G860)), 0))</f>
        <v>0</v>
      </c>
      <c r="H860">
        <f>IF(ISBLANK(MAIN!H860), 0, IF(ISNUMBER(VALUE(TRIM(MAIN!H860))), VALUE(TRIM(MAIN!H860)), 0))</f>
        <v>0</v>
      </c>
      <c r="I860">
        <f>IF(ISBLANK(MAIN!I860), 0, IF(ISNUMBER(VALUE(TRIM(MAIN!I860))), VALUE(TRIM(MAIN!I860)), 0))</f>
        <v>0</v>
      </c>
      <c r="J860">
        <f>IF(ISBLANK(MAIN!J860), 0, IF(ISNUMBER(VALUE(TRIM(MAIN!J860))), VALUE(TRIM(MAIN!J860)), 0))</f>
        <v>0</v>
      </c>
      <c r="K860" cm="1">
        <f t="array" ref="K860">IFERROR(
    VALUE(
        IFERROR(
            UPPER(
                IF(MAX(IFERROR(SEARCH("WD",MAIN!G860:J860), 0))&gt;0, "WD",
                IF(MAX(IFERROR(SEARCH("NS",MAIN!G860:J860), 0))&gt;0, "NS",
                IF(MAX(IFERROR(SEARCH("NC",MAIN!G860:J860), 0))&gt;0, "NC",
                IF(MAX(IFERROR(SEARCH("DQ",MAIN!G860:J860), 0))&gt;0, "DQ",
                IF(ISNUMBER(SEARCH("WD",MAIN!K860)), "WD",
                IF(ISNUMBER(SEARCH("NS",MAIN!K860)), "NS",
                IF(ISNUMBER(SEARCH("NC",MAIN!K860)), "NC",
                IF(ISNUMBER(SEARCH("DQ",MAIN!K860)), "DQ",
                IF(ISNUMBER(SEARCH("A",MAIN!K860)), 0,
                IF(OR(MAIN!K860=0,MAIN!K860=""), 0, --TRIM(MAIN!K860)))))))))))),
            0
        )
    ),
    IFERROR(
        UPPER(
            IF(MAX(IFERROR(SEARCH("WD",MAIN!G860:J860), 0))&gt;0, "WD",
            IF(MAX(IFERROR(SEARCH("NS",MAIN!G860:J860), 0))&gt;0, "NS",
            IF(MAX(IFERROR(SEARCH("NC",MAIN!G860:J860), 0))&gt;0, "NC",
            IF(MAX(IFERROR(SEARCH("DQ",MAIN!G860:J860), 0))&gt;0, "DQ",
            IF(ISNUMBER(SEARCH("WD",MAIN!K860)), "WD",
            IF(ISNUMBER(SEARCH("NS",MAIN!K860)), "NS",
            IF(ISNUMBER(SEARCH("NC",MAIN!K860)), "NC",
            IF(ISNUMBER(SEARCH("DQ",MAIN!K860)), "DQ",
            IF(ISNUMBER(SEARCH("A",MAIN!K860)), 0,
            IF(OR(MAIN!K860=0,MAIN!K860=""), 0, --TRIM(MAIN!K860)))))))))))),
        0
    )
)</f>
        <v>0</v>
      </c>
    </row>
    <row r="861" spans="1:11" x14ac:dyDescent="0.25">
      <c r="A861" t="str">
        <f>IF(ISBLANK(MAIN!A861), "--", IFERROR(PROPER(SUBSTITUTE(SUBSTITUTE(SUBSTITUTE(SUBSTITUTE(SUBSTITUTE(SUBSTITUTE(SUBSTITUTE(SUBSTITUTE(SUBSTITUTE(SUBSTITUTE(LEFT(MAIN!A861, FIND(",",MAIN!A861) -1), "0", ""), "1", ""), "2", ""), "3", ""), "4", ""), "5", ""), "6", ""), "7", ""), "8", ""), "9", "")), PROPER(SUBSTITUTE(SUBSTITUTE(SUBSTITUTE(SUBSTITUTE(SUBSTITUTE(SUBSTITUTE(SUBSTITUTE(SUBSTITUTE(SUBSTITUTE(SUBSTITUTE(MAIN!A861, "0", ""), "1", ""), "2", ""), "3", ""), "4", ""), "5", ""), "6", ""), "7", ""), "8", ""), "9", ""))))</f>
        <v>--</v>
      </c>
      <c r="B861" t="str">
        <f>IF(ISBLANK(MAIN!B861), "--", IFERROR(PROPER(SUBSTITUTE(SUBSTITUTE(SUBSTITUTE(SUBSTITUTE(SUBSTITUTE(SUBSTITUTE(SUBSTITUTE(SUBSTITUTE(SUBSTITUTE(SUBSTITUTE(LEFT(MAIN!B861, FIND(",",MAIN!B861) -1), "0", ""), "1", ""), "2", ""), "3", ""), "4", ""), "5", ""), "6", ""), "7", ""), "8", ""), "9", "")), PROPER(SUBSTITUTE(SUBSTITUTE(SUBSTITUTE(SUBSTITUTE(SUBSTITUTE(SUBSTITUTE(SUBSTITUTE(SUBSTITUTE(SUBSTITUTE(SUBSTITUTE(MAIN!B861, "0", ""), "1", ""), "2", ""), "3", ""), "4", ""), "5", ""), "6", ""), "7", ""), "8", ""), "9", ""))))</f>
        <v>--</v>
      </c>
      <c r="C861" t="str">
        <f>IF(ISBLANK(MAIN!C861), "--", IFERROR(PROPER(SUBSTITUTE(SUBSTITUTE(SUBSTITUTE(SUBSTITUTE(SUBSTITUTE(SUBSTITUTE(SUBSTITUTE(SUBSTITUTE(SUBSTITUTE(SUBSTITUTE(LEFT(MAIN!C861, FIND(",",MAIN!C861) -1), "0", ""), "1", ""), "2", ""), "3", ""), "4", ""), "5", ""), "6", ""), "7", ""), "8", ""), "9", "")), PROPER(SUBSTITUTE(SUBSTITUTE(SUBSTITUTE(SUBSTITUTE(SUBSTITUTE(SUBSTITUTE(SUBSTITUTE(SUBSTITUTE(SUBSTITUTE(SUBSTITUTE(MAIN!C861, "0", ""), "1", ""), "2", ""), "3", ""), "4", ""), "5", ""), "6", ""), "7", ""), "8", ""), "9", ""))))</f>
        <v>--</v>
      </c>
      <c r="D861" t="str">
        <f>IF(ISBLANK(MAIN!D861), "--", IF(ISNUMBER(MATCH(SUBSTITUTE(LEFT(MAIN!D861, IFERROR(FIND(",", MAIN!D861)-1, LEN(MAIN!D861))), " ", ""), lookup_values!$B$2:$B$51, 0)), UPPER(SUBSTITUTE(LEFT(MAIN!D861, IFERROR(FIND(",", MAIN!D861)-1, LEN(MAIN!D861))), " ", "")), IF(ISNA(VLOOKUP(SUBSTITUTE(LEFT(MAIN!D861, IFERROR(FIND(",", MAIN!D861)-1, LEN(MAIN!D861))), " ", ""), lookup_values!$A$2:$B$51, 2, FALSE)), "--", VLOOKUP(SUBSTITUTE(LEFT(MAIN!D861, IFERROR(FIND(",", MAIN!D861)-1, LEN(MAIN!D861))), " ", ""), lookup_values!$A$2:$B$51, 2, FALSE))))</f>
        <v>--</v>
      </c>
      <c r="E861" t="str">
        <f>IF(CLEAN_DATA!D861&lt;&gt;"--","US",IF(ISBLANK(MAIN!E861), "--", IF(ISNUMBER(MATCH(SUBSTITUTE(LEFT(MAIN!E861, IFERROR(FIND(",", MAIN!E861)-1, LEN(MAIN!E861))), " ", ""), lookup_values!$E$2:$E$197, 0)), UPPER(SUBSTITUTE(LEFT(MAIN!E861, IFERROR(FIND(",", MAIN!E861)-1, LEN(MAIN!E861))), " ", "")), IF(ISNA(VLOOKUP(SUBSTITUTE(LEFT(MAIN!E861, IFERROR(FIND(",", MAIN!E861)-1, LEN(MAIN!E861))), " ", ""), lookup_values!$D$2:$E$197, 2, FALSE)), "--", VLOOKUP(SUBSTITUTE(LEFT(MAIN!E861, IFERROR(FIND(",", MAIN!E861)-1, LEN(MAIN!E861))), " ", ""), lookup_values!$D$2:$E$197, 2, FALSE)))))</f>
        <v>--</v>
      </c>
      <c r="F861" t="str">
        <f>IF(ISBLANK(MAIN!F861), "", IF(AND(ISNUMBER(VALUE(TRIM(MAIN!F861))), LEN(TRIM(MAIN!F861))=4), VALUE(TRIM(MAIN!F861)), ""))</f>
        <v/>
      </c>
      <c r="G861">
        <f>IF(ISBLANK(MAIN!G861), 0, IF(ISNUMBER(VALUE(TRIM(MAIN!G861))), VALUE(TRIM(MAIN!G861)), 0))</f>
        <v>0</v>
      </c>
      <c r="H861">
        <f>IF(ISBLANK(MAIN!H861), 0, IF(ISNUMBER(VALUE(TRIM(MAIN!H861))), VALUE(TRIM(MAIN!H861)), 0))</f>
        <v>0</v>
      </c>
      <c r="I861">
        <f>IF(ISBLANK(MAIN!I861), 0, IF(ISNUMBER(VALUE(TRIM(MAIN!I861))), VALUE(TRIM(MAIN!I861)), 0))</f>
        <v>0</v>
      </c>
      <c r="J861">
        <f>IF(ISBLANK(MAIN!J861), 0, IF(ISNUMBER(VALUE(TRIM(MAIN!J861))), VALUE(TRIM(MAIN!J861)), 0))</f>
        <v>0</v>
      </c>
      <c r="K861" cm="1">
        <f t="array" ref="K861">IFERROR(
    VALUE(
        IFERROR(
            UPPER(
                IF(MAX(IFERROR(SEARCH("WD",MAIN!G861:J861), 0))&gt;0, "WD",
                IF(MAX(IFERROR(SEARCH("NS",MAIN!G861:J861), 0))&gt;0, "NS",
                IF(MAX(IFERROR(SEARCH("NC",MAIN!G861:J861), 0))&gt;0, "NC",
                IF(MAX(IFERROR(SEARCH("DQ",MAIN!G861:J861), 0))&gt;0, "DQ",
                IF(ISNUMBER(SEARCH("WD",MAIN!K861)), "WD",
                IF(ISNUMBER(SEARCH("NS",MAIN!K861)), "NS",
                IF(ISNUMBER(SEARCH("NC",MAIN!K861)), "NC",
                IF(ISNUMBER(SEARCH("DQ",MAIN!K861)), "DQ",
                IF(ISNUMBER(SEARCH("A",MAIN!K861)), 0,
                IF(OR(MAIN!K861=0,MAIN!K861=""), 0, --TRIM(MAIN!K861)))))))))))),
            0
        )
    ),
    IFERROR(
        UPPER(
            IF(MAX(IFERROR(SEARCH("WD",MAIN!G861:J861), 0))&gt;0, "WD",
            IF(MAX(IFERROR(SEARCH("NS",MAIN!G861:J861), 0))&gt;0, "NS",
            IF(MAX(IFERROR(SEARCH("NC",MAIN!G861:J861), 0))&gt;0, "NC",
            IF(MAX(IFERROR(SEARCH("DQ",MAIN!G861:J861), 0))&gt;0, "DQ",
            IF(ISNUMBER(SEARCH("WD",MAIN!K861)), "WD",
            IF(ISNUMBER(SEARCH("NS",MAIN!K861)), "NS",
            IF(ISNUMBER(SEARCH("NC",MAIN!K861)), "NC",
            IF(ISNUMBER(SEARCH("DQ",MAIN!K861)), "DQ",
            IF(ISNUMBER(SEARCH("A",MAIN!K861)), 0,
            IF(OR(MAIN!K861=0,MAIN!K861=""), 0, --TRIM(MAIN!K861)))))))))))),
        0
    )
)</f>
        <v>0</v>
      </c>
    </row>
    <row r="862" spans="1:11" x14ac:dyDescent="0.25">
      <c r="A862" t="str">
        <f>IF(ISBLANK(MAIN!A862), "--", IFERROR(PROPER(SUBSTITUTE(SUBSTITUTE(SUBSTITUTE(SUBSTITUTE(SUBSTITUTE(SUBSTITUTE(SUBSTITUTE(SUBSTITUTE(SUBSTITUTE(SUBSTITUTE(LEFT(MAIN!A862, FIND(",",MAIN!A862) -1), "0", ""), "1", ""), "2", ""), "3", ""), "4", ""), "5", ""), "6", ""), "7", ""), "8", ""), "9", "")), PROPER(SUBSTITUTE(SUBSTITUTE(SUBSTITUTE(SUBSTITUTE(SUBSTITUTE(SUBSTITUTE(SUBSTITUTE(SUBSTITUTE(SUBSTITUTE(SUBSTITUTE(MAIN!A862, "0", ""), "1", ""), "2", ""), "3", ""), "4", ""), "5", ""), "6", ""), "7", ""), "8", ""), "9", ""))))</f>
        <v>--</v>
      </c>
      <c r="B862" t="str">
        <f>IF(ISBLANK(MAIN!B862), "--", IFERROR(PROPER(SUBSTITUTE(SUBSTITUTE(SUBSTITUTE(SUBSTITUTE(SUBSTITUTE(SUBSTITUTE(SUBSTITUTE(SUBSTITUTE(SUBSTITUTE(SUBSTITUTE(LEFT(MAIN!B862, FIND(",",MAIN!B862) -1), "0", ""), "1", ""), "2", ""), "3", ""), "4", ""), "5", ""), "6", ""), "7", ""), "8", ""), "9", "")), PROPER(SUBSTITUTE(SUBSTITUTE(SUBSTITUTE(SUBSTITUTE(SUBSTITUTE(SUBSTITUTE(SUBSTITUTE(SUBSTITUTE(SUBSTITUTE(SUBSTITUTE(MAIN!B862, "0", ""), "1", ""), "2", ""), "3", ""), "4", ""), "5", ""), "6", ""), "7", ""), "8", ""), "9", ""))))</f>
        <v>--</v>
      </c>
      <c r="C862" t="str">
        <f>IF(ISBLANK(MAIN!C862), "--", IFERROR(PROPER(SUBSTITUTE(SUBSTITUTE(SUBSTITUTE(SUBSTITUTE(SUBSTITUTE(SUBSTITUTE(SUBSTITUTE(SUBSTITUTE(SUBSTITUTE(SUBSTITUTE(LEFT(MAIN!C862, FIND(",",MAIN!C862) -1), "0", ""), "1", ""), "2", ""), "3", ""), "4", ""), "5", ""), "6", ""), "7", ""), "8", ""), "9", "")), PROPER(SUBSTITUTE(SUBSTITUTE(SUBSTITUTE(SUBSTITUTE(SUBSTITUTE(SUBSTITUTE(SUBSTITUTE(SUBSTITUTE(SUBSTITUTE(SUBSTITUTE(MAIN!C862, "0", ""), "1", ""), "2", ""), "3", ""), "4", ""), "5", ""), "6", ""), "7", ""), "8", ""), "9", ""))))</f>
        <v>--</v>
      </c>
      <c r="D862" t="str">
        <f>IF(ISBLANK(MAIN!D862), "--", IF(ISNUMBER(MATCH(SUBSTITUTE(LEFT(MAIN!D862, IFERROR(FIND(",", MAIN!D862)-1, LEN(MAIN!D862))), " ", ""), lookup_values!$B$2:$B$51, 0)), UPPER(SUBSTITUTE(LEFT(MAIN!D862, IFERROR(FIND(",", MAIN!D862)-1, LEN(MAIN!D862))), " ", "")), IF(ISNA(VLOOKUP(SUBSTITUTE(LEFT(MAIN!D862, IFERROR(FIND(",", MAIN!D862)-1, LEN(MAIN!D862))), " ", ""), lookup_values!$A$2:$B$51, 2, FALSE)), "--", VLOOKUP(SUBSTITUTE(LEFT(MAIN!D862, IFERROR(FIND(",", MAIN!D862)-1, LEN(MAIN!D862))), " ", ""), lookup_values!$A$2:$B$51, 2, FALSE))))</f>
        <v>--</v>
      </c>
      <c r="E862" t="str">
        <f>IF(CLEAN_DATA!D862&lt;&gt;"--","US",IF(ISBLANK(MAIN!E862), "--", IF(ISNUMBER(MATCH(SUBSTITUTE(LEFT(MAIN!E862, IFERROR(FIND(",", MAIN!E862)-1, LEN(MAIN!E862))), " ", ""), lookup_values!$E$2:$E$197, 0)), UPPER(SUBSTITUTE(LEFT(MAIN!E862, IFERROR(FIND(",", MAIN!E862)-1, LEN(MAIN!E862))), " ", "")), IF(ISNA(VLOOKUP(SUBSTITUTE(LEFT(MAIN!E862, IFERROR(FIND(",", MAIN!E862)-1, LEN(MAIN!E862))), " ", ""), lookup_values!$D$2:$E$197, 2, FALSE)), "--", VLOOKUP(SUBSTITUTE(LEFT(MAIN!E862, IFERROR(FIND(",", MAIN!E862)-1, LEN(MAIN!E862))), " ", ""), lookup_values!$D$2:$E$197, 2, FALSE)))))</f>
        <v>--</v>
      </c>
      <c r="F862" t="str">
        <f>IF(ISBLANK(MAIN!F862), "", IF(AND(ISNUMBER(VALUE(TRIM(MAIN!F862))), LEN(TRIM(MAIN!F862))=4), VALUE(TRIM(MAIN!F862)), ""))</f>
        <v/>
      </c>
      <c r="G862">
        <f>IF(ISBLANK(MAIN!G862), 0, IF(ISNUMBER(VALUE(TRIM(MAIN!G862))), VALUE(TRIM(MAIN!G862)), 0))</f>
        <v>0</v>
      </c>
      <c r="H862">
        <f>IF(ISBLANK(MAIN!H862), 0, IF(ISNUMBER(VALUE(TRIM(MAIN!H862))), VALUE(TRIM(MAIN!H862)), 0))</f>
        <v>0</v>
      </c>
      <c r="I862">
        <f>IF(ISBLANK(MAIN!I862), 0, IF(ISNUMBER(VALUE(TRIM(MAIN!I862))), VALUE(TRIM(MAIN!I862)), 0))</f>
        <v>0</v>
      </c>
      <c r="J862">
        <f>IF(ISBLANK(MAIN!J862), 0, IF(ISNUMBER(VALUE(TRIM(MAIN!J862))), VALUE(TRIM(MAIN!J862)), 0))</f>
        <v>0</v>
      </c>
      <c r="K862" cm="1">
        <f t="array" ref="K862">IFERROR(
    VALUE(
        IFERROR(
            UPPER(
                IF(MAX(IFERROR(SEARCH("WD",MAIN!G862:J862), 0))&gt;0, "WD",
                IF(MAX(IFERROR(SEARCH("NS",MAIN!G862:J862), 0))&gt;0, "NS",
                IF(MAX(IFERROR(SEARCH("NC",MAIN!G862:J862), 0))&gt;0, "NC",
                IF(MAX(IFERROR(SEARCH("DQ",MAIN!G862:J862), 0))&gt;0, "DQ",
                IF(ISNUMBER(SEARCH("WD",MAIN!K862)), "WD",
                IF(ISNUMBER(SEARCH("NS",MAIN!K862)), "NS",
                IF(ISNUMBER(SEARCH("NC",MAIN!K862)), "NC",
                IF(ISNUMBER(SEARCH("DQ",MAIN!K862)), "DQ",
                IF(ISNUMBER(SEARCH("A",MAIN!K862)), 0,
                IF(OR(MAIN!K862=0,MAIN!K862=""), 0, --TRIM(MAIN!K862)))))))))))),
            0
        )
    ),
    IFERROR(
        UPPER(
            IF(MAX(IFERROR(SEARCH("WD",MAIN!G862:J862), 0))&gt;0, "WD",
            IF(MAX(IFERROR(SEARCH("NS",MAIN!G862:J862), 0))&gt;0, "NS",
            IF(MAX(IFERROR(SEARCH("NC",MAIN!G862:J862), 0))&gt;0, "NC",
            IF(MAX(IFERROR(SEARCH("DQ",MAIN!G862:J862), 0))&gt;0, "DQ",
            IF(ISNUMBER(SEARCH("WD",MAIN!K862)), "WD",
            IF(ISNUMBER(SEARCH("NS",MAIN!K862)), "NS",
            IF(ISNUMBER(SEARCH("NC",MAIN!K862)), "NC",
            IF(ISNUMBER(SEARCH("DQ",MAIN!K862)), "DQ",
            IF(ISNUMBER(SEARCH("A",MAIN!K862)), 0,
            IF(OR(MAIN!K862=0,MAIN!K862=""), 0, --TRIM(MAIN!K862)))))))))))),
        0
    )
)</f>
        <v>0</v>
      </c>
    </row>
    <row r="863" spans="1:11" x14ac:dyDescent="0.25">
      <c r="A863" t="str">
        <f>IF(ISBLANK(MAIN!A863), "--", IFERROR(PROPER(SUBSTITUTE(SUBSTITUTE(SUBSTITUTE(SUBSTITUTE(SUBSTITUTE(SUBSTITUTE(SUBSTITUTE(SUBSTITUTE(SUBSTITUTE(SUBSTITUTE(LEFT(MAIN!A863, FIND(",",MAIN!A863) -1), "0", ""), "1", ""), "2", ""), "3", ""), "4", ""), "5", ""), "6", ""), "7", ""), "8", ""), "9", "")), PROPER(SUBSTITUTE(SUBSTITUTE(SUBSTITUTE(SUBSTITUTE(SUBSTITUTE(SUBSTITUTE(SUBSTITUTE(SUBSTITUTE(SUBSTITUTE(SUBSTITUTE(MAIN!A863, "0", ""), "1", ""), "2", ""), "3", ""), "4", ""), "5", ""), "6", ""), "7", ""), "8", ""), "9", ""))))</f>
        <v>--</v>
      </c>
      <c r="B863" t="str">
        <f>IF(ISBLANK(MAIN!B863), "--", IFERROR(PROPER(SUBSTITUTE(SUBSTITUTE(SUBSTITUTE(SUBSTITUTE(SUBSTITUTE(SUBSTITUTE(SUBSTITUTE(SUBSTITUTE(SUBSTITUTE(SUBSTITUTE(LEFT(MAIN!B863, FIND(",",MAIN!B863) -1), "0", ""), "1", ""), "2", ""), "3", ""), "4", ""), "5", ""), "6", ""), "7", ""), "8", ""), "9", "")), PROPER(SUBSTITUTE(SUBSTITUTE(SUBSTITUTE(SUBSTITUTE(SUBSTITUTE(SUBSTITUTE(SUBSTITUTE(SUBSTITUTE(SUBSTITUTE(SUBSTITUTE(MAIN!B863, "0", ""), "1", ""), "2", ""), "3", ""), "4", ""), "5", ""), "6", ""), "7", ""), "8", ""), "9", ""))))</f>
        <v>--</v>
      </c>
      <c r="C863" t="str">
        <f>IF(ISBLANK(MAIN!C863), "--", IFERROR(PROPER(SUBSTITUTE(SUBSTITUTE(SUBSTITUTE(SUBSTITUTE(SUBSTITUTE(SUBSTITUTE(SUBSTITUTE(SUBSTITUTE(SUBSTITUTE(SUBSTITUTE(LEFT(MAIN!C863, FIND(",",MAIN!C863) -1), "0", ""), "1", ""), "2", ""), "3", ""), "4", ""), "5", ""), "6", ""), "7", ""), "8", ""), "9", "")), PROPER(SUBSTITUTE(SUBSTITUTE(SUBSTITUTE(SUBSTITUTE(SUBSTITUTE(SUBSTITUTE(SUBSTITUTE(SUBSTITUTE(SUBSTITUTE(SUBSTITUTE(MAIN!C863, "0", ""), "1", ""), "2", ""), "3", ""), "4", ""), "5", ""), "6", ""), "7", ""), "8", ""), "9", ""))))</f>
        <v>--</v>
      </c>
      <c r="D863" t="str">
        <f>IF(ISBLANK(MAIN!D863), "--", IF(ISNUMBER(MATCH(SUBSTITUTE(LEFT(MAIN!D863, IFERROR(FIND(",", MAIN!D863)-1, LEN(MAIN!D863))), " ", ""), lookup_values!$B$2:$B$51, 0)), UPPER(SUBSTITUTE(LEFT(MAIN!D863, IFERROR(FIND(",", MAIN!D863)-1, LEN(MAIN!D863))), " ", "")), IF(ISNA(VLOOKUP(SUBSTITUTE(LEFT(MAIN!D863, IFERROR(FIND(",", MAIN!D863)-1, LEN(MAIN!D863))), " ", ""), lookup_values!$A$2:$B$51, 2, FALSE)), "--", VLOOKUP(SUBSTITUTE(LEFT(MAIN!D863, IFERROR(FIND(",", MAIN!D863)-1, LEN(MAIN!D863))), " ", ""), lookup_values!$A$2:$B$51, 2, FALSE))))</f>
        <v>--</v>
      </c>
      <c r="E863" t="str">
        <f>IF(CLEAN_DATA!D863&lt;&gt;"--","US",IF(ISBLANK(MAIN!E863), "--", IF(ISNUMBER(MATCH(SUBSTITUTE(LEFT(MAIN!E863, IFERROR(FIND(",", MAIN!E863)-1, LEN(MAIN!E863))), " ", ""), lookup_values!$E$2:$E$197, 0)), UPPER(SUBSTITUTE(LEFT(MAIN!E863, IFERROR(FIND(",", MAIN!E863)-1, LEN(MAIN!E863))), " ", "")), IF(ISNA(VLOOKUP(SUBSTITUTE(LEFT(MAIN!E863, IFERROR(FIND(",", MAIN!E863)-1, LEN(MAIN!E863))), " ", ""), lookup_values!$D$2:$E$197, 2, FALSE)), "--", VLOOKUP(SUBSTITUTE(LEFT(MAIN!E863, IFERROR(FIND(",", MAIN!E863)-1, LEN(MAIN!E863))), " ", ""), lookup_values!$D$2:$E$197, 2, FALSE)))))</f>
        <v>--</v>
      </c>
      <c r="F863" t="str">
        <f>IF(ISBLANK(MAIN!F863), "", IF(AND(ISNUMBER(VALUE(TRIM(MAIN!F863))), LEN(TRIM(MAIN!F863))=4), VALUE(TRIM(MAIN!F863)), ""))</f>
        <v/>
      </c>
      <c r="G863">
        <f>IF(ISBLANK(MAIN!G863), 0, IF(ISNUMBER(VALUE(TRIM(MAIN!G863))), VALUE(TRIM(MAIN!G863)), 0))</f>
        <v>0</v>
      </c>
      <c r="H863">
        <f>IF(ISBLANK(MAIN!H863), 0, IF(ISNUMBER(VALUE(TRIM(MAIN!H863))), VALUE(TRIM(MAIN!H863)), 0))</f>
        <v>0</v>
      </c>
      <c r="I863">
        <f>IF(ISBLANK(MAIN!I863), 0, IF(ISNUMBER(VALUE(TRIM(MAIN!I863))), VALUE(TRIM(MAIN!I863)), 0))</f>
        <v>0</v>
      </c>
      <c r="J863">
        <f>IF(ISBLANK(MAIN!J863), 0, IF(ISNUMBER(VALUE(TRIM(MAIN!J863))), VALUE(TRIM(MAIN!J863)), 0))</f>
        <v>0</v>
      </c>
      <c r="K863" cm="1">
        <f t="array" ref="K863">IFERROR(
    VALUE(
        IFERROR(
            UPPER(
                IF(MAX(IFERROR(SEARCH("WD",MAIN!G863:J863), 0))&gt;0, "WD",
                IF(MAX(IFERROR(SEARCH("NS",MAIN!G863:J863), 0))&gt;0, "NS",
                IF(MAX(IFERROR(SEARCH("NC",MAIN!G863:J863), 0))&gt;0, "NC",
                IF(MAX(IFERROR(SEARCH("DQ",MAIN!G863:J863), 0))&gt;0, "DQ",
                IF(ISNUMBER(SEARCH("WD",MAIN!K863)), "WD",
                IF(ISNUMBER(SEARCH("NS",MAIN!K863)), "NS",
                IF(ISNUMBER(SEARCH("NC",MAIN!K863)), "NC",
                IF(ISNUMBER(SEARCH("DQ",MAIN!K863)), "DQ",
                IF(ISNUMBER(SEARCH("A",MAIN!K863)), 0,
                IF(OR(MAIN!K863=0,MAIN!K863=""), 0, --TRIM(MAIN!K863)))))))))))),
            0
        )
    ),
    IFERROR(
        UPPER(
            IF(MAX(IFERROR(SEARCH("WD",MAIN!G863:J863), 0))&gt;0, "WD",
            IF(MAX(IFERROR(SEARCH("NS",MAIN!G863:J863), 0))&gt;0, "NS",
            IF(MAX(IFERROR(SEARCH("NC",MAIN!G863:J863), 0))&gt;0, "NC",
            IF(MAX(IFERROR(SEARCH("DQ",MAIN!G863:J863), 0))&gt;0, "DQ",
            IF(ISNUMBER(SEARCH("WD",MAIN!K863)), "WD",
            IF(ISNUMBER(SEARCH("NS",MAIN!K863)), "NS",
            IF(ISNUMBER(SEARCH("NC",MAIN!K863)), "NC",
            IF(ISNUMBER(SEARCH("DQ",MAIN!K863)), "DQ",
            IF(ISNUMBER(SEARCH("A",MAIN!K863)), 0,
            IF(OR(MAIN!K863=0,MAIN!K863=""), 0, --TRIM(MAIN!K863)))))))))))),
        0
    )
)</f>
        <v>0</v>
      </c>
    </row>
    <row r="864" spans="1:11" x14ac:dyDescent="0.25">
      <c r="A864" t="str">
        <f>IF(ISBLANK(MAIN!A864), "--", IFERROR(PROPER(SUBSTITUTE(SUBSTITUTE(SUBSTITUTE(SUBSTITUTE(SUBSTITUTE(SUBSTITUTE(SUBSTITUTE(SUBSTITUTE(SUBSTITUTE(SUBSTITUTE(LEFT(MAIN!A864, FIND(",",MAIN!A864) -1), "0", ""), "1", ""), "2", ""), "3", ""), "4", ""), "5", ""), "6", ""), "7", ""), "8", ""), "9", "")), PROPER(SUBSTITUTE(SUBSTITUTE(SUBSTITUTE(SUBSTITUTE(SUBSTITUTE(SUBSTITUTE(SUBSTITUTE(SUBSTITUTE(SUBSTITUTE(SUBSTITUTE(MAIN!A864, "0", ""), "1", ""), "2", ""), "3", ""), "4", ""), "5", ""), "6", ""), "7", ""), "8", ""), "9", ""))))</f>
        <v>--</v>
      </c>
      <c r="B864" t="str">
        <f>IF(ISBLANK(MAIN!B864), "--", IFERROR(PROPER(SUBSTITUTE(SUBSTITUTE(SUBSTITUTE(SUBSTITUTE(SUBSTITUTE(SUBSTITUTE(SUBSTITUTE(SUBSTITUTE(SUBSTITUTE(SUBSTITUTE(LEFT(MAIN!B864, FIND(",",MAIN!B864) -1), "0", ""), "1", ""), "2", ""), "3", ""), "4", ""), "5", ""), "6", ""), "7", ""), "8", ""), "9", "")), PROPER(SUBSTITUTE(SUBSTITUTE(SUBSTITUTE(SUBSTITUTE(SUBSTITUTE(SUBSTITUTE(SUBSTITUTE(SUBSTITUTE(SUBSTITUTE(SUBSTITUTE(MAIN!B864, "0", ""), "1", ""), "2", ""), "3", ""), "4", ""), "5", ""), "6", ""), "7", ""), "8", ""), "9", ""))))</f>
        <v>--</v>
      </c>
      <c r="C864" t="str">
        <f>IF(ISBLANK(MAIN!C864), "--", IFERROR(PROPER(SUBSTITUTE(SUBSTITUTE(SUBSTITUTE(SUBSTITUTE(SUBSTITUTE(SUBSTITUTE(SUBSTITUTE(SUBSTITUTE(SUBSTITUTE(SUBSTITUTE(LEFT(MAIN!C864, FIND(",",MAIN!C864) -1), "0", ""), "1", ""), "2", ""), "3", ""), "4", ""), "5", ""), "6", ""), "7", ""), "8", ""), "9", "")), PROPER(SUBSTITUTE(SUBSTITUTE(SUBSTITUTE(SUBSTITUTE(SUBSTITUTE(SUBSTITUTE(SUBSTITUTE(SUBSTITUTE(SUBSTITUTE(SUBSTITUTE(MAIN!C864, "0", ""), "1", ""), "2", ""), "3", ""), "4", ""), "5", ""), "6", ""), "7", ""), "8", ""), "9", ""))))</f>
        <v>--</v>
      </c>
      <c r="D864" t="str">
        <f>IF(ISBLANK(MAIN!D864), "--", IF(ISNUMBER(MATCH(SUBSTITUTE(LEFT(MAIN!D864, IFERROR(FIND(",", MAIN!D864)-1, LEN(MAIN!D864))), " ", ""), lookup_values!$B$2:$B$51, 0)), UPPER(SUBSTITUTE(LEFT(MAIN!D864, IFERROR(FIND(",", MAIN!D864)-1, LEN(MAIN!D864))), " ", "")), IF(ISNA(VLOOKUP(SUBSTITUTE(LEFT(MAIN!D864, IFERROR(FIND(",", MAIN!D864)-1, LEN(MAIN!D864))), " ", ""), lookup_values!$A$2:$B$51, 2, FALSE)), "--", VLOOKUP(SUBSTITUTE(LEFT(MAIN!D864, IFERROR(FIND(",", MAIN!D864)-1, LEN(MAIN!D864))), " ", ""), lookup_values!$A$2:$B$51, 2, FALSE))))</f>
        <v>--</v>
      </c>
      <c r="E864" t="str">
        <f>IF(CLEAN_DATA!D864&lt;&gt;"--","US",IF(ISBLANK(MAIN!E864), "--", IF(ISNUMBER(MATCH(SUBSTITUTE(LEFT(MAIN!E864, IFERROR(FIND(",", MAIN!E864)-1, LEN(MAIN!E864))), " ", ""), lookup_values!$E$2:$E$197, 0)), UPPER(SUBSTITUTE(LEFT(MAIN!E864, IFERROR(FIND(",", MAIN!E864)-1, LEN(MAIN!E864))), " ", "")), IF(ISNA(VLOOKUP(SUBSTITUTE(LEFT(MAIN!E864, IFERROR(FIND(",", MAIN!E864)-1, LEN(MAIN!E864))), " ", ""), lookup_values!$D$2:$E$197, 2, FALSE)), "--", VLOOKUP(SUBSTITUTE(LEFT(MAIN!E864, IFERROR(FIND(",", MAIN!E864)-1, LEN(MAIN!E864))), " ", ""), lookup_values!$D$2:$E$197, 2, FALSE)))))</f>
        <v>--</v>
      </c>
      <c r="F864" t="str">
        <f>IF(ISBLANK(MAIN!F864), "", IF(AND(ISNUMBER(VALUE(TRIM(MAIN!F864))), LEN(TRIM(MAIN!F864))=4), VALUE(TRIM(MAIN!F864)), ""))</f>
        <v/>
      </c>
      <c r="G864">
        <f>IF(ISBLANK(MAIN!G864), 0, IF(ISNUMBER(VALUE(TRIM(MAIN!G864))), VALUE(TRIM(MAIN!G864)), 0))</f>
        <v>0</v>
      </c>
      <c r="H864">
        <f>IF(ISBLANK(MAIN!H864), 0, IF(ISNUMBER(VALUE(TRIM(MAIN!H864))), VALUE(TRIM(MAIN!H864)), 0))</f>
        <v>0</v>
      </c>
      <c r="I864">
        <f>IF(ISBLANK(MAIN!I864), 0, IF(ISNUMBER(VALUE(TRIM(MAIN!I864))), VALUE(TRIM(MAIN!I864)), 0))</f>
        <v>0</v>
      </c>
      <c r="J864">
        <f>IF(ISBLANK(MAIN!J864), 0, IF(ISNUMBER(VALUE(TRIM(MAIN!J864))), VALUE(TRIM(MAIN!J864)), 0))</f>
        <v>0</v>
      </c>
      <c r="K864" cm="1">
        <f t="array" ref="K864">IFERROR(
    VALUE(
        IFERROR(
            UPPER(
                IF(MAX(IFERROR(SEARCH("WD",MAIN!G864:J864), 0))&gt;0, "WD",
                IF(MAX(IFERROR(SEARCH("NS",MAIN!G864:J864), 0))&gt;0, "NS",
                IF(MAX(IFERROR(SEARCH("NC",MAIN!G864:J864), 0))&gt;0, "NC",
                IF(MAX(IFERROR(SEARCH("DQ",MAIN!G864:J864), 0))&gt;0, "DQ",
                IF(ISNUMBER(SEARCH("WD",MAIN!K864)), "WD",
                IF(ISNUMBER(SEARCH("NS",MAIN!K864)), "NS",
                IF(ISNUMBER(SEARCH("NC",MAIN!K864)), "NC",
                IF(ISNUMBER(SEARCH("DQ",MAIN!K864)), "DQ",
                IF(ISNUMBER(SEARCH("A",MAIN!K864)), 0,
                IF(OR(MAIN!K864=0,MAIN!K864=""), 0, --TRIM(MAIN!K864)))))))))))),
            0
        )
    ),
    IFERROR(
        UPPER(
            IF(MAX(IFERROR(SEARCH("WD",MAIN!G864:J864), 0))&gt;0, "WD",
            IF(MAX(IFERROR(SEARCH("NS",MAIN!G864:J864), 0))&gt;0, "NS",
            IF(MAX(IFERROR(SEARCH("NC",MAIN!G864:J864), 0))&gt;0, "NC",
            IF(MAX(IFERROR(SEARCH("DQ",MAIN!G864:J864), 0))&gt;0, "DQ",
            IF(ISNUMBER(SEARCH("WD",MAIN!K864)), "WD",
            IF(ISNUMBER(SEARCH("NS",MAIN!K864)), "NS",
            IF(ISNUMBER(SEARCH("NC",MAIN!K864)), "NC",
            IF(ISNUMBER(SEARCH("DQ",MAIN!K864)), "DQ",
            IF(ISNUMBER(SEARCH("A",MAIN!K864)), 0,
            IF(OR(MAIN!K864=0,MAIN!K864=""), 0, --TRIM(MAIN!K864)))))))))))),
        0
    )
)</f>
        <v>0</v>
      </c>
    </row>
    <row r="865" spans="1:11" x14ac:dyDescent="0.25">
      <c r="A865" t="str">
        <f>IF(ISBLANK(MAIN!A865), "--", IFERROR(PROPER(SUBSTITUTE(SUBSTITUTE(SUBSTITUTE(SUBSTITUTE(SUBSTITUTE(SUBSTITUTE(SUBSTITUTE(SUBSTITUTE(SUBSTITUTE(SUBSTITUTE(LEFT(MAIN!A865, FIND(",",MAIN!A865) -1), "0", ""), "1", ""), "2", ""), "3", ""), "4", ""), "5", ""), "6", ""), "7", ""), "8", ""), "9", "")), PROPER(SUBSTITUTE(SUBSTITUTE(SUBSTITUTE(SUBSTITUTE(SUBSTITUTE(SUBSTITUTE(SUBSTITUTE(SUBSTITUTE(SUBSTITUTE(SUBSTITUTE(MAIN!A865, "0", ""), "1", ""), "2", ""), "3", ""), "4", ""), "5", ""), "6", ""), "7", ""), "8", ""), "9", ""))))</f>
        <v>--</v>
      </c>
      <c r="B865" t="str">
        <f>IF(ISBLANK(MAIN!B865), "--", IFERROR(PROPER(SUBSTITUTE(SUBSTITUTE(SUBSTITUTE(SUBSTITUTE(SUBSTITUTE(SUBSTITUTE(SUBSTITUTE(SUBSTITUTE(SUBSTITUTE(SUBSTITUTE(LEFT(MAIN!B865, FIND(",",MAIN!B865) -1), "0", ""), "1", ""), "2", ""), "3", ""), "4", ""), "5", ""), "6", ""), "7", ""), "8", ""), "9", "")), PROPER(SUBSTITUTE(SUBSTITUTE(SUBSTITUTE(SUBSTITUTE(SUBSTITUTE(SUBSTITUTE(SUBSTITUTE(SUBSTITUTE(SUBSTITUTE(SUBSTITUTE(MAIN!B865, "0", ""), "1", ""), "2", ""), "3", ""), "4", ""), "5", ""), "6", ""), "7", ""), "8", ""), "9", ""))))</f>
        <v>--</v>
      </c>
      <c r="C865" t="str">
        <f>IF(ISBLANK(MAIN!C865), "--", IFERROR(PROPER(SUBSTITUTE(SUBSTITUTE(SUBSTITUTE(SUBSTITUTE(SUBSTITUTE(SUBSTITUTE(SUBSTITUTE(SUBSTITUTE(SUBSTITUTE(SUBSTITUTE(LEFT(MAIN!C865, FIND(",",MAIN!C865) -1), "0", ""), "1", ""), "2", ""), "3", ""), "4", ""), "5", ""), "6", ""), "7", ""), "8", ""), "9", "")), PROPER(SUBSTITUTE(SUBSTITUTE(SUBSTITUTE(SUBSTITUTE(SUBSTITUTE(SUBSTITUTE(SUBSTITUTE(SUBSTITUTE(SUBSTITUTE(SUBSTITUTE(MAIN!C865, "0", ""), "1", ""), "2", ""), "3", ""), "4", ""), "5", ""), "6", ""), "7", ""), "8", ""), "9", ""))))</f>
        <v>--</v>
      </c>
      <c r="D865" t="str">
        <f>IF(ISBLANK(MAIN!D865), "--", IF(ISNUMBER(MATCH(SUBSTITUTE(LEFT(MAIN!D865, IFERROR(FIND(",", MAIN!D865)-1, LEN(MAIN!D865))), " ", ""), lookup_values!$B$2:$B$51, 0)), UPPER(SUBSTITUTE(LEFT(MAIN!D865, IFERROR(FIND(",", MAIN!D865)-1, LEN(MAIN!D865))), " ", "")), IF(ISNA(VLOOKUP(SUBSTITUTE(LEFT(MAIN!D865, IFERROR(FIND(",", MAIN!D865)-1, LEN(MAIN!D865))), " ", ""), lookup_values!$A$2:$B$51, 2, FALSE)), "--", VLOOKUP(SUBSTITUTE(LEFT(MAIN!D865, IFERROR(FIND(",", MAIN!D865)-1, LEN(MAIN!D865))), " ", ""), lookup_values!$A$2:$B$51, 2, FALSE))))</f>
        <v>--</v>
      </c>
      <c r="E865" t="str">
        <f>IF(CLEAN_DATA!D865&lt;&gt;"--","US",IF(ISBLANK(MAIN!E865), "--", IF(ISNUMBER(MATCH(SUBSTITUTE(LEFT(MAIN!E865, IFERROR(FIND(",", MAIN!E865)-1, LEN(MAIN!E865))), " ", ""), lookup_values!$E$2:$E$197, 0)), UPPER(SUBSTITUTE(LEFT(MAIN!E865, IFERROR(FIND(",", MAIN!E865)-1, LEN(MAIN!E865))), " ", "")), IF(ISNA(VLOOKUP(SUBSTITUTE(LEFT(MAIN!E865, IFERROR(FIND(",", MAIN!E865)-1, LEN(MAIN!E865))), " ", ""), lookup_values!$D$2:$E$197, 2, FALSE)), "--", VLOOKUP(SUBSTITUTE(LEFT(MAIN!E865, IFERROR(FIND(",", MAIN!E865)-1, LEN(MAIN!E865))), " ", ""), lookup_values!$D$2:$E$197, 2, FALSE)))))</f>
        <v>--</v>
      </c>
      <c r="F865" t="str">
        <f>IF(ISBLANK(MAIN!F865), "", IF(AND(ISNUMBER(VALUE(TRIM(MAIN!F865))), LEN(TRIM(MAIN!F865))=4), VALUE(TRIM(MAIN!F865)), ""))</f>
        <v/>
      </c>
      <c r="G865">
        <f>IF(ISBLANK(MAIN!G865), 0, IF(ISNUMBER(VALUE(TRIM(MAIN!G865))), VALUE(TRIM(MAIN!G865)), 0))</f>
        <v>0</v>
      </c>
      <c r="H865">
        <f>IF(ISBLANK(MAIN!H865), 0, IF(ISNUMBER(VALUE(TRIM(MAIN!H865))), VALUE(TRIM(MAIN!H865)), 0))</f>
        <v>0</v>
      </c>
      <c r="I865">
        <f>IF(ISBLANK(MAIN!I865), 0, IF(ISNUMBER(VALUE(TRIM(MAIN!I865))), VALUE(TRIM(MAIN!I865)), 0))</f>
        <v>0</v>
      </c>
      <c r="J865">
        <f>IF(ISBLANK(MAIN!J865), 0, IF(ISNUMBER(VALUE(TRIM(MAIN!J865))), VALUE(TRIM(MAIN!J865)), 0))</f>
        <v>0</v>
      </c>
      <c r="K865" cm="1">
        <f t="array" ref="K865">IFERROR(
    VALUE(
        IFERROR(
            UPPER(
                IF(MAX(IFERROR(SEARCH("WD",MAIN!G865:J865), 0))&gt;0, "WD",
                IF(MAX(IFERROR(SEARCH("NS",MAIN!G865:J865), 0))&gt;0, "NS",
                IF(MAX(IFERROR(SEARCH("NC",MAIN!G865:J865), 0))&gt;0, "NC",
                IF(MAX(IFERROR(SEARCH("DQ",MAIN!G865:J865), 0))&gt;0, "DQ",
                IF(ISNUMBER(SEARCH("WD",MAIN!K865)), "WD",
                IF(ISNUMBER(SEARCH("NS",MAIN!K865)), "NS",
                IF(ISNUMBER(SEARCH("NC",MAIN!K865)), "NC",
                IF(ISNUMBER(SEARCH("DQ",MAIN!K865)), "DQ",
                IF(ISNUMBER(SEARCH("A",MAIN!K865)), 0,
                IF(OR(MAIN!K865=0,MAIN!K865=""), 0, --TRIM(MAIN!K865)))))))))))),
            0
        )
    ),
    IFERROR(
        UPPER(
            IF(MAX(IFERROR(SEARCH("WD",MAIN!G865:J865), 0))&gt;0, "WD",
            IF(MAX(IFERROR(SEARCH("NS",MAIN!G865:J865), 0))&gt;0, "NS",
            IF(MAX(IFERROR(SEARCH("NC",MAIN!G865:J865), 0))&gt;0, "NC",
            IF(MAX(IFERROR(SEARCH("DQ",MAIN!G865:J865), 0))&gt;0, "DQ",
            IF(ISNUMBER(SEARCH("WD",MAIN!K865)), "WD",
            IF(ISNUMBER(SEARCH("NS",MAIN!K865)), "NS",
            IF(ISNUMBER(SEARCH("NC",MAIN!K865)), "NC",
            IF(ISNUMBER(SEARCH("DQ",MAIN!K865)), "DQ",
            IF(ISNUMBER(SEARCH("A",MAIN!K865)), 0,
            IF(OR(MAIN!K865=0,MAIN!K865=""), 0, --TRIM(MAIN!K865)))))))))))),
        0
    )
)</f>
        <v>0</v>
      </c>
    </row>
    <row r="866" spans="1:11" x14ac:dyDescent="0.25">
      <c r="A866" t="str">
        <f>IF(ISBLANK(MAIN!A866), "--", IFERROR(PROPER(SUBSTITUTE(SUBSTITUTE(SUBSTITUTE(SUBSTITUTE(SUBSTITUTE(SUBSTITUTE(SUBSTITUTE(SUBSTITUTE(SUBSTITUTE(SUBSTITUTE(LEFT(MAIN!A866, FIND(",",MAIN!A866) -1), "0", ""), "1", ""), "2", ""), "3", ""), "4", ""), "5", ""), "6", ""), "7", ""), "8", ""), "9", "")), PROPER(SUBSTITUTE(SUBSTITUTE(SUBSTITUTE(SUBSTITUTE(SUBSTITUTE(SUBSTITUTE(SUBSTITUTE(SUBSTITUTE(SUBSTITUTE(SUBSTITUTE(MAIN!A866, "0", ""), "1", ""), "2", ""), "3", ""), "4", ""), "5", ""), "6", ""), "7", ""), "8", ""), "9", ""))))</f>
        <v>--</v>
      </c>
      <c r="B866" t="str">
        <f>IF(ISBLANK(MAIN!B866), "--", IFERROR(PROPER(SUBSTITUTE(SUBSTITUTE(SUBSTITUTE(SUBSTITUTE(SUBSTITUTE(SUBSTITUTE(SUBSTITUTE(SUBSTITUTE(SUBSTITUTE(SUBSTITUTE(LEFT(MAIN!B866, FIND(",",MAIN!B866) -1), "0", ""), "1", ""), "2", ""), "3", ""), "4", ""), "5", ""), "6", ""), "7", ""), "8", ""), "9", "")), PROPER(SUBSTITUTE(SUBSTITUTE(SUBSTITUTE(SUBSTITUTE(SUBSTITUTE(SUBSTITUTE(SUBSTITUTE(SUBSTITUTE(SUBSTITUTE(SUBSTITUTE(MAIN!B866, "0", ""), "1", ""), "2", ""), "3", ""), "4", ""), "5", ""), "6", ""), "7", ""), "8", ""), "9", ""))))</f>
        <v>--</v>
      </c>
      <c r="C866" t="str">
        <f>IF(ISBLANK(MAIN!C866), "--", IFERROR(PROPER(SUBSTITUTE(SUBSTITUTE(SUBSTITUTE(SUBSTITUTE(SUBSTITUTE(SUBSTITUTE(SUBSTITUTE(SUBSTITUTE(SUBSTITUTE(SUBSTITUTE(LEFT(MAIN!C866, FIND(",",MAIN!C866) -1), "0", ""), "1", ""), "2", ""), "3", ""), "4", ""), "5", ""), "6", ""), "7", ""), "8", ""), "9", "")), PROPER(SUBSTITUTE(SUBSTITUTE(SUBSTITUTE(SUBSTITUTE(SUBSTITUTE(SUBSTITUTE(SUBSTITUTE(SUBSTITUTE(SUBSTITUTE(SUBSTITUTE(MAIN!C866, "0", ""), "1", ""), "2", ""), "3", ""), "4", ""), "5", ""), "6", ""), "7", ""), "8", ""), "9", ""))))</f>
        <v>--</v>
      </c>
      <c r="D866" t="str">
        <f>IF(ISBLANK(MAIN!D866), "--", IF(ISNUMBER(MATCH(SUBSTITUTE(LEFT(MAIN!D866, IFERROR(FIND(",", MAIN!D866)-1, LEN(MAIN!D866))), " ", ""), lookup_values!$B$2:$B$51, 0)), UPPER(SUBSTITUTE(LEFT(MAIN!D866, IFERROR(FIND(",", MAIN!D866)-1, LEN(MAIN!D866))), " ", "")), IF(ISNA(VLOOKUP(SUBSTITUTE(LEFT(MAIN!D866, IFERROR(FIND(",", MAIN!D866)-1, LEN(MAIN!D866))), " ", ""), lookup_values!$A$2:$B$51, 2, FALSE)), "--", VLOOKUP(SUBSTITUTE(LEFT(MAIN!D866, IFERROR(FIND(",", MAIN!D866)-1, LEN(MAIN!D866))), " ", ""), lookup_values!$A$2:$B$51, 2, FALSE))))</f>
        <v>--</v>
      </c>
      <c r="E866" t="str">
        <f>IF(CLEAN_DATA!D866&lt;&gt;"--","US",IF(ISBLANK(MAIN!E866), "--", IF(ISNUMBER(MATCH(SUBSTITUTE(LEFT(MAIN!E866, IFERROR(FIND(",", MAIN!E866)-1, LEN(MAIN!E866))), " ", ""), lookup_values!$E$2:$E$197, 0)), UPPER(SUBSTITUTE(LEFT(MAIN!E866, IFERROR(FIND(",", MAIN!E866)-1, LEN(MAIN!E866))), " ", "")), IF(ISNA(VLOOKUP(SUBSTITUTE(LEFT(MAIN!E866, IFERROR(FIND(",", MAIN!E866)-1, LEN(MAIN!E866))), " ", ""), lookup_values!$D$2:$E$197, 2, FALSE)), "--", VLOOKUP(SUBSTITUTE(LEFT(MAIN!E866, IFERROR(FIND(",", MAIN!E866)-1, LEN(MAIN!E866))), " ", ""), lookup_values!$D$2:$E$197, 2, FALSE)))))</f>
        <v>--</v>
      </c>
      <c r="F866" t="str">
        <f>IF(ISBLANK(MAIN!F866), "", IF(AND(ISNUMBER(VALUE(TRIM(MAIN!F866))), LEN(TRIM(MAIN!F866))=4), VALUE(TRIM(MAIN!F866)), ""))</f>
        <v/>
      </c>
      <c r="G866">
        <f>IF(ISBLANK(MAIN!G866), 0, IF(ISNUMBER(VALUE(TRIM(MAIN!G866))), VALUE(TRIM(MAIN!G866)), 0))</f>
        <v>0</v>
      </c>
      <c r="H866">
        <f>IF(ISBLANK(MAIN!H866), 0, IF(ISNUMBER(VALUE(TRIM(MAIN!H866))), VALUE(TRIM(MAIN!H866)), 0))</f>
        <v>0</v>
      </c>
      <c r="I866">
        <f>IF(ISBLANK(MAIN!I866), 0, IF(ISNUMBER(VALUE(TRIM(MAIN!I866))), VALUE(TRIM(MAIN!I866)), 0))</f>
        <v>0</v>
      </c>
      <c r="J866">
        <f>IF(ISBLANK(MAIN!J866), 0, IF(ISNUMBER(VALUE(TRIM(MAIN!J866))), VALUE(TRIM(MAIN!J866)), 0))</f>
        <v>0</v>
      </c>
      <c r="K866" cm="1">
        <f t="array" ref="K866">IFERROR(
    VALUE(
        IFERROR(
            UPPER(
                IF(MAX(IFERROR(SEARCH("WD",MAIN!G866:J866), 0))&gt;0, "WD",
                IF(MAX(IFERROR(SEARCH("NS",MAIN!G866:J866), 0))&gt;0, "NS",
                IF(MAX(IFERROR(SEARCH("NC",MAIN!G866:J866), 0))&gt;0, "NC",
                IF(MAX(IFERROR(SEARCH("DQ",MAIN!G866:J866), 0))&gt;0, "DQ",
                IF(ISNUMBER(SEARCH("WD",MAIN!K866)), "WD",
                IF(ISNUMBER(SEARCH("NS",MAIN!K866)), "NS",
                IF(ISNUMBER(SEARCH("NC",MAIN!K866)), "NC",
                IF(ISNUMBER(SEARCH("DQ",MAIN!K866)), "DQ",
                IF(ISNUMBER(SEARCH("A",MAIN!K866)), 0,
                IF(OR(MAIN!K866=0,MAIN!K866=""), 0, --TRIM(MAIN!K866)))))))))))),
            0
        )
    ),
    IFERROR(
        UPPER(
            IF(MAX(IFERROR(SEARCH("WD",MAIN!G866:J866), 0))&gt;0, "WD",
            IF(MAX(IFERROR(SEARCH("NS",MAIN!G866:J866), 0))&gt;0, "NS",
            IF(MAX(IFERROR(SEARCH("NC",MAIN!G866:J866), 0))&gt;0, "NC",
            IF(MAX(IFERROR(SEARCH("DQ",MAIN!G866:J866), 0))&gt;0, "DQ",
            IF(ISNUMBER(SEARCH("WD",MAIN!K866)), "WD",
            IF(ISNUMBER(SEARCH("NS",MAIN!K866)), "NS",
            IF(ISNUMBER(SEARCH("NC",MAIN!K866)), "NC",
            IF(ISNUMBER(SEARCH("DQ",MAIN!K866)), "DQ",
            IF(ISNUMBER(SEARCH("A",MAIN!K866)), 0,
            IF(OR(MAIN!K866=0,MAIN!K866=""), 0, --TRIM(MAIN!K866)))))))))))),
        0
    )
)</f>
        <v>0</v>
      </c>
    </row>
    <row r="867" spans="1:11" x14ac:dyDescent="0.25">
      <c r="A867" t="str">
        <f>IF(ISBLANK(MAIN!A867), "--", IFERROR(PROPER(SUBSTITUTE(SUBSTITUTE(SUBSTITUTE(SUBSTITUTE(SUBSTITUTE(SUBSTITUTE(SUBSTITUTE(SUBSTITUTE(SUBSTITUTE(SUBSTITUTE(LEFT(MAIN!A867, FIND(",",MAIN!A867) -1), "0", ""), "1", ""), "2", ""), "3", ""), "4", ""), "5", ""), "6", ""), "7", ""), "8", ""), "9", "")), PROPER(SUBSTITUTE(SUBSTITUTE(SUBSTITUTE(SUBSTITUTE(SUBSTITUTE(SUBSTITUTE(SUBSTITUTE(SUBSTITUTE(SUBSTITUTE(SUBSTITUTE(MAIN!A867, "0", ""), "1", ""), "2", ""), "3", ""), "4", ""), "5", ""), "6", ""), "7", ""), "8", ""), "9", ""))))</f>
        <v>--</v>
      </c>
      <c r="B867" t="str">
        <f>IF(ISBLANK(MAIN!B867), "--", IFERROR(PROPER(SUBSTITUTE(SUBSTITUTE(SUBSTITUTE(SUBSTITUTE(SUBSTITUTE(SUBSTITUTE(SUBSTITUTE(SUBSTITUTE(SUBSTITUTE(SUBSTITUTE(LEFT(MAIN!B867, FIND(",",MAIN!B867) -1), "0", ""), "1", ""), "2", ""), "3", ""), "4", ""), "5", ""), "6", ""), "7", ""), "8", ""), "9", "")), PROPER(SUBSTITUTE(SUBSTITUTE(SUBSTITUTE(SUBSTITUTE(SUBSTITUTE(SUBSTITUTE(SUBSTITUTE(SUBSTITUTE(SUBSTITUTE(SUBSTITUTE(MAIN!B867, "0", ""), "1", ""), "2", ""), "3", ""), "4", ""), "5", ""), "6", ""), "7", ""), "8", ""), "9", ""))))</f>
        <v>--</v>
      </c>
      <c r="C867" t="str">
        <f>IF(ISBLANK(MAIN!C867), "--", IFERROR(PROPER(SUBSTITUTE(SUBSTITUTE(SUBSTITUTE(SUBSTITUTE(SUBSTITUTE(SUBSTITUTE(SUBSTITUTE(SUBSTITUTE(SUBSTITUTE(SUBSTITUTE(LEFT(MAIN!C867, FIND(",",MAIN!C867) -1), "0", ""), "1", ""), "2", ""), "3", ""), "4", ""), "5", ""), "6", ""), "7", ""), "8", ""), "9", "")), PROPER(SUBSTITUTE(SUBSTITUTE(SUBSTITUTE(SUBSTITUTE(SUBSTITUTE(SUBSTITUTE(SUBSTITUTE(SUBSTITUTE(SUBSTITUTE(SUBSTITUTE(MAIN!C867, "0", ""), "1", ""), "2", ""), "3", ""), "4", ""), "5", ""), "6", ""), "7", ""), "8", ""), "9", ""))))</f>
        <v>--</v>
      </c>
      <c r="D867" t="str">
        <f>IF(ISBLANK(MAIN!D867), "--", IF(ISNUMBER(MATCH(SUBSTITUTE(LEFT(MAIN!D867, IFERROR(FIND(",", MAIN!D867)-1, LEN(MAIN!D867))), " ", ""), lookup_values!$B$2:$B$51, 0)), UPPER(SUBSTITUTE(LEFT(MAIN!D867, IFERROR(FIND(",", MAIN!D867)-1, LEN(MAIN!D867))), " ", "")), IF(ISNA(VLOOKUP(SUBSTITUTE(LEFT(MAIN!D867, IFERROR(FIND(",", MAIN!D867)-1, LEN(MAIN!D867))), " ", ""), lookup_values!$A$2:$B$51, 2, FALSE)), "--", VLOOKUP(SUBSTITUTE(LEFT(MAIN!D867, IFERROR(FIND(",", MAIN!D867)-1, LEN(MAIN!D867))), " ", ""), lookup_values!$A$2:$B$51, 2, FALSE))))</f>
        <v>--</v>
      </c>
      <c r="E867" t="str">
        <f>IF(CLEAN_DATA!D867&lt;&gt;"--","US",IF(ISBLANK(MAIN!E867), "--", IF(ISNUMBER(MATCH(SUBSTITUTE(LEFT(MAIN!E867, IFERROR(FIND(",", MAIN!E867)-1, LEN(MAIN!E867))), " ", ""), lookup_values!$E$2:$E$197, 0)), UPPER(SUBSTITUTE(LEFT(MAIN!E867, IFERROR(FIND(",", MAIN!E867)-1, LEN(MAIN!E867))), " ", "")), IF(ISNA(VLOOKUP(SUBSTITUTE(LEFT(MAIN!E867, IFERROR(FIND(",", MAIN!E867)-1, LEN(MAIN!E867))), " ", ""), lookup_values!$D$2:$E$197, 2, FALSE)), "--", VLOOKUP(SUBSTITUTE(LEFT(MAIN!E867, IFERROR(FIND(",", MAIN!E867)-1, LEN(MAIN!E867))), " ", ""), lookup_values!$D$2:$E$197, 2, FALSE)))))</f>
        <v>--</v>
      </c>
      <c r="F867" t="str">
        <f>IF(ISBLANK(MAIN!F867), "", IF(AND(ISNUMBER(VALUE(TRIM(MAIN!F867))), LEN(TRIM(MAIN!F867))=4), VALUE(TRIM(MAIN!F867)), ""))</f>
        <v/>
      </c>
      <c r="G867">
        <f>IF(ISBLANK(MAIN!G867), 0, IF(ISNUMBER(VALUE(TRIM(MAIN!G867))), VALUE(TRIM(MAIN!G867)), 0))</f>
        <v>0</v>
      </c>
      <c r="H867">
        <f>IF(ISBLANK(MAIN!H867), 0, IF(ISNUMBER(VALUE(TRIM(MAIN!H867))), VALUE(TRIM(MAIN!H867)), 0))</f>
        <v>0</v>
      </c>
      <c r="I867">
        <f>IF(ISBLANK(MAIN!I867), 0, IF(ISNUMBER(VALUE(TRIM(MAIN!I867))), VALUE(TRIM(MAIN!I867)), 0))</f>
        <v>0</v>
      </c>
      <c r="J867">
        <f>IF(ISBLANK(MAIN!J867), 0, IF(ISNUMBER(VALUE(TRIM(MAIN!J867))), VALUE(TRIM(MAIN!J867)), 0))</f>
        <v>0</v>
      </c>
      <c r="K867" cm="1">
        <f t="array" ref="K867">IFERROR(
    VALUE(
        IFERROR(
            UPPER(
                IF(MAX(IFERROR(SEARCH("WD",MAIN!G867:J867), 0))&gt;0, "WD",
                IF(MAX(IFERROR(SEARCH("NS",MAIN!G867:J867), 0))&gt;0, "NS",
                IF(MAX(IFERROR(SEARCH("NC",MAIN!G867:J867), 0))&gt;0, "NC",
                IF(MAX(IFERROR(SEARCH("DQ",MAIN!G867:J867), 0))&gt;0, "DQ",
                IF(ISNUMBER(SEARCH("WD",MAIN!K867)), "WD",
                IF(ISNUMBER(SEARCH("NS",MAIN!K867)), "NS",
                IF(ISNUMBER(SEARCH("NC",MAIN!K867)), "NC",
                IF(ISNUMBER(SEARCH("DQ",MAIN!K867)), "DQ",
                IF(ISNUMBER(SEARCH("A",MAIN!K867)), 0,
                IF(OR(MAIN!K867=0,MAIN!K867=""), 0, --TRIM(MAIN!K867)))))))))))),
            0
        )
    ),
    IFERROR(
        UPPER(
            IF(MAX(IFERROR(SEARCH("WD",MAIN!G867:J867), 0))&gt;0, "WD",
            IF(MAX(IFERROR(SEARCH("NS",MAIN!G867:J867), 0))&gt;0, "NS",
            IF(MAX(IFERROR(SEARCH("NC",MAIN!G867:J867), 0))&gt;0, "NC",
            IF(MAX(IFERROR(SEARCH("DQ",MAIN!G867:J867), 0))&gt;0, "DQ",
            IF(ISNUMBER(SEARCH("WD",MAIN!K867)), "WD",
            IF(ISNUMBER(SEARCH("NS",MAIN!K867)), "NS",
            IF(ISNUMBER(SEARCH("NC",MAIN!K867)), "NC",
            IF(ISNUMBER(SEARCH("DQ",MAIN!K867)), "DQ",
            IF(ISNUMBER(SEARCH("A",MAIN!K867)), 0,
            IF(OR(MAIN!K867=0,MAIN!K867=""), 0, --TRIM(MAIN!K867)))))))))))),
        0
    )
)</f>
        <v>0</v>
      </c>
    </row>
    <row r="868" spans="1:11" x14ac:dyDescent="0.25">
      <c r="A868" t="str">
        <f>IF(ISBLANK(MAIN!A868), "--", IFERROR(PROPER(SUBSTITUTE(SUBSTITUTE(SUBSTITUTE(SUBSTITUTE(SUBSTITUTE(SUBSTITUTE(SUBSTITUTE(SUBSTITUTE(SUBSTITUTE(SUBSTITUTE(LEFT(MAIN!A868, FIND(",",MAIN!A868) -1), "0", ""), "1", ""), "2", ""), "3", ""), "4", ""), "5", ""), "6", ""), "7", ""), "8", ""), "9", "")), PROPER(SUBSTITUTE(SUBSTITUTE(SUBSTITUTE(SUBSTITUTE(SUBSTITUTE(SUBSTITUTE(SUBSTITUTE(SUBSTITUTE(SUBSTITUTE(SUBSTITUTE(MAIN!A868, "0", ""), "1", ""), "2", ""), "3", ""), "4", ""), "5", ""), "6", ""), "7", ""), "8", ""), "9", ""))))</f>
        <v>--</v>
      </c>
      <c r="B868" t="str">
        <f>IF(ISBLANK(MAIN!B868), "--", IFERROR(PROPER(SUBSTITUTE(SUBSTITUTE(SUBSTITUTE(SUBSTITUTE(SUBSTITUTE(SUBSTITUTE(SUBSTITUTE(SUBSTITUTE(SUBSTITUTE(SUBSTITUTE(LEFT(MAIN!B868, FIND(",",MAIN!B868) -1), "0", ""), "1", ""), "2", ""), "3", ""), "4", ""), "5", ""), "6", ""), "7", ""), "8", ""), "9", "")), PROPER(SUBSTITUTE(SUBSTITUTE(SUBSTITUTE(SUBSTITUTE(SUBSTITUTE(SUBSTITUTE(SUBSTITUTE(SUBSTITUTE(SUBSTITUTE(SUBSTITUTE(MAIN!B868, "0", ""), "1", ""), "2", ""), "3", ""), "4", ""), "5", ""), "6", ""), "7", ""), "8", ""), "9", ""))))</f>
        <v>--</v>
      </c>
      <c r="C868" t="str">
        <f>IF(ISBLANK(MAIN!C868), "--", IFERROR(PROPER(SUBSTITUTE(SUBSTITUTE(SUBSTITUTE(SUBSTITUTE(SUBSTITUTE(SUBSTITUTE(SUBSTITUTE(SUBSTITUTE(SUBSTITUTE(SUBSTITUTE(LEFT(MAIN!C868, FIND(",",MAIN!C868) -1), "0", ""), "1", ""), "2", ""), "3", ""), "4", ""), "5", ""), "6", ""), "7", ""), "8", ""), "9", "")), PROPER(SUBSTITUTE(SUBSTITUTE(SUBSTITUTE(SUBSTITUTE(SUBSTITUTE(SUBSTITUTE(SUBSTITUTE(SUBSTITUTE(SUBSTITUTE(SUBSTITUTE(MAIN!C868, "0", ""), "1", ""), "2", ""), "3", ""), "4", ""), "5", ""), "6", ""), "7", ""), "8", ""), "9", ""))))</f>
        <v>--</v>
      </c>
      <c r="D868" t="str">
        <f>IF(ISBLANK(MAIN!D868), "--", IF(ISNUMBER(MATCH(SUBSTITUTE(LEFT(MAIN!D868, IFERROR(FIND(",", MAIN!D868)-1, LEN(MAIN!D868))), " ", ""), lookup_values!$B$2:$B$51, 0)), UPPER(SUBSTITUTE(LEFT(MAIN!D868, IFERROR(FIND(",", MAIN!D868)-1, LEN(MAIN!D868))), " ", "")), IF(ISNA(VLOOKUP(SUBSTITUTE(LEFT(MAIN!D868, IFERROR(FIND(",", MAIN!D868)-1, LEN(MAIN!D868))), " ", ""), lookup_values!$A$2:$B$51, 2, FALSE)), "--", VLOOKUP(SUBSTITUTE(LEFT(MAIN!D868, IFERROR(FIND(",", MAIN!D868)-1, LEN(MAIN!D868))), " ", ""), lookup_values!$A$2:$B$51, 2, FALSE))))</f>
        <v>--</v>
      </c>
      <c r="E868" t="str">
        <f>IF(CLEAN_DATA!D868&lt;&gt;"--","US",IF(ISBLANK(MAIN!E868), "--", IF(ISNUMBER(MATCH(SUBSTITUTE(LEFT(MAIN!E868, IFERROR(FIND(",", MAIN!E868)-1, LEN(MAIN!E868))), " ", ""), lookup_values!$E$2:$E$197, 0)), UPPER(SUBSTITUTE(LEFT(MAIN!E868, IFERROR(FIND(",", MAIN!E868)-1, LEN(MAIN!E868))), " ", "")), IF(ISNA(VLOOKUP(SUBSTITUTE(LEFT(MAIN!E868, IFERROR(FIND(",", MAIN!E868)-1, LEN(MAIN!E868))), " ", ""), lookup_values!$D$2:$E$197, 2, FALSE)), "--", VLOOKUP(SUBSTITUTE(LEFT(MAIN!E868, IFERROR(FIND(",", MAIN!E868)-1, LEN(MAIN!E868))), " ", ""), lookup_values!$D$2:$E$197, 2, FALSE)))))</f>
        <v>--</v>
      </c>
      <c r="F868" t="str">
        <f>IF(ISBLANK(MAIN!F868), "", IF(AND(ISNUMBER(VALUE(TRIM(MAIN!F868))), LEN(TRIM(MAIN!F868))=4), VALUE(TRIM(MAIN!F868)), ""))</f>
        <v/>
      </c>
      <c r="G868">
        <f>IF(ISBLANK(MAIN!G868), 0, IF(ISNUMBER(VALUE(TRIM(MAIN!G868))), VALUE(TRIM(MAIN!G868)), 0))</f>
        <v>0</v>
      </c>
      <c r="H868">
        <f>IF(ISBLANK(MAIN!H868), 0, IF(ISNUMBER(VALUE(TRIM(MAIN!H868))), VALUE(TRIM(MAIN!H868)), 0))</f>
        <v>0</v>
      </c>
      <c r="I868">
        <f>IF(ISBLANK(MAIN!I868), 0, IF(ISNUMBER(VALUE(TRIM(MAIN!I868))), VALUE(TRIM(MAIN!I868)), 0))</f>
        <v>0</v>
      </c>
      <c r="J868">
        <f>IF(ISBLANK(MAIN!J868), 0, IF(ISNUMBER(VALUE(TRIM(MAIN!J868))), VALUE(TRIM(MAIN!J868)), 0))</f>
        <v>0</v>
      </c>
      <c r="K868" cm="1">
        <f t="array" ref="K868">IFERROR(
    VALUE(
        IFERROR(
            UPPER(
                IF(MAX(IFERROR(SEARCH("WD",MAIN!G868:J868), 0))&gt;0, "WD",
                IF(MAX(IFERROR(SEARCH("NS",MAIN!G868:J868), 0))&gt;0, "NS",
                IF(MAX(IFERROR(SEARCH("NC",MAIN!G868:J868), 0))&gt;0, "NC",
                IF(MAX(IFERROR(SEARCH("DQ",MAIN!G868:J868), 0))&gt;0, "DQ",
                IF(ISNUMBER(SEARCH("WD",MAIN!K868)), "WD",
                IF(ISNUMBER(SEARCH("NS",MAIN!K868)), "NS",
                IF(ISNUMBER(SEARCH("NC",MAIN!K868)), "NC",
                IF(ISNUMBER(SEARCH("DQ",MAIN!K868)), "DQ",
                IF(ISNUMBER(SEARCH("A",MAIN!K868)), 0,
                IF(OR(MAIN!K868=0,MAIN!K868=""), 0, --TRIM(MAIN!K868)))))))))))),
            0
        )
    ),
    IFERROR(
        UPPER(
            IF(MAX(IFERROR(SEARCH("WD",MAIN!G868:J868), 0))&gt;0, "WD",
            IF(MAX(IFERROR(SEARCH("NS",MAIN!G868:J868), 0))&gt;0, "NS",
            IF(MAX(IFERROR(SEARCH("NC",MAIN!G868:J868), 0))&gt;0, "NC",
            IF(MAX(IFERROR(SEARCH("DQ",MAIN!G868:J868), 0))&gt;0, "DQ",
            IF(ISNUMBER(SEARCH("WD",MAIN!K868)), "WD",
            IF(ISNUMBER(SEARCH("NS",MAIN!K868)), "NS",
            IF(ISNUMBER(SEARCH("NC",MAIN!K868)), "NC",
            IF(ISNUMBER(SEARCH("DQ",MAIN!K868)), "DQ",
            IF(ISNUMBER(SEARCH("A",MAIN!K868)), 0,
            IF(OR(MAIN!K868=0,MAIN!K868=""), 0, --TRIM(MAIN!K868)))))))))))),
        0
    )
)</f>
        <v>0</v>
      </c>
    </row>
    <row r="869" spans="1:11" x14ac:dyDescent="0.25">
      <c r="A869" t="str">
        <f>IF(ISBLANK(MAIN!A869), "--", IFERROR(PROPER(SUBSTITUTE(SUBSTITUTE(SUBSTITUTE(SUBSTITUTE(SUBSTITUTE(SUBSTITUTE(SUBSTITUTE(SUBSTITUTE(SUBSTITUTE(SUBSTITUTE(LEFT(MAIN!A869, FIND(",",MAIN!A869) -1), "0", ""), "1", ""), "2", ""), "3", ""), "4", ""), "5", ""), "6", ""), "7", ""), "8", ""), "9", "")), PROPER(SUBSTITUTE(SUBSTITUTE(SUBSTITUTE(SUBSTITUTE(SUBSTITUTE(SUBSTITUTE(SUBSTITUTE(SUBSTITUTE(SUBSTITUTE(SUBSTITUTE(MAIN!A869, "0", ""), "1", ""), "2", ""), "3", ""), "4", ""), "5", ""), "6", ""), "7", ""), "8", ""), "9", ""))))</f>
        <v>--</v>
      </c>
      <c r="B869" t="str">
        <f>IF(ISBLANK(MAIN!B869), "--", IFERROR(PROPER(SUBSTITUTE(SUBSTITUTE(SUBSTITUTE(SUBSTITUTE(SUBSTITUTE(SUBSTITUTE(SUBSTITUTE(SUBSTITUTE(SUBSTITUTE(SUBSTITUTE(LEFT(MAIN!B869, FIND(",",MAIN!B869) -1), "0", ""), "1", ""), "2", ""), "3", ""), "4", ""), "5", ""), "6", ""), "7", ""), "8", ""), "9", "")), PROPER(SUBSTITUTE(SUBSTITUTE(SUBSTITUTE(SUBSTITUTE(SUBSTITUTE(SUBSTITUTE(SUBSTITUTE(SUBSTITUTE(SUBSTITUTE(SUBSTITUTE(MAIN!B869, "0", ""), "1", ""), "2", ""), "3", ""), "4", ""), "5", ""), "6", ""), "7", ""), "8", ""), "9", ""))))</f>
        <v>--</v>
      </c>
      <c r="C869" t="str">
        <f>IF(ISBLANK(MAIN!C869), "--", IFERROR(PROPER(SUBSTITUTE(SUBSTITUTE(SUBSTITUTE(SUBSTITUTE(SUBSTITUTE(SUBSTITUTE(SUBSTITUTE(SUBSTITUTE(SUBSTITUTE(SUBSTITUTE(LEFT(MAIN!C869, FIND(",",MAIN!C869) -1), "0", ""), "1", ""), "2", ""), "3", ""), "4", ""), "5", ""), "6", ""), "7", ""), "8", ""), "9", "")), PROPER(SUBSTITUTE(SUBSTITUTE(SUBSTITUTE(SUBSTITUTE(SUBSTITUTE(SUBSTITUTE(SUBSTITUTE(SUBSTITUTE(SUBSTITUTE(SUBSTITUTE(MAIN!C869, "0", ""), "1", ""), "2", ""), "3", ""), "4", ""), "5", ""), "6", ""), "7", ""), "8", ""), "9", ""))))</f>
        <v>--</v>
      </c>
      <c r="D869" t="str">
        <f>IF(ISBLANK(MAIN!D869), "--", IF(ISNUMBER(MATCH(SUBSTITUTE(LEFT(MAIN!D869, IFERROR(FIND(",", MAIN!D869)-1, LEN(MAIN!D869))), " ", ""), lookup_values!$B$2:$B$51, 0)), UPPER(SUBSTITUTE(LEFT(MAIN!D869, IFERROR(FIND(",", MAIN!D869)-1, LEN(MAIN!D869))), " ", "")), IF(ISNA(VLOOKUP(SUBSTITUTE(LEFT(MAIN!D869, IFERROR(FIND(",", MAIN!D869)-1, LEN(MAIN!D869))), " ", ""), lookup_values!$A$2:$B$51, 2, FALSE)), "--", VLOOKUP(SUBSTITUTE(LEFT(MAIN!D869, IFERROR(FIND(",", MAIN!D869)-1, LEN(MAIN!D869))), " ", ""), lookup_values!$A$2:$B$51, 2, FALSE))))</f>
        <v>--</v>
      </c>
      <c r="E869" t="str">
        <f>IF(CLEAN_DATA!D869&lt;&gt;"--","US",IF(ISBLANK(MAIN!E869), "--", IF(ISNUMBER(MATCH(SUBSTITUTE(LEFT(MAIN!E869, IFERROR(FIND(",", MAIN!E869)-1, LEN(MAIN!E869))), " ", ""), lookup_values!$E$2:$E$197, 0)), UPPER(SUBSTITUTE(LEFT(MAIN!E869, IFERROR(FIND(",", MAIN!E869)-1, LEN(MAIN!E869))), " ", "")), IF(ISNA(VLOOKUP(SUBSTITUTE(LEFT(MAIN!E869, IFERROR(FIND(",", MAIN!E869)-1, LEN(MAIN!E869))), " ", ""), lookup_values!$D$2:$E$197, 2, FALSE)), "--", VLOOKUP(SUBSTITUTE(LEFT(MAIN!E869, IFERROR(FIND(",", MAIN!E869)-1, LEN(MAIN!E869))), " ", ""), lookup_values!$D$2:$E$197, 2, FALSE)))))</f>
        <v>--</v>
      </c>
      <c r="F869" t="str">
        <f>IF(ISBLANK(MAIN!F869), "", IF(AND(ISNUMBER(VALUE(TRIM(MAIN!F869))), LEN(TRIM(MAIN!F869))=4), VALUE(TRIM(MAIN!F869)), ""))</f>
        <v/>
      </c>
      <c r="G869">
        <f>IF(ISBLANK(MAIN!G869), 0, IF(ISNUMBER(VALUE(TRIM(MAIN!G869))), VALUE(TRIM(MAIN!G869)), 0))</f>
        <v>0</v>
      </c>
      <c r="H869">
        <f>IF(ISBLANK(MAIN!H869), 0, IF(ISNUMBER(VALUE(TRIM(MAIN!H869))), VALUE(TRIM(MAIN!H869)), 0))</f>
        <v>0</v>
      </c>
      <c r="I869">
        <f>IF(ISBLANK(MAIN!I869), 0, IF(ISNUMBER(VALUE(TRIM(MAIN!I869))), VALUE(TRIM(MAIN!I869)), 0))</f>
        <v>0</v>
      </c>
      <c r="J869">
        <f>IF(ISBLANK(MAIN!J869), 0, IF(ISNUMBER(VALUE(TRIM(MAIN!J869))), VALUE(TRIM(MAIN!J869)), 0))</f>
        <v>0</v>
      </c>
      <c r="K869" cm="1">
        <f t="array" ref="K869">IFERROR(
    VALUE(
        IFERROR(
            UPPER(
                IF(MAX(IFERROR(SEARCH("WD",MAIN!G869:J869), 0))&gt;0, "WD",
                IF(MAX(IFERROR(SEARCH("NS",MAIN!G869:J869), 0))&gt;0, "NS",
                IF(MAX(IFERROR(SEARCH("NC",MAIN!G869:J869), 0))&gt;0, "NC",
                IF(MAX(IFERROR(SEARCH("DQ",MAIN!G869:J869), 0))&gt;0, "DQ",
                IF(ISNUMBER(SEARCH("WD",MAIN!K869)), "WD",
                IF(ISNUMBER(SEARCH("NS",MAIN!K869)), "NS",
                IF(ISNUMBER(SEARCH("NC",MAIN!K869)), "NC",
                IF(ISNUMBER(SEARCH("DQ",MAIN!K869)), "DQ",
                IF(ISNUMBER(SEARCH("A",MAIN!K869)), 0,
                IF(OR(MAIN!K869=0,MAIN!K869=""), 0, --TRIM(MAIN!K869)))))))))))),
            0
        )
    ),
    IFERROR(
        UPPER(
            IF(MAX(IFERROR(SEARCH("WD",MAIN!G869:J869), 0))&gt;0, "WD",
            IF(MAX(IFERROR(SEARCH("NS",MAIN!G869:J869), 0))&gt;0, "NS",
            IF(MAX(IFERROR(SEARCH("NC",MAIN!G869:J869), 0))&gt;0, "NC",
            IF(MAX(IFERROR(SEARCH("DQ",MAIN!G869:J869), 0))&gt;0, "DQ",
            IF(ISNUMBER(SEARCH("WD",MAIN!K869)), "WD",
            IF(ISNUMBER(SEARCH("NS",MAIN!K869)), "NS",
            IF(ISNUMBER(SEARCH("NC",MAIN!K869)), "NC",
            IF(ISNUMBER(SEARCH("DQ",MAIN!K869)), "DQ",
            IF(ISNUMBER(SEARCH("A",MAIN!K869)), 0,
            IF(OR(MAIN!K869=0,MAIN!K869=""), 0, --TRIM(MAIN!K869)))))))))))),
        0
    )
)</f>
        <v>0</v>
      </c>
    </row>
    <row r="870" spans="1:11" x14ac:dyDescent="0.25">
      <c r="A870" t="str">
        <f>IF(ISBLANK(MAIN!A870), "--", IFERROR(PROPER(SUBSTITUTE(SUBSTITUTE(SUBSTITUTE(SUBSTITUTE(SUBSTITUTE(SUBSTITUTE(SUBSTITUTE(SUBSTITUTE(SUBSTITUTE(SUBSTITUTE(LEFT(MAIN!A870, FIND(",",MAIN!A870) -1), "0", ""), "1", ""), "2", ""), "3", ""), "4", ""), "5", ""), "6", ""), "7", ""), "8", ""), "9", "")), PROPER(SUBSTITUTE(SUBSTITUTE(SUBSTITUTE(SUBSTITUTE(SUBSTITUTE(SUBSTITUTE(SUBSTITUTE(SUBSTITUTE(SUBSTITUTE(SUBSTITUTE(MAIN!A870, "0", ""), "1", ""), "2", ""), "3", ""), "4", ""), "5", ""), "6", ""), "7", ""), "8", ""), "9", ""))))</f>
        <v>--</v>
      </c>
      <c r="B870" t="str">
        <f>IF(ISBLANK(MAIN!B870), "--", IFERROR(PROPER(SUBSTITUTE(SUBSTITUTE(SUBSTITUTE(SUBSTITUTE(SUBSTITUTE(SUBSTITUTE(SUBSTITUTE(SUBSTITUTE(SUBSTITUTE(SUBSTITUTE(LEFT(MAIN!B870, FIND(",",MAIN!B870) -1), "0", ""), "1", ""), "2", ""), "3", ""), "4", ""), "5", ""), "6", ""), "7", ""), "8", ""), "9", "")), PROPER(SUBSTITUTE(SUBSTITUTE(SUBSTITUTE(SUBSTITUTE(SUBSTITUTE(SUBSTITUTE(SUBSTITUTE(SUBSTITUTE(SUBSTITUTE(SUBSTITUTE(MAIN!B870, "0", ""), "1", ""), "2", ""), "3", ""), "4", ""), "5", ""), "6", ""), "7", ""), "8", ""), "9", ""))))</f>
        <v>--</v>
      </c>
      <c r="C870" t="str">
        <f>IF(ISBLANK(MAIN!C870), "--", IFERROR(PROPER(SUBSTITUTE(SUBSTITUTE(SUBSTITUTE(SUBSTITUTE(SUBSTITUTE(SUBSTITUTE(SUBSTITUTE(SUBSTITUTE(SUBSTITUTE(SUBSTITUTE(LEFT(MAIN!C870, FIND(",",MAIN!C870) -1), "0", ""), "1", ""), "2", ""), "3", ""), "4", ""), "5", ""), "6", ""), "7", ""), "8", ""), "9", "")), PROPER(SUBSTITUTE(SUBSTITUTE(SUBSTITUTE(SUBSTITUTE(SUBSTITUTE(SUBSTITUTE(SUBSTITUTE(SUBSTITUTE(SUBSTITUTE(SUBSTITUTE(MAIN!C870, "0", ""), "1", ""), "2", ""), "3", ""), "4", ""), "5", ""), "6", ""), "7", ""), "8", ""), "9", ""))))</f>
        <v>--</v>
      </c>
      <c r="D870" t="str">
        <f>IF(ISBLANK(MAIN!D870), "--", IF(ISNUMBER(MATCH(SUBSTITUTE(LEFT(MAIN!D870, IFERROR(FIND(",", MAIN!D870)-1, LEN(MAIN!D870))), " ", ""), lookup_values!$B$2:$B$51, 0)), UPPER(SUBSTITUTE(LEFT(MAIN!D870, IFERROR(FIND(",", MAIN!D870)-1, LEN(MAIN!D870))), " ", "")), IF(ISNA(VLOOKUP(SUBSTITUTE(LEFT(MAIN!D870, IFERROR(FIND(",", MAIN!D870)-1, LEN(MAIN!D870))), " ", ""), lookup_values!$A$2:$B$51, 2, FALSE)), "--", VLOOKUP(SUBSTITUTE(LEFT(MAIN!D870, IFERROR(FIND(",", MAIN!D870)-1, LEN(MAIN!D870))), " ", ""), lookup_values!$A$2:$B$51, 2, FALSE))))</f>
        <v>--</v>
      </c>
      <c r="E870" t="str">
        <f>IF(CLEAN_DATA!D870&lt;&gt;"--","US",IF(ISBLANK(MAIN!E870), "--", IF(ISNUMBER(MATCH(SUBSTITUTE(LEFT(MAIN!E870, IFERROR(FIND(",", MAIN!E870)-1, LEN(MAIN!E870))), " ", ""), lookup_values!$E$2:$E$197, 0)), UPPER(SUBSTITUTE(LEFT(MAIN!E870, IFERROR(FIND(",", MAIN!E870)-1, LEN(MAIN!E870))), " ", "")), IF(ISNA(VLOOKUP(SUBSTITUTE(LEFT(MAIN!E870, IFERROR(FIND(",", MAIN!E870)-1, LEN(MAIN!E870))), " ", ""), lookup_values!$D$2:$E$197, 2, FALSE)), "--", VLOOKUP(SUBSTITUTE(LEFT(MAIN!E870, IFERROR(FIND(",", MAIN!E870)-1, LEN(MAIN!E870))), " ", ""), lookup_values!$D$2:$E$197, 2, FALSE)))))</f>
        <v>--</v>
      </c>
      <c r="F870" t="str">
        <f>IF(ISBLANK(MAIN!F870), "", IF(AND(ISNUMBER(VALUE(TRIM(MAIN!F870))), LEN(TRIM(MAIN!F870))=4), VALUE(TRIM(MAIN!F870)), ""))</f>
        <v/>
      </c>
      <c r="G870">
        <f>IF(ISBLANK(MAIN!G870), 0, IF(ISNUMBER(VALUE(TRIM(MAIN!G870))), VALUE(TRIM(MAIN!G870)), 0))</f>
        <v>0</v>
      </c>
      <c r="H870">
        <f>IF(ISBLANK(MAIN!H870), 0, IF(ISNUMBER(VALUE(TRIM(MAIN!H870))), VALUE(TRIM(MAIN!H870)), 0))</f>
        <v>0</v>
      </c>
      <c r="I870">
        <f>IF(ISBLANK(MAIN!I870), 0, IF(ISNUMBER(VALUE(TRIM(MAIN!I870))), VALUE(TRIM(MAIN!I870)), 0))</f>
        <v>0</v>
      </c>
      <c r="J870">
        <f>IF(ISBLANK(MAIN!J870), 0, IF(ISNUMBER(VALUE(TRIM(MAIN!J870))), VALUE(TRIM(MAIN!J870)), 0))</f>
        <v>0</v>
      </c>
      <c r="K870" cm="1">
        <f t="array" ref="K870">IFERROR(
    VALUE(
        IFERROR(
            UPPER(
                IF(MAX(IFERROR(SEARCH("WD",MAIN!G870:J870), 0))&gt;0, "WD",
                IF(MAX(IFERROR(SEARCH("NS",MAIN!G870:J870), 0))&gt;0, "NS",
                IF(MAX(IFERROR(SEARCH("NC",MAIN!G870:J870), 0))&gt;0, "NC",
                IF(MAX(IFERROR(SEARCH("DQ",MAIN!G870:J870), 0))&gt;0, "DQ",
                IF(ISNUMBER(SEARCH("WD",MAIN!K870)), "WD",
                IF(ISNUMBER(SEARCH("NS",MAIN!K870)), "NS",
                IF(ISNUMBER(SEARCH("NC",MAIN!K870)), "NC",
                IF(ISNUMBER(SEARCH("DQ",MAIN!K870)), "DQ",
                IF(ISNUMBER(SEARCH("A",MAIN!K870)), 0,
                IF(OR(MAIN!K870=0,MAIN!K870=""), 0, --TRIM(MAIN!K870)))))))))))),
            0
        )
    ),
    IFERROR(
        UPPER(
            IF(MAX(IFERROR(SEARCH("WD",MAIN!G870:J870), 0))&gt;0, "WD",
            IF(MAX(IFERROR(SEARCH("NS",MAIN!G870:J870), 0))&gt;0, "NS",
            IF(MAX(IFERROR(SEARCH("NC",MAIN!G870:J870), 0))&gt;0, "NC",
            IF(MAX(IFERROR(SEARCH("DQ",MAIN!G870:J870), 0))&gt;0, "DQ",
            IF(ISNUMBER(SEARCH("WD",MAIN!K870)), "WD",
            IF(ISNUMBER(SEARCH("NS",MAIN!K870)), "NS",
            IF(ISNUMBER(SEARCH("NC",MAIN!K870)), "NC",
            IF(ISNUMBER(SEARCH("DQ",MAIN!K870)), "DQ",
            IF(ISNUMBER(SEARCH("A",MAIN!K870)), 0,
            IF(OR(MAIN!K870=0,MAIN!K870=""), 0, --TRIM(MAIN!K870)))))))))))),
        0
    )
)</f>
        <v>0</v>
      </c>
    </row>
    <row r="871" spans="1:11" x14ac:dyDescent="0.25">
      <c r="A871" t="str">
        <f>IF(ISBLANK(MAIN!A871), "--", IFERROR(PROPER(SUBSTITUTE(SUBSTITUTE(SUBSTITUTE(SUBSTITUTE(SUBSTITUTE(SUBSTITUTE(SUBSTITUTE(SUBSTITUTE(SUBSTITUTE(SUBSTITUTE(LEFT(MAIN!A871, FIND(",",MAIN!A871) -1), "0", ""), "1", ""), "2", ""), "3", ""), "4", ""), "5", ""), "6", ""), "7", ""), "8", ""), "9", "")), PROPER(SUBSTITUTE(SUBSTITUTE(SUBSTITUTE(SUBSTITUTE(SUBSTITUTE(SUBSTITUTE(SUBSTITUTE(SUBSTITUTE(SUBSTITUTE(SUBSTITUTE(MAIN!A871, "0", ""), "1", ""), "2", ""), "3", ""), "4", ""), "5", ""), "6", ""), "7", ""), "8", ""), "9", ""))))</f>
        <v>--</v>
      </c>
      <c r="B871" t="str">
        <f>IF(ISBLANK(MAIN!B871), "--", IFERROR(PROPER(SUBSTITUTE(SUBSTITUTE(SUBSTITUTE(SUBSTITUTE(SUBSTITUTE(SUBSTITUTE(SUBSTITUTE(SUBSTITUTE(SUBSTITUTE(SUBSTITUTE(LEFT(MAIN!B871, FIND(",",MAIN!B871) -1), "0", ""), "1", ""), "2", ""), "3", ""), "4", ""), "5", ""), "6", ""), "7", ""), "8", ""), "9", "")), PROPER(SUBSTITUTE(SUBSTITUTE(SUBSTITUTE(SUBSTITUTE(SUBSTITUTE(SUBSTITUTE(SUBSTITUTE(SUBSTITUTE(SUBSTITUTE(SUBSTITUTE(MAIN!B871, "0", ""), "1", ""), "2", ""), "3", ""), "4", ""), "5", ""), "6", ""), "7", ""), "8", ""), "9", ""))))</f>
        <v>--</v>
      </c>
      <c r="C871" t="str">
        <f>IF(ISBLANK(MAIN!C871), "--", IFERROR(PROPER(SUBSTITUTE(SUBSTITUTE(SUBSTITUTE(SUBSTITUTE(SUBSTITUTE(SUBSTITUTE(SUBSTITUTE(SUBSTITUTE(SUBSTITUTE(SUBSTITUTE(LEFT(MAIN!C871, FIND(",",MAIN!C871) -1), "0", ""), "1", ""), "2", ""), "3", ""), "4", ""), "5", ""), "6", ""), "7", ""), "8", ""), "9", "")), PROPER(SUBSTITUTE(SUBSTITUTE(SUBSTITUTE(SUBSTITUTE(SUBSTITUTE(SUBSTITUTE(SUBSTITUTE(SUBSTITUTE(SUBSTITUTE(SUBSTITUTE(MAIN!C871, "0", ""), "1", ""), "2", ""), "3", ""), "4", ""), "5", ""), "6", ""), "7", ""), "8", ""), "9", ""))))</f>
        <v>--</v>
      </c>
      <c r="D871" t="str">
        <f>IF(ISBLANK(MAIN!D871), "--", IF(ISNUMBER(MATCH(SUBSTITUTE(LEFT(MAIN!D871, IFERROR(FIND(",", MAIN!D871)-1, LEN(MAIN!D871))), " ", ""), lookup_values!$B$2:$B$51, 0)), UPPER(SUBSTITUTE(LEFT(MAIN!D871, IFERROR(FIND(",", MAIN!D871)-1, LEN(MAIN!D871))), " ", "")), IF(ISNA(VLOOKUP(SUBSTITUTE(LEFT(MAIN!D871, IFERROR(FIND(",", MAIN!D871)-1, LEN(MAIN!D871))), " ", ""), lookup_values!$A$2:$B$51, 2, FALSE)), "--", VLOOKUP(SUBSTITUTE(LEFT(MAIN!D871, IFERROR(FIND(",", MAIN!D871)-1, LEN(MAIN!D871))), " ", ""), lookup_values!$A$2:$B$51, 2, FALSE))))</f>
        <v>--</v>
      </c>
      <c r="E871" t="str">
        <f>IF(CLEAN_DATA!D871&lt;&gt;"--","US",IF(ISBLANK(MAIN!E871), "--", IF(ISNUMBER(MATCH(SUBSTITUTE(LEFT(MAIN!E871, IFERROR(FIND(",", MAIN!E871)-1, LEN(MAIN!E871))), " ", ""), lookup_values!$E$2:$E$197, 0)), UPPER(SUBSTITUTE(LEFT(MAIN!E871, IFERROR(FIND(",", MAIN!E871)-1, LEN(MAIN!E871))), " ", "")), IF(ISNA(VLOOKUP(SUBSTITUTE(LEFT(MAIN!E871, IFERROR(FIND(",", MAIN!E871)-1, LEN(MAIN!E871))), " ", ""), lookup_values!$D$2:$E$197, 2, FALSE)), "--", VLOOKUP(SUBSTITUTE(LEFT(MAIN!E871, IFERROR(FIND(",", MAIN!E871)-1, LEN(MAIN!E871))), " ", ""), lookup_values!$D$2:$E$197, 2, FALSE)))))</f>
        <v>--</v>
      </c>
      <c r="F871" t="str">
        <f>IF(ISBLANK(MAIN!F871), "", IF(AND(ISNUMBER(VALUE(TRIM(MAIN!F871))), LEN(TRIM(MAIN!F871))=4), VALUE(TRIM(MAIN!F871)), ""))</f>
        <v/>
      </c>
      <c r="G871">
        <f>IF(ISBLANK(MAIN!G871), 0, IF(ISNUMBER(VALUE(TRIM(MAIN!G871))), VALUE(TRIM(MAIN!G871)), 0))</f>
        <v>0</v>
      </c>
      <c r="H871">
        <f>IF(ISBLANK(MAIN!H871), 0, IF(ISNUMBER(VALUE(TRIM(MAIN!H871))), VALUE(TRIM(MAIN!H871)), 0))</f>
        <v>0</v>
      </c>
      <c r="I871">
        <f>IF(ISBLANK(MAIN!I871), 0, IF(ISNUMBER(VALUE(TRIM(MAIN!I871))), VALUE(TRIM(MAIN!I871)), 0))</f>
        <v>0</v>
      </c>
      <c r="J871">
        <f>IF(ISBLANK(MAIN!J871), 0, IF(ISNUMBER(VALUE(TRIM(MAIN!J871))), VALUE(TRIM(MAIN!J871)), 0))</f>
        <v>0</v>
      </c>
      <c r="K871" cm="1">
        <f t="array" ref="K871">IFERROR(
    VALUE(
        IFERROR(
            UPPER(
                IF(MAX(IFERROR(SEARCH("WD",MAIN!G871:J871), 0))&gt;0, "WD",
                IF(MAX(IFERROR(SEARCH("NS",MAIN!G871:J871), 0))&gt;0, "NS",
                IF(MAX(IFERROR(SEARCH("NC",MAIN!G871:J871), 0))&gt;0, "NC",
                IF(MAX(IFERROR(SEARCH("DQ",MAIN!G871:J871), 0))&gt;0, "DQ",
                IF(ISNUMBER(SEARCH("WD",MAIN!K871)), "WD",
                IF(ISNUMBER(SEARCH("NS",MAIN!K871)), "NS",
                IF(ISNUMBER(SEARCH("NC",MAIN!K871)), "NC",
                IF(ISNUMBER(SEARCH("DQ",MAIN!K871)), "DQ",
                IF(ISNUMBER(SEARCH("A",MAIN!K871)), 0,
                IF(OR(MAIN!K871=0,MAIN!K871=""), 0, --TRIM(MAIN!K871)))))))))))),
            0
        )
    ),
    IFERROR(
        UPPER(
            IF(MAX(IFERROR(SEARCH("WD",MAIN!G871:J871), 0))&gt;0, "WD",
            IF(MAX(IFERROR(SEARCH("NS",MAIN!G871:J871), 0))&gt;0, "NS",
            IF(MAX(IFERROR(SEARCH("NC",MAIN!G871:J871), 0))&gt;0, "NC",
            IF(MAX(IFERROR(SEARCH("DQ",MAIN!G871:J871), 0))&gt;0, "DQ",
            IF(ISNUMBER(SEARCH("WD",MAIN!K871)), "WD",
            IF(ISNUMBER(SEARCH("NS",MAIN!K871)), "NS",
            IF(ISNUMBER(SEARCH("NC",MAIN!K871)), "NC",
            IF(ISNUMBER(SEARCH("DQ",MAIN!K871)), "DQ",
            IF(ISNUMBER(SEARCH("A",MAIN!K871)), 0,
            IF(OR(MAIN!K871=0,MAIN!K871=""), 0, --TRIM(MAIN!K871)))))))))))),
        0
    )
)</f>
        <v>0</v>
      </c>
    </row>
    <row r="872" spans="1:11" x14ac:dyDescent="0.25">
      <c r="A872" t="str">
        <f>IF(ISBLANK(MAIN!A872), "--", IFERROR(PROPER(SUBSTITUTE(SUBSTITUTE(SUBSTITUTE(SUBSTITUTE(SUBSTITUTE(SUBSTITUTE(SUBSTITUTE(SUBSTITUTE(SUBSTITUTE(SUBSTITUTE(LEFT(MAIN!A872, FIND(",",MAIN!A872) -1), "0", ""), "1", ""), "2", ""), "3", ""), "4", ""), "5", ""), "6", ""), "7", ""), "8", ""), "9", "")), PROPER(SUBSTITUTE(SUBSTITUTE(SUBSTITUTE(SUBSTITUTE(SUBSTITUTE(SUBSTITUTE(SUBSTITUTE(SUBSTITUTE(SUBSTITUTE(SUBSTITUTE(MAIN!A872, "0", ""), "1", ""), "2", ""), "3", ""), "4", ""), "5", ""), "6", ""), "7", ""), "8", ""), "9", ""))))</f>
        <v>--</v>
      </c>
      <c r="B872" t="str">
        <f>IF(ISBLANK(MAIN!B872), "--", IFERROR(PROPER(SUBSTITUTE(SUBSTITUTE(SUBSTITUTE(SUBSTITUTE(SUBSTITUTE(SUBSTITUTE(SUBSTITUTE(SUBSTITUTE(SUBSTITUTE(SUBSTITUTE(LEFT(MAIN!B872, FIND(",",MAIN!B872) -1), "0", ""), "1", ""), "2", ""), "3", ""), "4", ""), "5", ""), "6", ""), "7", ""), "8", ""), "9", "")), PROPER(SUBSTITUTE(SUBSTITUTE(SUBSTITUTE(SUBSTITUTE(SUBSTITUTE(SUBSTITUTE(SUBSTITUTE(SUBSTITUTE(SUBSTITUTE(SUBSTITUTE(MAIN!B872, "0", ""), "1", ""), "2", ""), "3", ""), "4", ""), "5", ""), "6", ""), "7", ""), "8", ""), "9", ""))))</f>
        <v>--</v>
      </c>
      <c r="C872" t="str">
        <f>IF(ISBLANK(MAIN!C872), "--", IFERROR(PROPER(SUBSTITUTE(SUBSTITUTE(SUBSTITUTE(SUBSTITUTE(SUBSTITUTE(SUBSTITUTE(SUBSTITUTE(SUBSTITUTE(SUBSTITUTE(SUBSTITUTE(LEFT(MAIN!C872, FIND(",",MAIN!C872) -1), "0", ""), "1", ""), "2", ""), "3", ""), "4", ""), "5", ""), "6", ""), "7", ""), "8", ""), "9", "")), PROPER(SUBSTITUTE(SUBSTITUTE(SUBSTITUTE(SUBSTITUTE(SUBSTITUTE(SUBSTITUTE(SUBSTITUTE(SUBSTITUTE(SUBSTITUTE(SUBSTITUTE(MAIN!C872, "0", ""), "1", ""), "2", ""), "3", ""), "4", ""), "5", ""), "6", ""), "7", ""), "8", ""), "9", ""))))</f>
        <v>--</v>
      </c>
      <c r="D872" t="str">
        <f>IF(ISBLANK(MAIN!D872), "--", IF(ISNUMBER(MATCH(SUBSTITUTE(LEFT(MAIN!D872, IFERROR(FIND(",", MAIN!D872)-1, LEN(MAIN!D872))), " ", ""), lookup_values!$B$2:$B$51, 0)), UPPER(SUBSTITUTE(LEFT(MAIN!D872, IFERROR(FIND(",", MAIN!D872)-1, LEN(MAIN!D872))), " ", "")), IF(ISNA(VLOOKUP(SUBSTITUTE(LEFT(MAIN!D872, IFERROR(FIND(",", MAIN!D872)-1, LEN(MAIN!D872))), " ", ""), lookup_values!$A$2:$B$51, 2, FALSE)), "--", VLOOKUP(SUBSTITUTE(LEFT(MAIN!D872, IFERROR(FIND(",", MAIN!D872)-1, LEN(MAIN!D872))), " ", ""), lookup_values!$A$2:$B$51, 2, FALSE))))</f>
        <v>--</v>
      </c>
      <c r="E872" t="str">
        <f>IF(CLEAN_DATA!D872&lt;&gt;"--","US",IF(ISBLANK(MAIN!E872), "--", IF(ISNUMBER(MATCH(SUBSTITUTE(LEFT(MAIN!E872, IFERROR(FIND(",", MAIN!E872)-1, LEN(MAIN!E872))), " ", ""), lookup_values!$E$2:$E$197, 0)), UPPER(SUBSTITUTE(LEFT(MAIN!E872, IFERROR(FIND(",", MAIN!E872)-1, LEN(MAIN!E872))), " ", "")), IF(ISNA(VLOOKUP(SUBSTITUTE(LEFT(MAIN!E872, IFERROR(FIND(",", MAIN!E872)-1, LEN(MAIN!E872))), " ", ""), lookup_values!$D$2:$E$197, 2, FALSE)), "--", VLOOKUP(SUBSTITUTE(LEFT(MAIN!E872, IFERROR(FIND(",", MAIN!E872)-1, LEN(MAIN!E872))), " ", ""), lookup_values!$D$2:$E$197, 2, FALSE)))))</f>
        <v>--</v>
      </c>
      <c r="F872" t="str">
        <f>IF(ISBLANK(MAIN!F872), "", IF(AND(ISNUMBER(VALUE(TRIM(MAIN!F872))), LEN(TRIM(MAIN!F872))=4), VALUE(TRIM(MAIN!F872)), ""))</f>
        <v/>
      </c>
      <c r="G872">
        <f>IF(ISBLANK(MAIN!G872), 0, IF(ISNUMBER(VALUE(TRIM(MAIN!G872))), VALUE(TRIM(MAIN!G872)), 0))</f>
        <v>0</v>
      </c>
      <c r="H872">
        <f>IF(ISBLANK(MAIN!H872), 0, IF(ISNUMBER(VALUE(TRIM(MAIN!H872))), VALUE(TRIM(MAIN!H872)), 0))</f>
        <v>0</v>
      </c>
      <c r="I872">
        <f>IF(ISBLANK(MAIN!I872), 0, IF(ISNUMBER(VALUE(TRIM(MAIN!I872))), VALUE(TRIM(MAIN!I872)), 0))</f>
        <v>0</v>
      </c>
      <c r="J872">
        <f>IF(ISBLANK(MAIN!J872), 0, IF(ISNUMBER(VALUE(TRIM(MAIN!J872))), VALUE(TRIM(MAIN!J872)), 0))</f>
        <v>0</v>
      </c>
      <c r="K872" cm="1">
        <f t="array" ref="K872">IFERROR(
    VALUE(
        IFERROR(
            UPPER(
                IF(MAX(IFERROR(SEARCH("WD",MAIN!G872:J872), 0))&gt;0, "WD",
                IF(MAX(IFERROR(SEARCH("NS",MAIN!G872:J872), 0))&gt;0, "NS",
                IF(MAX(IFERROR(SEARCH("NC",MAIN!G872:J872), 0))&gt;0, "NC",
                IF(MAX(IFERROR(SEARCH("DQ",MAIN!G872:J872), 0))&gt;0, "DQ",
                IF(ISNUMBER(SEARCH("WD",MAIN!K872)), "WD",
                IF(ISNUMBER(SEARCH("NS",MAIN!K872)), "NS",
                IF(ISNUMBER(SEARCH("NC",MAIN!K872)), "NC",
                IF(ISNUMBER(SEARCH("DQ",MAIN!K872)), "DQ",
                IF(ISNUMBER(SEARCH("A",MAIN!K872)), 0,
                IF(OR(MAIN!K872=0,MAIN!K872=""), 0, --TRIM(MAIN!K872)))))))))))),
            0
        )
    ),
    IFERROR(
        UPPER(
            IF(MAX(IFERROR(SEARCH("WD",MAIN!G872:J872), 0))&gt;0, "WD",
            IF(MAX(IFERROR(SEARCH("NS",MAIN!G872:J872), 0))&gt;0, "NS",
            IF(MAX(IFERROR(SEARCH("NC",MAIN!G872:J872), 0))&gt;0, "NC",
            IF(MAX(IFERROR(SEARCH("DQ",MAIN!G872:J872), 0))&gt;0, "DQ",
            IF(ISNUMBER(SEARCH("WD",MAIN!K872)), "WD",
            IF(ISNUMBER(SEARCH("NS",MAIN!K872)), "NS",
            IF(ISNUMBER(SEARCH("NC",MAIN!K872)), "NC",
            IF(ISNUMBER(SEARCH("DQ",MAIN!K872)), "DQ",
            IF(ISNUMBER(SEARCH("A",MAIN!K872)), 0,
            IF(OR(MAIN!K872=0,MAIN!K872=""), 0, --TRIM(MAIN!K872)))))))))))),
        0
    )
)</f>
        <v>0</v>
      </c>
    </row>
    <row r="873" spans="1:11" x14ac:dyDescent="0.25">
      <c r="A873" t="str">
        <f>IF(ISBLANK(MAIN!A873), "--", IFERROR(PROPER(SUBSTITUTE(SUBSTITUTE(SUBSTITUTE(SUBSTITUTE(SUBSTITUTE(SUBSTITUTE(SUBSTITUTE(SUBSTITUTE(SUBSTITUTE(SUBSTITUTE(LEFT(MAIN!A873, FIND(",",MAIN!A873) -1), "0", ""), "1", ""), "2", ""), "3", ""), "4", ""), "5", ""), "6", ""), "7", ""), "8", ""), "9", "")), PROPER(SUBSTITUTE(SUBSTITUTE(SUBSTITUTE(SUBSTITUTE(SUBSTITUTE(SUBSTITUTE(SUBSTITUTE(SUBSTITUTE(SUBSTITUTE(SUBSTITUTE(MAIN!A873, "0", ""), "1", ""), "2", ""), "3", ""), "4", ""), "5", ""), "6", ""), "7", ""), "8", ""), "9", ""))))</f>
        <v>--</v>
      </c>
      <c r="B873" t="str">
        <f>IF(ISBLANK(MAIN!B873), "--", IFERROR(PROPER(SUBSTITUTE(SUBSTITUTE(SUBSTITUTE(SUBSTITUTE(SUBSTITUTE(SUBSTITUTE(SUBSTITUTE(SUBSTITUTE(SUBSTITUTE(SUBSTITUTE(LEFT(MAIN!B873, FIND(",",MAIN!B873) -1), "0", ""), "1", ""), "2", ""), "3", ""), "4", ""), "5", ""), "6", ""), "7", ""), "8", ""), "9", "")), PROPER(SUBSTITUTE(SUBSTITUTE(SUBSTITUTE(SUBSTITUTE(SUBSTITUTE(SUBSTITUTE(SUBSTITUTE(SUBSTITUTE(SUBSTITUTE(SUBSTITUTE(MAIN!B873, "0", ""), "1", ""), "2", ""), "3", ""), "4", ""), "5", ""), "6", ""), "7", ""), "8", ""), "9", ""))))</f>
        <v>--</v>
      </c>
      <c r="C873" t="str">
        <f>IF(ISBLANK(MAIN!C873), "--", IFERROR(PROPER(SUBSTITUTE(SUBSTITUTE(SUBSTITUTE(SUBSTITUTE(SUBSTITUTE(SUBSTITUTE(SUBSTITUTE(SUBSTITUTE(SUBSTITUTE(SUBSTITUTE(LEFT(MAIN!C873, FIND(",",MAIN!C873) -1), "0", ""), "1", ""), "2", ""), "3", ""), "4", ""), "5", ""), "6", ""), "7", ""), "8", ""), "9", "")), PROPER(SUBSTITUTE(SUBSTITUTE(SUBSTITUTE(SUBSTITUTE(SUBSTITUTE(SUBSTITUTE(SUBSTITUTE(SUBSTITUTE(SUBSTITUTE(SUBSTITUTE(MAIN!C873, "0", ""), "1", ""), "2", ""), "3", ""), "4", ""), "5", ""), "6", ""), "7", ""), "8", ""), "9", ""))))</f>
        <v>--</v>
      </c>
      <c r="D873" t="str">
        <f>IF(ISBLANK(MAIN!D873), "--", IF(ISNUMBER(MATCH(SUBSTITUTE(LEFT(MAIN!D873, IFERROR(FIND(",", MAIN!D873)-1, LEN(MAIN!D873))), " ", ""), lookup_values!$B$2:$B$51, 0)), UPPER(SUBSTITUTE(LEFT(MAIN!D873, IFERROR(FIND(",", MAIN!D873)-1, LEN(MAIN!D873))), " ", "")), IF(ISNA(VLOOKUP(SUBSTITUTE(LEFT(MAIN!D873, IFERROR(FIND(",", MAIN!D873)-1, LEN(MAIN!D873))), " ", ""), lookup_values!$A$2:$B$51, 2, FALSE)), "--", VLOOKUP(SUBSTITUTE(LEFT(MAIN!D873, IFERROR(FIND(",", MAIN!D873)-1, LEN(MAIN!D873))), " ", ""), lookup_values!$A$2:$B$51, 2, FALSE))))</f>
        <v>--</v>
      </c>
      <c r="E873" t="str">
        <f>IF(CLEAN_DATA!D873&lt;&gt;"--","US",IF(ISBLANK(MAIN!E873), "--", IF(ISNUMBER(MATCH(SUBSTITUTE(LEFT(MAIN!E873, IFERROR(FIND(",", MAIN!E873)-1, LEN(MAIN!E873))), " ", ""), lookup_values!$E$2:$E$197, 0)), UPPER(SUBSTITUTE(LEFT(MAIN!E873, IFERROR(FIND(",", MAIN!E873)-1, LEN(MAIN!E873))), " ", "")), IF(ISNA(VLOOKUP(SUBSTITUTE(LEFT(MAIN!E873, IFERROR(FIND(",", MAIN!E873)-1, LEN(MAIN!E873))), " ", ""), lookup_values!$D$2:$E$197, 2, FALSE)), "--", VLOOKUP(SUBSTITUTE(LEFT(MAIN!E873, IFERROR(FIND(",", MAIN!E873)-1, LEN(MAIN!E873))), " ", ""), lookup_values!$D$2:$E$197, 2, FALSE)))))</f>
        <v>--</v>
      </c>
      <c r="F873" t="str">
        <f>IF(ISBLANK(MAIN!F873), "", IF(AND(ISNUMBER(VALUE(TRIM(MAIN!F873))), LEN(TRIM(MAIN!F873))=4), VALUE(TRIM(MAIN!F873)), ""))</f>
        <v/>
      </c>
      <c r="G873">
        <f>IF(ISBLANK(MAIN!G873), 0, IF(ISNUMBER(VALUE(TRIM(MAIN!G873))), VALUE(TRIM(MAIN!G873)), 0))</f>
        <v>0</v>
      </c>
      <c r="H873">
        <f>IF(ISBLANK(MAIN!H873), 0, IF(ISNUMBER(VALUE(TRIM(MAIN!H873))), VALUE(TRIM(MAIN!H873)), 0))</f>
        <v>0</v>
      </c>
      <c r="I873">
        <f>IF(ISBLANK(MAIN!I873), 0, IF(ISNUMBER(VALUE(TRIM(MAIN!I873))), VALUE(TRIM(MAIN!I873)), 0))</f>
        <v>0</v>
      </c>
      <c r="J873">
        <f>IF(ISBLANK(MAIN!J873), 0, IF(ISNUMBER(VALUE(TRIM(MAIN!J873))), VALUE(TRIM(MAIN!J873)), 0))</f>
        <v>0</v>
      </c>
      <c r="K873" cm="1">
        <f t="array" ref="K873">IFERROR(
    VALUE(
        IFERROR(
            UPPER(
                IF(MAX(IFERROR(SEARCH("WD",MAIN!G873:J873), 0))&gt;0, "WD",
                IF(MAX(IFERROR(SEARCH("NS",MAIN!G873:J873), 0))&gt;0, "NS",
                IF(MAX(IFERROR(SEARCH("NC",MAIN!G873:J873), 0))&gt;0, "NC",
                IF(MAX(IFERROR(SEARCH("DQ",MAIN!G873:J873), 0))&gt;0, "DQ",
                IF(ISNUMBER(SEARCH("WD",MAIN!K873)), "WD",
                IF(ISNUMBER(SEARCH("NS",MAIN!K873)), "NS",
                IF(ISNUMBER(SEARCH("NC",MAIN!K873)), "NC",
                IF(ISNUMBER(SEARCH("DQ",MAIN!K873)), "DQ",
                IF(ISNUMBER(SEARCH("A",MAIN!K873)), 0,
                IF(OR(MAIN!K873=0,MAIN!K873=""), 0, --TRIM(MAIN!K873)))))))))))),
            0
        )
    ),
    IFERROR(
        UPPER(
            IF(MAX(IFERROR(SEARCH("WD",MAIN!G873:J873), 0))&gt;0, "WD",
            IF(MAX(IFERROR(SEARCH("NS",MAIN!G873:J873), 0))&gt;0, "NS",
            IF(MAX(IFERROR(SEARCH("NC",MAIN!G873:J873), 0))&gt;0, "NC",
            IF(MAX(IFERROR(SEARCH("DQ",MAIN!G873:J873), 0))&gt;0, "DQ",
            IF(ISNUMBER(SEARCH("WD",MAIN!K873)), "WD",
            IF(ISNUMBER(SEARCH("NS",MAIN!K873)), "NS",
            IF(ISNUMBER(SEARCH("NC",MAIN!K873)), "NC",
            IF(ISNUMBER(SEARCH("DQ",MAIN!K873)), "DQ",
            IF(ISNUMBER(SEARCH("A",MAIN!K873)), 0,
            IF(OR(MAIN!K873=0,MAIN!K873=""), 0, --TRIM(MAIN!K873)))))))))))),
        0
    )
)</f>
        <v>0</v>
      </c>
    </row>
    <row r="874" spans="1:11" x14ac:dyDescent="0.25">
      <c r="A874" t="str">
        <f>IF(ISBLANK(MAIN!A874), "--", IFERROR(PROPER(SUBSTITUTE(SUBSTITUTE(SUBSTITUTE(SUBSTITUTE(SUBSTITUTE(SUBSTITUTE(SUBSTITUTE(SUBSTITUTE(SUBSTITUTE(SUBSTITUTE(LEFT(MAIN!A874, FIND(",",MAIN!A874) -1), "0", ""), "1", ""), "2", ""), "3", ""), "4", ""), "5", ""), "6", ""), "7", ""), "8", ""), "9", "")), PROPER(SUBSTITUTE(SUBSTITUTE(SUBSTITUTE(SUBSTITUTE(SUBSTITUTE(SUBSTITUTE(SUBSTITUTE(SUBSTITUTE(SUBSTITUTE(SUBSTITUTE(MAIN!A874, "0", ""), "1", ""), "2", ""), "3", ""), "4", ""), "5", ""), "6", ""), "7", ""), "8", ""), "9", ""))))</f>
        <v>--</v>
      </c>
      <c r="B874" t="str">
        <f>IF(ISBLANK(MAIN!B874), "--", IFERROR(PROPER(SUBSTITUTE(SUBSTITUTE(SUBSTITUTE(SUBSTITUTE(SUBSTITUTE(SUBSTITUTE(SUBSTITUTE(SUBSTITUTE(SUBSTITUTE(SUBSTITUTE(LEFT(MAIN!B874, FIND(",",MAIN!B874) -1), "0", ""), "1", ""), "2", ""), "3", ""), "4", ""), "5", ""), "6", ""), "7", ""), "8", ""), "9", "")), PROPER(SUBSTITUTE(SUBSTITUTE(SUBSTITUTE(SUBSTITUTE(SUBSTITUTE(SUBSTITUTE(SUBSTITUTE(SUBSTITUTE(SUBSTITUTE(SUBSTITUTE(MAIN!B874, "0", ""), "1", ""), "2", ""), "3", ""), "4", ""), "5", ""), "6", ""), "7", ""), "8", ""), "9", ""))))</f>
        <v>--</v>
      </c>
      <c r="C874" t="str">
        <f>IF(ISBLANK(MAIN!C874), "--", IFERROR(PROPER(SUBSTITUTE(SUBSTITUTE(SUBSTITUTE(SUBSTITUTE(SUBSTITUTE(SUBSTITUTE(SUBSTITUTE(SUBSTITUTE(SUBSTITUTE(SUBSTITUTE(LEFT(MAIN!C874, FIND(",",MAIN!C874) -1), "0", ""), "1", ""), "2", ""), "3", ""), "4", ""), "5", ""), "6", ""), "7", ""), "8", ""), "9", "")), PROPER(SUBSTITUTE(SUBSTITUTE(SUBSTITUTE(SUBSTITUTE(SUBSTITUTE(SUBSTITUTE(SUBSTITUTE(SUBSTITUTE(SUBSTITUTE(SUBSTITUTE(MAIN!C874, "0", ""), "1", ""), "2", ""), "3", ""), "4", ""), "5", ""), "6", ""), "7", ""), "8", ""), "9", ""))))</f>
        <v>--</v>
      </c>
      <c r="D874" t="str">
        <f>IF(ISBLANK(MAIN!D874), "--", IF(ISNUMBER(MATCH(SUBSTITUTE(LEFT(MAIN!D874, IFERROR(FIND(",", MAIN!D874)-1, LEN(MAIN!D874))), " ", ""), lookup_values!$B$2:$B$51, 0)), UPPER(SUBSTITUTE(LEFT(MAIN!D874, IFERROR(FIND(",", MAIN!D874)-1, LEN(MAIN!D874))), " ", "")), IF(ISNA(VLOOKUP(SUBSTITUTE(LEFT(MAIN!D874, IFERROR(FIND(",", MAIN!D874)-1, LEN(MAIN!D874))), " ", ""), lookup_values!$A$2:$B$51, 2, FALSE)), "--", VLOOKUP(SUBSTITUTE(LEFT(MAIN!D874, IFERROR(FIND(",", MAIN!D874)-1, LEN(MAIN!D874))), " ", ""), lookup_values!$A$2:$B$51, 2, FALSE))))</f>
        <v>--</v>
      </c>
      <c r="E874" t="str">
        <f>IF(CLEAN_DATA!D874&lt;&gt;"--","US",IF(ISBLANK(MAIN!E874), "--", IF(ISNUMBER(MATCH(SUBSTITUTE(LEFT(MAIN!E874, IFERROR(FIND(",", MAIN!E874)-1, LEN(MAIN!E874))), " ", ""), lookup_values!$E$2:$E$197, 0)), UPPER(SUBSTITUTE(LEFT(MAIN!E874, IFERROR(FIND(",", MAIN!E874)-1, LEN(MAIN!E874))), " ", "")), IF(ISNA(VLOOKUP(SUBSTITUTE(LEFT(MAIN!E874, IFERROR(FIND(",", MAIN!E874)-1, LEN(MAIN!E874))), " ", ""), lookup_values!$D$2:$E$197, 2, FALSE)), "--", VLOOKUP(SUBSTITUTE(LEFT(MAIN!E874, IFERROR(FIND(",", MAIN!E874)-1, LEN(MAIN!E874))), " ", ""), lookup_values!$D$2:$E$197, 2, FALSE)))))</f>
        <v>--</v>
      </c>
      <c r="F874" t="str">
        <f>IF(ISBLANK(MAIN!F874), "", IF(AND(ISNUMBER(VALUE(TRIM(MAIN!F874))), LEN(TRIM(MAIN!F874))=4), VALUE(TRIM(MAIN!F874)), ""))</f>
        <v/>
      </c>
      <c r="G874">
        <f>IF(ISBLANK(MAIN!G874), 0, IF(ISNUMBER(VALUE(TRIM(MAIN!G874))), VALUE(TRIM(MAIN!G874)), 0))</f>
        <v>0</v>
      </c>
      <c r="H874">
        <f>IF(ISBLANK(MAIN!H874), 0, IF(ISNUMBER(VALUE(TRIM(MAIN!H874))), VALUE(TRIM(MAIN!H874)), 0))</f>
        <v>0</v>
      </c>
      <c r="I874">
        <f>IF(ISBLANK(MAIN!I874), 0, IF(ISNUMBER(VALUE(TRIM(MAIN!I874))), VALUE(TRIM(MAIN!I874)), 0))</f>
        <v>0</v>
      </c>
      <c r="J874">
        <f>IF(ISBLANK(MAIN!J874), 0, IF(ISNUMBER(VALUE(TRIM(MAIN!J874))), VALUE(TRIM(MAIN!J874)), 0))</f>
        <v>0</v>
      </c>
      <c r="K874" cm="1">
        <f t="array" ref="K874">IFERROR(
    VALUE(
        IFERROR(
            UPPER(
                IF(MAX(IFERROR(SEARCH("WD",MAIN!G874:J874), 0))&gt;0, "WD",
                IF(MAX(IFERROR(SEARCH("NS",MAIN!G874:J874), 0))&gt;0, "NS",
                IF(MAX(IFERROR(SEARCH("NC",MAIN!G874:J874), 0))&gt;0, "NC",
                IF(MAX(IFERROR(SEARCH("DQ",MAIN!G874:J874), 0))&gt;0, "DQ",
                IF(ISNUMBER(SEARCH("WD",MAIN!K874)), "WD",
                IF(ISNUMBER(SEARCH("NS",MAIN!K874)), "NS",
                IF(ISNUMBER(SEARCH("NC",MAIN!K874)), "NC",
                IF(ISNUMBER(SEARCH("DQ",MAIN!K874)), "DQ",
                IF(ISNUMBER(SEARCH("A",MAIN!K874)), 0,
                IF(OR(MAIN!K874=0,MAIN!K874=""), 0, --TRIM(MAIN!K874)))))))))))),
            0
        )
    ),
    IFERROR(
        UPPER(
            IF(MAX(IFERROR(SEARCH("WD",MAIN!G874:J874), 0))&gt;0, "WD",
            IF(MAX(IFERROR(SEARCH("NS",MAIN!G874:J874), 0))&gt;0, "NS",
            IF(MAX(IFERROR(SEARCH("NC",MAIN!G874:J874), 0))&gt;0, "NC",
            IF(MAX(IFERROR(SEARCH("DQ",MAIN!G874:J874), 0))&gt;0, "DQ",
            IF(ISNUMBER(SEARCH("WD",MAIN!K874)), "WD",
            IF(ISNUMBER(SEARCH("NS",MAIN!K874)), "NS",
            IF(ISNUMBER(SEARCH("NC",MAIN!K874)), "NC",
            IF(ISNUMBER(SEARCH("DQ",MAIN!K874)), "DQ",
            IF(ISNUMBER(SEARCH("A",MAIN!K874)), 0,
            IF(OR(MAIN!K874=0,MAIN!K874=""), 0, --TRIM(MAIN!K874)))))))))))),
        0
    )
)</f>
        <v>0</v>
      </c>
    </row>
    <row r="875" spans="1:11" x14ac:dyDescent="0.25">
      <c r="A875" t="str">
        <f>IF(ISBLANK(MAIN!A875), "--", IFERROR(PROPER(SUBSTITUTE(SUBSTITUTE(SUBSTITUTE(SUBSTITUTE(SUBSTITUTE(SUBSTITUTE(SUBSTITUTE(SUBSTITUTE(SUBSTITUTE(SUBSTITUTE(LEFT(MAIN!A875, FIND(",",MAIN!A875) -1), "0", ""), "1", ""), "2", ""), "3", ""), "4", ""), "5", ""), "6", ""), "7", ""), "8", ""), "9", "")), PROPER(SUBSTITUTE(SUBSTITUTE(SUBSTITUTE(SUBSTITUTE(SUBSTITUTE(SUBSTITUTE(SUBSTITUTE(SUBSTITUTE(SUBSTITUTE(SUBSTITUTE(MAIN!A875, "0", ""), "1", ""), "2", ""), "3", ""), "4", ""), "5", ""), "6", ""), "7", ""), "8", ""), "9", ""))))</f>
        <v>--</v>
      </c>
      <c r="B875" t="str">
        <f>IF(ISBLANK(MAIN!B875), "--", IFERROR(PROPER(SUBSTITUTE(SUBSTITUTE(SUBSTITUTE(SUBSTITUTE(SUBSTITUTE(SUBSTITUTE(SUBSTITUTE(SUBSTITUTE(SUBSTITUTE(SUBSTITUTE(LEFT(MAIN!B875, FIND(",",MAIN!B875) -1), "0", ""), "1", ""), "2", ""), "3", ""), "4", ""), "5", ""), "6", ""), "7", ""), "8", ""), "9", "")), PROPER(SUBSTITUTE(SUBSTITUTE(SUBSTITUTE(SUBSTITUTE(SUBSTITUTE(SUBSTITUTE(SUBSTITUTE(SUBSTITUTE(SUBSTITUTE(SUBSTITUTE(MAIN!B875, "0", ""), "1", ""), "2", ""), "3", ""), "4", ""), "5", ""), "6", ""), "7", ""), "8", ""), "9", ""))))</f>
        <v>--</v>
      </c>
      <c r="C875" t="str">
        <f>IF(ISBLANK(MAIN!C875), "--", IFERROR(PROPER(SUBSTITUTE(SUBSTITUTE(SUBSTITUTE(SUBSTITUTE(SUBSTITUTE(SUBSTITUTE(SUBSTITUTE(SUBSTITUTE(SUBSTITUTE(SUBSTITUTE(LEFT(MAIN!C875, FIND(",",MAIN!C875) -1), "0", ""), "1", ""), "2", ""), "3", ""), "4", ""), "5", ""), "6", ""), "7", ""), "8", ""), "9", "")), PROPER(SUBSTITUTE(SUBSTITUTE(SUBSTITUTE(SUBSTITUTE(SUBSTITUTE(SUBSTITUTE(SUBSTITUTE(SUBSTITUTE(SUBSTITUTE(SUBSTITUTE(MAIN!C875, "0", ""), "1", ""), "2", ""), "3", ""), "4", ""), "5", ""), "6", ""), "7", ""), "8", ""), "9", ""))))</f>
        <v>--</v>
      </c>
      <c r="D875" t="str">
        <f>IF(ISBLANK(MAIN!D875), "--", IF(ISNUMBER(MATCH(SUBSTITUTE(LEFT(MAIN!D875, IFERROR(FIND(",", MAIN!D875)-1, LEN(MAIN!D875))), " ", ""), lookup_values!$B$2:$B$51, 0)), UPPER(SUBSTITUTE(LEFT(MAIN!D875, IFERROR(FIND(",", MAIN!D875)-1, LEN(MAIN!D875))), " ", "")), IF(ISNA(VLOOKUP(SUBSTITUTE(LEFT(MAIN!D875, IFERROR(FIND(",", MAIN!D875)-1, LEN(MAIN!D875))), " ", ""), lookup_values!$A$2:$B$51, 2, FALSE)), "--", VLOOKUP(SUBSTITUTE(LEFT(MAIN!D875, IFERROR(FIND(",", MAIN!D875)-1, LEN(MAIN!D875))), " ", ""), lookup_values!$A$2:$B$51, 2, FALSE))))</f>
        <v>--</v>
      </c>
      <c r="E875" t="str">
        <f>IF(CLEAN_DATA!D875&lt;&gt;"--","US",IF(ISBLANK(MAIN!E875), "--", IF(ISNUMBER(MATCH(SUBSTITUTE(LEFT(MAIN!E875, IFERROR(FIND(",", MAIN!E875)-1, LEN(MAIN!E875))), " ", ""), lookup_values!$E$2:$E$197, 0)), UPPER(SUBSTITUTE(LEFT(MAIN!E875, IFERROR(FIND(",", MAIN!E875)-1, LEN(MAIN!E875))), " ", "")), IF(ISNA(VLOOKUP(SUBSTITUTE(LEFT(MAIN!E875, IFERROR(FIND(",", MAIN!E875)-1, LEN(MAIN!E875))), " ", ""), lookup_values!$D$2:$E$197, 2, FALSE)), "--", VLOOKUP(SUBSTITUTE(LEFT(MAIN!E875, IFERROR(FIND(",", MAIN!E875)-1, LEN(MAIN!E875))), " ", ""), lookup_values!$D$2:$E$197, 2, FALSE)))))</f>
        <v>--</v>
      </c>
      <c r="F875" t="str">
        <f>IF(ISBLANK(MAIN!F875), "", IF(AND(ISNUMBER(VALUE(TRIM(MAIN!F875))), LEN(TRIM(MAIN!F875))=4), VALUE(TRIM(MAIN!F875)), ""))</f>
        <v/>
      </c>
      <c r="G875">
        <f>IF(ISBLANK(MAIN!G875), 0, IF(ISNUMBER(VALUE(TRIM(MAIN!G875))), VALUE(TRIM(MAIN!G875)), 0))</f>
        <v>0</v>
      </c>
      <c r="H875">
        <f>IF(ISBLANK(MAIN!H875), 0, IF(ISNUMBER(VALUE(TRIM(MAIN!H875))), VALUE(TRIM(MAIN!H875)), 0))</f>
        <v>0</v>
      </c>
      <c r="I875">
        <f>IF(ISBLANK(MAIN!I875), 0, IF(ISNUMBER(VALUE(TRIM(MAIN!I875))), VALUE(TRIM(MAIN!I875)), 0))</f>
        <v>0</v>
      </c>
      <c r="J875">
        <f>IF(ISBLANK(MAIN!J875), 0, IF(ISNUMBER(VALUE(TRIM(MAIN!J875))), VALUE(TRIM(MAIN!J875)), 0))</f>
        <v>0</v>
      </c>
      <c r="K875" cm="1">
        <f t="array" ref="K875">IFERROR(
    VALUE(
        IFERROR(
            UPPER(
                IF(MAX(IFERROR(SEARCH("WD",MAIN!G875:J875), 0))&gt;0, "WD",
                IF(MAX(IFERROR(SEARCH("NS",MAIN!G875:J875), 0))&gt;0, "NS",
                IF(MAX(IFERROR(SEARCH("NC",MAIN!G875:J875), 0))&gt;0, "NC",
                IF(MAX(IFERROR(SEARCH("DQ",MAIN!G875:J875), 0))&gt;0, "DQ",
                IF(ISNUMBER(SEARCH("WD",MAIN!K875)), "WD",
                IF(ISNUMBER(SEARCH("NS",MAIN!K875)), "NS",
                IF(ISNUMBER(SEARCH("NC",MAIN!K875)), "NC",
                IF(ISNUMBER(SEARCH("DQ",MAIN!K875)), "DQ",
                IF(ISNUMBER(SEARCH("A",MAIN!K875)), 0,
                IF(OR(MAIN!K875=0,MAIN!K875=""), 0, --TRIM(MAIN!K875)))))))))))),
            0
        )
    ),
    IFERROR(
        UPPER(
            IF(MAX(IFERROR(SEARCH("WD",MAIN!G875:J875), 0))&gt;0, "WD",
            IF(MAX(IFERROR(SEARCH("NS",MAIN!G875:J875), 0))&gt;0, "NS",
            IF(MAX(IFERROR(SEARCH("NC",MAIN!G875:J875), 0))&gt;0, "NC",
            IF(MAX(IFERROR(SEARCH("DQ",MAIN!G875:J875), 0))&gt;0, "DQ",
            IF(ISNUMBER(SEARCH("WD",MAIN!K875)), "WD",
            IF(ISNUMBER(SEARCH("NS",MAIN!K875)), "NS",
            IF(ISNUMBER(SEARCH("NC",MAIN!K875)), "NC",
            IF(ISNUMBER(SEARCH("DQ",MAIN!K875)), "DQ",
            IF(ISNUMBER(SEARCH("A",MAIN!K875)), 0,
            IF(OR(MAIN!K875=0,MAIN!K875=""), 0, --TRIM(MAIN!K875)))))))))))),
        0
    )
)</f>
        <v>0</v>
      </c>
    </row>
    <row r="876" spans="1:11" x14ac:dyDescent="0.25">
      <c r="A876" t="str">
        <f>IF(ISBLANK(MAIN!A876), "--", IFERROR(PROPER(SUBSTITUTE(SUBSTITUTE(SUBSTITUTE(SUBSTITUTE(SUBSTITUTE(SUBSTITUTE(SUBSTITUTE(SUBSTITUTE(SUBSTITUTE(SUBSTITUTE(LEFT(MAIN!A876, FIND(",",MAIN!A876) -1), "0", ""), "1", ""), "2", ""), "3", ""), "4", ""), "5", ""), "6", ""), "7", ""), "8", ""), "9", "")), PROPER(SUBSTITUTE(SUBSTITUTE(SUBSTITUTE(SUBSTITUTE(SUBSTITUTE(SUBSTITUTE(SUBSTITUTE(SUBSTITUTE(SUBSTITUTE(SUBSTITUTE(MAIN!A876, "0", ""), "1", ""), "2", ""), "3", ""), "4", ""), "5", ""), "6", ""), "7", ""), "8", ""), "9", ""))))</f>
        <v>--</v>
      </c>
      <c r="B876" t="str">
        <f>IF(ISBLANK(MAIN!B876), "--", IFERROR(PROPER(SUBSTITUTE(SUBSTITUTE(SUBSTITUTE(SUBSTITUTE(SUBSTITUTE(SUBSTITUTE(SUBSTITUTE(SUBSTITUTE(SUBSTITUTE(SUBSTITUTE(LEFT(MAIN!B876, FIND(",",MAIN!B876) -1), "0", ""), "1", ""), "2", ""), "3", ""), "4", ""), "5", ""), "6", ""), "7", ""), "8", ""), "9", "")), PROPER(SUBSTITUTE(SUBSTITUTE(SUBSTITUTE(SUBSTITUTE(SUBSTITUTE(SUBSTITUTE(SUBSTITUTE(SUBSTITUTE(SUBSTITUTE(SUBSTITUTE(MAIN!B876, "0", ""), "1", ""), "2", ""), "3", ""), "4", ""), "5", ""), "6", ""), "7", ""), "8", ""), "9", ""))))</f>
        <v>--</v>
      </c>
      <c r="C876" t="str">
        <f>IF(ISBLANK(MAIN!C876), "--", IFERROR(PROPER(SUBSTITUTE(SUBSTITUTE(SUBSTITUTE(SUBSTITUTE(SUBSTITUTE(SUBSTITUTE(SUBSTITUTE(SUBSTITUTE(SUBSTITUTE(SUBSTITUTE(LEFT(MAIN!C876, FIND(",",MAIN!C876) -1), "0", ""), "1", ""), "2", ""), "3", ""), "4", ""), "5", ""), "6", ""), "7", ""), "8", ""), "9", "")), PROPER(SUBSTITUTE(SUBSTITUTE(SUBSTITUTE(SUBSTITUTE(SUBSTITUTE(SUBSTITUTE(SUBSTITUTE(SUBSTITUTE(SUBSTITUTE(SUBSTITUTE(MAIN!C876, "0", ""), "1", ""), "2", ""), "3", ""), "4", ""), "5", ""), "6", ""), "7", ""), "8", ""), "9", ""))))</f>
        <v>--</v>
      </c>
      <c r="D876" t="str">
        <f>IF(ISBLANK(MAIN!D876), "--", IF(ISNUMBER(MATCH(SUBSTITUTE(LEFT(MAIN!D876, IFERROR(FIND(",", MAIN!D876)-1, LEN(MAIN!D876))), " ", ""), lookup_values!$B$2:$B$51, 0)), UPPER(SUBSTITUTE(LEFT(MAIN!D876, IFERROR(FIND(",", MAIN!D876)-1, LEN(MAIN!D876))), " ", "")), IF(ISNA(VLOOKUP(SUBSTITUTE(LEFT(MAIN!D876, IFERROR(FIND(",", MAIN!D876)-1, LEN(MAIN!D876))), " ", ""), lookup_values!$A$2:$B$51, 2, FALSE)), "--", VLOOKUP(SUBSTITUTE(LEFT(MAIN!D876, IFERROR(FIND(",", MAIN!D876)-1, LEN(MAIN!D876))), " ", ""), lookup_values!$A$2:$B$51, 2, FALSE))))</f>
        <v>--</v>
      </c>
      <c r="E876" t="str">
        <f>IF(CLEAN_DATA!D876&lt;&gt;"--","US",IF(ISBLANK(MAIN!E876), "--", IF(ISNUMBER(MATCH(SUBSTITUTE(LEFT(MAIN!E876, IFERROR(FIND(",", MAIN!E876)-1, LEN(MAIN!E876))), " ", ""), lookup_values!$E$2:$E$197, 0)), UPPER(SUBSTITUTE(LEFT(MAIN!E876, IFERROR(FIND(",", MAIN!E876)-1, LEN(MAIN!E876))), " ", "")), IF(ISNA(VLOOKUP(SUBSTITUTE(LEFT(MAIN!E876, IFERROR(FIND(",", MAIN!E876)-1, LEN(MAIN!E876))), " ", ""), lookup_values!$D$2:$E$197, 2, FALSE)), "--", VLOOKUP(SUBSTITUTE(LEFT(MAIN!E876, IFERROR(FIND(",", MAIN!E876)-1, LEN(MAIN!E876))), " ", ""), lookup_values!$D$2:$E$197, 2, FALSE)))))</f>
        <v>--</v>
      </c>
      <c r="F876" t="str">
        <f>IF(ISBLANK(MAIN!F876), "", IF(AND(ISNUMBER(VALUE(TRIM(MAIN!F876))), LEN(TRIM(MAIN!F876))=4), VALUE(TRIM(MAIN!F876)), ""))</f>
        <v/>
      </c>
      <c r="G876">
        <f>IF(ISBLANK(MAIN!G876), 0, IF(ISNUMBER(VALUE(TRIM(MAIN!G876))), VALUE(TRIM(MAIN!G876)), 0))</f>
        <v>0</v>
      </c>
      <c r="H876">
        <f>IF(ISBLANK(MAIN!H876), 0, IF(ISNUMBER(VALUE(TRIM(MAIN!H876))), VALUE(TRIM(MAIN!H876)), 0))</f>
        <v>0</v>
      </c>
      <c r="I876">
        <f>IF(ISBLANK(MAIN!I876), 0, IF(ISNUMBER(VALUE(TRIM(MAIN!I876))), VALUE(TRIM(MAIN!I876)), 0))</f>
        <v>0</v>
      </c>
      <c r="J876">
        <f>IF(ISBLANK(MAIN!J876), 0, IF(ISNUMBER(VALUE(TRIM(MAIN!J876))), VALUE(TRIM(MAIN!J876)), 0))</f>
        <v>0</v>
      </c>
      <c r="K876" cm="1">
        <f t="array" ref="K876">IFERROR(
    VALUE(
        IFERROR(
            UPPER(
                IF(MAX(IFERROR(SEARCH("WD",MAIN!G876:J876), 0))&gt;0, "WD",
                IF(MAX(IFERROR(SEARCH("NS",MAIN!G876:J876), 0))&gt;0, "NS",
                IF(MAX(IFERROR(SEARCH("NC",MAIN!G876:J876), 0))&gt;0, "NC",
                IF(MAX(IFERROR(SEARCH("DQ",MAIN!G876:J876), 0))&gt;0, "DQ",
                IF(ISNUMBER(SEARCH("WD",MAIN!K876)), "WD",
                IF(ISNUMBER(SEARCH("NS",MAIN!K876)), "NS",
                IF(ISNUMBER(SEARCH("NC",MAIN!K876)), "NC",
                IF(ISNUMBER(SEARCH("DQ",MAIN!K876)), "DQ",
                IF(ISNUMBER(SEARCH("A",MAIN!K876)), 0,
                IF(OR(MAIN!K876=0,MAIN!K876=""), 0, --TRIM(MAIN!K876)))))))))))),
            0
        )
    ),
    IFERROR(
        UPPER(
            IF(MAX(IFERROR(SEARCH("WD",MAIN!G876:J876), 0))&gt;0, "WD",
            IF(MAX(IFERROR(SEARCH("NS",MAIN!G876:J876), 0))&gt;0, "NS",
            IF(MAX(IFERROR(SEARCH("NC",MAIN!G876:J876), 0))&gt;0, "NC",
            IF(MAX(IFERROR(SEARCH("DQ",MAIN!G876:J876), 0))&gt;0, "DQ",
            IF(ISNUMBER(SEARCH("WD",MAIN!K876)), "WD",
            IF(ISNUMBER(SEARCH("NS",MAIN!K876)), "NS",
            IF(ISNUMBER(SEARCH("NC",MAIN!K876)), "NC",
            IF(ISNUMBER(SEARCH("DQ",MAIN!K876)), "DQ",
            IF(ISNUMBER(SEARCH("A",MAIN!K876)), 0,
            IF(OR(MAIN!K876=0,MAIN!K876=""), 0, --TRIM(MAIN!K876)))))))))))),
        0
    )
)</f>
        <v>0</v>
      </c>
    </row>
    <row r="877" spans="1:11" x14ac:dyDescent="0.25">
      <c r="A877" t="str">
        <f>IF(ISBLANK(MAIN!A877), "--", IFERROR(PROPER(SUBSTITUTE(SUBSTITUTE(SUBSTITUTE(SUBSTITUTE(SUBSTITUTE(SUBSTITUTE(SUBSTITUTE(SUBSTITUTE(SUBSTITUTE(SUBSTITUTE(LEFT(MAIN!A877, FIND(",",MAIN!A877) -1), "0", ""), "1", ""), "2", ""), "3", ""), "4", ""), "5", ""), "6", ""), "7", ""), "8", ""), "9", "")), PROPER(SUBSTITUTE(SUBSTITUTE(SUBSTITUTE(SUBSTITUTE(SUBSTITUTE(SUBSTITUTE(SUBSTITUTE(SUBSTITUTE(SUBSTITUTE(SUBSTITUTE(MAIN!A877, "0", ""), "1", ""), "2", ""), "3", ""), "4", ""), "5", ""), "6", ""), "7", ""), "8", ""), "9", ""))))</f>
        <v>--</v>
      </c>
      <c r="B877" t="str">
        <f>IF(ISBLANK(MAIN!B877), "--", IFERROR(PROPER(SUBSTITUTE(SUBSTITUTE(SUBSTITUTE(SUBSTITUTE(SUBSTITUTE(SUBSTITUTE(SUBSTITUTE(SUBSTITUTE(SUBSTITUTE(SUBSTITUTE(LEFT(MAIN!B877, FIND(",",MAIN!B877) -1), "0", ""), "1", ""), "2", ""), "3", ""), "4", ""), "5", ""), "6", ""), "7", ""), "8", ""), "9", "")), PROPER(SUBSTITUTE(SUBSTITUTE(SUBSTITUTE(SUBSTITUTE(SUBSTITUTE(SUBSTITUTE(SUBSTITUTE(SUBSTITUTE(SUBSTITUTE(SUBSTITUTE(MAIN!B877, "0", ""), "1", ""), "2", ""), "3", ""), "4", ""), "5", ""), "6", ""), "7", ""), "8", ""), "9", ""))))</f>
        <v>--</v>
      </c>
      <c r="C877" t="str">
        <f>IF(ISBLANK(MAIN!C877), "--", IFERROR(PROPER(SUBSTITUTE(SUBSTITUTE(SUBSTITUTE(SUBSTITUTE(SUBSTITUTE(SUBSTITUTE(SUBSTITUTE(SUBSTITUTE(SUBSTITUTE(SUBSTITUTE(LEFT(MAIN!C877, FIND(",",MAIN!C877) -1), "0", ""), "1", ""), "2", ""), "3", ""), "4", ""), "5", ""), "6", ""), "7", ""), "8", ""), "9", "")), PROPER(SUBSTITUTE(SUBSTITUTE(SUBSTITUTE(SUBSTITUTE(SUBSTITUTE(SUBSTITUTE(SUBSTITUTE(SUBSTITUTE(SUBSTITUTE(SUBSTITUTE(MAIN!C877, "0", ""), "1", ""), "2", ""), "3", ""), "4", ""), "5", ""), "6", ""), "7", ""), "8", ""), "9", ""))))</f>
        <v>--</v>
      </c>
      <c r="D877" t="str">
        <f>IF(ISBLANK(MAIN!D877), "--", IF(ISNUMBER(MATCH(SUBSTITUTE(LEFT(MAIN!D877, IFERROR(FIND(",", MAIN!D877)-1, LEN(MAIN!D877))), " ", ""), lookup_values!$B$2:$B$51, 0)), UPPER(SUBSTITUTE(LEFT(MAIN!D877, IFERROR(FIND(",", MAIN!D877)-1, LEN(MAIN!D877))), " ", "")), IF(ISNA(VLOOKUP(SUBSTITUTE(LEFT(MAIN!D877, IFERROR(FIND(",", MAIN!D877)-1, LEN(MAIN!D877))), " ", ""), lookup_values!$A$2:$B$51, 2, FALSE)), "--", VLOOKUP(SUBSTITUTE(LEFT(MAIN!D877, IFERROR(FIND(",", MAIN!D877)-1, LEN(MAIN!D877))), " ", ""), lookup_values!$A$2:$B$51, 2, FALSE))))</f>
        <v>--</v>
      </c>
      <c r="E877" t="str">
        <f>IF(CLEAN_DATA!D877&lt;&gt;"--","US",IF(ISBLANK(MAIN!E877), "--", IF(ISNUMBER(MATCH(SUBSTITUTE(LEFT(MAIN!E877, IFERROR(FIND(",", MAIN!E877)-1, LEN(MAIN!E877))), " ", ""), lookup_values!$E$2:$E$197, 0)), UPPER(SUBSTITUTE(LEFT(MAIN!E877, IFERROR(FIND(",", MAIN!E877)-1, LEN(MAIN!E877))), " ", "")), IF(ISNA(VLOOKUP(SUBSTITUTE(LEFT(MAIN!E877, IFERROR(FIND(",", MAIN!E877)-1, LEN(MAIN!E877))), " ", ""), lookup_values!$D$2:$E$197, 2, FALSE)), "--", VLOOKUP(SUBSTITUTE(LEFT(MAIN!E877, IFERROR(FIND(",", MAIN!E877)-1, LEN(MAIN!E877))), " ", ""), lookup_values!$D$2:$E$197, 2, FALSE)))))</f>
        <v>--</v>
      </c>
      <c r="F877" t="str">
        <f>IF(ISBLANK(MAIN!F877), "", IF(AND(ISNUMBER(VALUE(TRIM(MAIN!F877))), LEN(TRIM(MAIN!F877))=4), VALUE(TRIM(MAIN!F877)), ""))</f>
        <v/>
      </c>
      <c r="G877">
        <f>IF(ISBLANK(MAIN!G877), 0, IF(ISNUMBER(VALUE(TRIM(MAIN!G877))), VALUE(TRIM(MAIN!G877)), 0))</f>
        <v>0</v>
      </c>
      <c r="H877">
        <f>IF(ISBLANK(MAIN!H877), 0, IF(ISNUMBER(VALUE(TRIM(MAIN!H877))), VALUE(TRIM(MAIN!H877)), 0))</f>
        <v>0</v>
      </c>
      <c r="I877">
        <f>IF(ISBLANK(MAIN!I877), 0, IF(ISNUMBER(VALUE(TRIM(MAIN!I877))), VALUE(TRIM(MAIN!I877)), 0))</f>
        <v>0</v>
      </c>
      <c r="J877">
        <f>IF(ISBLANK(MAIN!J877), 0, IF(ISNUMBER(VALUE(TRIM(MAIN!J877))), VALUE(TRIM(MAIN!J877)), 0))</f>
        <v>0</v>
      </c>
      <c r="K877" cm="1">
        <f t="array" ref="K877">IFERROR(
    VALUE(
        IFERROR(
            UPPER(
                IF(MAX(IFERROR(SEARCH("WD",MAIN!G877:J877), 0))&gt;0, "WD",
                IF(MAX(IFERROR(SEARCH("NS",MAIN!G877:J877), 0))&gt;0, "NS",
                IF(MAX(IFERROR(SEARCH("NC",MAIN!G877:J877), 0))&gt;0, "NC",
                IF(MAX(IFERROR(SEARCH("DQ",MAIN!G877:J877), 0))&gt;0, "DQ",
                IF(ISNUMBER(SEARCH("WD",MAIN!K877)), "WD",
                IF(ISNUMBER(SEARCH("NS",MAIN!K877)), "NS",
                IF(ISNUMBER(SEARCH("NC",MAIN!K877)), "NC",
                IF(ISNUMBER(SEARCH("DQ",MAIN!K877)), "DQ",
                IF(ISNUMBER(SEARCH("A",MAIN!K877)), 0,
                IF(OR(MAIN!K877=0,MAIN!K877=""), 0, --TRIM(MAIN!K877)))))))))))),
            0
        )
    ),
    IFERROR(
        UPPER(
            IF(MAX(IFERROR(SEARCH("WD",MAIN!G877:J877), 0))&gt;0, "WD",
            IF(MAX(IFERROR(SEARCH("NS",MAIN!G877:J877), 0))&gt;0, "NS",
            IF(MAX(IFERROR(SEARCH("NC",MAIN!G877:J877), 0))&gt;0, "NC",
            IF(MAX(IFERROR(SEARCH("DQ",MAIN!G877:J877), 0))&gt;0, "DQ",
            IF(ISNUMBER(SEARCH("WD",MAIN!K877)), "WD",
            IF(ISNUMBER(SEARCH("NS",MAIN!K877)), "NS",
            IF(ISNUMBER(SEARCH("NC",MAIN!K877)), "NC",
            IF(ISNUMBER(SEARCH("DQ",MAIN!K877)), "DQ",
            IF(ISNUMBER(SEARCH("A",MAIN!K877)), 0,
            IF(OR(MAIN!K877=0,MAIN!K877=""), 0, --TRIM(MAIN!K877)))))))))))),
        0
    )
)</f>
        <v>0</v>
      </c>
    </row>
    <row r="878" spans="1:11" x14ac:dyDescent="0.25">
      <c r="A878" t="str">
        <f>IF(ISBLANK(MAIN!A878), "--", IFERROR(PROPER(SUBSTITUTE(SUBSTITUTE(SUBSTITUTE(SUBSTITUTE(SUBSTITUTE(SUBSTITUTE(SUBSTITUTE(SUBSTITUTE(SUBSTITUTE(SUBSTITUTE(LEFT(MAIN!A878, FIND(",",MAIN!A878) -1), "0", ""), "1", ""), "2", ""), "3", ""), "4", ""), "5", ""), "6", ""), "7", ""), "8", ""), "9", "")), PROPER(SUBSTITUTE(SUBSTITUTE(SUBSTITUTE(SUBSTITUTE(SUBSTITUTE(SUBSTITUTE(SUBSTITUTE(SUBSTITUTE(SUBSTITUTE(SUBSTITUTE(MAIN!A878, "0", ""), "1", ""), "2", ""), "3", ""), "4", ""), "5", ""), "6", ""), "7", ""), "8", ""), "9", ""))))</f>
        <v>--</v>
      </c>
      <c r="B878" t="str">
        <f>IF(ISBLANK(MAIN!B878), "--", IFERROR(PROPER(SUBSTITUTE(SUBSTITUTE(SUBSTITUTE(SUBSTITUTE(SUBSTITUTE(SUBSTITUTE(SUBSTITUTE(SUBSTITUTE(SUBSTITUTE(SUBSTITUTE(LEFT(MAIN!B878, FIND(",",MAIN!B878) -1), "0", ""), "1", ""), "2", ""), "3", ""), "4", ""), "5", ""), "6", ""), "7", ""), "8", ""), "9", "")), PROPER(SUBSTITUTE(SUBSTITUTE(SUBSTITUTE(SUBSTITUTE(SUBSTITUTE(SUBSTITUTE(SUBSTITUTE(SUBSTITUTE(SUBSTITUTE(SUBSTITUTE(MAIN!B878, "0", ""), "1", ""), "2", ""), "3", ""), "4", ""), "5", ""), "6", ""), "7", ""), "8", ""), "9", ""))))</f>
        <v>--</v>
      </c>
      <c r="C878" t="str">
        <f>IF(ISBLANK(MAIN!C878), "--", IFERROR(PROPER(SUBSTITUTE(SUBSTITUTE(SUBSTITUTE(SUBSTITUTE(SUBSTITUTE(SUBSTITUTE(SUBSTITUTE(SUBSTITUTE(SUBSTITUTE(SUBSTITUTE(LEFT(MAIN!C878, FIND(",",MAIN!C878) -1), "0", ""), "1", ""), "2", ""), "3", ""), "4", ""), "5", ""), "6", ""), "7", ""), "8", ""), "9", "")), PROPER(SUBSTITUTE(SUBSTITUTE(SUBSTITUTE(SUBSTITUTE(SUBSTITUTE(SUBSTITUTE(SUBSTITUTE(SUBSTITUTE(SUBSTITUTE(SUBSTITUTE(MAIN!C878, "0", ""), "1", ""), "2", ""), "3", ""), "4", ""), "5", ""), "6", ""), "7", ""), "8", ""), "9", ""))))</f>
        <v>--</v>
      </c>
      <c r="D878" t="str">
        <f>IF(ISBLANK(MAIN!D878), "--", IF(ISNUMBER(MATCH(SUBSTITUTE(LEFT(MAIN!D878, IFERROR(FIND(",", MAIN!D878)-1, LEN(MAIN!D878))), " ", ""), lookup_values!$B$2:$B$51, 0)), UPPER(SUBSTITUTE(LEFT(MAIN!D878, IFERROR(FIND(",", MAIN!D878)-1, LEN(MAIN!D878))), " ", "")), IF(ISNA(VLOOKUP(SUBSTITUTE(LEFT(MAIN!D878, IFERROR(FIND(",", MAIN!D878)-1, LEN(MAIN!D878))), " ", ""), lookup_values!$A$2:$B$51, 2, FALSE)), "--", VLOOKUP(SUBSTITUTE(LEFT(MAIN!D878, IFERROR(FIND(",", MAIN!D878)-1, LEN(MAIN!D878))), " ", ""), lookup_values!$A$2:$B$51, 2, FALSE))))</f>
        <v>--</v>
      </c>
      <c r="E878" t="str">
        <f>IF(CLEAN_DATA!D878&lt;&gt;"--","US",IF(ISBLANK(MAIN!E878), "--", IF(ISNUMBER(MATCH(SUBSTITUTE(LEFT(MAIN!E878, IFERROR(FIND(",", MAIN!E878)-1, LEN(MAIN!E878))), " ", ""), lookup_values!$E$2:$E$197, 0)), UPPER(SUBSTITUTE(LEFT(MAIN!E878, IFERROR(FIND(",", MAIN!E878)-1, LEN(MAIN!E878))), " ", "")), IF(ISNA(VLOOKUP(SUBSTITUTE(LEFT(MAIN!E878, IFERROR(FIND(",", MAIN!E878)-1, LEN(MAIN!E878))), " ", ""), lookup_values!$D$2:$E$197, 2, FALSE)), "--", VLOOKUP(SUBSTITUTE(LEFT(MAIN!E878, IFERROR(FIND(",", MAIN!E878)-1, LEN(MAIN!E878))), " ", ""), lookup_values!$D$2:$E$197, 2, FALSE)))))</f>
        <v>--</v>
      </c>
      <c r="F878" t="str">
        <f>IF(ISBLANK(MAIN!F878), "", IF(AND(ISNUMBER(VALUE(TRIM(MAIN!F878))), LEN(TRIM(MAIN!F878))=4), VALUE(TRIM(MAIN!F878)), ""))</f>
        <v/>
      </c>
      <c r="G878">
        <f>IF(ISBLANK(MAIN!G878), 0, IF(ISNUMBER(VALUE(TRIM(MAIN!G878))), VALUE(TRIM(MAIN!G878)), 0))</f>
        <v>0</v>
      </c>
      <c r="H878">
        <f>IF(ISBLANK(MAIN!H878), 0, IF(ISNUMBER(VALUE(TRIM(MAIN!H878))), VALUE(TRIM(MAIN!H878)), 0))</f>
        <v>0</v>
      </c>
      <c r="I878">
        <f>IF(ISBLANK(MAIN!I878), 0, IF(ISNUMBER(VALUE(TRIM(MAIN!I878))), VALUE(TRIM(MAIN!I878)), 0))</f>
        <v>0</v>
      </c>
      <c r="J878">
        <f>IF(ISBLANK(MAIN!J878), 0, IF(ISNUMBER(VALUE(TRIM(MAIN!J878))), VALUE(TRIM(MAIN!J878)), 0))</f>
        <v>0</v>
      </c>
      <c r="K878" cm="1">
        <f t="array" ref="K878">IFERROR(
    VALUE(
        IFERROR(
            UPPER(
                IF(MAX(IFERROR(SEARCH("WD",MAIN!G878:J878), 0))&gt;0, "WD",
                IF(MAX(IFERROR(SEARCH("NS",MAIN!G878:J878), 0))&gt;0, "NS",
                IF(MAX(IFERROR(SEARCH("NC",MAIN!G878:J878), 0))&gt;0, "NC",
                IF(MAX(IFERROR(SEARCH("DQ",MAIN!G878:J878), 0))&gt;0, "DQ",
                IF(ISNUMBER(SEARCH("WD",MAIN!K878)), "WD",
                IF(ISNUMBER(SEARCH("NS",MAIN!K878)), "NS",
                IF(ISNUMBER(SEARCH("NC",MAIN!K878)), "NC",
                IF(ISNUMBER(SEARCH("DQ",MAIN!K878)), "DQ",
                IF(ISNUMBER(SEARCH("A",MAIN!K878)), 0,
                IF(OR(MAIN!K878=0,MAIN!K878=""), 0, --TRIM(MAIN!K878)))))))))))),
            0
        )
    ),
    IFERROR(
        UPPER(
            IF(MAX(IFERROR(SEARCH("WD",MAIN!G878:J878), 0))&gt;0, "WD",
            IF(MAX(IFERROR(SEARCH("NS",MAIN!G878:J878), 0))&gt;0, "NS",
            IF(MAX(IFERROR(SEARCH("NC",MAIN!G878:J878), 0))&gt;0, "NC",
            IF(MAX(IFERROR(SEARCH("DQ",MAIN!G878:J878), 0))&gt;0, "DQ",
            IF(ISNUMBER(SEARCH("WD",MAIN!K878)), "WD",
            IF(ISNUMBER(SEARCH("NS",MAIN!K878)), "NS",
            IF(ISNUMBER(SEARCH("NC",MAIN!K878)), "NC",
            IF(ISNUMBER(SEARCH("DQ",MAIN!K878)), "DQ",
            IF(ISNUMBER(SEARCH("A",MAIN!K878)), 0,
            IF(OR(MAIN!K878=0,MAIN!K878=""), 0, --TRIM(MAIN!K878)))))))))))),
        0
    )
)</f>
        <v>0</v>
      </c>
    </row>
    <row r="879" spans="1:11" x14ac:dyDescent="0.25">
      <c r="A879" t="str">
        <f>IF(ISBLANK(MAIN!A879), "--", IFERROR(PROPER(SUBSTITUTE(SUBSTITUTE(SUBSTITUTE(SUBSTITUTE(SUBSTITUTE(SUBSTITUTE(SUBSTITUTE(SUBSTITUTE(SUBSTITUTE(SUBSTITUTE(LEFT(MAIN!A879, FIND(",",MAIN!A879) -1), "0", ""), "1", ""), "2", ""), "3", ""), "4", ""), "5", ""), "6", ""), "7", ""), "8", ""), "9", "")), PROPER(SUBSTITUTE(SUBSTITUTE(SUBSTITUTE(SUBSTITUTE(SUBSTITUTE(SUBSTITUTE(SUBSTITUTE(SUBSTITUTE(SUBSTITUTE(SUBSTITUTE(MAIN!A879, "0", ""), "1", ""), "2", ""), "3", ""), "4", ""), "5", ""), "6", ""), "7", ""), "8", ""), "9", ""))))</f>
        <v>--</v>
      </c>
      <c r="B879" t="str">
        <f>IF(ISBLANK(MAIN!B879), "--", IFERROR(PROPER(SUBSTITUTE(SUBSTITUTE(SUBSTITUTE(SUBSTITUTE(SUBSTITUTE(SUBSTITUTE(SUBSTITUTE(SUBSTITUTE(SUBSTITUTE(SUBSTITUTE(LEFT(MAIN!B879, FIND(",",MAIN!B879) -1), "0", ""), "1", ""), "2", ""), "3", ""), "4", ""), "5", ""), "6", ""), "7", ""), "8", ""), "9", "")), PROPER(SUBSTITUTE(SUBSTITUTE(SUBSTITUTE(SUBSTITUTE(SUBSTITUTE(SUBSTITUTE(SUBSTITUTE(SUBSTITUTE(SUBSTITUTE(SUBSTITUTE(MAIN!B879, "0", ""), "1", ""), "2", ""), "3", ""), "4", ""), "5", ""), "6", ""), "7", ""), "8", ""), "9", ""))))</f>
        <v>--</v>
      </c>
      <c r="C879" t="str">
        <f>IF(ISBLANK(MAIN!C879), "--", IFERROR(PROPER(SUBSTITUTE(SUBSTITUTE(SUBSTITUTE(SUBSTITUTE(SUBSTITUTE(SUBSTITUTE(SUBSTITUTE(SUBSTITUTE(SUBSTITUTE(SUBSTITUTE(LEFT(MAIN!C879, FIND(",",MAIN!C879) -1), "0", ""), "1", ""), "2", ""), "3", ""), "4", ""), "5", ""), "6", ""), "7", ""), "8", ""), "9", "")), PROPER(SUBSTITUTE(SUBSTITUTE(SUBSTITUTE(SUBSTITUTE(SUBSTITUTE(SUBSTITUTE(SUBSTITUTE(SUBSTITUTE(SUBSTITUTE(SUBSTITUTE(MAIN!C879, "0", ""), "1", ""), "2", ""), "3", ""), "4", ""), "5", ""), "6", ""), "7", ""), "8", ""), "9", ""))))</f>
        <v>--</v>
      </c>
      <c r="D879" t="str">
        <f>IF(ISBLANK(MAIN!D879), "--", IF(ISNUMBER(MATCH(SUBSTITUTE(LEFT(MAIN!D879, IFERROR(FIND(",", MAIN!D879)-1, LEN(MAIN!D879))), " ", ""), lookup_values!$B$2:$B$51, 0)), UPPER(SUBSTITUTE(LEFT(MAIN!D879, IFERROR(FIND(",", MAIN!D879)-1, LEN(MAIN!D879))), " ", "")), IF(ISNA(VLOOKUP(SUBSTITUTE(LEFT(MAIN!D879, IFERROR(FIND(",", MAIN!D879)-1, LEN(MAIN!D879))), " ", ""), lookup_values!$A$2:$B$51, 2, FALSE)), "--", VLOOKUP(SUBSTITUTE(LEFT(MAIN!D879, IFERROR(FIND(",", MAIN!D879)-1, LEN(MAIN!D879))), " ", ""), lookup_values!$A$2:$B$51, 2, FALSE))))</f>
        <v>--</v>
      </c>
      <c r="E879" t="str">
        <f>IF(CLEAN_DATA!D879&lt;&gt;"--","US",IF(ISBLANK(MAIN!E879), "--", IF(ISNUMBER(MATCH(SUBSTITUTE(LEFT(MAIN!E879, IFERROR(FIND(",", MAIN!E879)-1, LEN(MAIN!E879))), " ", ""), lookup_values!$E$2:$E$197, 0)), UPPER(SUBSTITUTE(LEFT(MAIN!E879, IFERROR(FIND(",", MAIN!E879)-1, LEN(MAIN!E879))), " ", "")), IF(ISNA(VLOOKUP(SUBSTITUTE(LEFT(MAIN!E879, IFERROR(FIND(",", MAIN!E879)-1, LEN(MAIN!E879))), " ", ""), lookup_values!$D$2:$E$197, 2, FALSE)), "--", VLOOKUP(SUBSTITUTE(LEFT(MAIN!E879, IFERROR(FIND(",", MAIN!E879)-1, LEN(MAIN!E879))), " ", ""), lookup_values!$D$2:$E$197, 2, FALSE)))))</f>
        <v>--</v>
      </c>
      <c r="F879" t="str">
        <f>IF(ISBLANK(MAIN!F879), "", IF(AND(ISNUMBER(VALUE(TRIM(MAIN!F879))), LEN(TRIM(MAIN!F879))=4), VALUE(TRIM(MAIN!F879)), ""))</f>
        <v/>
      </c>
      <c r="G879">
        <f>IF(ISBLANK(MAIN!G879), 0, IF(ISNUMBER(VALUE(TRIM(MAIN!G879))), VALUE(TRIM(MAIN!G879)), 0))</f>
        <v>0</v>
      </c>
      <c r="H879">
        <f>IF(ISBLANK(MAIN!H879), 0, IF(ISNUMBER(VALUE(TRIM(MAIN!H879))), VALUE(TRIM(MAIN!H879)), 0))</f>
        <v>0</v>
      </c>
      <c r="I879">
        <f>IF(ISBLANK(MAIN!I879), 0, IF(ISNUMBER(VALUE(TRIM(MAIN!I879))), VALUE(TRIM(MAIN!I879)), 0))</f>
        <v>0</v>
      </c>
      <c r="J879">
        <f>IF(ISBLANK(MAIN!J879), 0, IF(ISNUMBER(VALUE(TRIM(MAIN!J879))), VALUE(TRIM(MAIN!J879)), 0))</f>
        <v>0</v>
      </c>
      <c r="K879" cm="1">
        <f t="array" ref="K879">IFERROR(
    VALUE(
        IFERROR(
            UPPER(
                IF(MAX(IFERROR(SEARCH("WD",MAIN!G879:J879), 0))&gt;0, "WD",
                IF(MAX(IFERROR(SEARCH("NS",MAIN!G879:J879), 0))&gt;0, "NS",
                IF(MAX(IFERROR(SEARCH("NC",MAIN!G879:J879), 0))&gt;0, "NC",
                IF(MAX(IFERROR(SEARCH("DQ",MAIN!G879:J879), 0))&gt;0, "DQ",
                IF(ISNUMBER(SEARCH("WD",MAIN!K879)), "WD",
                IF(ISNUMBER(SEARCH("NS",MAIN!K879)), "NS",
                IF(ISNUMBER(SEARCH("NC",MAIN!K879)), "NC",
                IF(ISNUMBER(SEARCH("DQ",MAIN!K879)), "DQ",
                IF(ISNUMBER(SEARCH("A",MAIN!K879)), 0,
                IF(OR(MAIN!K879=0,MAIN!K879=""), 0, --TRIM(MAIN!K879)))))))))))),
            0
        )
    ),
    IFERROR(
        UPPER(
            IF(MAX(IFERROR(SEARCH("WD",MAIN!G879:J879), 0))&gt;0, "WD",
            IF(MAX(IFERROR(SEARCH("NS",MAIN!G879:J879), 0))&gt;0, "NS",
            IF(MAX(IFERROR(SEARCH("NC",MAIN!G879:J879), 0))&gt;0, "NC",
            IF(MAX(IFERROR(SEARCH("DQ",MAIN!G879:J879), 0))&gt;0, "DQ",
            IF(ISNUMBER(SEARCH("WD",MAIN!K879)), "WD",
            IF(ISNUMBER(SEARCH("NS",MAIN!K879)), "NS",
            IF(ISNUMBER(SEARCH("NC",MAIN!K879)), "NC",
            IF(ISNUMBER(SEARCH("DQ",MAIN!K879)), "DQ",
            IF(ISNUMBER(SEARCH("A",MAIN!K879)), 0,
            IF(OR(MAIN!K879=0,MAIN!K879=""), 0, --TRIM(MAIN!K879)))))))))))),
        0
    )
)</f>
        <v>0</v>
      </c>
    </row>
    <row r="880" spans="1:11" x14ac:dyDescent="0.25">
      <c r="A880" t="str">
        <f>IF(ISBLANK(MAIN!A880), "--", IFERROR(PROPER(SUBSTITUTE(SUBSTITUTE(SUBSTITUTE(SUBSTITUTE(SUBSTITUTE(SUBSTITUTE(SUBSTITUTE(SUBSTITUTE(SUBSTITUTE(SUBSTITUTE(LEFT(MAIN!A880, FIND(",",MAIN!A880) -1), "0", ""), "1", ""), "2", ""), "3", ""), "4", ""), "5", ""), "6", ""), "7", ""), "8", ""), "9", "")), PROPER(SUBSTITUTE(SUBSTITUTE(SUBSTITUTE(SUBSTITUTE(SUBSTITUTE(SUBSTITUTE(SUBSTITUTE(SUBSTITUTE(SUBSTITUTE(SUBSTITUTE(MAIN!A880, "0", ""), "1", ""), "2", ""), "3", ""), "4", ""), "5", ""), "6", ""), "7", ""), "8", ""), "9", ""))))</f>
        <v>--</v>
      </c>
      <c r="B880" t="str">
        <f>IF(ISBLANK(MAIN!B880), "--", IFERROR(PROPER(SUBSTITUTE(SUBSTITUTE(SUBSTITUTE(SUBSTITUTE(SUBSTITUTE(SUBSTITUTE(SUBSTITUTE(SUBSTITUTE(SUBSTITUTE(SUBSTITUTE(LEFT(MAIN!B880, FIND(",",MAIN!B880) -1), "0", ""), "1", ""), "2", ""), "3", ""), "4", ""), "5", ""), "6", ""), "7", ""), "8", ""), "9", "")), PROPER(SUBSTITUTE(SUBSTITUTE(SUBSTITUTE(SUBSTITUTE(SUBSTITUTE(SUBSTITUTE(SUBSTITUTE(SUBSTITUTE(SUBSTITUTE(SUBSTITUTE(MAIN!B880, "0", ""), "1", ""), "2", ""), "3", ""), "4", ""), "5", ""), "6", ""), "7", ""), "8", ""), "9", ""))))</f>
        <v>--</v>
      </c>
      <c r="C880" t="str">
        <f>IF(ISBLANK(MAIN!C880), "--", IFERROR(PROPER(SUBSTITUTE(SUBSTITUTE(SUBSTITUTE(SUBSTITUTE(SUBSTITUTE(SUBSTITUTE(SUBSTITUTE(SUBSTITUTE(SUBSTITUTE(SUBSTITUTE(LEFT(MAIN!C880, FIND(",",MAIN!C880) -1), "0", ""), "1", ""), "2", ""), "3", ""), "4", ""), "5", ""), "6", ""), "7", ""), "8", ""), "9", "")), PROPER(SUBSTITUTE(SUBSTITUTE(SUBSTITUTE(SUBSTITUTE(SUBSTITUTE(SUBSTITUTE(SUBSTITUTE(SUBSTITUTE(SUBSTITUTE(SUBSTITUTE(MAIN!C880, "0", ""), "1", ""), "2", ""), "3", ""), "4", ""), "5", ""), "6", ""), "7", ""), "8", ""), "9", ""))))</f>
        <v>--</v>
      </c>
      <c r="D880" t="str">
        <f>IF(ISBLANK(MAIN!D880), "--", IF(ISNUMBER(MATCH(SUBSTITUTE(LEFT(MAIN!D880, IFERROR(FIND(",", MAIN!D880)-1, LEN(MAIN!D880))), " ", ""), lookup_values!$B$2:$B$51, 0)), UPPER(SUBSTITUTE(LEFT(MAIN!D880, IFERROR(FIND(",", MAIN!D880)-1, LEN(MAIN!D880))), " ", "")), IF(ISNA(VLOOKUP(SUBSTITUTE(LEFT(MAIN!D880, IFERROR(FIND(",", MAIN!D880)-1, LEN(MAIN!D880))), " ", ""), lookup_values!$A$2:$B$51, 2, FALSE)), "--", VLOOKUP(SUBSTITUTE(LEFT(MAIN!D880, IFERROR(FIND(",", MAIN!D880)-1, LEN(MAIN!D880))), " ", ""), lookup_values!$A$2:$B$51, 2, FALSE))))</f>
        <v>--</v>
      </c>
      <c r="E880" t="str">
        <f>IF(CLEAN_DATA!D880&lt;&gt;"--","US",IF(ISBLANK(MAIN!E880), "--", IF(ISNUMBER(MATCH(SUBSTITUTE(LEFT(MAIN!E880, IFERROR(FIND(",", MAIN!E880)-1, LEN(MAIN!E880))), " ", ""), lookup_values!$E$2:$E$197, 0)), UPPER(SUBSTITUTE(LEFT(MAIN!E880, IFERROR(FIND(",", MAIN!E880)-1, LEN(MAIN!E880))), " ", "")), IF(ISNA(VLOOKUP(SUBSTITUTE(LEFT(MAIN!E880, IFERROR(FIND(",", MAIN!E880)-1, LEN(MAIN!E880))), " ", ""), lookup_values!$D$2:$E$197, 2, FALSE)), "--", VLOOKUP(SUBSTITUTE(LEFT(MAIN!E880, IFERROR(FIND(",", MAIN!E880)-1, LEN(MAIN!E880))), " ", ""), lookup_values!$D$2:$E$197, 2, FALSE)))))</f>
        <v>--</v>
      </c>
      <c r="F880" t="str">
        <f>IF(ISBLANK(MAIN!F880), "", IF(AND(ISNUMBER(VALUE(TRIM(MAIN!F880))), LEN(TRIM(MAIN!F880))=4), VALUE(TRIM(MAIN!F880)), ""))</f>
        <v/>
      </c>
      <c r="G880">
        <f>IF(ISBLANK(MAIN!G880), 0, IF(ISNUMBER(VALUE(TRIM(MAIN!G880))), VALUE(TRIM(MAIN!G880)), 0))</f>
        <v>0</v>
      </c>
      <c r="H880">
        <f>IF(ISBLANK(MAIN!H880), 0, IF(ISNUMBER(VALUE(TRIM(MAIN!H880))), VALUE(TRIM(MAIN!H880)), 0))</f>
        <v>0</v>
      </c>
      <c r="I880">
        <f>IF(ISBLANK(MAIN!I880), 0, IF(ISNUMBER(VALUE(TRIM(MAIN!I880))), VALUE(TRIM(MAIN!I880)), 0))</f>
        <v>0</v>
      </c>
      <c r="J880">
        <f>IF(ISBLANK(MAIN!J880), 0, IF(ISNUMBER(VALUE(TRIM(MAIN!J880))), VALUE(TRIM(MAIN!J880)), 0))</f>
        <v>0</v>
      </c>
      <c r="K880" cm="1">
        <f t="array" ref="K880">IFERROR(
    VALUE(
        IFERROR(
            UPPER(
                IF(MAX(IFERROR(SEARCH("WD",MAIN!G880:J880), 0))&gt;0, "WD",
                IF(MAX(IFERROR(SEARCH("NS",MAIN!G880:J880), 0))&gt;0, "NS",
                IF(MAX(IFERROR(SEARCH("NC",MAIN!G880:J880), 0))&gt;0, "NC",
                IF(MAX(IFERROR(SEARCH("DQ",MAIN!G880:J880), 0))&gt;0, "DQ",
                IF(ISNUMBER(SEARCH("WD",MAIN!K880)), "WD",
                IF(ISNUMBER(SEARCH("NS",MAIN!K880)), "NS",
                IF(ISNUMBER(SEARCH("NC",MAIN!K880)), "NC",
                IF(ISNUMBER(SEARCH("DQ",MAIN!K880)), "DQ",
                IF(ISNUMBER(SEARCH("A",MAIN!K880)), 0,
                IF(OR(MAIN!K880=0,MAIN!K880=""), 0, --TRIM(MAIN!K880)))))))))))),
            0
        )
    ),
    IFERROR(
        UPPER(
            IF(MAX(IFERROR(SEARCH("WD",MAIN!G880:J880), 0))&gt;0, "WD",
            IF(MAX(IFERROR(SEARCH("NS",MAIN!G880:J880), 0))&gt;0, "NS",
            IF(MAX(IFERROR(SEARCH("NC",MAIN!G880:J880), 0))&gt;0, "NC",
            IF(MAX(IFERROR(SEARCH("DQ",MAIN!G880:J880), 0))&gt;0, "DQ",
            IF(ISNUMBER(SEARCH("WD",MAIN!K880)), "WD",
            IF(ISNUMBER(SEARCH("NS",MAIN!K880)), "NS",
            IF(ISNUMBER(SEARCH("NC",MAIN!K880)), "NC",
            IF(ISNUMBER(SEARCH("DQ",MAIN!K880)), "DQ",
            IF(ISNUMBER(SEARCH("A",MAIN!K880)), 0,
            IF(OR(MAIN!K880=0,MAIN!K880=""), 0, --TRIM(MAIN!K880)))))))))))),
        0
    )
)</f>
        <v>0</v>
      </c>
    </row>
    <row r="881" spans="1:11" x14ac:dyDescent="0.25">
      <c r="A881" t="str">
        <f>IF(ISBLANK(MAIN!A881), "--", IFERROR(PROPER(SUBSTITUTE(SUBSTITUTE(SUBSTITUTE(SUBSTITUTE(SUBSTITUTE(SUBSTITUTE(SUBSTITUTE(SUBSTITUTE(SUBSTITUTE(SUBSTITUTE(LEFT(MAIN!A881, FIND(",",MAIN!A881) -1), "0", ""), "1", ""), "2", ""), "3", ""), "4", ""), "5", ""), "6", ""), "7", ""), "8", ""), "9", "")), PROPER(SUBSTITUTE(SUBSTITUTE(SUBSTITUTE(SUBSTITUTE(SUBSTITUTE(SUBSTITUTE(SUBSTITUTE(SUBSTITUTE(SUBSTITUTE(SUBSTITUTE(MAIN!A881, "0", ""), "1", ""), "2", ""), "3", ""), "4", ""), "5", ""), "6", ""), "7", ""), "8", ""), "9", ""))))</f>
        <v>--</v>
      </c>
      <c r="B881" t="str">
        <f>IF(ISBLANK(MAIN!B881), "--", IFERROR(PROPER(SUBSTITUTE(SUBSTITUTE(SUBSTITUTE(SUBSTITUTE(SUBSTITUTE(SUBSTITUTE(SUBSTITUTE(SUBSTITUTE(SUBSTITUTE(SUBSTITUTE(LEFT(MAIN!B881, FIND(",",MAIN!B881) -1), "0", ""), "1", ""), "2", ""), "3", ""), "4", ""), "5", ""), "6", ""), "7", ""), "8", ""), "9", "")), PROPER(SUBSTITUTE(SUBSTITUTE(SUBSTITUTE(SUBSTITUTE(SUBSTITUTE(SUBSTITUTE(SUBSTITUTE(SUBSTITUTE(SUBSTITUTE(SUBSTITUTE(MAIN!B881, "0", ""), "1", ""), "2", ""), "3", ""), "4", ""), "5", ""), "6", ""), "7", ""), "8", ""), "9", ""))))</f>
        <v>--</v>
      </c>
      <c r="C881" t="str">
        <f>IF(ISBLANK(MAIN!C881), "--", IFERROR(PROPER(SUBSTITUTE(SUBSTITUTE(SUBSTITUTE(SUBSTITUTE(SUBSTITUTE(SUBSTITUTE(SUBSTITUTE(SUBSTITUTE(SUBSTITUTE(SUBSTITUTE(LEFT(MAIN!C881, FIND(",",MAIN!C881) -1), "0", ""), "1", ""), "2", ""), "3", ""), "4", ""), "5", ""), "6", ""), "7", ""), "8", ""), "9", "")), PROPER(SUBSTITUTE(SUBSTITUTE(SUBSTITUTE(SUBSTITUTE(SUBSTITUTE(SUBSTITUTE(SUBSTITUTE(SUBSTITUTE(SUBSTITUTE(SUBSTITUTE(MAIN!C881, "0", ""), "1", ""), "2", ""), "3", ""), "4", ""), "5", ""), "6", ""), "7", ""), "8", ""), "9", ""))))</f>
        <v>--</v>
      </c>
      <c r="D881" t="str">
        <f>IF(ISBLANK(MAIN!D881), "--", IF(ISNUMBER(MATCH(SUBSTITUTE(LEFT(MAIN!D881, IFERROR(FIND(",", MAIN!D881)-1, LEN(MAIN!D881))), " ", ""), lookup_values!$B$2:$B$51, 0)), UPPER(SUBSTITUTE(LEFT(MAIN!D881, IFERROR(FIND(",", MAIN!D881)-1, LEN(MAIN!D881))), " ", "")), IF(ISNA(VLOOKUP(SUBSTITUTE(LEFT(MAIN!D881, IFERROR(FIND(",", MAIN!D881)-1, LEN(MAIN!D881))), " ", ""), lookup_values!$A$2:$B$51, 2, FALSE)), "--", VLOOKUP(SUBSTITUTE(LEFT(MAIN!D881, IFERROR(FIND(",", MAIN!D881)-1, LEN(MAIN!D881))), " ", ""), lookup_values!$A$2:$B$51, 2, FALSE))))</f>
        <v>--</v>
      </c>
      <c r="E881" t="str">
        <f>IF(CLEAN_DATA!D881&lt;&gt;"--","US",IF(ISBLANK(MAIN!E881), "--", IF(ISNUMBER(MATCH(SUBSTITUTE(LEFT(MAIN!E881, IFERROR(FIND(",", MAIN!E881)-1, LEN(MAIN!E881))), " ", ""), lookup_values!$E$2:$E$197, 0)), UPPER(SUBSTITUTE(LEFT(MAIN!E881, IFERROR(FIND(",", MAIN!E881)-1, LEN(MAIN!E881))), " ", "")), IF(ISNA(VLOOKUP(SUBSTITUTE(LEFT(MAIN!E881, IFERROR(FIND(",", MAIN!E881)-1, LEN(MAIN!E881))), " ", ""), lookup_values!$D$2:$E$197, 2, FALSE)), "--", VLOOKUP(SUBSTITUTE(LEFT(MAIN!E881, IFERROR(FIND(",", MAIN!E881)-1, LEN(MAIN!E881))), " ", ""), lookup_values!$D$2:$E$197, 2, FALSE)))))</f>
        <v>--</v>
      </c>
      <c r="F881" t="str">
        <f>IF(ISBLANK(MAIN!F881), "", IF(AND(ISNUMBER(VALUE(TRIM(MAIN!F881))), LEN(TRIM(MAIN!F881))=4), VALUE(TRIM(MAIN!F881)), ""))</f>
        <v/>
      </c>
      <c r="G881">
        <f>IF(ISBLANK(MAIN!G881), 0, IF(ISNUMBER(VALUE(TRIM(MAIN!G881))), VALUE(TRIM(MAIN!G881)), 0))</f>
        <v>0</v>
      </c>
      <c r="H881">
        <f>IF(ISBLANK(MAIN!H881), 0, IF(ISNUMBER(VALUE(TRIM(MAIN!H881))), VALUE(TRIM(MAIN!H881)), 0))</f>
        <v>0</v>
      </c>
      <c r="I881">
        <f>IF(ISBLANK(MAIN!I881), 0, IF(ISNUMBER(VALUE(TRIM(MAIN!I881))), VALUE(TRIM(MAIN!I881)), 0))</f>
        <v>0</v>
      </c>
      <c r="J881">
        <f>IF(ISBLANK(MAIN!J881), 0, IF(ISNUMBER(VALUE(TRIM(MAIN!J881))), VALUE(TRIM(MAIN!J881)), 0))</f>
        <v>0</v>
      </c>
      <c r="K881" cm="1">
        <f t="array" ref="K881">IFERROR(
    VALUE(
        IFERROR(
            UPPER(
                IF(MAX(IFERROR(SEARCH("WD",MAIN!G881:J881), 0))&gt;0, "WD",
                IF(MAX(IFERROR(SEARCH("NS",MAIN!G881:J881), 0))&gt;0, "NS",
                IF(MAX(IFERROR(SEARCH("NC",MAIN!G881:J881), 0))&gt;0, "NC",
                IF(MAX(IFERROR(SEARCH("DQ",MAIN!G881:J881), 0))&gt;0, "DQ",
                IF(ISNUMBER(SEARCH("WD",MAIN!K881)), "WD",
                IF(ISNUMBER(SEARCH("NS",MAIN!K881)), "NS",
                IF(ISNUMBER(SEARCH("NC",MAIN!K881)), "NC",
                IF(ISNUMBER(SEARCH("DQ",MAIN!K881)), "DQ",
                IF(ISNUMBER(SEARCH("A",MAIN!K881)), 0,
                IF(OR(MAIN!K881=0,MAIN!K881=""), 0, --TRIM(MAIN!K881)))))))))))),
            0
        )
    ),
    IFERROR(
        UPPER(
            IF(MAX(IFERROR(SEARCH("WD",MAIN!G881:J881), 0))&gt;0, "WD",
            IF(MAX(IFERROR(SEARCH("NS",MAIN!G881:J881), 0))&gt;0, "NS",
            IF(MAX(IFERROR(SEARCH("NC",MAIN!G881:J881), 0))&gt;0, "NC",
            IF(MAX(IFERROR(SEARCH("DQ",MAIN!G881:J881), 0))&gt;0, "DQ",
            IF(ISNUMBER(SEARCH("WD",MAIN!K881)), "WD",
            IF(ISNUMBER(SEARCH("NS",MAIN!K881)), "NS",
            IF(ISNUMBER(SEARCH("NC",MAIN!K881)), "NC",
            IF(ISNUMBER(SEARCH("DQ",MAIN!K881)), "DQ",
            IF(ISNUMBER(SEARCH("A",MAIN!K881)), 0,
            IF(OR(MAIN!K881=0,MAIN!K881=""), 0, --TRIM(MAIN!K881)))))))))))),
        0
    )
)</f>
        <v>0</v>
      </c>
    </row>
    <row r="882" spans="1:11" x14ac:dyDescent="0.25">
      <c r="A882" t="str">
        <f>IF(ISBLANK(MAIN!A882), "--", IFERROR(PROPER(SUBSTITUTE(SUBSTITUTE(SUBSTITUTE(SUBSTITUTE(SUBSTITUTE(SUBSTITUTE(SUBSTITUTE(SUBSTITUTE(SUBSTITUTE(SUBSTITUTE(LEFT(MAIN!A882, FIND(",",MAIN!A882) -1), "0", ""), "1", ""), "2", ""), "3", ""), "4", ""), "5", ""), "6", ""), "7", ""), "8", ""), "9", "")), PROPER(SUBSTITUTE(SUBSTITUTE(SUBSTITUTE(SUBSTITUTE(SUBSTITUTE(SUBSTITUTE(SUBSTITUTE(SUBSTITUTE(SUBSTITUTE(SUBSTITUTE(MAIN!A882, "0", ""), "1", ""), "2", ""), "3", ""), "4", ""), "5", ""), "6", ""), "7", ""), "8", ""), "9", ""))))</f>
        <v>--</v>
      </c>
      <c r="B882" t="str">
        <f>IF(ISBLANK(MAIN!B882), "--", IFERROR(PROPER(SUBSTITUTE(SUBSTITUTE(SUBSTITUTE(SUBSTITUTE(SUBSTITUTE(SUBSTITUTE(SUBSTITUTE(SUBSTITUTE(SUBSTITUTE(SUBSTITUTE(LEFT(MAIN!B882, FIND(",",MAIN!B882) -1), "0", ""), "1", ""), "2", ""), "3", ""), "4", ""), "5", ""), "6", ""), "7", ""), "8", ""), "9", "")), PROPER(SUBSTITUTE(SUBSTITUTE(SUBSTITUTE(SUBSTITUTE(SUBSTITUTE(SUBSTITUTE(SUBSTITUTE(SUBSTITUTE(SUBSTITUTE(SUBSTITUTE(MAIN!B882, "0", ""), "1", ""), "2", ""), "3", ""), "4", ""), "5", ""), "6", ""), "7", ""), "8", ""), "9", ""))))</f>
        <v>--</v>
      </c>
      <c r="C882" t="str">
        <f>IF(ISBLANK(MAIN!C882), "--", IFERROR(PROPER(SUBSTITUTE(SUBSTITUTE(SUBSTITUTE(SUBSTITUTE(SUBSTITUTE(SUBSTITUTE(SUBSTITUTE(SUBSTITUTE(SUBSTITUTE(SUBSTITUTE(LEFT(MAIN!C882, FIND(",",MAIN!C882) -1), "0", ""), "1", ""), "2", ""), "3", ""), "4", ""), "5", ""), "6", ""), "7", ""), "8", ""), "9", "")), PROPER(SUBSTITUTE(SUBSTITUTE(SUBSTITUTE(SUBSTITUTE(SUBSTITUTE(SUBSTITUTE(SUBSTITUTE(SUBSTITUTE(SUBSTITUTE(SUBSTITUTE(MAIN!C882, "0", ""), "1", ""), "2", ""), "3", ""), "4", ""), "5", ""), "6", ""), "7", ""), "8", ""), "9", ""))))</f>
        <v>--</v>
      </c>
      <c r="D882" t="str">
        <f>IF(ISBLANK(MAIN!D882), "--", IF(ISNUMBER(MATCH(SUBSTITUTE(LEFT(MAIN!D882, IFERROR(FIND(",", MAIN!D882)-1, LEN(MAIN!D882))), " ", ""), lookup_values!$B$2:$B$51, 0)), UPPER(SUBSTITUTE(LEFT(MAIN!D882, IFERROR(FIND(",", MAIN!D882)-1, LEN(MAIN!D882))), " ", "")), IF(ISNA(VLOOKUP(SUBSTITUTE(LEFT(MAIN!D882, IFERROR(FIND(",", MAIN!D882)-1, LEN(MAIN!D882))), " ", ""), lookup_values!$A$2:$B$51, 2, FALSE)), "--", VLOOKUP(SUBSTITUTE(LEFT(MAIN!D882, IFERROR(FIND(",", MAIN!D882)-1, LEN(MAIN!D882))), " ", ""), lookup_values!$A$2:$B$51, 2, FALSE))))</f>
        <v>--</v>
      </c>
      <c r="E882" t="str">
        <f>IF(CLEAN_DATA!D882&lt;&gt;"--","US",IF(ISBLANK(MAIN!E882), "--", IF(ISNUMBER(MATCH(SUBSTITUTE(LEFT(MAIN!E882, IFERROR(FIND(",", MAIN!E882)-1, LEN(MAIN!E882))), " ", ""), lookup_values!$E$2:$E$197, 0)), UPPER(SUBSTITUTE(LEFT(MAIN!E882, IFERROR(FIND(",", MAIN!E882)-1, LEN(MAIN!E882))), " ", "")), IF(ISNA(VLOOKUP(SUBSTITUTE(LEFT(MAIN!E882, IFERROR(FIND(",", MAIN!E882)-1, LEN(MAIN!E882))), " ", ""), lookup_values!$D$2:$E$197, 2, FALSE)), "--", VLOOKUP(SUBSTITUTE(LEFT(MAIN!E882, IFERROR(FIND(",", MAIN!E882)-1, LEN(MAIN!E882))), " ", ""), lookup_values!$D$2:$E$197, 2, FALSE)))))</f>
        <v>--</v>
      </c>
      <c r="F882" t="str">
        <f>IF(ISBLANK(MAIN!F882), "", IF(AND(ISNUMBER(VALUE(TRIM(MAIN!F882))), LEN(TRIM(MAIN!F882))=4), VALUE(TRIM(MAIN!F882)), ""))</f>
        <v/>
      </c>
      <c r="G882">
        <f>IF(ISBLANK(MAIN!G882), 0, IF(ISNUMBER(VALUE(TRIM(MAIN!G882))), VALUE(TRIM(MAIN!G882)), 0))</f>
        <v>0</v>
      </c>
      <c r="H882">
        <f>IF(ISBLANK(MAIN!H882), 0, IF(ISNUMBER(VALUE(TRIM(MAIN!H882))), VALUE(TRIM(MAIN!H882)), 0))</f>
        <v>0</v>
      </c>
      <c r="I882">
        <f>IF(ISBLANK(MAIN!I882), 0, IF(ISNUMBER(VALUE(TRIM(MAIN!I882))), VALUE(TRIM(MAIN!I882)), 0))</f>
        <v>0</v>
      </c>
      <c r="J882">
        <f>IF(ISBLANK(MAIN!J882), 0, IF(ISNUMBER(VALUE(TRIM(MAIN!J882))), VALUE(TRIM(MAIN!J882)), 0))</f>
        <v>0</v>
      </c>
      <c r="K882" cm="1">
        <f t="array" ref="K882">IFERROR(
    VALUE(
        IFERROR(
            UPPER(
                IF(MAX(IFERROR(SEARCH("WD",MAIN!G882:J882), 0))&gt;0, "WD",
                IF(MAX(IFERROR(SEARCH("NS",MAIN!G882:J882), 0))&gt;0, "NS",
                IF(MAX(IFERROR(SEARCH("NC",MAIN!G882:J882), 0))&gt;0, "NC",
                IF(MAX(IFERROR(SEARCH("DQ",MAIN!G882:J882), 0))&gt;0, "DQ",
                IF(ISNUMBER(SEARCH("WD",MAIN!K882)), "WD",
                IF(ISNUMBER(SEARCH("NS",MAIN!K882)), "NS",
                IF(ISNUMBER(SEARCH("NC",MAIN!K882)), "NC",
                IF(ISNUMBER(SEARCH("DQ",MAIN!K882)), "DQ",
                IF(ISNUMBER(SEARCH("A",MAIN!K882)), 0,
                IF(OR(MAIN!K882=0,MAIN!K882=""), 0, --TRIM(MAIN!K882)))))))))))),
            0
        )
    ),
    IFERROR(
        UPPER(
            IF(MAX(IFERROR(SEARCH("WD",MAIN!G882:J882), 0))&gt;0, "WD",
            IF(MAX(IFERROR(SEARCH("NS",MAIN!G882:J882), 0))&gt;0, "NS",
            IF(MAX(IFERROR(SEARCH("NC",MAIN!G882:J882), 0))&gt;0, "NC",
            IF(MAX(IFERROR(SEARCH("DQ",MAIN!G882:J882), 0))&gt;0, "DQ",
            IF(ISNUMBER(SEARCH("WD",MAIN!K882)), "WD",
            IF(ISNUMBER(SEARCH("NS",MAIN!K882)), "NS",
            IF(ISNUMBER(SEARCH("NC",MAIN!K882)), "NC",
            IF(ISNUMBER(SEARCH("DQ",MAIN!K882)), "DQ",
            IF(ISNUMBER(SEARCH("A",MAIN!K882)), 0,
            IF(OR(MAIN!K882=0,MAIN!K882=""), 0, --TRIM(MAIN!K882)))))))))))),
        0
    )
)</f>
        <v>0</v>
      </c>
    </row>
    <row r="883" spans="1:11" x14ac:dyDescent="0.25">
      <c r="A883" t="str">
        <f>IF(ISBLANK(MAIN!A883), "--", IFERROR(PROPER(SUBSTITUTE(SUBSTITUTE(SUBSTITUTE(SUBSTITUTE(SUBSTITUTE(SUBSTITUTE(SUBSTITUTE(SUBSTITUTE(SUBSTITUTE(SUBSTITUTE(LEFT(MAIN!A883, FIND(",",MAIN!A883) -1), "0", ""), "1", ""), "2", ""), "3", ""), "4", ""), "5", ""), "6", ""), "7", ""), "8", ""), "9", "")), PROPER(SUBSTITUTE(SUBSTITUTE(SUBSTITUTE(SUBSTITUTE(SUBSTITUTE(SUBSTITUTE(SUBSTITUTE(SUBSTITUTE(SUBSTITUTE(SUBSTITUTE(MAIN!A883, "0", ""), "1", ""), "2", ""), "3", ""), "4", ""), "5", ""), "6", ""), "7", ""), "8", ""), "9", ""))))</f>
        <v>--</v>
      </c>
      <c r="B883" t="str">
        <f>IF(ISBLANK(MAIN!B883), "--", IFERROR(PROPER(SUBSTITUTE(SUBSTITUTE(SUBSTITUTE(SUBSTITUTE(SUBSTITUTE(SUBSTITUTE(SUBSTITUTE(SUBSTITUTE(SUBSTITUTE(SUBSTITUTE(LEFT(MAIN!B883, FIND(",",MAIN!B883) -1), "0", ""), "1", ""), "2", ""), "3", ""), "4", ""), "5", ""), "6", ""), "7", ""), "8", ""), "9", "")), PROPER(SUBSTITUTE(SUBSTITUTE(SUBSTITUTE(SUBSTITUTE(SUBSTITUTE(SUBSTITUTE(SUBSTITUTE(SUBSTITUTE(SUBSTITUTE(SUBSTITUTE(MAIN!B883, "0", ""), "1", ""), "2", ""), "3", ""), "4", ""), "5", ""), "6", ""), "7", ""), "8", ""), "9", ""))))</f>
        <v>--</v>
      </c>
      <c r="C883" t="str">
        <f>IF(ISBLANK(MAIN!C883), "--", IFERROR(PROPER(SUBSTITUTE(SUBSTITUTE(SUBSTITUTE(SUBSTITUTE(SUBSTITUTE(SUBSTITUTE(SUBSTITUTE(SUBSTITUTE(SUBSTITUTE(SUBSTITUTE(LEFT(MAIN!C883, FIND(",",MAIN!C883) -1), "0", ""), "1", ""), "2", ""), "3", ""), "4", ""), "5", ""), "6", ""), "7", ""), "8", ""), "9", "")), PROPER(SUBSTITUTE(SUBSTITUTE(SUBSTITUTE(SUBSTITUTE(SUBSTITUTE(SUBSTITUTE(SUBSTITUTE(SUBSTITUTE(SUBSTITUTE(SUBSTITUTE(MAIN!C883, "0", ""), "1", ""), "2", ""), "3", ""), "4", ""), "5", ""), "6", ""), "7", ""), "8", ""), "9", ""))))</f>
        <v>--</v>
      </c>
      <c r="D883" t="str">
        <f>IF(ISBLANK(MAIN!D883), "--", IF(ISNUMBER(MATCH(SUBSTITUTE(LEFT(MAIN!D883, IFERROR(FIND(",", MAIN!D883)-1, LEN(MAIN!D883))), " ", ""), lookup_values!$B$2:$B$51, 0)), UPPER(SUBSTITUTE(LEFT(MAIN!D883, IFERROR(FIND(",", MAIN!D883)-1, LEN(MAIN!D883))), " ", "")), IF(ISNA(VLOOKUP(SUBSTITUTE(LEFT(MAIN!D883, IFERROR(FIND(",", MAIN!D883)-1, LEN(MAIN!D883))), " ", ""), lookup_values!$A$2:$B$51, 2, FALSE)), "--", VLOOKUP(SUBSTITUTE(LEFT(MAIN!D883, IFERROR(FIND(",", MAIN!D883)-1, LEN(MAIN!D883))), " ", ""), lookup_values!$A$2:$B$51, 2, FALSE))))</f>
        <v>--</v>
      </c>
      <c r="E883" t="str">
        <f>IF(CLEAN_DATA!D883&lt;&gt;"--","US",IF(ISBLANK(MAIN!E883), "--", IF(ISNUMBER(MATCH(SUBSTITUTE(LEFT(MAIN!E883, IFERROR(FIND(",", MAIN!E883)-1, LEN(MAIN!E883))), " ", ""), lookup_values!$E$2:$E$197, 0)), UPPER(SUBSTITUTE(LEFT(MAIN!E883, IFERROR(FIND(",", MAIN!E883)-1, LEN(MAIN!E883))), " ", "")), IF(ISNA(VLOOKUP(SUBSTITUTE(LEFT(MAIN!E883, IFERROR(FIND(",", MAIN!E883)-1, LEN(MAIN!E883))), " ", ""), lookup_values!$D$2:$E$197, 2, FALSE)), "--", VLOOKUP(SUBSTITUTE(LEFT(MAIN!E883, IFERROR(FIND(",", MAIN!E883)-1, LEN(MAIN!E883))), " ", ""), lookup_values!$D$2:$E$197, 2, FALSE)))))</f>
        <v>--</v>
      </c>
      <c r="F883" t="str">
        <f>IF(ISBLANK(MAIN!F883), "", IF(AND(ISNUMBER(VALUE(TRIM(MAIN!F883))), LEN(TRIM(MAIN!F883))=4), VALUE(TRIM(MAIN!F883)), ""))</f>
        <v/>
      </c>
      <c r="G883">
        <f>IF(ISBLANK(MAIN!G883), 0, IF(ISNUMBER(VALUE(TRIM(MAIN!G883))), VALUE(TRIM(MAIN!G883)), 0))</f>
        <v>0</v>
      </c>
      <c r="H883">
        <f>IF(ISBLANK(MAIN!H883), 0, IF(ISNUMBER(VALUE(TRIM(MAIN!H883))), VALUE(TRIM(MAIN!H883)), 0))</f>
        <v>0</v>
      </c>
      <c r="I883">
        <f>IF(ISBLANK(MAIN!I883), 0, IF(ISNUMBER(VALUE(TRIM(MAIN!I883))), VALUE(TRIM(MAIN!I883)), 0))</f>
        <v>0</v>
      </c>
      <c r="J883">
        <f>IF(ISBLANK(MAIN!J883), 0, IF(ISNUMBER(VALUE(TRIM(MAIN!J883))), VALUE(TRIM(MAIN!J883)), 0))</f>
        <v>0</v>
      </c>
      <c r="K883" cm="1">
        <f t="array" ref="K883">IFERROR(
    VALUE(
        IFERROR(
            UPPER(
                IF(MAX(IFERROR(SEARCH("WD",MAIN!G883:J883), 0))&gt;0, "WD",
                IF(MAX(IFERROR(SEARCH("NS",MAIN!G883:J883), 0))&gt;0, "NS",
                IF(MAX(IFERROR(SEARCH("NC",MAIN!G883:J883), 0))&gt;0, "NC",
                IF(MAX(IFERROR(SEARCH("DQ",MAIN!G883:J883), 0))&gt;0, "DQ",
                IF(ISNUMBER(SEARCH("WD",MAIN!K883)), "WD",
                IF(ISNUMBER(SEARCH("NS",MAIN!K883)), "NS",
                IF(ISNUMBER(SEARCH("NC",MAIN!K883)), "NC",
                IF(ISNUMBER(SEARCH("DQ",MAIN!K883)), "DQ",
                IF(ISNUMBER(SEARCH("A",MAIN!K883)), 0,
                IF(OR(MAIN!K883=0,MAIN!K883=""), 0, --TRIM(MAIN!K883)))))))))))),
            0
        )
    ),
    IFERROR(
        UPPER(
            IF(MAX(IFERROR(SEARCH("WD",MAIN!G883:J883), 0))&gt;0, "WD",
            IF(MAX(IFERROR(SEARCH("NS",MAIN!G883:J883), 0))&gt;0, "NS",
            IF(MAX(IFERROR(SEARCH("NC",MAIN!G883:J883), 0))&gt;0, "NC",
            IF(MAX(IFERROR(SEARCH("DQ",MAIN!G883:J883), 0))&gt;0, "DQ",
            IF(ISNUMBER(SEARCH("WD",MAIN!K883)), "WD",
            IF(ISNUMBER(SEARCH("NS",MAIN!K883)), "NS",
            IF(ISNUMBER(SEARCH("NC",MAIN!K883)), "NC",
            IF(ISNUMBER(SEARCH("DQ",MAIN!K883)), "DQ",
            IF(ISNUMBER(SEARCH("A",MAIN!K883)), 0,
            IF(OR(MAIN!K883=0,MAIN!K883=""), 0, --TRIM(MAIN!K883)))))))))))),
        0
    )
)</f>
        <v>0</v>
      </c>
    </row>
    <row r="884" spans="1:11" x14ac:dyDescent="0.25">
      <c r="A884" t="str">
        <f>IF(ISBLANK(MAIN!A884), "--", IFERROR(PROPER(SUBSTITUTE(SUBSTITUTE(SUBSTITUTE(SUBSTITUTE(SUBSTITUTE(SUBSTITUTE(SUBSTITUTE(SUBSTITUTE(SUBSTITUTE(SUBSTITUTE(LEFT(MAIN!A884, FIND(",",MAIN!A884) -1), "0", ""), "1", ""), "2", ""), "3", ""), "4", ""), "5", ""), "6", ""), "7", ""), "8", ""), "9", "")), PROPER(SUBSTITUTE(SUBSTITUTE(SUBSTITUTE(SUBSTITUTE(SUBSTITUTE(SUBSTITUTE(SUBSTITUTE(SUBSTITUTE(SUBSTITUTE(SUBSTITUTE(MAIN!A884, "0", ""), "1", ""), "2", ""), "3", ""), "4", ""), "5", ""), "6", ""), "7", ""), "8", ""), "9", ""))))</f>
        <v>--</v>
      </c>
      <c r="B884" t="str">
        <f>IF(ISBLANK(MAIN!B884), "--", IFERROR(PROPER(SUBSTITUTE(SUBSTITUTE(SUBSTITUTE(SUBSTITUTE(SUBSTITUTE(SUBSTITUTE(SUBSTITUTE(SUBSTITUTE(SUBSTITUTE(SUBSTITUTE(LEFT(MAIN!B884, FIND(",",MAIN!B884) -1), "0", ""), "1", ""), "2", ""), "3", ""), "4", ""), "5", ""), "6", ""), "7", ""), "8", ""), "9", "")), PROPER(SUBSTITUTE(SUBSTITUTE(SUBSTITUTE(SUBSTITUTE(SUBSTITUTE(SUBSTITUTE(SUBSTITUTE(SUBSTITUTE(SUBSTITUTE(SUBSTITUTE(MAIN!B884, "0", ""), "1", ""), "2", ""), "3", ""), "4", ""), "5", ""), "6", ""), "7", ""), "8", ""), "9", ""))))</f>
        <v>--</v>
      </c>
      <c r="C884" t="str">
        <f>IF(ISBLANK(MAIN!C884), "--", IFERROR(PROPER(SUBSTITUTE(SUBSTITUTE(SUBSTITUTE(SUBSTITUTE(SUBSTITUTE(SUBSTITUTE(SUBSTITUTE(SUBSTITUTE(SUBSTITUTE(SUBSTITUTE(LEFT(MAIN!C884, FIND(",",MAIN!C884) -1), "0", ""), "1", ""), "2", ""), "3", ""), "4", ""), "5", ""), "6", ""), "7", ""), "8", ""), "9", "")), PROPER(SUBSTITUTE(SUBSTITUTE(SUBSTITUTE(SUBSTITUTE(SUBSTITUTE(SUBSTITUTE(SUBSTITUTE(SUBSTITUTE(SUBSTITUTE(SUBSTITUTE(MAIN!C884, "0", ""), "1", ""), "2", ""), "3", ""), "4", ""), "5", ""), "6", ""), "7", ""), "8", ""), "9", ""))))</f>
        <v>--</v>
      </c>
      <c r="D884" t="str">
        <f>IF(ISBLANK(MAIN!D884), "--", IF(ISNUMBER(MATCH(SUBSTITUTE(LEFT(MAIN!D884, IFERROR(FIND(",", MAIN!D884)-1, LEN(MAIN!D884))), " ", ""), lookup_values!$B$2:$B$51, 0)), UPPER(SUBSTITUTE(LEFT(MAIN!D884, IFERROR(FIND(",", MAIN!D884)-1, LEN(MAIN!D884))), " ", "")), IF(ISNA(VLOOKUP(SUBSTITUTE(LEFT(MAIN!D884, IFERROR(FIND(",", MAIN!D884)-1, LEN(MAIN!D884))), " ", ""), lookup_values!$A$2:$B$51, 2, FALSE)), "--", VLOOKUP(SUBSTITUTE(LEFT(MAIN!D884, IFERROR(FIND(",", MAIN!D884)-1, LEN(MAIN!D884))), " ", ""), lookup_values!$A$2:$B$51, 2, FALSE))))</f>
        <v>--</v>
      </c>
      <c r="E884" t="str">
        <f>IF(CLEAN_DATA!D884&lt;&gt;"--","US",IF(ISBLANK(MAIN!E884), "--", IF(ISNUMBER(MATCH(SUBSTITUTE(LEFT(MAIN!E884, IFERROR(FIND(",", MAIN!E884)-1, LEN(MAIN!E884))), " ", ""), lookup_values!$E$2:$E$197, 0)), UPPER(SUBSTITUTE(LEFT(MAIN!E884, IFERROR(FIND(",", MAIN!E884)-1, LEN(MAIN!E884))), " ", "")), IF(ISNA(VLOOKUP(SUBSTITUTE(LEFT(MAIN!E884, IFERROR(FIND(",", MAIN!E884)-1, LEN(MAIN!E884))), " ", ""), lookup_values!$D$2:$E$197, 2, FALSE)), "--", VLOOKUP(SUBSTITUTE(LEFT(MAIN!E884, IFERROR(FIND(",", MAIN!E884)-1, LEN(MAIN!E884))), " ", ""), lookup_values!$D$2:$E$197, 2, FALSE)))))</f>
        <v>--</v>
      </c>
      <c r="F884" t="str">
        <f>IF(ISBLANK(MAIN!F884), "", IF(AND(ISNUMBER(VALUE(TRIM(MAIN!F884))), LEN(TRIM(MAIN!F884))=4), VALUE(TRIM(MAIN!F884)), ""))</f>
        <v/>
      </c>
      <c r="G884">
        <f>IF(ISBLANK(MAIN!G884), 0, IF(ISNUMBER(VALUE(TRIM(MAIN!G884))), VALUE(TRIM(MAIN!G884)), 0))</f>
        <v>0</v>
      </c>
      <c r="H884">
        <f>IF(ISBLANK(MAIN!H884), 0, IF(ISNUMBER(VALUE(TRIM(MAIN!H884))), VALUE(TRIM(MAIN!H884)), 0))</f>
        <v>0</v>
      </c>
      <c r="I884">
        <f>IF(ISBLANK(MAIN!I884), 0, IF(ISNUMBER(VALUE(TRIM(MAIN!I884))), VALUE(TRIM(MAIN!I884)), 0))</f>
        <v>0</v>
      </c>
      <c r="J884">
        <f>IF(ISBLANK(MAIN!J884), 0, IF(ISNUMBER(VALUE(TRIM(MAIN!J884))), VALUE(TRIM(MAIN!J884)), 0))</f>
        <v>0</v>
      </c>
      <c r="K884" cm="1">
        <f t="array" ref="K884">IFERROR(
    VALUE(
        IFERROR(
            UPPER(
                IF(MAX(IFERROR(SEARCH("WD",MAIN!G884:J884), 0))&gt;0, "WD",
                IF(MAX(IFERROR(SEARCH("NS",MAIN!G884:J884), 0))&gt;0, "NS",
                IF(MAX(IFERROR(SEARCH("NC",MAIN!G884:J884), 0))&gt;0, "NC",
                IF(MAX(IFERROR(SEARCH("DQ",MAIN!G884:J884), 0))&gt;0, "DQ",
                IF(ISNUMBER(SEARCH("WD",MAIN!K884)), "WD",
                IF(ISNUMBER(SEARCH("NS",MAIN!K884)), "NS",
                IF(ISNUMBER(SEARCH("NC",MAIN!K884)), "NC",
                IF(ISNUMBER(SEARCH("DQ",MAIN!K884)), "DQ",
                IF(ISNUMBER(SEARCH("A",MAIN!K884)), 0,
                IF(OR(MAIN!K884=0,MAIN!K884=""), 0, --TRIM(MAIN!K884)))))))))))),
            0
        )
    ),
    IFERROR(
        UPPER(
            IF(MAX(IFERROR(SEARCH("WD",MAIN!G884:J884), 0))&gt;0, "WD",
            IF(MAX(IFERROR(SEARCH("NS",MAIN!G884:J884), 0))&gt;0, "NS",
            IF(MAX(IFERROR(SEARCH("NC",MAIN!G884:J884), 0))&gt;0, "NC",
            IF(MAX(IFERROR(SEARCH("DQ",MAIN!G884:J884), 0))&gt;0, "DQ",
            IF(ISNUMBER(SEARCH("WD",MAIN!K884)), "WD",
            IF(ISNUMBER(SEARCH("NS",MAIN!K884)), "NS",
            IF(ISNUMBER(SEARCH("NC",MAIN!K884)), "NC",
            IF(ISNUMBER(SEARCH("DQ",MAIN!K884)), "DQ",
            IF(ISNUMBER(SEARCH("A",MAIN!K884)), 0,
            IF(OR(MAIN!K884=0,MAIN!K884=""), 0, --TRIM(MAIN!K884)))))))))))),
        0
    )
)</f>
        <v>0</v>
      </c>
    </row>
    <row r="885" spans="1:11" x14ac:dyDescent="0.25">
      <c r="A885" t="str">
        <f>IF(ISBLANK(MAIN!A885), "--", IFERROR(PROPER(SUBSTITUTE(SUBSTITUTE(SUBSTITUTE(SUBSTITUTE(SUBSTITUTE(SUBSTITUTE(SUBSTITUTE(SUBSTITUTE(SUBSTITUTE(SUBSTITUTE(LEFT(MAIN!A885, FIND(",",MAIN!A885) -1), "0", ""), "1", ""), "2", ""), "3", ""), "4", ""), "5", ""), "6", ""), "7", ""), "8", ""), "9", "")), PROPER(SUBSTITUTE(SUBSTITUTE(SUBSTITUTE(SUBSTITUTE(SUBSTITUTE(SUBSTITUTE(SUBSTITUTE(SUBSTITUTE(SUBSTITUTE(SUBSTITUTE(MAIN!A885, "0", ""), "1", ""), "2", ""), "3", ""), "4", ""), "5", ""), "6", ""), "7", ""), "8", ""), "9", ""))))</f>
        <v>--</v>
      </c>
      <c r="B885" t="str">
        <f>IF(ISBLANK(MAIN!B885), "--", IFERROR(PROPER(SUBSTITUTE(SUBSTITUTE(SUBSTITUTE(SUBSTITUTE(SUBSTITUTE(SUBSTITUTE(SUBSTITUTE(SUBSTITUTE(SUBSTITUTE(SUBSTITUTE(LEFT(MAIN!B885, FIND(",",MAIN!B885) -1), "0", ""), "1", ""), "2", ""), "3", ""), "4", ""), "5", ""), "6", ""), "7", ""), "8", ""), "9", "")), PROPER(SUBSTITUTE(SUBSTITUTE(SUBSTITUTE(SUBSTITUTE(SUBSTITUTE(SUBSTITUTE(SUBSTITUTE(SUBSTITUTE(SUBSTITUTE(SUBSTITUTE(MAIN!B885, "0", ""), "1", ""), "2", ""), "3", ""), "4", ""), "5", ""), "6", ""), "7", ""), "8", ""), "9", ""))))</f>
        <v>--</v>
      </c>
      <c r="C885" t="str">
        <f>IF(ISBLANK(MAIN!C885), "--", IFERROR(PROPER(SUBSTITUTE(SUBSTITUTE(SUBSTITUTE(SUBSTITUTE(SUBSTITUTE(SUBSTITUTE(SUBSTITUTE(SUBSTITUTE(SUBSTITUTE(SUBSTITUTE(LEFT(MAIN!C885, FIND(",",MAIN!C885) -1), "0", ""), "1", ""), "2", ""), "3", ""), "4", ""), "5", ""), "6", ""), "7", ""), "8", ""), "9", "")), PROPER(SUBSTITUTE(SUBSTITUTE(SUBSTITUTE(SUBSTITUTE(SUBSTITUTE(SUBSTITUTE(SUBSTITUTE(SUBSTITUTE(SUBSTITUTE(SUBSTITUTE(MAIN!C885, "0", ""), "1", ""), "2", ""), "3", ""), "4", ""), "5", ""), "6", ""), "7", ""), "8", ""), "9", ""))))</f>
        <v>--</v>
      </c>
      <c r="D885" t="str">
        <f>IF(ISBLANK(MAIN!D885), "--", IF(ISNUMBER(MATCH(SUBSTITUTE(LEFT(MAIN!D885, IFERROR(FIND(",", MAIN!D885)-1, LEN(MAIN!D885))), " ", ""), lookup_values!$B$2:$B$51, 0)), UPPER(SUBSTITUTE(LEFT(MAIN!D885, IFERROR(FIND(",", MAIN!D885)-1, LEN(MAIN!D885))), " ", "")), IF(ISNA(VLOOKUP(SUBSTITUTE(LEFT(MAIN!D885, IFERROR(FIND(",", MAIN!D885)-1, LEN(MAIN!D885))), " ", ""), lookup_values!$A$2:$B$51, 2, FALSE)), "--", VLOOKUP(SUBSTITUTE(LEFT(MAIN!D885, IFERROR(FIND(",", MAIN!D885)-1, LEN(MAIN!D885))), " ", ""), lookup_values!$A$2:$B$51, 2, FALSE))))</f>
        <v>--</v>
      </c>
      <c r="E885" t="str">
        <f>IF(CLEAN_DATA!D885&lt;&gt;"--","US",IF(ISBLANK(MAIN!E885), "--", IF(ISNUMBER(MATCH(SUBSTITUTE(LEFT(MAIN!E885, IFERROR(FIND(",", MAIN!E885)-1, LEN(MAIN!E885))), " ", ""), lookup_values!$E$2:$E$197, 0)), UPPER(SUBSTITUTE(LEFT(MAIN!E885, IFERROR(FIND(",", MAIN!E885)-1, LEN(MAIN!E885))), " ", "")), IF(ISNA(VLOOKUP(SUBSTITUTE(LEFT(MAIN!E885, IFERROR(FIND(",", MAIN!E885)-1, LEN(MAIN!E885))), " ", ""), lookup_values!$D$2:$E$197, 2, FALSE)), "--", VLOOKUP(SUBSTITUTE(LEFT(MAIN!E885, IFERROR(FIND(",", MAIN!E885)-1, LEN(MAIN!E885))), " ", ""), lookup_values!$D$2:$E$197, 2, FALSE)))))</f>
        <v>--</v>
      </c>
      <c r="F885" t="str">
        <f>IF(ISBLANK(MAIN!F885), "", IF(AND(ISNUMBER(VALUE(TRIM(MAIN!F885))), LEN(TRIM(MAIN!F885))=4), VALUE(TRIM(MAIN!F885)), ""))</f>
        <v/>
      </c>
      <c r="G885">
        <f>IF(ISBLANK(MAIN!G885), 0, IF(ISNUMBER(VALUE(TRIM(MAIN!G885))), VALUE(TRIM(MAIN!G885)), 0))</f>
        <v>0</v>
      </c>
      <c r="H885">
        <f>IF(ISBLANK(MAIN!H885), 0, IF(ISNUMBER(VALUE(TRIM(MAIN!H885))), VALUE(TRIM(MAIN!H885)), 0))</f>
        <v>0</v>
      </c>
      <c r="I885">
        <f>IF(ISBLANK(MAIN!I885), 0, IF(ISNUMBER(VALUE(TRIM(MAIN!I885))), VALUE(TRIM(MAIN!I885)), 0))</f>
        <v>0</v>
      </c>
      <c r="J885">
        <f>IF(ISBLANK(MAIN!J885), 0, IF(ISNUMBER(VALUE(TRIM(MAIN!J885))), VALUE(TRIM(MAIN!J885)), 0))</f>
        <v>0</v>
      </c>
      <c r="K885" cm="1">
        <f t="array" ref="K885">IFERROR(
    VALUE(
        IFERROR(
            UPPER(
                IF(MAX(IFERROR(SEARCH("WD",MAIN!G885:J885), 0))&gt;0, "WD",
                IF(MAX(IFERROR(SEARCH("NS",MAIN!G885:J885), 0))&gt;0, "NS",
                IF(MAX(IFERROR(SEARCH("NC",MAIN!G885:J885), 0))&gt;0, "NC",
                IF(MAX(IFERROR(SEARCH("DQ",MAIN!G885:J885), 0))&gt;0, "DQ",
                IF(ISNUMBER(SEARCH("WD",MAIN!K885)), "WD",
                IF(ISNUMBER(SEARCH("NS",MAIN!K885)), "NS",
                IF(ISNUMBER(SEARCH("NC",MAIN!K885)), "NC",
                IF(ISNUMBER(SEARCH("DQ",MAIN!K885)), "DQ",
                IF(ISNUMBER(SEARCH("A",MAIN!K885)), 0,
                IF(OR(MAIN!K885=0,MAIN!K885=""), 0, --TRIM(MAIN!K885)))))))))))),
            0
        )
    ),
    IFERROR(
        UPPER(
            IF(MAX(IFERROR(SEARCH("WD",MAIN!G885:J885), 0))&gt;0, "WD",
            IF(MAX(IFERROR(SEARCH("NS",MAIN!G885:J885), 0))&gt;0, "NS",
            IF(MAX(IFERROR(SEARCH("NC",MAIN!G885:J885), 0))&gt;0, "NC",
            IF(MAX(IFERROR(SEARCH("DQ",MAIN!G885:J885), 0))&gt;0, "DQ",
            IF(ISNUMBER(SEARCH("WD",MAIN!K885)), "WD",
            IF(ISNUMBER(SEARCH("NS",MAIN!K885)), "NS",
            IF(ISNUMBER(SEARCH("NC",MAIN!K885)), "NC",
            IF(ISNUMBER(SEARCH("DQ",MAIN!K885)), "DQ",
            IF(ISNUMBER(SEARCH("A",MAIN!K885)), 0,
            IF(OR(MAIN!K885=0,MAIN!K885=""), 0, --TRIM(MAIN!K885)))))))))))),
        0
    )
)</f>
        <v>0</v>
      </c>
    </row>
    <row r="886" spans="1:11" x14ac:dyDescent="0.25">
      <c r="A886" t="str">
        <f>IF(ISBLANK(MAIN!A886), "--", IFERROR(PROPER(SUBSTITUTE(SUBSTITUTE(SUBSTITUTE(SUBSTITUTE(SUBSTITUTE(SUBSTITUTE(SUBSTITUTE(SUBSTITUTE(SUBSTITUTE(SUBSTITUTE(LEFT(MAIN!A886, FIND(",",MAIN!A886) -1), "0", ""), "1", ""), "2", ""), "3", ""), "4", ""), "5", ""), "6", ""), "7", ""), "8", ""), "9", "")), PROPER(SUBSTITUTE(SUBSTITUTE(SUBSTITUTE(SUBSTITUTE(SUBSTITUTE(SUBSTITUTE(SUBSTITUTE(SUBSTITUTE(SUBSTITUTE(SUBSTITUTE(MAIN!A886, "0", ""), "1", ""), "2", ""), "3", ""), "4", ""), "5", ""), "6", ""), "7", ""), "8", ""), "9", ""))))</f>
        <v>--</v>
      </c>
      <c r="B886" t="str">
        <f>IF(ISBLANK(MAIN!B886), "--", IFERROR(PROPER(SUBSTITUTE(SUBSTITUTE(SUBSTITUTE(SUBSTITUTE(SUBSTITUTE(SUBSTITUTE(SUBSTITUTE(SUBSTITUTE(SUBSTITUTE(SUBSTITUTE(LEFT(MAIN!B886, FIND(",",MAIN!B886) -1), "0", ""), "1", ""), "2", ""), "3", ""), "4", ""), "5", ""), "6", ""), "7", ""), "8", ""), "9", "")), PROPER(SUBSTITUTE(SUBSTITUTE(SUBSTITUTE(SUBSTITUTE(SUBSTITUTE(SUBSTITUTE(SUBSTITUTE(SUBSTITUTE(SUBSTITUTE(SUBSTITUTE(MAIN!B886, "0", ""), "1", ""), "2", ""), "3", ""), "4", ""), "5", ""), "6", ""), "7", ""), "8", ""), "9", ""))))</f>
        <v>--</v>
      </c>
      <c r="C886" t="str">
        <f>IF(ISBLANK(MAIN!C886), "--", IFERROR(PROPER(SUBSTITUTE(SUBSTITUTE(SUBSTITUTE(SUBSTITUTE(SUBSTITUTE(SUBSTITUTE(SUBSTITUTE(SUBSTITUTE(SUBSTITUTE(SUBSTITUTE(LEFT(MAIN!C886, FIND(",",MAIN!C886) -1), "0", ""), "1", ""), "2", ""), "3", ""), "4", ""), "5", ""), "6", ""), "7", ""), "8", ""), "9", "")), PROPER(SUBSTITUTE(SUBSTITUTE(SUBSTITUTE(SUBSTITUTE(SUBSTITUTE(SUBSTITUTE(SUBSTITUTE(SUBSTITUTE(SUBSTITUTE(SUBSTITUTE(MAIN!C886, "0", ""), "1", ""), "2", ""), "3", ""), "4", ""), "5", ""), "6", ""), "7", ""), "8", ""), "9", ""))))</f>
        <v>--</v>
      </c>
      <c r="D886" t="str">
        <f>IF(ISBLANK(MAIN!D886), "--", IF(ISNUMBER(MATCH(SUBSTITUTE(LEFT(MAIN!D886, IFERROR(FIND(",", MAIN!D886)-1, LEN(MAIN!D886))), " ", ""), lookup_values!$B$2:$B$51, 0)), UPPER(SUBSTITUTE(LEFT(MAIN!D886, IFERROR(FIND(",", MAIN!D886)-1, LEN(MAIN!D886))), " ", "")), IF(ISNA(VLOOKUP(SUBSTITUTE(LEFT(MAIN!D886, IFERROR(FIND(",", MAIN!D886)-1, LEN(MAIN!D886))), " ", ""), lookup_values!$A$2:$B$51, 2, FALSE)), "--", VLOOKUP(SUBSTITUTE(LEFT(MAIN!D886, IFERROR(FIND(",", MAIN!D886)-1, LEN(MAIN!D886))), " ", ""), lookup_values!$A$2:$B$51, 2, FALSE))))</f>
        <v>--</v>
      </c>
      <c r="E886" t="str">
        <f>IF(CLEAN_DATA!D886&lt;&gt;"--","US",IF(ISBLANK(MAIN!E886), "--", IF(ISNUMBER(MATCH(SUBSTITUTE(LEFT(MAIN!E886, IFERROR(FIND(",", MAIN!E886)-1, LEN(MAIN!E886))), " ", ""), lookup_values!$E$2:$E$197, 0)), UPPER(SUBSTITUTE(LEFT(MAIN!E886, IFERROR(FIND(",", MAIN!E886)-1, LEN(MAIN!E886))), " ", "")), IF(ISNA(VLOOKUP(SUBSTITUTE(LEFT(MAIN!E886, IFERROR(FIND(",", MAIN!E886)-1, LEN(MAIN!E886))), " ", ""), lookup_values!$D$2:$E$197, 2, FALSE)), "--", VLOOKUP(SUBSTITUTE(LEFT(MAIN!E886, IFERROR(FIND(",", MAIN!E886)-1, LEN(MAIN!E886))), " ", ""), lookup_values!$D$2:$E$197, 2, FALSE)))))</f>
        <v>--</v>
      </c>
      <c r="F886" t="str">
        <f>IF(ISBLANK(MAIN!F886), "", IF(AND(ISNUMBER(VALUE(TRIM(MAIN!F886))), LEN(TRIM(MAIN!F886))=4), VALUE(TRIM(MAIN!F886)), ""))</f>
        <v/>
      </c>
      <c r="G886">
        <f>IF(ISBLANK(MAIN!G886), 0, IF(ISNUMBER(VALUE(TRIM(MAIN!G886))), VALUE(TRIM(MAIN!G886)), 0))</f>
        <v>0</v>
      </c>
      <c r="H886">
        <f>IF(ISBLANK(MAIN!H886), 0, IF(ISNUMBER(VALUE(TRIM(MAIN!H886))), VALUE(TRIM(MAIN!H886)), 0))</f>
        <v>0</v>
      </c>
      <c r="I886">
        <f>IF(ISBLANK(MAIN!I886), 0, IF(ISNUMBER(VALUE(TRIM(MAIN!I886))), VALUE(TRIM(MAIN!I886)), 0))</f>
        <v>0</v>
      </c>
      <c r="J886">
        <f>IF(ISBLANK(MAIN!J886), 0, IF(ISNUMBER(VALUE(TRIM(MAIN!J886))), VALUE(TRIM(MAIN!J886)), 0))</f>
        <v>0</v>
      </c>
      <c r="K886" cm="1">
        <f t="array" ref="K886">IFERROR(
    VALUE(
        IFERROR(
            UPPER(
                IF(MAX(IFERROR(SEARCH("WD",MAIN!G886:J886), 0))&gt;0, "WD",
                IF(MAX(IFERROR(SEARCH("NS",MAIN!G886:J886), 0))&gt;0, "NS",
                IF(MAX(IFERROR(SEARCH("NC",MAIN!G886:J886), 0))&gt;0, "NC",
                IF(MAX(IFERROR(SEARCH("DQ",MAIN!G886:J886), 0))&gt;0, "DQ",
                IF(ISNUMBER(SEARCH("WD",MAIN!K886)), "WD",
                IF(ISNUMBER(SEARCH("NS",MAIN!K886)), "NS",
                IF(ISNUMBER(SEARCH("NC",MAIN!K886)), "NC",
                IF(ISNUMBER(SEARCH("DQ",MAIN!K886)), "DQ",
                IF(ISNUMBER(SEARCH("A",MAIN!K886)), 0,
                IF(OR(MAIN!K886=0,MAIN!K886=""), 0, --TRIM(MAIN!K886)))))))))))),
            0
        )
    ),
    IFERROR(
        UPPER(
            IF(MAX(IFERROR(SEARCH("WD",MAIN!G886:J886), 0))&gt;0, "WD",
            IF(MAX(IFERROR(SEARCH("NS",MAIN!G886:J886), 0))&gt;0, "NS",
            IF(MAX(IFERROR(SEARCH("NC",MAIN!G886:J886), 0))&gt;0, "NC",
            IF(MAX(IFERROR(SEARCH("DQ",MAIN!G886:J886), 0))&gt;0, "DQ",
            IF(ISNUMBER(SEARCH("WD",MAIN!K886)), "WD",
            IF(ISNUMBER(SEARCH("NS",MAIN!K886)), "NS",
            IF(ISNUMBER(SEARCH("NC",MAIN!K886)), "NC",
            IF(ISNUMBER(SEARCH("DQ",MAIN!K886)), "DQ",
            IF(ISNUMBER(SEARCH("A",MAIN!K886)), 0,
            IF(OR(MAIN!K886=0,MAIN!K886=""), 0, --TRIM(MAIN!K886)))))))))))),
        0
    )
)</f>
        <v>0</v>
      </c>
    </row>
    <row r="887" spans="1:11" x14ac:dyDescent="0.25">
      <c r="A887" t="str">
        <f>IF(ISBLANK(MAIN!A887), "--", IFERROR(PROPER(SUBSTITUTE(SUBSTITUTE(SUBSTITUTE(SUBSTITUTE(SUBSTITUTE(SUBSTITUTE(SUBSTITUTE(SUBSTITUTE(SUBSTITUTE(SUBSTITUTE(LEFT(MAIN!A887, FIND(",",MAIN!A887) -1), "0", ""), "1", ""), "2", ""), "3", ""), "4", ""), "5", ""), "6", ""), "7", ""), "8", ""), "9", "")), PROPER(SUBSTITUTE(SUBSTITUTE(SUBSTITUTE(SUBSTITUTE(SUBSTITUTE(SUBSTITUTE(SUBSTITUTE(SUBSTITUTE(SUBSTITUTE(SUBSTITUTE(MAIN!A887, "0", ""), "1", ""), "2", ""), "3", ""), "4", ""), "5", ""), "6", ""), "7", ""), "8", ""), "9", ""))))</f>
        <v>--</v>
      </c>
      <c r="B887" t="str">
        <f>IF(ISBLANK(MAIN!B887), "--", IFERROR(PROPER(SUBSTITUTE(SUBSTITUTE(SUBSTITUTE(SUBSTITUTE(SUBSTITUTE(SUBSTITUTE(SUBSTITUTE(SUBSTITUTE(SUBSTITUTE(SUBSTITUTE(LEFT(MAIN!B887, FIND(",",MAIN!B887) -1), "0", ""), "1", ""), "2", ""), "3", ""), "4", ""), "5", ""), "6", ""), "7", ""), "8", ""), "9", "")), PROPER(SUBSTITUTE(SUBSTITUTE(SUBSTITUTE(SUBSTITUTE(SUBSTITUTE(SUBSTITUTE(SUBSTITUTE(SUBSTITUTE(SUBSTITUTE(SUBSTITUTE(MAIN!B887, "0", ""), "1", ""), "2", ""), "3", ""), "4", ""), "5", ""), "6", ""), "7", ""), "8", ""), "9", ""))))</f>
        <v>--</v>
      </c>
      <c r="C887" t="str">
        <f>IF(ISBLANK(MAIN!C887), "--", IFERROR(PROPER(SUBSTITUTE(SUBSTITUTE(SUBSTITUTE(SUBSTITUTE(SUBSTITUTE(SUBSTITUTE(SUBSTITUTE(SUBSTITUTE(SUBSTITUTE(SUBSTITUTE(LEFT(MAIN!C887, FIND(",",MAIN!C887) -1), "0", ""), "1", ""), "2", ""), "3", ""), "4", ""), "5", ""), "6", ""), "7", ""), "8", ""), "9", "")), PROPER(SUBSTITUTE(SUBSTITUTE(SUBSTITUTE(SUBSTITUTE(SUBSTITUTE(SUBSTITUTE(SUBSTITUTE(SUBSTITUTE(SUBSTITUTE(SUBSTITUTE(MAIN!C887, "0", ""), "1", ""), "2", ""), "3", ""), "4", ""), "5", ""), "6", ""), "7", ""), "8", ""), "9", ""))))</f>
        <v>--</v>
      </c>
      <c r="D887" t="str">
        <f>IF(ISBLANK(MAIN!D887), "--", IF(ISNUMBER(MATCH(SUBSTITUTE(LEFT(MAIN!D887, IFERROR(FIND(",", MAIN!D887)-1, LEN(MAIN!D887))), " ", ""), lookup_values!$B$2:$B$51, 0)), UPPER(SUBSTITUTE(LEFT(MAIN!D887, IFERROR(FIND(",", MAIN!D887)-1, LEN(MAIN!D887))), " ", "")), IF(ISNA(VLOOKUP(SUBSTITUTE(LEFT(MAIN!D887, IFERROR(FIND(",", MAIN!D887)-1, LEN(MAIN!D887))), " ", ""), lookup_values!$A$2:$B$51, 2, FALSE)), "--", VLOOKUP(SUBSTITUTE(LEFT(MAIN!D887, IFERROR(FIND(",", MAIN!D887)-1, LEN(MAIN!D887))), " ", ""), lookup_values!$A$2:$B$51, 2, FALSE))))</f>
        <v>--</v>
      </c>
      <c r="E887" t="str">
        <f>IF(CLEAN_DATA!D887&lt;&gt;"--","US",IF(ISBLANK(MAIN!E887), "--", IF(ISNUMBER(MATCH(SUBSTITUTE(LEFT(MAIN!E887, IFERROR(FIND(",", MAIN!E887)-1, LEN(MAIN!E887))), " ", ""), lookup_values!$E$2:$E$197, 0)), UPPER(SUBSTITUTE(LEFT(MAIN!E887, IFERROR(FIND(",", MAIN!E887)-1, LEN(MAIN!E887))), " ", "")), IF(ISNA(VLOOKUP(SUBSTITUTE(LEFT(MAIN!E887, IFERROR(FIND(",", MAIN!E887)-1, LEN(MAIN!E887))), " ", ""), lookup_values!$D$2:$E$197, 2, FALSE)), "--", VLOOKUP(SUBSTITUTE(LEFT(MAIN!E887, IFERROR(FIND(",", MAIN!E887)-1, LEN(MAIN!E887))), " ", ""), lookup_values!$D$2:$E$197, 2, FALSE)))))</f>
        <v>--</v>
      </c>
      <c r="F887" t="str">
        <f>IF(ISBLANK(MAIN!F887), "", IF(AND(ISNUMBER(VALUE(TRIM(MAIN!F887))), LEN(TRIM(MAIN!F887))=4), VALUE(TRIM(MAIN!F887)), ""))</f>
        <v/>
      </c>
      <c r="G887">
        <f>IF(ISBLANK(MAIN!G887), 0, IF(ISNUMBER(VALUE(TRIM(MAIN!G887))), VALUE(TRIM(MAIN!G887)), 0))</f>
        <v>0</v>
      </c>
      <c r="H887">
        <f>IF(ISBLANK(MAIN!H887), 0, IF(ISNUMBER(VALUE(TRIM(MAIN!H887))), VALUE(TRIM(MAIN!H887)), 0))</f>
        <v>0</v>
      </c>
      <c r="I887">
        <f>IF(ISBLANK(MAIN!I887), 0, IF(ISNUMBER(VALUE(TRIM(MAIN!I887))), VALUE(TRIM(MAIN!I887)), 0))</f>
        <v>0</v>
      </c>
      <c r="J887">
        <f>IF(ISBLANK(MAIN!J887), 0, IF(ISNUMBER(VALUE(TRIM(MAIN!J887))), VALUE(TRIM(MAIN!J887)), 0))</f>
        <v>0</v>
      </c>
      <c r="K887" cm="1">
        <f t="array" ref="K887">IFERROR(
    VALUE(
        IFERROR(
            UPPER(
                IF(MAX(IFERROR(SEARCH("WD",MAIN!G887:J887), 0))&gt;0, "WD",
                IF(MAX(IFERROR(SEARCH("NS",MAIN!G887:J887), 0))&gt;0, "NS",
                IF(MAX(IFERROR(SEARCH("NC",MAIN!G887:J887), 0))&gt;0, "NC",
                IF(MAX(IFERROR(SEARCH("DQ",MAIN!G887:J887), 0))&gt;0, "DQ",
                IF(ISNUMBER(SEARCH("WD",MAIN!K887)), "WD",
                IF(ISNUMBER(SEARCH("NS",MAIN!K887)), "NS",
                IF(ISNUMBER(SEARCH("NC",MAIN!K887)), "NC",
                IF(ISNUMBER(SEARCH("DQ",MAIN!K887)), "DQ",
                IF(ISNUMBER(SEARCH("A",MAIN!K887)), 0,
                IF(OR(MAIN!K887=0,MAIN!K887=""), 0, --TRIM(MAIN!K887)))))))))))),
            0
        )
    ),
    IFERROR(
        UPPER(
            IF(MAX(IFERROR(SEARCH("WD",MAIN!G887:J887), 0))&gt;0, "WD",
            IF(MAX(IFERROR(SEARCH("NS",MAIN!G887:J887), 0))&gt;0, "NS",
            IF(MAX(IFERROR(SEARCH("NC",MAIN!G887:J887), 0))&gt;0, "NC",
            IF(MAX(IFERROR(SEARCH("DQ",MAIN!G887:J887), 0))&gt;0, "DQ",
            IF(ISNUMBER(SEARCH("WD",MAIN!K887)), "WD",
            IF(ISNUMBER(SEARCH("NS",MAIN!K887)), "NS",
            IF(ISNUMBER(SEARCH("NC",MAIN!K887)), "NC",
            IF(ISNUMBER(SEARCH("DQ",MAIN!K887)), "DQ",
            IF(ISNUMBER(SEARCH("A",MAIN!K887)), 0,
            IF(OR(MAIN!K887=0,MAIN!K887=""), 0, --TRIM(MAIN!K887)))))))))))),
        0
    )
)</f>
        <v>0</v>
      </c>
    </row>
    <row r="888" spans="1:11" x14ac:dyDescent="0.25">
      <c r="A888" t="str">
        <f>IF(ISBLANK(MAIN!A888), "--", IFERROR(PROPER(SUBSTITUTE(SUBSTITUTE(SUBSTITUTE(SUBSTITUTE(SUBSTITUTE(SUBSTITUTE(SUBSTITUTE(SUBSTITUTE(SUBSTITUTE(SUBSTITUTE(LEFT(MAIN!A888, FIND(",",MAIN!A888) -1), "0", ""), "1", ""), "2", ""), "3", ""), "4", ""), "5", ""), "6", ""), "7", ""), "8", ""), "9", "")), PROPER(SUBSTITUTE(SUBSTITUTE(SUBSTITUTE(SUBSTITUTE(SUBSTITUTE(SUBSTITUTE(SUBSTITUTE(SUBSTITUTE(SUBSTITUTE(SUBSTITUTE(MAIN!A888, "0", ""), "1", ""), "2", ""), "3", ""), "4", ""), "5", ""), "6", ""), "7", ""), "8", ""), "9", ""))))</f>
        <v>--</v>
      </c>
      <c r="B888" t="str">
        <f>IF(ISBLANK(MAIN!B888), "--", IFERROR(PROPER(SUBSTITUTE(SUBSTITUTE(SUBSTITUTE(SUBSTITUTE(SUBSTITUTE(SUBSTITUTE(SUBSTITUTE(SUBSTITUTE(SUBSTITUTE(SUBSTITUTE(LEFT(MAIN!B888, FIND(",",MAIN!B888) -1), "0", ""), "1", ""), "2", ""), "3", ""), "4", ""), "5", ""), "6", ""), "7", ""), "8", ""), "9", "")), PROPER(SUBSTITUTE(SUBSTITUTE(SUBSTITUTE(SUBSTITUTE(SUBSTITUTE(SUBSTITUTE(SUBSTITUTE(SUBSTITUTE(SUBSTITUTE(SUBSTITUTE(MAIN!B888, "0", ""), "1", ""), "2", ""), "3", ""), "4", ""), "5", ""), "6", ""), "7", ""), "8", ""), "9", ""))))</f>
        <v>--</v>
      </c>
      <c r="C888" t="str">
        <f>IF(ISBLANK(MAIN!C888), "--", IFERROR(PROPER(SUBSTITUTE(SUBSTITUTE(SUBSTITUTE(SUBSTITUTE(SUBSTITUTE(SUBSTITUTE(SUBSTITUTE(SUBSTITUTE(SUBSTITUTE(SUBSTITUTE(LEFT(MAIN!C888, FIND(",",MAIN!C888) -1), "0", ""), "1", ""), "2", ""), "3", ""), "4", ""), "5", ""), "6", ""), "7", ""), "8", ""), "9", "")), PROPER(SUBSTITUTE(SUBSTITUTE(SUBSTITUTE(SUBSTITUTE(SUBSTITUTE(SUBSTITUTE(SUBSTITUTE(SUBSTITUTE(SUBSTITUTE(SUBSTITUTE(MAIN!C888, "0", ""), "1", ""), "2", ""), "3", ""), "4", ""), "5", ""), "6", ""), "7", ""), "8", ""), "9", ""))))</f>
        <v>--</v>
      </c>
      <c r="D888" t="str">
        <f>IF(ISBLANK(MAIN!D888), "--", IF(ISNUMBER(MATCH(SUBSTITUTE(LEFT(MAIN!D888, IFERROR(FIND(",", MAIN!D888)-1, LEN(MAIN!D888))), " ", ""), lookup_values!$B$2:$B$51, 0)), UPPER(SUBSTITUTE(LEFT(MAIN!D888, IFERROR(FIND(",", MAIN!D888)-1, LEN(MAIN!D888))), " ", "")), IF(ISNA(VLOOKUP(SUBSTITUTE(LEFT(MAIN!D888, IFERROR(FIND(",", MAIN!D888)-1, LEN(MAIN!D888))), " ", ""), lookup_values!$A$2:$B$51, 2, FALSE)), "--", VLOOKUP(SUBSTITUTE(LEFT(MAIN!D888, IFERROR(FIND(",", MAIN!D888)-1, LEN(MAIN!D888))), " ", ""), lookup_values!$A$2:$B$51, 2, FALSE))))</f>
        <v>--</v>
      </c>
      <c r="E888" t="str">
        <f>IF(CLEAN_DATA!D888&lt;&gt;"--","US",IF(ISBLANK(MAIN!E888), "--", IF(ISNUMBER(MATCH(SUBSTITUTE(LEFT(MAIN!E888, IFERROR(FIND(",", MAIN!E888)-1, LEN(MAIN!E888))), " ", ""), lookup_values!$E$2:$E$197, 0)), UPPER(SUBSTITUTE(LEFT(MAIN!E888, IFERROR(FIND(",", MAIN!E888)-1, LEN(MAIN!E888))), " ", "")), IF(ISNA(VLOOKUP(SUBSTITUTE(LEFT(MAIN!E888, IFERROR(FIND(",", MAIN!E888)-1, LEN(MAIN!E888))), " ", ""), lookup_values!$D$2:$E$197, 2, FALSE)), "--", VLOOKUP(SUBSTITUTE(LEFT(MAIN!E888, IFERROR(FIND(",", MAIN!E888)-1, LEN(MAIN!E888))), " ", ""), lookup_values!$D$2:$E$197, 2, FALSE)))))</f>
        <v>--</v>
      </c>
      <c r="F888" t="str">
        <f>IF(ISBLANK(MAIN!F888), "", IF(AND(ISNUMBER(VALUE(TRIM(MAIN!F888))), LEN(TRIM(MAIN!F888))=4), VALUE(TRIM(MAIN!F888)), ""))</f>
        <v/>
      </c>
      <c r="G888">
        <f>IF(ISBLANK(MAIN!G888), 0, IF(ISNUMBER(VALUE(TRIM(MAIN!G888))), VALUE(TRIM(MAIN!G888)), 0))</f>
        <v>0</v>
      </c>
      <c r="H888">
        <f>IF(ISBLANK(MAIN!H888), 0, IF(ISNUMBER(VALUE(TRIM(MAIN!H888))), VALUE(TRIM(MAIN!H888)), 0))</f>
        <v>0</v>
      </c>
      <c r="I888">
        <f>IF(ISBLANK(MAIN!I888), 0, IF(ISNUMBER(VALUE(TRIM(MAIN!I888))), VALUE(TRIM(MAIN!I888)), 0))</f>
        <v>0</v>
      </c>
      <c r="J888">
        <f>IF(ISBLANK(MAIN!J888), 0, IF(ISNUMBER(VALUE(TRIM(MAIN!J888))), VALUE(TRIM(MAIN!J888)), 0))</f>
        <v>0</v>
      </c>
      <c r="K888" cm="1">
        <f t="array" ref="K888">IFERROR(
    VALUE(
        IFERROR(
            UPPER(
                IF(MAX(IFERROR(SEARCH("WD",MAIN!G888:J888), 0))&gt;0, "WD",
                IF(MAX(IFERROR(SEARCH("NS",MAIN!G888:J888), 0))&gt;0, "NS",
                IF(MAX(IFERROR(SEARCH("NC",MAIN!G888:J888), 0))&gt;0, "NC",
                IF(MAX(IFERROR(SEARCH("DQ",MAIN!G888:J888), 0))&gt;0, "DQ",
                IF(ISNUMBER(SEARCH("WD",MAIN!K888)), "WD",
                IF(ISNUMBER(SEARCH("NS",MAIN!K888)), "NS",
                IF(ISNUMBER(SEARCH("NC",MAIN!K888)), "NC",
                IF(ISNUMBER(SEARCH("DQ",MAIN!K888)), "DQ",
                IF(ISNUMBER(SEARCH("A",MAIN!K888)), 0,
                IF(OR(MAIN!K888=0,MAIN!K888=""), 0, --TRIM(MAIN!K888)))))))))))),
            0
        )
    ),
    IFERROR(
        UPPER(
            IF(MAX(IFERROR(SEARCH("WD",MAIN!G888:J888), 0))&gt;0, "WD",
            IF(MAX(IFERROR(SEARCH("NS",MAIN!G888:J888), 0))&gt;0, "NS",
            IF(MAX(IFERROR(SEARCH("NC",MAIN!G888:J888), 0))&gt;0, "NC",
            IF(MAX(IFERROR(SEARCH("DQ",MAIN!G888:J888), 0))&gt;0, "DQ",
            IF(ISNUMBER(SEARCH("WD",MAIN!K888)), "WD",
            IF(ISNUMBER(SEARCH("NS",MAIN!K888)), "NS",
            IF(ISNUMBER(SEARCH("NC",MAIN!K888)), "NC",
            IF(ISNUMBER(SEARCH("DQ",MAIN!K888)), "DQ",
            IF(ISNUMBER(SEARCH("A",MAIN!K888)), 0,
            IF(OR(MAIN!K888=0,MAIN!K888=""), 0, --TRIM(MAIN!K888)))))))))))),
        0
    )
)</f>
        <v>0</v>
      </c>
    </row>
    <row r="889" spans="1:11" x14ac:dyDescent="0.25">
      <c r="A889" t="str">
        <f>IF(ISBLANK(MAIN!A889), "--", IFERROR(PROPER(SUBSTITUTE(SUBSTITUTE(SUBSTITUTE(SUBSTITUTE(SUBSTITUTE(SUBSTITUTE(SUBSTITUTE(SUBSTITUTE(SUBSTITUTE(SUBSTITUTE(LEFT(MAIN!A889, FIND(",",MAIN!A889) -1), "0", ""), "1", ""), "2", ""), "3", ""), "4", ""), "5", ""), "6", ""), "7", ""), "8", ""), "9", "")), PROPER(SUBSTITUTE(SUBSTITUTE(SUBSTITUTE(SUBSTITUTE(SUBSTITUTE(SUBSTITUTE(SUBSTITUTE(SUBSTITUTE(SUBSTITUTE(SUBSTITUTE(MAIN!A889, "0", ""), "1", ""), "2", ""), "3", ""), "4", ""), "5", ""), "6", ""), "7", ""), "8", ""), "9", ""))))</f>
        <v>--</v>
      </c>
      <c r="B889" t="str">
        <f>IF(ISBLANK(MAIN!B889), "--", IFERROR(PROPER(SUBSTITUTE(SUBSTITUTE(SUBSTITUTE(SUBSTITUTE(SUBSTITUTE(SUBSTITUTE(SUBSTITUTE(SUBSTITUTE(SUBSTITUTE(SUBSTITUTE(LEFT(MAIN!B889, FIND(",",MAIN!B889) -1), "0", ""), "1", ""), "2", ""), "3", ""), "4", ""), "5", ""), "6", ""), "7", ""), "8", ""), "9", "")), PROPER(SUBSTITUTE(SUBSTITUTE(SUBSTITUTE(SUBSTITUTE(SUBSTITUTE(SUBSTITUTE(SUBSTITUTE(SUBSTITUTE(SUBSTITUTE(SUBSTITUTE(MAIN!B889, "0", ""), "1", ""), "2", ""), "3", ""), "4", ""), "5", ""), "6", ""), "7", ""), "8", ""), "9", ""))))</f>
        <v>--</v>
      </c>
      <c r="C889" t="str">
        <f>IF(ISBLANK(MAIN!C889), "--", IFERROR(PROPER(SUBSTITUTE(SUBSTITUTE(SUBSTITUTE(SUBSTITUTE(SUBSTITUTE(SUBSTITUTE(SUBSTITUTE(SUBSTITUTE(SUBSTITUTE(SUBSTITUTE(LEFT(MAIN!C889, FIND(",",MAIN!C889) -1), "0", ""), "1", ""), "2", ""), "3", ""), "4", ""), "5", ""), "6", ""), "7", ""), "8", ""), "9", "")), PROPER(SUBSTITUTE(SUBSTITUTE(SUBSTITUTE(SUBSTITUTE(SUBSTITUTE(SUBSTITUTE(SUBSTITUTE(SUBSTITUTE(SUBSTITUTE(SUBSTITUTE(MAIN!C889, "0", ""), "1", ""), "2", ""), "3", ""), "4", ""), "5", ""), "6", ""), "7", ""), "8", ""), "9", ""))))</f>
        <v>--</v>
      </c>
      <c r="D889" t="str">
        <f>IF(ISBLANK(MAIN!D889), "--", IF(ISNUMBER(MATCH(SUBSTITUTE(LEFT(MAIN!D889, IFERROR(FIND(",", MAIN!D889)-1, LEN(MAIN!D889))), " ", ""), lookup_values!$B$2:$B$51, 0)), UPPER(SUBSTITUTE(LEFT(MAIN!D889, IFERROR(FIND(",", MAIN!D889)-1, LEN(MAIN!D889))), " ", "")), IF(ISNA(VLOOKUP(SUBSTITUTE(LEFT(MAIN!D889, IFERROR(FIND(",", MAIN!D889)-1, LEN(MAIN!D889))), " ", ""), lookup_values!$A$2:$B$51, 2, FALSE)), "--", VLOOKUP(SUBSTITUTE(LEFT(MAIN!D889, IFERROR(FIND(",", MAIN!D889)-1, LEN(MAIN!D889))), " ", ""), lookup_values!$A$2:$B$51, 2, FALSE))))</f>
        <v>--</v>
      </c>
      <c r="E889" t="str">
        <f>IF(CLEAN_DATA!D889&lt;&gt;"--","US",IF(ISBLANK(MAIN!E889), "--", IF(ISNUMBER(MATCH(SUBSTITUTE(LEFT(MAIN!E889, IFERROR(FIND(",", MAIN!E889)-1, LEN(MAIN!E889))), " ", ""), lookup_values!$E$2:$E$197, 0)), UPPER(SUBSTITUTE(LEFT(MAIN!E889, IFERROR(FIND(",", MAIN!E889)-1, LEN(MAIN!E889))), " ", "")), IF(ISNA(VLOOKUP(SUBSTITUTE(LEFT(MAIN!E889, IFERROR(FIND(",", MAIN!E889)-1, LEN(MAIN!E889))), " ", ""), lookup_values!$D$2:$E$197, 2, FALSE)), "--", VLOOKUP(SUBSTITUTE(LEFT(MAIN!E889, IFERROR(FIND(",", MAIN!E889)-1, LEN(MAIN!E889))), " ", ""), lookup_values!$D$2:$E$197, 2, FALSE)))))</f>
        <v>--</v>
      </c>
      <c r="F889" t="str">
        <f>IF(ISBLANK(MAIN!F889), "", IF(AND(ISNUMBER(VALUE(TRIM(MAIN!F889))), LEN(TRIM(MAIN!F889))=4), VALUE(TRIM(MAIN!F889)), ""))</f>
        <v/>
      </c>
      <c r="G889">
        <f>IF(ISBLANK(MAIN!G889), 0, IF(ISNUMBER(VALUE(TRIM(MAIN!G889))), VALUE(TRIM(MAIN!G889)), 0))</f>
        <v>0</v>
      </c>
      <c r="H889">
        <f>IF(ISBLANK(MAIN!H889), 0, IF(ISNUMBER(VALUE(TRIM(MAIN!H889))), VALUE(TRIM(MAIN!H889)), 0))</f>
        <v>0</v>
      </c>
      <c r="I889">
        <f>IF(ISBLANK(MAIN!I889), 0, IF(ISNUMBER(VALUE(TRIM(MAIN!I889))), VALUE(TRIM(MAIN!I889)), 0))</f>
        <v>0</v>
      </c>
      <c r="J889">
        <f>IF(ISBLANK(MAIN!J889), 0, IF(ISNUMBER(VALUE(TRIM(MAIN!J889))), VALUE(TRIM(MAIN!J889)), 0))</f>
        <v>0</v>
      </c>
      <c r="K889" cm="1">
        <f t="array" ref="K889">IFERROR(
    VALUE(
        IFERROR(
            UPPER(
                IF(MAX(IFERROR(SEARCH("WD",MAIN!G889:J889), 0))&gt;0, "WD",
                IF(MAX(IFERROR(SEARCH("NS",MAIN!G889:J889), 0))&gt;0, "NS",
                IF(MAX(IFERROR(SEARCH("NC",MAIN!G889:J889), 0))&gt;0, "NC",
                IF(MAX(IFERROR(SEARCH("DQ",MAIN!G889:J889), 0))&gt;0, "DQ",
                IF(ISNUMBER(SEARCH("WD",MAIN!K889)), "WD",
                IF(ISNUMBER(SEARCH("NS",MAIN!K889)), "NS",
                IF(ISNUMBER(SEARCH("NC",MAIN!K889)), "NC",
                IF(ISNUMBER(SEARCH("DQ",MAIN!K889)), "DQ",
                IF(ISNUMBER(SEARCH("A",MAIN!K889)), 0,
                IF(OR(MAIN!K889=0,MAIN!K889=""), 0, --TRIM(MAIN!K889)))))))))))),
            0
        )
    ),
    IFERROR(
        UPPER(
            IF(MAX(IFERROR(SEARCH("WD",MAIN!G889:J889), 0))&gt;0, "WD",
            IF(MAX(IFERROR(SEARCH("NS",MAIN!G889:J889), 0))&gt;0, "NS",
            IF(MAX(IFERROR(SEARCH("NC",MAIN!G889:J889), 0))&gt;0, "NC",
            IF(MAX(IFERROR(SEARCH("DQ",MAIN!G889:J889), 0))&gt;0, "DQ",
            IF(ISNUMBER(SEARCH("WD",MAIN!K889)), "WD",
            IF(ISNUMBER(SEARCH("NS",MAIN!K889)), "NS",
            IF(ISNUMBER(SEARCH("NC",MAIN!K889)), "NC",
            IF(ISNUMBER(SEARCH("DQ",MAIN!K889)), "DQ",
            IF(ISNUMBER(SEARCH("A",MAIN!K889)), 0,
            IF(OR(MAIN!K889=0,MAIN!K889=""), 0, --TRIM(MAIN!K889)))))))))))),
        0
    )
)</f>
        <v>0</v>
      </c>
    </row>
    <row r="890" spans="1:11" x14ac:dyDescent="0.25">
      <c r="A890" t="str">
        <f>IF(ISBLANK(MAIN!A890), "--", IFERROR(PROPER(SUBSTITUTE(SUBSTITUTE(SUBSTITUTE(SUBSTITUTE(SUBSTITUTE(SUBSTITUTE(SUBSTITUTE(SUBSTITUTE(SUBSTITUTE(SUBSTITUTE(LEFT(MAIN!A890, FIND(",",MAIN!A890) -1), "0", ""), "1", ""), "2", ""), "3", ""), "4", ""), "5", ""), "6", ""), "7", ""), "8", ""), "9", "")), PROPER(SUBSTITUTE(SUBSTITUTE(SUBSTITUTE(SUBSTITUTE(SUBSTITUTE(SUBSTITUTE(SUBSTITUTE(SUBSTITUTE(SUBSTITUTE(SUBSTITUTE(MAIN!A890, "0", ""), "1", ""), "2", ""), "3", ""), "4", ""), "5", ""), "6", ""), "7", ""), "8", ""), "9", ""))))</f>
        <v>--</v>
      </c>
      <c r="B890" t="str">
        <f>IF(ISBLANK(MAIN!B890), "--", IFERROR(PROPER(SUBSTITUTE(SUBSTITUTE(SUBSTITUTE(SUBSTITUTE(SUBSTITUTE(SUBSTITUTE(SUBSTITUTE(SUBSTITUTE(SUBSTITUTE(SUBSTITUTE(LEFT(MAIN!B890, FIND(",",MAIN!B890) -1), "0", ""), "1", ""), "2", ""), "3", ""), "4", ""), "5", ""), "6", ""), "7", ""), "8", ""), "9", "")), PROPER(SUBSTITUTE(SUBSTITUTE(SUBSTITUTE(SUBSTITUTE(SUBSTITUTE(SUBSTITUTE(SUBSTITUTE(SUBSTITUTE(SUBSTITUTE(SUBSTITUTE(MAIN!B890, "0", ""), "1", ""), "2", ""), "3", ""), "4", ""), "5", ""), "6", ""), "7", ""), "8", ""), "9", ""))))</f>
        <v>--</v>
      </c>
      <c r="C890" t="str">
        <f>IF(ISBLANK(MAIN!C890), "--", IFERROR(PROPER(SUBSTITUTE(SUBSTITUTE(SUBSTITUTE(SUBSTITUTE(SUBSTITUTE(SUBSTITUTE(SUBSTITUTE(SUBSTITUTE(SUBSTITUTE(SUBSTITUTE(LEFT(MAIN!C890, FIND(",",MAIN!C890) -1), "0", ""), "1", ""), "2", ""), "3", ""), "4", ""), "5", ""), "6", ""), "7", ""), "8", ""), "9", "")), PROPER(SUBSTITUTE(SUBSTITUTE(SUBSTITUTE(SUBSTITUTE(SUBSTITUTE(SUBSTITUTE(SUBSTITUTE(SUBSTITUTE(SUBSTITUTE(SUBSTITUTE(MAIN!C890, "0", ""), "1", ""), "2", ""), "3", ""), "4", ""), "5", ""), "6", ""), "7", ""), "8", ""), "9", ""))))</f>
        <v>--</v>
      </c>
      <c r="D890" t="str">
        <f>IF(ISBLANK(MAIN!D890), "--", IF(ISNUMBER(MATCH(SUBSTITUTE(LEFT(MAIN!D890, IFERROR(FIND(",", MAIN!D890)-1, LEN(MAIN!D890))), " ", ""), lookup_values!$B$2:$B$51, 0)), UPPER(SUBSTITUTE(LEFT(MAIN!D890, IFERROR(FIND(",", MAIN!D890)-1, LEN(MAIN!D890))), " ", "")), IF(ISNA(VLOOKUP(SUBSTITUTE(LEFT(MAIN!D890, IFERROR(FIND(",", MAIN!D890)-1, LEN(MAIN!D890))), " ", ""), lookup_values!$A$2:$B$51, 2, FALSE)), "--", VLOOKUP(SUBSTITUTE(LEFT(MAIN!D890, IFERROR(FIND(",", MAIN!D890)-1, LEN(MAIN!D890))), " ", ""), lookup_values!$A$2:$B$51, 2, FALSE))))</f>
        <v>--</v>
      </c>
      <c r="E890" t="str">
        <f>IF(CLEAN_DATA!D890&lt;&gt;"--","US",IF(ISBLANK(MAIN!E890), "--", IF(ISNUMBER(MATCH(SUBSTITUTE(LEFT(MAIN!E890, IFERROR(FIND(",", MAIN!E890)-1, LEN(MAIN!E890))), " ", ""), lookup_values!$E$2:$E$197, 0)), UPPER(SUBSTITUTE(LEFT(MAIN!E890, IFERROR(FIND(",", MAIN!E890)-1, LEN(MAIN!E890))), " ", "")), IF(ISNA(VLOOKUP(SUBSTITUTE(LEFT(MAIN!E890, IFERROR(FIND(",", MAIN!E890)-1, LEN(MAIN!E890))), " ", ""), lookup_values!$D$2:$E$197, 2, FALSE)), "--", VLOOKUP(SUBSTITUTE(LEFT(MAIN!E890, IFERROR(FIND(",", MAIN!E890)-1, LEN(MAIN!E890))), " ", ""), lookup_values!$D$2:$E$197, 2, FALSE)))))</f>
        <v>--</v>
      </c>
      <c r="F890" t="str">
        <f>IF(ISBLANK(MAIN!F890), "", IF(AND(ISNUMBER(VALUE(TRIM(MAIN!F890))), LEN(TRIM(MAIN!F890))=4), VALUE(TRIM(MAIN!F890)), ""))</f>
        <v/>
      </c>
      <c r="G890">
        <f>IF(ISBLANK(MAIN!G890), 0, IF(ISNUMBER(VALUE(TRIM(MAIN!G890))), VALUE(TRIM(MAIN!G890)), 0))</f>
        <v>0</v>
      </c>
      <c r="H890">
        <f>IF(ISBLANK(MAIN!H890), 0, IF(ISNUMBER(VALUE(TRIM(MAIN!H890))), VALUE(TRIM(MAIN!H890)), 0))</f>
        <v>0</v>
      </c>
      <c r="I890">
        <f>IF(ISBLANK(MAIN!I890), 0, IF(ISNUMBER(VALUE(TRIM(MAIN!I890))), VALUE(TRIM(MAIN!I890)), 0))</f>
        <v>0</v>
      </c>
      <c r="J890">
        <f>IF(ISBLANK(MAIN!J890), 0, IF(ISNUMBER(VALUE(TRIM(MAIN!J890))), VALUE(TRIM(MAIN!J890)), 0))</f>
        <v>0</v>
      </c>
      <c r="K890" cm="1">
        <f t="array" ref="K890">IFERROR(
    VALUE(
        IFERROR(
            UPPER(
                IF(MAX(IFERROR(SEARCH("WD",MAIN!G890:J890), 0))&gt;0, "WD",
                IF(MAX(IFERROR(SEARCH("NS",MAIN!G890:J890), 0))&gt;0, "NS",
                IF(MAX(IFERROR(SEARCH("NC",MAIN!G890:J890), 0))&gt;0, "NC",
                IF(MAX(IFERROR(SEARCH("DQ",MAIN!G890:J890), 0))&gt;0, "DQ",
                IF(ISNUMBER(SEARCH("WD",MAIN!K890)), "WD",
                IF(ISNUMBER(SEARCH("NS",MAIN!K890)), "NS",
                IF(ISNUMBER(SEARCH("NC",MAIN!K890)), "NC",
                IF(ISNUMBER(SEARCH("DQ",MAIN!K890)), "DQ",
                IF(ISNUMBER(SEARCH("A",MAIN!K890)), 0,
                IF(OR(MAIN!K890=0,MAIN!K890=""), 0, --TRIM(MAIN!K890)))))))))))),
            0
        )
    ),
    IFERROR(
        UPPER(
            IF(MAX(IFERROR(SEARCH("WD",MAIN!G890:J890), 0))&gt;0, "WD",
            IF(MAX(IFERROR(SEARCH("NS",MAIN!G890:J890), 0))&gt;0, "NS",
            IF(MAX(IFERROR(SEARCH("NC",MAIN!G890:J890), 0))&gt;0, "NC",
            IF(MAX(IFERROR(SEARCH("DQ",MAIN!G890:J890), 0))&gt;0, "DQ",
            IF(ISNUMBER(SEARCH("WD",MAIN!K890)), "WD",
            IF(ISNUMBER(SEARCH("NS",MAIN!K890)), "NS",
            IF(ISNUMBER(SEARCH("NC",MAIN!K890)), "NC",
            IF(ISNUMBER(SEARCH("DQ",MAIN!K890)), "DQ",
            IF(ISNUMBER(SEARCH("A",MAIN!K890)), 0,
            IF(OR(MAIN!K890=0,MAIN!K890=""), 0, --TRIM(MAIN!K890)))))))))))),
        0
    )
)</f>
        <v>0</v>
      </c>
    </row>
    <row r="891" spans="1:11" x14ac:dyDescent="0.25">
      <c r="A891" t="str">
        <f>IF(ISBLANK(MAIN!A891), "--", IFERROR(PROPER(SUBSTITUTE(SUBSTITUTE(SUBSTITUTE(SUBSTITUTE(SUBSTITUTE(SUBSTITUTE(SUBSTITUTE(SUBSTITUTE(SUBSTITUTE(SUBSTITUTE(LEFT(MAIN!A891, FIND(",",MAIN!A891) -1), "0", ""), "1", ""), "2", ""), "3", ""), "4", ""), "5", ""), "6", ""), "7", ""), "8", ""), "9", "")), PROPER(SUBSTITUTE(SUBSTITUTE(SUBSTITUTE(SUBSTITUTE(SUBSTITUTE(SUBSTITUTE(SUBSTITUTE(SUBSTITUTE(SUBSTITUTE(SUBSTITUTE(MAIN!A891, "0", ""), "1", ""), "2", ""), "3", ""), "4", ""), "5", ""), "6", ""), "7", ""), "8", ""), "9", ""))))</f>
        <v>--</v>
      </c>
      <c r="B891" t="str">
        <f>IF(ISBLANK(MAIN!B891), "--", IFERROR(PROPER(SUBSTITUTE(SUBSTITUTE(SUBSTITUTE(SUBSTITUTE(SUBSTITUTE(SUBSTITUTE(SUBSTITUTE(SUBSTITUTE(SUBSTITUTE(SUBSTITUTE(LEFT(MAIN!B891, FIND(",",MAIN!B891) -1), "0", ""), "1", ""), "2", ""), "3", ""), "4", ""), "5", ""), "6", ""), "7", ""), "8", ""), "9", "")), PROPER(SUBSTITUTE(SUBSTITUTE(SUBSTITUTE(SUBSTITUTE(SUBSTITUTE(SUBSTITUTE(SUBSTITUTE(SUBSTITUTE(SUBSTITUTE(SUBSTITUTE(MAIN!B891, "0", ""), "1", ""), "2", ""), "3", ""), "4", ""), "5", ""), "6", ""), "7", ""), "8", ""), "9", ""))))</f>
        <v>--</v>
      </c>
      <c r="C891" t="str">
        <f>IF(ISBLANK(MAIN!C891), "--", IFERROR(PROPER(SUBSTITUTE(SUBSTITUTE(SUBSTITUTE(SUBSTITUTE(SUBSTITUTE(SUBSTITUTE(SUBSTITUTE(SUBSTITUTE(SUBSTITUTE(SUBSTITUTE(LEFT(MAIN!C891, FIND(",",MAIN!C891) -1), "0", ""), "1", ""), "2", ""), "3", ""), "4", ""), "5", ""), "6", ""), "7", ""), "8", ""), "9", "")), PROPER(SUBSTITUTE(SUBSTITUTE(SUBSTITUTE(SUBSTITUTE(SUBSTITUTE(SUBSTITUTE(SUBSTITUTE(SUBSTITUTE(SUBSTITUTE(SUBSTITUTE(MAIN!C891, "0", ""), "1", ""), "2", ""), "3", ""), "4", ""), "5", ""), "6", ""), "7", ""), "8", ""), "9", ""))))</f>
        <v>--</v>
      </c>
      <c r="D891" t="str">
        <f>IF(ISBLANK(MAIN!D891), "--", IF(ISNUMBER(MATCH(SUBSTITUTE(LEFT(MAIN!D891, IFERROR(FIND(",", MAIN!D891)-1, LEN(MAIN!D891))), " ", ""), lookup_values!$B$2:$B$51, 0)), UPPER(SUBSTITUTE(LEFT(MAIN!D891, IFERROR(FIND(",", MAIN!D891)-1, LEN(MAIN!D891))), " ", "")), IF(ISNA(VLOOKUP(SUBSTITUTE(LEFT(MAIN!D891, IFERROR(FIND(",", MAIN!D891)-1, LEN(MAIN!D891))), " ", ""), lookup_values!$A$2:$B$51, 2, FALSE)), "--", VLOOKUP(SUBSTITUTE(LEFT(MAIN!D891, IFERROR(FIND(",", MAIN!D891)-1, LEN(MAIN!D891))), " ", ""), lookup_values!$A$2:$B$51, 2, FALSE))))</f>
        <v>--</v>
      </c>
      <c r="E891" t="str">
        <f>IF(CLEAN_DATA!D891&lt;&gt;"--","US",IF(ISBLANK(MAIN!E891), "--", IF(ISNUMBER(MATCH(SUBSTITUTE(LEFT(MAIN!E891, IFERROR(FIND(",", MAIN!E891)-1, LEN(MAIN!E891))), " ", ""), lookup_values!$E$2:$E$197, 0)), UPPER(SUBSTITUTE(LEFT(MAIN!E891, IFERROR(FIND(",", MAIN!E891)-1, LEN(MAIN!E891))), " ", "")), IF(ISNA(VLOOKUP(SUBSTITUTE(LEFT(MAIN!E891, IFERROR(FIND(",", MAIN!E891)-1, LEN(MAIN!E891))), " ", ""), lookup_values!$D$2:$E$197, 2, FALSE)), "--", VLOOKUP(SUBSTITUTE(LEFT(MAIN!E891, IFERROR(FIND(",", MAIN!E891)-1, LEN(MAIN!E891))), " ", ""), lookup_values!$D$2:$E$197, 2, FALSE)))))</f>
        <v>--</v>
      </c>
      <c r="F891" t="str">
        <f>IF(ISBLANK(MAIN!F891), "", IF(AND(ISNUMBER(VALUE(TRIM(MAIN!F891))), LEN(TRIM(MAIN!F891))=4), VALUE(TRIM(MAIN!F891)), ""))</f>
        <v/>
      </c>
      <c r="G891">
        <f>IF(ISBLANK(MAIN!G891), 0, IF(ISNUMBER(VALUE(TRIM(MAIN!G891))), VALUE(TRIM(MAIN!G891)), 0))</f>
        <v>0</v>
      </c>
      <c r="H891">
        <f>IF(ISBLANK(MAIN!H891), 0, IF(ISNUMBER(VALUE(TRIM(MAIN!H891))), VALUE(TRIM(MAIN!H891)), 0))</f>
        <v>0</v>
      </c>
      <c r="I891">
        <f>IF(ISBLANK(MAIN!I891), 0, IF(ISNUMBER(VALUE(TRIM(MAIN!I891))), VALUE(TRIM(MAIN!I891)), 0))</f>
        <v>0</v>
      </c>
      <c r="J891">
        <f>IF(ISBLANK(MAIN!J891), 0, IF(ISNUMBER(VALUE(TRIM(MAIN!J891))), VALUE(TRIM(MAIN!J891)), 0))</f>
        <v>0</v>
      </c>
      <c r="K891" cm="1">
        <f t="array" ref="K891">IFERROR(
    VALUE(
        IFERROR(
            UPPER(
                IF(MAX(IFERROR(SEARCH("WD",MAIN!G891:J891), 0))&gt;0, "WD",
                IF(MAX(IFERROR(SEARCH("NS",MAIN!G891:J891), 0))&gt;0, "NS",
                IF(MAX(IFERROR(SEARCH("NC",MAIN!G891:J891), 0))&gt;0, "NC",
                IF(MAX(IFERROR(SEARCH("DQ",MAIN!G891:J891), 0))&gt;0, "DQ",
                IF(ISNUMBER(SEARCH("WD",MAIN!K891)), "WD",
                IF(ISNUMBER(SEARCH("NS",MAIN!K891)), "NS",
                IF(ISNUMBER(SEARCH("NC",MAIN!K891)), "NC",
                IF(ISNUMBER(SEARCH("DQ",MAIN!K891)), "DQ",
                IF(ISNUMBER(SEARCH("A",MAIN!K891)), 0,
                IF(OR(MAIN!K891=0,MAIN!K891=""), 0, --TRIM(MAIN!K891)))))))))))),
            0
        )
    ),
    IFERROR(
        UPPER(
            IF(MAX(IFERROR(SEARCH("WD",MAIN!G891:J891), 0))&gt;0, "WD",
            IF(MAX(IFERROR(SEARCH("NS",MAIN!G891:J891), 0))&gt;0, "NS",
            IF(MAX(IFERROR(SEARCH("NC",MAIN!G891:J891), 0))&gt;0, "NC",
            IF(MAX(IFERROR(SEARCH("DQ",MAIN!G891:J891), 0))&gt;0, "DQ",
            IF(ISNUMBER(SEARCH("WD",MAIN!K891)), "WD",
            IF(ISNUMBER(SEARCH("NS",MAIN!K891)), "NS",
            IF(ISNUMBER(SEARCH("NC",MAIN!K891)), "NC",
            IF(ISNUMBER(SEARCH("DQ",MAIN!K891)), "DQ",
            IF(ISNUMBER(SEARCH("A",MAIN!K891)), 0,
            IF(OR(MAIN!K891=0,MAIN!K891=""), 0, --TRIM(MAIN!K891)))))))))))),
        0
    )
)</f>
        <v>0</v>
      </c>
    </row>
    <row r="892" spans="1:11" x14ac:dyDescent="0.25">
      <c r="A892" t="str">
        <f>IF(ISBLANK(MAIN!A892), "--", IFERROR(PROPER(SUBSTITUTE(SUBSTITUTE(SUBSTITUTE(SUBSTITUTE(SUBSTITUTE(SUBSTITUTE(SUBSTITUTE(SUBSTITUTE(SUBSTITUTE(SUBSTITUTE(LEFT(MAIN!A892, FIND(",",MAIN!A892) -1), "0", ""), "1", ""), "2", ""), "3", ""), "4", ""), "5", ""), "6", ""), "7", ""), "8", ""), "9", "")), PROPER(SUBSTITUTE(SUBSTITUTE(SUBSTITUTE(SUBSTITUTE(SUBSTITUTE(SUBSTITUTE(SUBSTITUTE(SUBSTITUTE(SUBSTITUTE(SUBSTITUTE(MAIN!A892, "0", ""), "1", ""), "2", ""), "3", ""), "4", ""), "5", ""), "6", ""), "7", ""), "8", ""), "9", ""))))</f>
        <v>--</v>
      </c>
      <c r="B892" t="str">
        <f>IF(ISBLANK(MAIN!B892), "--", IFERROR(PROPER(SUBSTITUTE(SUBSTITUTE(SUBSTITUTE(SUBSTITUTE(SUBSTITUTE(SUBSTITUTE(SUBSTITUTE(SUBSTITUTE(SUBSTITUTE(SUBSTITUTE(LEFT(MAIN!B892, FIND(",",MAIN!B892) -1), "0", ""), "1", ""), "2", ""), "3", ""), "4", ""), "5", ""), "6", ""), "7", ""), "8", ""), "9", "")), PROPER(SUBSTITUTE(SUBSTITUTE(SUBSTITUTE(SUBSTITUTE(SUBSTITUTE(SUBSTITUTE(SUBSTITUTE(SUBSTITUTE(SUBSTITUTE(SUBSTITUTE(MAIN!B892, "0", ""), "1", ""), "2", ""), "3", ""), "4", ""), "5", ""), "6", ""), "7", ""), "8", ""), "9", ""))))</f>
        <v>--</v>
      </c>
      <c r="C892" t="str">
        <f>IF(ISBLANK(MAIN!C892), "--", IFERROR(PROPER(SUBSTITUTE(SUBSTITUTE(SUBSTITUTE(SUBSTITUTE(SUBSTITUTE(SUBSTITUTE(SUBSTITUTE(SUBSTITUTE(SUBSTITUTE(SUBSTITUTE(LEFT(MAIN!C892, FIND(",",MAIN!C892) -1), "0", ""), "1", ""), "2", ""), "3", ""), "4", ""), "5", ""), "6", ""), "7", ""), "8", ""), "9", "")), PROPER(SUBSTITUTE(SUBSTITUTE(SUBSTITUTE(SUBSTITUTE(SUBSTITUTE(SUBSTITUTE(SUBSTITUTE(SUBSTITUTE(SUBSTITUTE(SUBSTITUTE(MAIN!C892, "0", ""), "1", ""), "2", ""), "3", ""), "4", ""), "5", ""), "6", ""), "7", ""), "8", ""), "9", ""))))</f>
        <v>--</v>
      </c>
      <c r="D892" t="str">
        <f>IF(ISBLANK(MAIN!D892), "--", IF(ISNUMBER(MATCH(SUBSTITUTE(LEFT(MAIN!D892, IFERROR(FIND(",", MAIN!D892)-1, LEN(MAIN!D892))), " ", ""), lookup_values!$B$2:$B$51, 0)), UPPER(SUBSTITUTE(LEFT(MAIN!D892, IFERROR(FIND(",", MAIN!D892)-1, LEN(MAIN!D892))), " ", "")), IF(ISNA(VLOOKUP(SUBSTITUTE(LEFT(MAIN!D892, IFERROR(FIND(",", MAIN!D892)-1, LEN(MAIN!D892))), " ", ""), lookup_values!$A$2:$B$51, 2, FALSE)), "--", VLOOKUP(SUBSTITUTE(LEFT(MAIN!D892, IFERROR(FIND(",", MAIN!D892)-1, LEN(MAIN!D892))), " ", ""), lookup_values!$A$2:$B$51, 2, FALSE))))</f>
        <v>--</v>
      </c>
      <c r="E892" t="str">
        <f>IF(CLEAN_DATA!D892&lt;&gt;"--","US",IF(ISBLANK(MAIN!E892), "--", IF(ISNUMBER(MATCH(SUBSTITUTE(LEFT(MAIN!E892, IFERROR(FIND(",", MAIN!E892)-1, LEN(MAIN!E892))), " ", ""), lookup_values!$E$2:$E$197, 0)), UPPER(SUBSTITUTE(LEFT(MAIN!E892, IFERROR(FIND(",", MAIN!E892)-1, LEN(MAIN!E892))), " ", "")), IF(ISNA(VLOOKUP(SUBSTITUTE(LEFT(MAIN!E892, IFERROR(FIND(",", MAIN!E892)-1, LEN(MAIN!E892))), " ", ""), lookup_values!$D$2:$E$197, 2, FALSE)), "--", VLOOKUP(SUBSTITUTE(LEFT(MAIN!E892, IFERROR(FIND(",", MAIN!E892)-1, LEN(MAIN!E892))), " ", ""), lookup_values!$D$2:$E$197, 2, FALSE)))))</f>
        <v>--</v>
      </c>
      <c r="F892" t="str">
        <f>IF(ISBLANK(MAIN!F892), "", IF(AND(ISNUMBER(VALUE(TRIM(MAIN!F892))), LEN(TRIM(MAIN!F892))=4), VALUE(TRIM(MAIN!F892)), ""))</f>
        <v/>
      </c>
      <c r="G892">
        <f>IF(ISBLANK(MAIN!G892), 0, IF(ISNUMBER(VALUE(TRIM(MAIN!G892))), VALUE(TRIM(MAIN!G892)), 0))</f>
        <v>0</v>
      </c>
      <c r="H892">
        <f>IF(ISBLANK(MAIN!H892), 0, IF(ISNUMBER(VALUE(TRIM(MAIN!H892))), VALUE(TRIM(MAIN!H892)), 0))</f>
        <v>0</v>
      </c>
      <c r="I892">
        <f>IF(ISBLANK(MAIN!I892), 0, IF(ISNUMBER(VALUE(TRIM(MAIN!I892))), VALUE(TRIM(MAIN!I892)), 0))</f>
        <v>0</v>
      </c>
      <c r="J892">
        <f>IF(ISBLANK(MAIN!J892), 0, IF(ISNUMBER(VALUE(TRIM(MAIN!J892))), VALUE(TRIM(MAIN!J892)), 0))</f>
        <v>0</v>
      </c>
      <c r="K892" cm="1">
        <f t="array" ref="K892">IFERROR(
    VALUE(
        IFERROR(
            UPPER(
                IF(MAX(IFERROR(SEARCH("WD",MAIN!G892:J892), 0))&gt;0, "WD",
                IF(MAX(IFERROR(SEARCH("NS",MAIN!G892:J892), 0))&gt;0, "NS",
                IF(MAX(IFERROR(SEARCH("NC",MAIN!G892:J892), 0))&gt;0, "NC",
                IF(MAX(IFERROR(SEARCH("DQ",MAIN!G892:J892), 0))&gt;0, "DQ",
                IF(ISNUMBER(SEARCH("WD",MAIN!K892)), "WD",
                IF(ISNUMBER(SEARCH("NS",MAIN!K892)), "NS",
                IF(ISNUMBER(SEARCH("NC",MAIN!K892)), "NC",
                IF(ISNUMBER(SEARCH("DQ",MAIN!K892)), "DQ",
                IF(ISNUMBER(SEARCH("A",MAIN!K892)), 0,
                IF(OR(MAIN!K892=0,MAIN!K892=""), 0, --TRIM(MAIN!K892)))))))))))),
            0
        )
    ),
    IFERROR(
        UPPER(
            IF(MAX(IFERROR(SEARCH("WD",MAIN!G892:J892), 0))&gt;0, "WD",
            IF(MAX(IFERROR(SEARCH("NS",MAIN!G892:J892), 0))&gt;0, "NS",
            IF(MAX(IFERROR(SEARCH("NC",MAIN!G892:J892), 0))&gt;0, "NC",
            IF(MAX(IFERROR(SEARCH("DQ",MAIN!G892:J892), 0))&gt;0, "DQ",
            IF(ISNUMBER(SEARCH("WD",MAIN!K892)), "WD",
            IF(ISNUMBER(SEARCH("NS",MAIN!K892)), "NS",
            IF(ISNUMBER(SEARCH("NC",MAIN!K892)), "NC",
            IF(ISNUMBER(SEARCH("DQ",MAIN!K892)), "DQ",
            IF(ISNUMBER(SEARCH("A",MAIN!K892)), 0,
            IF(OR(MAIN!K892=0,MAIN!K892=""), 0, --TRIM(MAIN!K892)))))))))))),
        0
    )
)</f>
        <v>0</v>
      </c>
    </row>
    <row r="893" spans="1:11" x14ac:dyDescent="0.25">
      <c r="A893" t="str">
        <f>IF(ISBLANK(MAIN!A893), "--", IFERROR(PROPER(SUBSTITUTE(SUBSTITUTE(SUBSTITUTE(SUBSTITUTE(SUBSTITUTE(SUBSTITUTE(SUBSTITUTE(SUBSTITUTE(SUBSTITUTE(SUBSTITUTE(LEFT(MAIN!A893, FIND(",",MAIN!A893) -1), "0", ""), "1", ""), "2", ""), "3", ""), "4", ""), "5", ""), "6", ""), "7", ""), "8", ""), "9", "")), PROPER(SUBSTITUTE(SUBSTITUTE(SUBSTITUTE(SUBSTITUTE(SUBSTITUTE(SUBSTITUTE(SUBSTITUTE(SUBSTITUTE(SUBSTITUTE(SUBSTITUTE(MAIN!A893, "0", ""), "1", ""), "2", ""), "3", ""), "4", ""), "5", ""), "6", ""), "7", ""), "8", ""), "9", ""))))</f>
        <v>--</v>
      </c>
      <c r="B893" t="str">
        <f>IF(ISBLANK(MAIN!B893), "--", IFERROR(PROPER(SUBSTITUTE(SUBSTITUTE(SUBSTITUTE(SUBSTITUTE(SUBSTITUTE(SUBSTITUTE(SUBSTITUTE(SUBSTITUTE(SUBSTITUTE(SUBSTITUTE(LEFT(MAIN!B893, FIND(",",MAIN!B893) -1), "0", ""), "1", ""), "2", ""), "3", ""), "4", ""), "5", ""), "6", ""), "7", ""), "8", ""), "9", "")), PROPER(SUBSTITUTE(SUBSTITUTE(SUBSTITUTE(SUBSTITUTE(SUBSTITUTE(SUBSTITUTE(SUBSTITUTE(SUBSTITUTE(SUBSTITUTE(SUBSTITUTE(MAIN!B893, "0", ""), "1", ""), "2", ""), "3", ""), "4", ""), "5", ""), "6", ""), "7", ""), "8", ""), "9", ""))))</f>
        <v>--</v>
      </c>
      <c r="C893" t="str">
        <f>IF(ISBLANK(MAIN!C893), "--", IFERROR(PROPER(SUBSTITUTE(SUBSTITUTE(SUBSTITUTE(SUBSTITUTE(SUBSTITUTE(SUBSTITUTE(SUBSTITUTE(SUBSTITUTE(SUBSTITUTE(SUBSTITUTE(LEFT(MAIN!C893, FIND(",",MAIN!C893) -1), "0", ""), "1", ""), "2", ""), "3", ""), "4", ""), "5", ""), "6", ""), "7", ""), "8", ""), "9", "")), PROPER(SUBSTITUTE(SUBSTITUTE(SUBSTITUTE(SUBSTITUTE(SUBSTITUTE(SUBSTITUTE(SUBSTITUTE(SUBSTITUTE(SUBSTITUTE(SUBSTITUTE(MAIN!C893, "0", ""), "1", ""), "2", ""), "3", ""), "4", ""), "5", ""), "6", ""), "7", ""), "8", ""), "9", ""))))</f>
        <v>--</v>
      </c>
      <c r="D893" t="str">
        <f>IF(ISBLANK(MAIN!D893), "--", IF(ISNUMBER(MATCH(SUBSTITUTE(LEFT(MAIN!D893, IFERROR(FIND(",", MAIN!D893)-1, LEN(MAIN!D893))), " ", ""), lookup_values!$B$2:$B$51, 0)), UPPER(SUBSTITUTE(LEFT(MAIN!D893, IFERROR(FIND(",", MAIN!D893)-1, LEN(MAIN!D893))), " ", "")), IF(ISNA(VLOOKUP(SUBSTITUTE(LEFT(MAIN!D893, IFERROR(FIND(",", MAIN!D893)-1, LEN(MAIN!D893))), " ", ""), lookup_values!$A$2:$B$51, 2, FALSE)), "--", VLOOKUP(SUBSTITUTE(LEFT(MAIN!D893, IFERROR(FIND(",", MAIN!D893)-1, LEN(MAIN!D893))), " ", ""), lookup_values!$A$2:$B$51, 2, FALSE))))</f>
        <v>--</v>
      </c>
      <c r="E893" t="str">
        <f>IF(CLEAN_DATA!D893&lt;&gt;"--","US",IF(ISBLANK(MAIN!E893), "--", IF(ISNUMBER(MATCH(SUBSTITUTE(LEFT(MAIN!E893, IFERROR(FIND(",", MAIN!E893)-1, LEN(MAIN!E893))), " ", ""), lookup_values!$E$2:$E$197, 0)), UPPER(SUBSTITUTE(LEFT(MAIN!E893, IFERROR(FIND(",", MAIN!E893)-1, LEN(MAIN!E893))), " ", "")), IF(ISNA(VLOOKUP(SUBSTITUTE(LEFT(MAIN!E893, IFERROR(FIND(",", MAIN!E893)-1, LEN(MAIN!E893))), " ", ""), lookup_values!$D$2:$E$197, 2, FALSE)), "--", VLOOKUP(SUBSTITUTE(LEFT(MAIN!E893, IFERROR(FIND(",", MAIN!E893)-1, LEN(MAIN!E893))), " ", ""), lookup_values!$D$2:$E$197, 2, FALSE)))))</f>
        <v>--</v>
      </c>
      <c r="F893" t="str">
        <f>IF(ISBLANK(MAIN!F893), "", IF(AND(ISNUMBER(VALUE(TRIM(MAIN!F893))), LEN(TRIM(MAIN!F893))=4), VALUE(TRIM(MAIN!F893)), ""))</f>
        <v/>
      </c>
      <c r="G893">
        <f>IF(ISBLANK(MAIN!G893), 0, IF(ISNUMBER(VALUE(TRIM(MAIN!G893))), VALUE(TRIM(MAIN!G893)), 0))</f>
        <v>0</v>
      </c>
      <c r="H893">
        <f>IF(ISBLANK(MAIN!H893), 0, IF(ISNUMBER(VALUE(TRIM(MAIN!H893))), VALUE(TRIM(MAIN!H893)), 0))</f>
        <v>0</v>
      </c>
      <c r="I893">
        <f>IF(ISBLANK(MAIN!I893), 0, IF(ISNUMBER(VALUE(TRIM(MAIN!I893))), VALUE(TRIM(MAIN!I893)), 0))</f>
        <v>0</v>
      </c>
      <c r="J893">
        <f>IF(ISBLANK(MAIN!J893), 0, IF(ISNUMBER(VALUE(TRIM(MAIN!J893))), VALUE(TRIM(MAIN!J893)), 0))</f>
        <v>0</v>
      </c>
      <c r="K893" cm="1">
        <f t="array" ref="K893">IFERROR(
    VALUE(
        IFERROR(
            UPPER(
                IF(MAX(IFERROR(SEARCH("WD",MAIN!G893:J893), 0))&gt;0, "WD",
                IF(MAX(IFERROR(SEARCH("NS",MAIN!G893:J893), 0))&gt;0, "NS",
                IF(MAX(IFERROR(SEARCH("NC",MAIN!G893:J893), 0))&gt;0, "NC",
                IF(MAX(IFERROR(SEARCH("DQ",MAIN!G893:J893), 0))&gt;0, "DQ",
                IF(ISNUMBER(SEARCH("WD",MAIN!K893)), "WD",
                IF(ISNUMBER(SEARCH("NS",MAIN!K893)), "NS",
                IF(ISNUMBER(SEARCH("NC",MAIN!K893)), "NC",
                IF(ISNUMBER(SEARCH("DQ",MAIN!K893)), "DQ",
                IF(ISNUMBER(SEARCH("A",MAIN!K893)), 0,
                IF(OR(MAIN!K893=0,MAIN!K893=""), 0, --TRIM(MAIN!K893)))))))))))),
            0
        )
    ),
    IFERROR(
        UPPER(
            IF(MAX(IFERROR(SEARCH("WD",MAIN!G893:J893), 0))&gt;0, "WD",
            IF(MAX(IFERROR(SEARCH("NS",MAIN!G893:J893), 0))&gt;0, "NS",
            IF(MAX(IFERROR(SEARCH("NC",MAIN!G893:J893), 0))&gt;0, "NC",
            IF(MAX(IFERROR(SEARCH("DQ",MAIN!G893:J893), 0))&gt;0, "DQ",
            IF(ISNUMBER(SEARCH("WD",MAIN!K893)), "WD",
            IF(ISNUMBER(SEARCH("NS",MAIN!K893)), "NS",
            IF(ISNUMBER(SEARCH("NC",MAIN!K893)), "NC",
            IF(ISNUMBER(SEARCH("DQ",MAIN!K893)), "DQ",
            IF(ISNUMBER(SEARCH("A",MAIN!K893)), 0,
            IF(OR(MAIN!K893=0,MAIN!K893=""), 0, --TRIM(MAIN!K893)))))))))))),
        0
    )
)</f>
        <v>0</v>
      </c>
    </row>
    <row r="894" spans="1:11" x14ac:dyDescent="0.25">
      <c r="A894" t="str">
        <f>IF(ISBLANK(MAIN!A894), "--", IFERROR(PROPER(SUBSTITUTE(SUBSTITUTE(SUBSTITUTE(SUBSTITUTE(SUBSTITUTE(SUBSTITUTE(SUBSTITUTE(SUBSTITUTE(SUBSTITUTE(SUBSTITUTE(LEFT(MAIN!A894, FIND(",",MAIN!A894) -1), "0", ""), "1", ""), "2", ""), "3", ""), "4", ""), "5", ""), "6", ""), "7", ""), "8", ""), "9", "")), PROPER(SUBSTITUTE(SUBSTITUTE(SUBSTITUTE(SUBSTITUTE(SUBSTITUTE(SUBSTITUTE(SUBSTITUTE(SUBSTITUTE(SUBSTITUTE(SUBSTITUTE(MAIN!A894, "0", ""), "1", ""), "2", ""), "3", ""), "4", ""), "5", ""), "6", ""), "7", ""), "8", ""), "9", ""))))</f>
        <v>--</v>
      </c>
      <c r="B894" t="str">
        <f>IF(ISBLANK(MAIN!B894), "--", IFERROR(PROPER(SUBSTITUTE(SUBSTITUTE(SUBSTITUTE(SUBSTITUTE(SUBSTITUTE(SUBSTITUTE(SUBSTITUTE(SUBSTITUTE(SUBSTITUTE(SUBSTITUTE(LEFT(MAIN!B894, FIND(",",MAIN!B894) -1), "0", ""), "1", ""), "2", ""), "3", ""), "4", ""), "5", ""), "6", ""), "7", ""), "8", ""), "9", "")), PROPER(SUBSTITUTE(SUBSTITUTE(SUBSTITUTE(SUBSTITUTE(SUBSTITUTE(SUBSTITUTE(SUBSTITUTE(SUBSTITUTE(SUBSTITUTE(SUBSTITUTE(MAIN!B894, "0", ""), "1", ""), "2", ""), "3", ""), "4", ""), "5", ""), "6", ""), "7", ""), "8", ""), "9", ""))))</f>
        <v>--</v>
      </c>
      <c r="C894" t="str">
        <f>IF(ISBLANK(MAIN!C894), "--", IFERROR(PROPER(SUBSTITUTE(SUBSTITUTE(SUBSTITUTE(SUBSTITUTE(SUBSTITUTE(SUBSTITUTE(SUBSTITUTE(SUBSTITUTE(SUBSTITUTE(SUBSTITUTE(LEFT(MAIN!C894, FIND(",",MAIN!C894) -1), "0", ""), "1", ""), "2", ""), "3", ""), "4", ""), "5", ""), "6", ""), "7", ""), "8", ""), "9", "")), PROPER(SUBSTITUTE(SUBSTITUTE(SUBSTITUTE(SUBSTITUTE(SUBSTITUTE(SUBSTITUTE(SUBSTITUTE(SUBSTITUTE(SUBSTITUTE(SUBSTITUTE(MAIN!C894, "0", ""), "1", ""), "2", ""), "3", ""), "4", ""), "5", ""), "6", ""), "7", ""), "8", ""), "9", ""))))</f>
        <v>--</v>
      </c>
      <c r="D894" t="str">
        <f>IF(ISBLANK(MAIN!D894), "--", IF(ISNUMBER(MATCH(SUBSTITUTE(LEFT(MAIN!D894, IFERROR(FIND(",", MAIN!D894)-1, LEN(MAIN!D894))), " ", ""), lookup_values!$B$2:$B$51, 0)), UPPER(SUBSTITUTE(LEFT(MAIN!D894, IFERROR(FIND(",", MAIN!D894)-1, LEN(MAIN!D894))), " ", "")), IF(ISNA(VLOOKUP(SUBSTITUTE(LEFT(MAIN!D894, IFERROR(FIND(",", MAIN!D894)-1, LEN(MAIN!D894))), " ", ""), lookup_values!$A$2:$B$51, 2, FALSE)), "--", VLOOKUP(SUBSTITUTE(LEFT(MAIN!D894, IFERROR(FIND(",", MAIN!D894)-1, LEN(MAIN!D894))), " ", ""), lookup_values!$A$2:$B$51, 2, FALSE))))</f>
        <v>--</v>
      </c>
      <c r="E894" t="str">
        <f>IF(CLEAN_DATA!D894&lt;&gt;"--","US",IF(ISBLANK(MAIN!E894), "--", IF(ISNUMBER(MATCH(SUBSTITUTE(LEFT(MAIN!E894, IFERROR(FIND(",", MAIN!E894)-1, LEN(MAIN!E894))), " ", ""), lookup_values!$E$2:$E$197, 0)), UPPER(SUBSTITUTE(LEFT(MAIN!E894, IFERROR(FIND(",", MAIN!E894)-1, LEN(MAIN!E894))), " ", "")), IF(ISNA(VLOOKUP(SUBSTITUTE(LEFT(MAIN!E894, IFERROR(FIND(",", MAIN!E894)-1, LEN(MAIN!E894))), " ", ""), lookup_values!$D$2:$E$197, 2, FALSE)), "--", VLOOKUP(SUBSTITUTE(LEFT(MAIN!E894, IFERROR(FIND(",", MAIN!E894)-1, LEN(MAIN!E894))), " ", ""), lookup_values!$D$2:$E$197, 2, FALSE)))))</f>
        <v>--</v>
      </c>
      <c r="F894" t="str">
        <f>IF(ISBLANK(MAIN!F894), "", IF(AND(ISNUMBER(VALUE(TRIM(MAIN!F894))), LEN(TRIM(MAIN!F894))=4), VALUE(TRIM(MAIN!F894)), ""))</f>
        <v/>
      </c>
      <c r="G894">
        <f>IF(ISBLANK(MAIN!G894), 0, IF(ISNUMBER(VALUE(TRIM(MAIN!G894))), VALUE(TRIM(MAIN!G894)), 0))</f>
        <v>0</v>
      </c>
      <c r="H894">
        <f>IF(ISBLANK(MAIN!H894), 0, IF(ISNUMBER(VALUE(TRIM(MAIN!H894))), VALUE(TRIM(MAIN!H894)), 0))</f>
        <v>0</v>
      </c>
      <c r="I894">
        <f>IF(ISBLANK(MAIN!I894), 0, IF(ISNUMBER(VALUE(TRIM(MAIN!I894))), VALUE(TRIM(MAIN!I894)), 0))</f>
        <v>0</v>
      </c>
      <c r="J894">
        <f>IF(ISBLANK(MAIN!J894), 0, IF(ISNUMBER(VALUE(TRIM(MAIN!J894))), VALUE(TRIM(MAIN!J894)), 0))</f>
        <v>0</v>
      </c>
      <c r="K894" cm="1">
        <f t="array" ref="K894">IFERROR(
    VALUE(
        IFERROR(
            UPPER(
                IF(MAX(IFERROR(SEARCH("WD",MAIN!G894:J894), 0))&gt;0, "WD",
                IF(MAX(IFERROR(SEARCH("NS",MAIN!G894:J894), 0))&gt;0, "NS",
                IF(MAX(IFERROR(SEARCH("NC",MAIN!G894:J894), 0))&gt;0, "NC",
                IF(MAX(IFERROR(SEARCH("DQ",MAIN!G894:J894), 0))&gt;0, "DQ",
                IF(ISNUMBER(SEARCH("WD",MAIN!K894)), "WD",
                IF(ISNUMBER(SEARCH("NS",MAIN!K894)), "NS",
                IF(ISNUMBER(SEARCH("NC",MAIN!K894)), "NC",
                IF(ISNUMBER(SEARCH("DQ",MAIN!K894)), "DQ",
                IF(ISNUMBER(SEARCH("A",MAIN!K894)), 0,
                IF(OR(MAIN!K894=0,MAIN!K894=""), 0, --TRIM(MAIN!K894)))))))))))),
            0
        )
    ),
    IFERROR(
        UPPER(
            IF(MAX(IFERROR(SEARCH("WD",MAIN!G894:J894), 0))&gt;0, "WD",
            IF(MAX(IFERROR(SEARCH("NS",MAIN!G894:J894), 0))&gt;0, "NS",
            IF(MAX(IFERROR(SEARCH("NC",MAIN!G894:J894), 0))&gt;0, "NC",
            IF(MAX(IFERROR(SEARCH("DQ",MAIN!G894:J894), 0))&gt;0, "DQ",
            IF(ISNUMBER(SEARCH("WD",MAIN!K894)), "WD",
            IF(ISNUMBER(SEARCH("NS",MAIN!K894)), "NS",
            IF(ISNUMBER(SEARCH("NC",MAIN!K894)), "NC",
            IF(ISNUMBER(SEARCH("DQ",MAIN!K894)), "DQ",
            IF(ISNUMBER(SEARCH("A",MAIN!K894)), 0,
            IF(OR(MAIN!K894=0,MAIN!K894=""), 0, --TRIM(MAIN!K894)))))))))))),
        0
    )
)</f>
        <v>0</v>
      </c>
    </row>
    <row r="895" spans="1:11" x14ac:dyDescent="0.25">
      <c r="A895" t="str">
        <f>IF(ISBLANK(MAIN!A895), "--", IFERROR(PROPER(SUBSTITUTE(SUBSTITUTE(SUBSTITUTE(SUBSTITUTE(SUBSTITUTE(SUBSTITUTE(SUBSTITUTE(SUBSTITUTE(SUBSTITUTE(SUBSTITUTE(LEFT(MAIN!A895, FIND(",",MAIN!A895) -1), "0", ""), "1", ""), "2", ""), "3", ""), "4", ""), "5", ""), "6", ""), "7", ""), "8", ""), "9", "")), PROPER(SUBSTITUTE(SUBSTITUTE(SUBSTITUTE(SUBSTITUTE(SUBSTITUTE(SUBSTITUTE(SUBSTITUTE(SUBSTITUTE(SUBSTITUTE(SUBSTITUTE(MAIN!A895, "0", ""), "1", ""), "2", ""), "3", ""), "4", ""), "5", ""), "6", ""), "7", ""), "8", ""), "9", ""))))</f>
        <v>--</v>
      </c>
      <c r="B895" t="str">
        <f>IF(ISBLANK(MAIN!B895), "--", IFERROR(PROPER(SUBSTITUTE(SUBSTITUTE(SUBSTITUTE(SUBSTITUTE(SUBSTITUTE(SUBSTITUTE(SUBSTITUTE(SUBSTITUTE(SUBSTITUTE(SUBSTITUTE(LEFT(MAIN!B895, FIND(",",MAIN!B895) -1), "0", ""), "1", ""), "2", ""), "3", ""), "4", ""), "5", ""), "6", ""), "7", ""), "8", ""), "9", "")), PROPER(SUBSTITUTE(SUBSTITUTE(SUBSTITUTE(SUBSTITUTE(SUBSTITUTE(SUBSTITUTE(SUBSTITUTE(SUBSTITUTE(SUBSTITUTE(SUBSTITUTE(MAIN!B895, "0", ""), "1", ""), "2", ""), "3", ""), "4", ""), "5", ""), "6", ""), "7", ""), "8", ""), "9", ""))))</f>
        <v>--</v>
      </c>
      <c r="C895" t="str">
        <f>IF(ISBLANK(MAIN!C895), "--", IFERROR(PROPER(SUBSTITUTE(SUBSTITUTE(SUBSTITUTE(SUBSTITUTE(SUBSTITUTE(SUBSTITUTE(SUBSTITUTE(SUBSTITUTE(SUBSTITUTE(SUBSTITUTE(LEFT(MAIN!C895, FIND(",",MAIN!C895) -1), "0", ""), "1", ""), "2", ""), "3", ""), "4", ""), "5", ""), "6", ""), "7", ""), "8", ""), "9", "")), PROPER(SUBSTITUTE(SUBSTITUTE(SUBSTITUTE(SUBSTITUTE(SUBSTITUTE(SUBSTITUTE(SUBSTITUTE(SUBSTITUTE(SUBSTITUTE(SUBSTITUTE(MAIN!C895, "0", ""), "1", ""), "2", ""), "3", ""), "4", ""), "5", ""), "6", ""), "7", ""), "8", ""), "9", ""))))</f>
        <v>--</v>
      </c>
      <c r="D895" t="str">
        <f>IF(ISBLANK(MAIN!D895), "--", IF(ISNUMBER(MATCH(SUBSTITUTE(LEFT(MAIN!D895, IFERROR(FIND(",", MAIN!D895)-1, LEN(MAIN!D895))), " ", ""), lookup_values!$B$2:$B$51, 0)), UPPER(SUBSTITUTE(LEFT(MAIN!D895, IFERROR(FIND(",", MAIN!D895)-1, LEN(MAIN!D895))), " ", "")), IF(ISNA(VLOOKUP(SUBSTITUTE(LEFT(MAIN!D895, IFERROR(FIND(",", MAIN!D895)-1, LEN(MAIN!D895))), " ", ""), lookup_values!$A$2:$B$51, 2, FALSE)), "--", VLOOKUP(SUBSTITUTE(LEFT(MAIN!D895, IFERROR(FIND(",", MAIN!D895)-1, LEN(MAIN!D895))), " ", ""), lookup_values!$A$2:$B$51, 2, FALSE))))</f>
        <v>--</v>
      </c>
      <c r="E895" t="str">
        <f>IF(CLEAN_DATA!D895&lt;&gt;"--","US",IF(ISBLANK(MAIN!E895), "--", IF(ISNUMBER(MATCH(SUBSTITUTE(LEFT(MAIN!E895, IFERROR(FIND(",", MAIN!E895)-1, LEN(MAIN!E895))), " ", ""), lookup_values!$E$2:$E$197, 0)), UPPER(SUBSTITUTE(LEFT(MAIN!E895, IFERROR(FIND(",", MAIN!E895)-1, LEN(MAIN!E895))), " ", "")), IF(ISNA(VLOOKUP(SUBSTITUTE(LEFT(MAIN!E895, IFERROR(FIND(",", MAIN!E895)-1, LEN(MAIN!E895))), " ", ""), lookup_values!$D$2:$E$197, 2, FALSE)), "--", VLOOKUP(SUBSTITUTE(LEFT(MAIN!E895, IFERROR(FIND(",", MAIN!E895)-1, LEN(MAIN!E895))), " ", ""), lookup_values!$D$2:$E$197, 2, FALSE)))))</f>
        <v>--</v>
      </c>
      <c r="F895" t="str">
        <f>IF(ISBLANK(MAIN!F895), "", IF(AND(ISNUMBER(VALUE(TRIM(MAIN!F895))), LEN(TRIM(MAIN!F895))=4), VALUE(TRIM(MAIN!F895)), ""))</f>
        <v/>
      </c>
      <c r="G895">
        <f>IF(ISBLANK(MAIN!G895), 0, IF(ISNUMBER(VALUE(TRIM(MAIN!G895))), VALUE(TRIM(MAIN!G895)), 0))</f>
        <v>0</v>
      </c>
      <c r="H895">
        <f>IF(ISBLANK(MAIN!H895), 0, IF(ISNUMBER(VALUE(TRIM(MAIN!H895))), VALUE(TRIM(MAIN!H895)), 0))</f>
        <v>0</v>
      </c>
      <c r="I895">
        <f>IF(ISBLANK(MAIN!I895), 0, IF(ISNUMBER(VALUE(TRIM(MAIN!I895))), VALUE(TRIM(MAIN!I895)), 0))</f>
        <v>0</v>
      </c>
      <c r="J895">
        <f>IF(ISBLANK(MAIN!J895), 0, IF(ISNUMBER(VALUE(TRIM(MAIN!J895))), VALUE(TRIM(MAIN!J895)), 0))</f>
        <v>0</v>
      </c>
      <c r="K895" cm="1">
        <f t="array" ref="K895">IFERROR(
    VALUE(
        IFERROR(
            UPPER(
                IF(MAX(IFERROR(SEARCH("WD",MAIN!G895:J895), 0))&gt;0, "WD",
                IF(MAX(IFERROR(SEARCH("NS",MAIN!G895:J895), 0))&gt;0, "NS",
                IF(MAX(IFERROR(SEARCH("NC",MAIN!G895:J895), 0))&gt;0, "NC",
                IF(MAX(IFERROR(SEARCH("DQ",MAIN!G895:J895), 0))&gt;0, "DQ",
                IF(ISNUMBER(SEARCH("WD",MAIN!K895)), "WD",
                IF(ISNUMBER(SEARCH("NS",MAIN!K895)), "NS",
                IF(ISNUMBER(SEARCH("NC",MAIN!K895)), "NC",
                IF(ISNUMBER(SEARCH("DQ",MAIN!K895)), "DQ",
                IF(ISNUMBER(SEARCH("A",MAIN!K895)), 0,
                IF(OR(MAIN!K895=0,MAIN!K895=""), 0, --TRIM(MAIN!K895)))))))))))),
            0
        )
    ),
    IFERROR(
        UPPER(
            IF(MAX(IFERROR(SEARCH("WD",MAIN!G895:J895), 0))&gt;0, "WD",
            IF(MAX(IFERROR(SEARCH("NS",MAIN!G895:J895), 0))&gt;0, "NS",
            IF(MAX(IFERROR(SEARCH("NC",MAIN!G895:J895), 0))&gt;0, "NC",
            IF(MAX(IFERROR(SEARCH("DQ",MAIN!G895:J895), 0))&gt;0, "DQ",
            IF(ISNUMBER(SEARCH("WD",MAIN!K895)), "WD",
            IF(ISNUMBER(SEARCH("NS",MAIN!K895)), "NS",
            IF(ISNUMBER(SEARCH("NC",MAIN!K895)), "NC",
            IF(ISNUMBER(SEARCH("DQ",MAIN!K895)), "DQ",
            IF(ISNUMBER(SEARCH("A",MAIN!K895)), 0,
            IF(OR(MAIN!K895=0,MAIN!K895=""), 0, --TRIM(MAIN!K895)))))))))))),
        0
    )
)</f>
        <v>0</v>
      </c>
    </row>
    <row r="896" spans="1:11" x14ac:dyDescent="0.25">
      <c r="A896" t="str">
        <f>IF(ISBLANK(MAIN!A896), "--", IFERROR(PROPER(SUBSTITUTE(SUBSTITUTE(SUBSTITUTE(SUBSTITUTE(SUBSTITUTE(SUBSTITUTE(SUBSTITUTE(SUBSTITUTE(SUBSTITUTE(SUBSTITUTE(LEFT(MAIN!A896, FIND(",",MAIN!A896) -1), "0", ""), "1", ""), "2", ""), "3", ""), "4", ""), "5", ""), "6", ""), "7", ""), "8", ""), "9", "")), PROPER(SUBSTITUTE(SUBSTITUTE(SUBSTITUTE(SUBSTITUTE(SUBSTITUTE(SUBSTITUTE(SUBSTITUTE(SUBSTITUTE(SUBSTITUTE(SUBSTITUTE(MAIN!A896, "0", ""), "1", ""), "2", ""), "3", ""), "4", ""), "5", ""), "6", ""), "7", ""), "8", ""), "9", ""))))</f>
        <v>--</v>
      </c>
      <c r="B896" t="str">
        <f>IF(ISBLANK(MAIN!B896), "--", IFERROR(PROPER(SUBSTITUTE(SUBSTITUTE(SUBSTITUTE(SUBSTITUTE(SUBSTITUTE(SUBSTITUTE(SUBSTITUTE(SUBSTITUTE(SUBSTITUTE(SUBSTITUTE(LEFT(MAIN!B896, FIND(",",MAIN!B896) -1), "0", ""), "1", ""), "2", ""), "3", ""), "4", ""), "5", ""), "6", ""), "7", ""), "8", ""), "9", "")), PROPER(SUBSTITUTE(SUBSTITUTE(SUBSTITUTE(SUBSTITUTE(SUBSTITUTE(SUBSTITUTE(SUBSTITUTE(SUBSTITUTE(SUBSTITUTE(SUBSTITUTE(MAIN!B896, "0", ""), "1", ""), "2", ""), "3", ""), "4", ""), "5", ""), "6", ""), "7", ""), "8", ""), "9", ""))))</f>
        <v>--</v>
      </c>
      <c r="C896" t="str">
        <f>IF(ISBLANK(MAIN!C896), "--", IFERROR(PROPER(SUBSTITUTE(SUBSTITUTE(SUBSTITUTE(SUBSTITUTE(SUBSTITUTE(SUBSTITUTE(SUBSTITUTE(SUBSTITUTE(SUBSTITUTE(SUBSTITUTE(LEFT(MAIN!C896, FIND(",",MAIN!C896) -1), "0", ""), "1", ""), "2", ""), "3", ""), "4", ""), "5", ""), "6", ""), "7", ""), "8", ""), "9", "")), PROPER(SUBSTITUTE(SUBSTITUTE(SUBSTITUTE(SUBSTITUTE(SUBSTITUTE(SUBSTITUTE(SUBSTITUTE(SUBSTITUTE(SUBSTITUTE(SUBSTITUTE(MAIN!C896, "0", ""), "1", ""), "2", ""), "3", ""), "4", ""), "5", ""), "6", ""), "7", ""), "8", ""), "9", ""))))</f>
        <v>--</v>
      </c>
      <c r="D896" t="str">
        <f>IF(ISBLANK(MAIN!D896), "--", IF(ISNUMBER(MATCH(SUBSTITUTE(LEFT(MAIN!D896, IFERROR(FIND(",", MAIN!D896)-1, LEN(MAIN!D896))), " ", ""), lookup_values!$B$2:$B$51, 0)), UPPER(SUBSTITUTE(LEFT(MAIN!D896, IFERROR(FIND(",", MAIN!D896)-1, LEN(MAIN!D896))), " ", "")), IF(ISNA(VLOOKUP(SUBSTITUTE(LEFT(MAIN!D896, IFERROR(FIND(",", MAIN!D896)-1, LEN(MAIN!D896))), " ", ""), lookup_values!$A$2:$B$51, 2, FALSE)), "--", VLOOKUP(SUBSTITUTE(LEFT(MAIN!D896, IFERROR(FIND(",", MAIN!D896)-1, LEN(MAIN!D896))), " ", ""), lookup_values!$A$2:$B$51, 2, FALSE))))</f>
        <v>--</v>
      </c>
      <c r="E896" t="str">
        <f>IF(CLEAN_DATA!D896&lt;&gt;"--","US",IF(ISBLANK(MAIN!E896), "--", IF(ISNUMBER(MATCH(SUBSTITUTE(LEFT(MAIN!E896, IFERROR(FIND(",", MAIN!E896)-1, LEN(MAIN!E896))), " ", ""), lookup_values!$E$2:$E$197, 0)), UPPER(SUBSTITUTE(LEFT(MAIN!E896, IFERROR(FIND(",", MAIN!E896)-1, LEN(MAIN!E896))), " ", "")), IF(ISNA(VLOOKUP(SUBSTITUTE(LEFT(MAIN!E896, IFERROR(FIND(",", MAIN!E896)-1, LEN(MAIN!E896))), " ", ""), lookup_values!$D$2:$E$197, 2, FALSE)), "--", VLOOKUP(SUBSTITUTE(LEFT(MAIN!E896, IFERROR(FIND(",", MAIN!E896)-1, LEN(MAIN!E896))), " ", ""), lookup_values!$D$2:$E$197, 2, FALSE)))))</f>
        <v>--</v>
      </c>
      <c r="F896" t="str">
        <f>IF(ISBLANK(MAIN!F896), "", IF(AND(ISNUMBER(VALUE(TRIM(MAIN!F896))), LEN(TRIM(MAIN!F896))=4), VALUE(TRIM(MAIN!F896)), ""))</f>
        <v/>
      </c>
      <c r="G896">
        <f>IF(ISBLANK(MAIN!G896), 0, IF(ISNUMBER(VALUE(TRIM(MAIN!G896))), VALUE(TRIM(MAIN!G896)), 0))</f>
        <v>0</v>
      </c>
      <c r="H896">
        <f>IF(ISBLANK(MAIN!H896), 0, IF(ISNUMBER(VALUE(TRIM(MAIN!H896))), VALUE(TRIM(MAIN!H896)), 0))</f>
        <v>0</v>
      </c>
      <c r="I896">
        <f>IF(ISBLANK(MAIN!I896), 0, IF(ISNUMBER(VALUE(TRIM(MAIN!I896))), VALUE(TRIM(MAIN!I896)), 0))</f>
        <v>0</v>
      </c>
      <c r="J896">
        <f>IF(ISBLANK(MAIN!J896), 0, IF(ISNUMBER(VALUE(TRIM(MAIN!J896))), VALUE(TRIM(MAIN!J896)), 0))</f>
        <v>0</v>
      </c>
      <c r="K896" cm="1">
        <f t="array" ref="K896">IFERROR(
    VALUE(
        IFERROR(
            UPPER(
                IF(MAX(IFERROR(SEARCH("WD",MAIN!G896:J896), 0))&gt;0, "WD",
                IF(MAX(IFERROR(SEARCH("NS",MAIN!G896:J896), 0))&gt;0, "NS",
                IF(MAX(IFERROR(SEARCH("NC",MAIN!G896:J896), 0))&gt;0, "NC",
                IF(MAX(IFERROR(SEARCH("DQ",MAIN!G896:J896), 0))&gt;0, "DQ",
                IF(ISNUMBER(SEARCH("WD",MAIN!K896)), "WD",
                IF(ISNUMBER(SEARCH("NS",MAIN!K896)), "NS",
                IF(ISNUMBER(SEARCH("NC",MAIN!K896)), "NC",
                IF(ISNUMBER(SEARCH("DQ",MAIN!K896)), "DQ",
                IF(ISNUMBER(SEARCH("A",MAIN!K896)), 0,
                IF(OR(MAIN!K896=0,MAIN!K896=""), 0, --TRIM(MAIN!K896)))))))))))),
            0
        )
    ),
    IFERROR(
        UPPER(
            IF(MAX(IFERROR(SEARCH("WD",MAIN!G896:J896), 0))&gt;0, "WD",
            IF(MAX(IFERROR(SEARCH("NS",MAIN!G896:J896), 0))&gt;0, "NS",
            IF(MAX(IFERROR(SEARCH("NC",MAIN!G896:J896), 0))&gt;0, "NC",
            IF(MAX(IFERROR(SEARCH("DQ",MAIN!G896:J896), 0))&gt;0, "DQ",
            IF(ISNUMBER(SEARCH("WD",MAIN!K896)), "WD",
            IF(ISNUMBER(SEARCH("NS",MAIN!K896)), "NS",
            IF(ISNUMBER(SEARCH("NC",MAIN!K896)), "NC",
            IF(ISNUMBER(SEARCH("DQ",MAIN!K896)), "DQ",
            IF(ISNUMBER(SEARCH("A",MAIN!K896)), 0,
            IF(OR(MAIN!K896=0,MAIN!K896=""), 0, --TRIM(MAIN!K896)))))))))))),
        0
    )
)</f>
        <v>0</v>
      </c>
    </row>
    <row r="897" spans="1:11" x14ac:dyDescent="0.25">
      <c r="A897" t="str">
        <f>IF(ISBLANK(MAIN!A897), "--", IFERROR(PROPER(SUBSTITUTE(SUBSTITUTE(SUBSTITUTE(SUBSTITUTE(SUBSTITUTE(SUBSTITUTE(SUBSTITUTE(SUBSTITUTE(SUBSTITUTE(SUBSTITUTE(LEFT(MAIN!A897, FIND(",",MAIN!A897) -1), "0", ""), "1", ""), "2", ""), "3", ""), "4", ""), "5", ""), "6", ""), "7", ""), "8", ""), "9", "")), PROPER(SUBSTITUTE(SUBSTITUTE(SUBSTITUTE(SUBSTITUTE(SUBSTITUTE(SUBSTITUTE(SUBSTITUTE(SUBSTITUTE(SUBSTITUTE(SUBSTITUTE(MAIN!A897, "0", ""), "1", ""), "2", ""), "3", ""), "4", ""), "5", ""), "6", ""), "7", ""), "8", ""), "9", ""))))</f>
        <v>--</v>
      </c>
      <c r="B897" t="str">
        <f>IF(ISBLANK(MAIN!B897), "--", IFERROR(PROPER(SUBSTITUTE(SUBSTITUTE(SUBSTITUTE(SUBSTITUTE(SUBSTITUTE(SUBSTITUTE(SUBSTITUTE(SUBSTITUTE(SUBSTITUTE(SUBSTITUTE(LEFT(MAIN!B897, FIND(",",MAIN!B897) -1), "0", ""), "1", ""), "2", ""), "3", ""), "4", ""), "5", ""), "6", ""), "7", ""), "8", ""), "9", "")), PROPER(SUBSTITUTE(SUBSTITUTE(SUBSTITUTE(SUBSTITUTE(SUBSTITUTE(SUBSTITUTE(SUBSTITUTE(SUBSTITUTE(SUBSTITUTE(SUBSTITUTE(MAIN!B897, "0", ""), "1", ""), "2", ""), "3", ""), "4", ""), "5", ""), "6", ""), "7", ""), "8", ""), "9", ""))))</f>
        <v>--</v>
      </c>
      <c r="C897" t="str">
        <f>IF(ISBLANK(MAIN!C897), "--", IFERROR(PROPER(SUBSTITUTE(SUBSTITUTE(SUBSTITUTE(SUBSTITUTE(SUBSTITUTE(SUBSTITUTE(SUBSTITUTE(SUBSTITUTE(SUBSTITUTE(SUBSTITUTE(LEFT(MAIN!C897, FIND(",",MAIN!C897) -1), "0", ""), "1", ""), "2", ""), "3", ""), "4", ""), "5", ""), "6", ""), "7", ""), "8", ""), "9", "")), PROPER(SUBSTITUTE(SUBSTITUTE(SUBSTITUTE(SUBSTITUTE(SUBSTITUTE(SUBSTITUTE(SUBSTITUTE(SUBSTITUTE(SUBSTITUTE(SUBSTITUTE(MAIN!C897, "0", ""), "1", ""), "2", ""), "3", ""), "4", ""), "5", ""), "6", ""), "7", ""), "8", ""), "9", ""))))</f>
        <v>--</v>
      </c>
      <c r="D897" t="str">
        <f>IF(ISBLANK(MAIN!D897), "--", IF(ISNUMBER(MATCH(SUBSTITUTE(LEFT(MAIN!D897, IFERROR(FIND(",", MAIN!D897)-1, LEN(MAIN!D897))), " ", ""), lookup_values!$B$2:$B$51, 0)), UPPER(SUBSTITUTE(LEFT(MAIN!D897, IFERROR(FIND(",", MAIN!D897)-1, LEN(MAIN!D897))), " ", "")), IF(ISNA(VLOOKUP(SUBSTITUTE(LEFT(MAIN!D897, IFERROR(FIND(",", MAIN!D897)-1, LEN(MAIN!D897))), " ", ""), lookup_values!$A$2:$B$51, 2, FALSE)), "--", VLOOKUP(SUBSTITUTE(LEFT(MAIN!D897, IFERROR(FIND(",", MAIN!D897)-1, LEN(MAIN!D897))), " ", ""), lookup_values!$A$2:$B$51, 2, FALSE))))</f>
        <v>--</v>
      </c>
      <c r="E897" t="str">
        <f>IF(CLEAN_DATA!D897&lt;&gt;"--","US",IF(ISBLANK(MAIN!E897), "--", IF(ISNUMBER(MATCH(SUBSTITUTE(LEFT(MAIN!E897, IFERROR(FIND(",", MAIN!E897)-1, LEN(MAIN!E897))), " ", ""), lookup_values!$E$2:$E$197, 0)), UPPER(SUBSTITUTE(LEFT(MAIN!E897, IFERROR(FIND(",", MAIN!E897)-1, LEN(MAIN!E897))), " ", "")), IF(ISNA(VLOOKUP(SUBSTITUTE(LEFT(MAIN!E897, IFERROR(FIND(",", MAIN!E897)-1, LEN(MAIN!E897))), " ", ""), lookup_values!$D$2:$E$197, 2, FALSE)), "--", VLOOKUP(SUBSTITUTE(LEFT(MAIN!E897, IFERROR(FIND(",", MAIN!E897)-1, LEN(MAIN!E897))), " ", ""), lookup_values!$D$2:$E$197, 2, FALSE)))))</f>
        <v>--</v>
      </c>
      <c r="F897" t="str">
        <f>IF(ISBLANK(MAIN!F897), "", IF(AND(ISNUMBER(VALUE(TRIM(MAIN!F897))), LEN(TRIM(MAIN!F897))=4), VALUE(TRIM(MAIN!F897)), ""))</f>
        <v/>
      </c>
      <c r="G897">
        <f>IF(ISBLANK(MAIN!G897), 0, IF(ISNUMBER(VALUE(TRIM(MAIN!G897))), VALUE(TRIM(MAIN!G897)), 0))</f>
        <v>0</v>
      </c>
      <c r="H897">
        <f>IF(ISBLANK(MAIN!H897), 0, IF(ISNUMBER(VALUE(TRIM(MAIN!H897))), VALUE(TRIM(MAIN!H897)), 0))</f>
        <v>0</v>
      </c>
      <c r="I897">
        <f>IF(ISBLANK(MAIN!I897), 0, IF(ISNUMBER(VALUE(TRIM(MAIN!I897))), VALUE(TRIM(MAIN!I897)), 0))</f>
        <v>0</v>
      </c>
      <c r="J897">
        <f>IF(ISBLANK(MAIN!J897), 0, IF(ISNUMBER(VALUE(TRIM(MAIN!J897))), VALUE(TRIM(MAIN!J897)), 0))</f>
        <v>0</v>
      </c>
      <c r="K897" cm="1">
        <f t="array" ref="K897">IFERROR(
    VALUE(
        IFERROR(
            UPPER(
                IF(MAX(IFERROR(SEARCH("WD",MAIN!G897:J897), 0))&gt;0, "WD",
                IF(MAX(IFERROR(SEARCH("NS",MAIN!G897:J897), 0))&gt;0, "NS",
                IF(MAX(IFERROR(SEARCH("NC",MAIN!G897:J897), 0))&gt;0, "NC",
                IF(MAX(IFERROR(SEARCH("DQ",MAIN!G897:J897), 0))&gt;0, "DQ",
                IF(ISNUMBER(SEARCH("WD",MAIN!K897)), "WD",
                IF(ISNUMBER(SEARCH("NS",MAIN!K897)), "NS",
                IF(ISNUMBER(SEARCH("NC",MAIN!K897)), "NC",
                IF(ISNUMBER(SEARCH("DQ",MAIN!K897)), "DQ",
                IF(ISNUMBER(SEARCH("A",MAIN!K897)), 0,
                IF(OR(MAIN!K897=0,MAIN!K897=""), 0, --TRIM(MAIN!K897)))))))))))),
            0
        )
    ),
    IFERROR(
        UPPER(
            IF(MAX(IFERROR(SEARCH("WD",MAIN!G897:J897), 0))&gt;0, "WD",
            IF(MAX(IFERROR(SEARCH("NS",MAIN!G897:J897), 0))&gt;0, "NS",
            IF(MAX(IFERROR(SEARCH("NC",MAIN!G897:J897), 0))&gt;0, "NC",
            IF(MAX(IFERROR(SEARCH("DQ",MAIN!G897:J897), 0))&gt;0, "DQ",
            IF(ISNUMBER(SEARCH("WD",MAIN!K897)), "WD",
            IF(ISNUMBER(SEARCH("NS",MAIN!K897)), "NS",
            IF(ISNUMBER(SEARCH("NC",MAIN!K897)), "NC",
            IF(ISNUMBER(SEARCH("DQ",MAIN!K897)), "DQ",
            IF(ISNUMBER(SEARCH("A",MAIN!K897)), 0,
            IF(OR(MAIN!K897=0,MAIN!K897=""), 0, --TRIM(MAIN!K897)))))))))))),
        0
    )
)</f>
        <v>0</v>
      </c>
    </row>
    <row r="898" spans="1:11" x14ac:dyDescent="0.25">
      <c r="A898" t="str">
        <f>IF(ISBLANK(MAIN!A898), "--", IFERROR(PROPER(SUBSTITUTE(SUBSTITUTE(SUBSTITUTE(SUBSTITUTE(SUBSTITUTE(SUBSTITUTE(SUBSTITUTE(SUBSTITUTE(SUBSTITUTE(SUBSTITUTE(LEFT(MAIN!A898, FIND(",",MAIN!A898) -1), "0", ""), "1", ""), "2", ""), "3", ""), "4", ""), "5", ""), "6", ""), "7", ""), "8", ""), "9", "")), PROPER(SUBSTITUTE(SUBSTITUTE(SUBSTITUTE(SUBSTITUTE(SUBSTITUTE(SUBSTITUTE(SUBSTITUTE(SUBSTITUTE(SUBSTITUTE(SUBSTITUTE(MAIN!A898, "0", ""), "1", ""), "2", ""), "3", ""), "4", ""), "5", ""), "6", ""), "7", ""), "8", ""), "9", ""))))</f>
        <v>--</v>
      </c>
      <c r="B898" t="str">
        <f>IF(ISBLANK(MAIN!B898), "--", IFERROR(PROPER(SUBSTITUTE(SUBSTITUTE(SUBSTITUTE(SUBSTITUTE(SUBSTITUTE(SUBSTITUTE(SUBSTITUTE(SUBSTITUTE(SUBSTITUTE(SUBSTITUTE(LEFT(MAIN!B898, FIND(",",MAIN!B898) -1), "0", ""), "1", ""), "2", ""), "3", ""), "4", ""), "5", ""), "6", ""), "7", ""), "8", ""), "9", "")), PROPER(SUBSTITUTE(SUBSTITUTE(SUBSTITUTE(SUBSTITUTE(SUBSTITUTE(SUBSTITUTE(SUBSTITUTE(SUBSTITUTE(SUBSTITUTE(SUBSTITUTE(MAIN!B898, "0", ""), "1", ""), "2", ""), "3", ""), "4", ""), "5", ""), "6", ""), "7", ""), "8", ""), "9", ""))))</f>
        <v>--</v>
      </c>
      <c r="C898" t="str">
        <f>IF(ISBLANK(MAIN!C898), "--", IFERROR(PROPER(SUBSTITUTE(SUBSTITUTE(SUBSTITUTE(SUBSTITUTE(SUBSTITUTE(SUBSTITUTE(SUBSTITUTE(SUBSTITUTE(SUBSTITUTE(SUBSTITUTE(LEFT(MAIN!C898, FIND(",",MAIN!C898) -1), "0", ""), "1", ""), "2", ""), "3", ""), "4", ""), "5", ""), "6", ""), "7", ""), "8", ""), "9", "")), PROPER(SUBSTITUTE(SUBSTITUTE(SUBSTITUTE(SUBSTITUTE(SUBSTITUTE(SUBSTITUTE(SUBSTITUTE(SUBSTITUTE(SUBSTITUTE(SUBSTITUTE(MAIN!C898, "0", ""), "1", ""), "2", ""), "3", ""), "4", ""), "5", ""), "6", ""), "7", ""), "8", ""), "9", ""))))</f>
        <v>--</v>
      </c>
      <c r="D898" t="str">
        <f>IF(ISBLANK(MAIN!D898), "--", IF(ISNUMBER(MATCH(SUBSTITUTE(LEFT(MAIN!D898, IFERROR(FIND(",", MAIN!D898)-1, LEN(MAIN!D898))), " ", ""), lookup_values!$B$2:$B$51, 0)), UPPER(SUBSTITUTE(LEFT(MAIN!D898, IFERROR(FIND(",", MAIN!D898)-1, LEN(MAIN!D898))), " ", "")), IF(ISNA(VLOOKUP(SUBSTITUTE(LEFT(MAIN!D898, IFERROR(FIND(",", MAIN!D898)-1, LEN(MAIN!D898))), " ", ""), lookup_values!$A$2:$B$51, 2, FALSE)), "--", VLOOKUP(SUBSTITUTE(LEFT(MAIN!D898, IFERROR(FIND(",", MAIN!D898)-1, LEN(MAIN!D898))), " ", ""), lookup_values!$A$2:$B$51, 2, FALSE))))</f>
        <v>--</v>
      </c>
      <c r="E898" t="str">
        <f>IF(CLEAN_DATA!D898&lt;&gt;"--","US",IF(ISBLANK(MAIN!E898), "--", IF(ISNUMBER(MATCH(SUBSTITUTE(LEFT(MAIN!E898, IFERROR(FIND(",", MAIN!E898)-1, LEN(MAIN!E898))), " ", ""), lookup_values!$E$2:$E$197, 0)), UPPER(SUBSTITUTE(LEFT(MAIN!E898, IFERROR(FIND(",", MAIN!E898)-1, LEN(MAIN!E898))), " ", "")), IF(ISNA(VLOOKUP(SUBSTITUTE(LEFT(MAIN!E898, IFERROR(FIND(",", MAIN!E898)-1, LEN(MAIN!E898))), " ", ""), lookup_values!$D$2:$E$197, 2, FALSE)), "--", VLOOKUP(SUBSTITUTE(LEFT(MAIN!E898, IFERROR(FIND(",", MAIN!E898)-1, LEN(MAIN!E898))), " ", ""), lookup_values!$D$2:$E$197, 2, FALSE)))))</f>
        <v>--</v>
      </c>
      <c r="F898" t="str">
        <f>IF(ISBLANK(MAIN!F898), "", IF(AND(ISNUMBER(VALUE(TRIM(MAIN!F898))), LEN(TRIM(MAIN!F898))=4), VALUE(TRIM(MAIN!F898)), ""))</f>
        <v/>
      </c>
      <c r="G898">
        <f>IF(ISBLANK(MAIN!G898), 0, IF(ISNUMBER(VALUE(TRIM(MAIN!G898))), VALUE(TRIM(MAIN!G898)), 0))</f>
        <v>0</v>
      </c>
      <c r="H898">
        <f>IF(ISBLANK(MAIN!H898), 0, IF(ISNUMBER(VALUE(TRIM(MAIN!H898))), VALUE(TRIM(MAIN!H898)), 0))</f>
        <v>0</v>
      </c>
      <c r="I898">
        <f>IF(ISBLANK(MAIN!I898), 0, IF(ISNUMBER(VALUE(TRIM(MAIN!I898))), VALUE(TRIM(MAIN!I898)), 0))</f>
        <v>0</v>
      </c>
      <c r="J898">
        <f>IF(ISBLANK(MAIN!J898), 0, IF(ISNUMBER(VALUE(TRIM(MAIN!J898))), VALUE(TRIM(MAIN!J898)), 0))</f>
        <v>0</v>
      </c>
      <c r="K898" cm="1">
        <f t="array" ref="K898">IFERROR(
    VALUE(
        IFERROR(
            UPPER(
                IF(MAX(IFERROR(SEARCH("WD",MAIN!G898:J898), 0))&gt;0, "WD",
                IF(MAX(IFERROR(SEARCH("NS",MAIN!G898:J898), 0))&gt;0, "NS",
                IF(MAX(IFERROR(SEARCH("NC",MAIN!G898:J898), 0))&gt;0, "NC",
                IF(MAX(IFERROR(SEARCH("DQ",MAIN!G898:J898), 0))&gt;0, "DQ",
                IF(ISNUMBER(SEARCH("WD",MAIN!K898)), "WD",
                IF(ISNUMBER(SEARCH("NS",MAIN!K898)), "NS",
                IF(ISNUMBER(SEARCH("NC",MAIN!K898)), "NC",
                IF(ISNUMBER(SEARCH("DQ",MAIN!K898)), "DQ",
                IF(ISNUMBER(SEARCH("A",MAIN!K898)), 0,
                IF(OR(MAIN!K898=0,MAIN!K898=""), 0, --TRIM(MAIN!K898)))))))))))),
            0
        )
    ),
    IFERROR(
        UPPER(
            IF(MAX(IFERROR(SEARCH("WD",MAIN!G898:J898), 0))&gt;0, "WD",
            IF(MAX(IFERROR(SEARCH("NS",MAIN!G898:J898), 0))&gt;0, "NS",
            IF(MAX(IFERROR(SEARCH("NC",MAIN!G898:J898), 0))&gt;0, "NC",
            IF(MAX(IFERROR(SEARCH("DQ",MAIN!G898:J898), 0))&gt;0, "DQ",
            IF(ISNUMBER(SEARCH("WD",MAIN!K898)), "WD",
            IF(ISNUMBER(SEARCH("NS",MAIN!K898)), "NS",
            IF(ISNUMBER(SEARCH("NC",MAIN!K898)), "NC",
            IF(ISNUMBER(SEARCH("DQ",MAIN!K898)), "DQ",
            IF(ISNUMBER(SEARCH("A",MAIN!K898)), 0,
            IF(OR(MAIN!K898=0,MAIN!K898=""), 0, --TRIM(MAIN!K898)))))))))))),
        0
    )
)</f>
        <v>0</v>
      </c>
    </row>
    <row r="899" spans="1:11" x14ac:dyDescent="0.25">
      <c r="A899" t="str">
        <f>IF(ISBLANK(MAIN!A899), "--", IFERROR(PROPER(SUBSTITUTE(SUBSTITUTE(SUBSTITUTE(SUBSTITUTE(SUBSTITUTE(SUBSTITUTE(SUBSTITUTE(SUBSTITUTE(SUBSTITUTE(SUBSTITUTE(LEFT(MAIN!A899, FIND(",",MAIN!A899) -1), "0", ""), "1", ""), "2", ""), "3", ""), "4", ""), "5", ""), "6", ""), "7", ""), "8", ""), "9", "")), PROPER(SUBSTITUTE(SUBSTITUTE(SUBSTITUTE(SUBSTITUTE(SUBSTITUTE(SUBSTITUTE(SUBSTITUTE(SUBSTITUTE(SUBSTITUTE(SUBSTITUTE(MAIN!A899, "0", ""), "1", ""), "2", ""), "3", ""), "4", ""), "5", ""), "6", ""), "7", ""), "8", ""), "9", ""))))</f>
        <v>--</v>
      </c>
      <c r="B899" t="str">
        <f>IF(ISBLANK(MAIN!B899), "--", IFERROR(PROPER(SUBSTITUTE(SUBSTITUTE(SUBSTITUTE(SUBSTITUTE(SUBSTITUTE(SUBSTITUTE(SUBSTITUTE(SUBSTITUTE(SUBSTITUTE(SUBSTITUTE(LEFT(MAIN!B899, FIND(",",MAIN!B899) -1), "0", ""), "1", ""), "2", ""), "3", ""), "4", ""), "5", ""), "6", ""), "7", ""), "8", ""), "9", "")), PROPER(SUBSTITUTE(SUBSTITUTE(SUBSTITUTE(SUBSTITUTE(SUBSTITUTE(SUBSTITUTE(SUBSTITUTE(SUBSTITUTE(SUBSTITUTE(SUBSTITUTE(MAIN!B899, "0", ""), "1", ""), "2", ""), "3", ""), "4", ""), "5", ""), "6", ""), "7", ""), "8", ""), "9", ""))))</f>
        <v>--</v>
      </c>
      <c r="C899" t="str">
        <f>IF(ISBLANK(MAIN!C899), "--", IFERROR(PROPER(SUBSTITUTE(SUBSTITUTE(SUBSTITUTE(SUBSTITUTE(SUBSTITUTE(SUBSTITUTE(SUBSTITUTE(SUBSTITUTE(SUBSTITUTE(SUBSTITUTE(LEFT(MAIN!C899, FIND(",",MAIN!C899) -1), "0", ""), "1", ""), "2", ""), "3", ""), "4", ""), "5", ""), "6", ""), "7", ""), "8", ""), "9", "")), PROPER(SUBSTITUTE(SUBSTITUTE(SUBSTITUTE(SUBSTITUTE(SUBSTITUTE(SUBSTITUTE(SUBSTITUTE(SUBSTITUTE(SUBSTITUTE(SUBSTITUTE(MAIN!C899, "0", ""), "1", ""), "2", ""), "3", ""), "4", ""), "5", ""), "6", ""), "7", ""), "8", ""), "9", ""))))</f>
        <v>--</v>
      </c>
      <c r="D899" t="str">
        <f>IF(ISBLANK(MAIN!D899), "--", IF(ISNUMBER(MATCH(SUBSTITUTE(LEFT(MAIN!D899, IFERROR(FIND(",", MAIN!D899)-1, LEN(MAIN!D899))), " ", ""), lookup_values!$B$2:$B$51, 0)), UPPER(SUBSTITUTE(LEFT(MAIN!D899, IFERROR(FIND(",", MAIN!D899)-1, LEN(MAIN!D899))), " ", "")), IF(ISNA(VLOOKUP(SUBSTITUTE(LEFT(MAIN!D899, IFERROR(FIND(",", MAIN!D899)-1, LEN(MAIN!D899))), " ", ""), lookup_values!$A$2:$B$51, 2, FALSE)), "--", VLOOKUP(SUBSTITUTE(LEFT(MAIN!D899, IFERROR(FIND(",", MAIN!D899)-1, LEN(MAIN!D899))), " ", ""), lookup_values!$A$2:$B$51, 2, FALSE))))</f>
        <v>--</v>
      </c>
      <c r="E899" t="str">
        <f>IF(CLEAN_DATA!D899&lt;&gt;"--","US",IF(ISBLANK(MAIN!E899), "--", IF(ISNUMBER(MATCH(SUBSTITUTE(LEFT(MAIN!E899, IFERROR(FIND(",", MAIN!E899)-1, LEN(MAIN!E899))), " ", ""), lookup_values!$E$2:$E$197, 0)), UPPER(SUBSTITUTE(LEFT(MAIN!E899, IFERROR(FIND(",", MAIN!E899)-1, LEN(MAIN!E899))), " ", "")), IF(ISNA(VLOOKUP(SUBSTITUTE(LEFT(MAIN!E899, IFERROR(FIND(",", MAIN!E899)-1, LEN(MAIN!E899))), " ", ""), lookup_values!$D$2:$E$197, 2, FALSE)), "--", VLOOKUP(SUBSTITUTE(LEFT(MAIN!E899, IFERROR(FIND(",", MAIN!E899)-1, LEN(MAIN!E899))), " ", ""), lookup_values!$D$2:$E$197, 2, FALSE)))))</f>
        <v>--</v>
      </c>
      <c r="F899" t="str">
        <f>IF(ISBLANK(MAIN!F899), "", IF(AND(ISNUMBER(VALUE(TRIM(MAIN!F899))), LEN(TRIM(MAIN!F899))=4), VALUE(TRIM(MAIN!F899)), ""))</f>
        <v/>
      </c>
      <c r="G899">
        <f>IF(ISBLANK(MAIN!G899), 0, IF(ISNUMBER(VALUE(TRIM(MAIN!G899))), VALUE(TRIM(MAIN!G899)), 0))</f>
        <v>0</v>
      </c>
      <c r="H899">
        <f>IF(ISBLANK(MAIN!H899), 0, IF(ISNUMBER(VALUE(TRIM(MAIN!H899))), VALUE(TRIM(MAIN!H899)), 0))</f>
        <v>0</v>
      </c>
      <c r="I899">
        <f>IF(ISBLANK(MAIN!I899), 0, IF(ISNUMBER(VALUE(TRIM(MAIN!I899))), VALUE(TRIM(MAIN!I899)), 0))</f>
        <v>0</v>
      </c>
      <c r="J899">
        <f>IF(ISBLANK(MAIN!J899), 0, IF(ISNUMBER(VALUE(TRIM(MAIN!J899))), VALUE(TRIM(MAIN!J899)), 0))</f>
        <v>0</v>
      </c>
      <c r="K899" cm="1">
        <f t="array" ref="K899">IFERROR(
    VALUE(
        IFERROR(
            UPPER(
                IF(MAX(IFERROR(SEARCH("WD",MAIN!G899:J899), 0))&gt;0, "WD",
                IF(MAX(IFERROR(SEARCH("NS",MAIN!G899:J899), 0))&gt;0, "NS",
                IF(MAX(IFERROR(SEARCH("NC",MAIN!G899:J899), 0))&gt;0, "NC",
                IF(MAX(IFERROR(SEARCH("DQ",MAIN!G899:J899), 0))&gt;0, "DQ",
                IF(ISNUMBER(SEARCH("WD",MAIN!K899)), "WD",
                IF(ISNUMBER(SEARCH("NS",MAIN!K899)), "NS",
                IF(ISNUMBER(SEARCH("NC",MAIN!K899)), "NC",
                IF(ISNUMBER(SEARCH("DQ",MAIN!K899)), "DQ",
                IF(ISNUMBER(SEARCH("A",MAIN!K899)), 0,
                IF(OR(MAIN!K899=0,MAIN!K899=""), 0, --TRIM(MAIN!K899)))))))))))),
            0
        )
    ),
    IFERROR(
        UPPER(
            IF(MAX(IFERROR(SEARCH("WD",MAIN!G899:J899), 0))&gt;0, "WD",
            IF(MAX(IFERROR(SEARCH("NS",MAIN!G899:J899), 0))&gt;0, "NS",
            IF(MAX(IFERROR(SEARCH("NC",MAIN!G899:J899), 0))&gt;0, "NC",
            IF(MAX(IFERROR(SEARCH("DQ",MAIN!G899:J899), 0))&gt;0, "DQ",
            IF(ISNUMBER(SEARCH("WD",MAIN!K899)), "WD",
            IF(ISNUMBER(SEARCH("NS",MAIN!K899)), "NS",
            IF(ISNUMBER(SEARCH("NC",MAIN!K899)), "NC",
            IF(ISNUMBER(SEARCH("DQ",MAIN!K899)), "DQ",
            IF(ISNUMBER(SEARCH("A",MAIN!K899)), 0,
            IF(OR(MAIN!K899=0,MAIN!K899=""), 0, --TRIM(MAIN!K899)))))))))))),
        0
    )
)</f>
        <v>0</v>
      </c>
    </row>
    <row r="900" spans="1:11" x14ac:dyDescent="0.25">
      <c r="A900" t="str">
        <f>IF(ISBLANK(MAIN!A900), "--", IFERROR(PROPER(SUBSTITUTE(SUBSTITUTE(SUBSTITUTE(SUBSTITUTE(SUBSTITUTE(SUBSTITUTE(SUBSTITUTE(SUBSTITUTE(SUBSTITUTE(SUBSTITUTE(LEFT(MAIN!A900, FIND(",",MAIN!A900) -1), "0", ""), "1", ""), "2", ""), "3", ""), "4", ""), "5", ""), "6", ""), "7", ""), "8", ""), "9", "")), PROPER(SUBSTITUTE(SUBSTITUTE(SUBSTITUTE(SUBSTITUTE(SUBSTITUTE(SUBSTITUTE(SUBSTITUTE(SUBSTITUTE(SUBSTITUTE(SUBSTITUTE(MAIN!A900, "0", ""), "1", ""), "2", ""), "3", ""), "4", ""), "5", ""), "6", ""), "7", ""), "8", ""), "9", ""))))</f>
        <v>--</v>
      </c>
      <c r="B900" t="str">
        <f>IF(ISBLANK(MAIN!B900), "--", IFERROR(PROPER(SUBSTITUTE(SUBSTITUTE(SUBSTITUTE(SUBSTITUTE(SUBSTITUTE(SUBSTITUTE(SUBSTITUTE(SUBSTITUTE(SUBSTITUTE(SUBSTITUTE(LEFT(MAIN!B900, FIND(",",MAIN!B900) -1), "0", ""), "1", ""), "2", ""), "3", ""), "4", ""), "5", ""), "6", ""), "7", ""), "8", ""), "9", "")), PROPER(SUBSTITUTE(SUBSTITUTE(SUBSTITUTE(SUBSTITUTE(SUBSTITUTE(SUBSTITUTE(SUBSTITUTE(SUBSTITUTE(SUBSTITUTE(SUBSTITUTE(MAIN!B900, "0", ""), "1", ""), "2", ""), "3", ""), "4", ""), "5", ""), "6", ""), "7", ""), "8", ""), "9", ""))))</f>
        <v>--</v>
      </c>
      <c r="C900" t="str">
        <f>IF(ISBLANK(MAIN!C900), "--", IFERROR(PROPER(SUBSTITUTE(SUBSTITUTE(SUBSTITUTE(SUBSTITUTE(SUBSTITUTE(SUBSTITUTE(SUBSTITUTE(SUBSTITUTE(SUBSTITUTE(SUBSTITUTE(LEFT(MAIN!C900, FIND(",",MAIN!C900) -1), "0", ""), "1", ""), "2", ""), "3", ""), "4", ""), "5", ""), "6", ""), "7", ""), "8", ""), "9", "")), PROPER(SUBSTITUTE(SUBSTITUTE(SUBSTITUTE(SUBSTITUTE(SUBSTITUTE(SUBSTITUTE(SUBSTITUTE(SUBSTITUTE(SUBSTITUTE(SUBSTITUTE(MAIN!C900, "0", ""), "1", ""), "2", ""), "3", ""), "4", ""), "5", ""), "6", ""), "7", ""), "8", ""), "9", ""))))</f>
        <v>--</v>
      </c>
      <c r="D900" t="str">
        <f>IF(ISBLANK(MAIN!D900), "--", IF(ISNUMBER(MATCH(SUBSTITUTE(LEFT(MAIN!D900, IFERROR(FIND(",", MAIN!D900)-1, LEN(MAIN!D900))), " ", ""), lookup_values!$B$2:$B$51, 0)), UPPER(SUBSTITUTE(LEFT(MAIN!D900, IFERROR(FIND(",", MAIN!D900)-1, LEN(MAIN!D900))), " ", "")), IF(ISNA(VLOOKUP(SUBSTITUTE(LEFT(MAIN!D900, IFERROR(FIND(",", MAIN!D900)-1, LEN(MAIN!D900))), " ", ""), lookup_values!$A$2:$B$51, 2, FALSE)), "--", VLOOKUP(SUBSTITUTE(LEFT(MAIN!D900, IFERROR(FIND(",", MAIN!D900)-1, LEN(MAIN!D900))), " ", ""), lookup_values!$A$2:$B$51, 2, FALSE))))</f>
        <v>--</v>
      </c>
      <c r="E900" t="str">
        <f>IF(CLEAN_DATA!D900&lt;&gt;"--","US",IF(ISBLANK(MAIN!E900), "--", IF(ISNUMBER(MATCH(SUBSTITUTE(LEFT(MAIN!E900, IFERROR(FIND(",", MAIN!E900)-1, LEN(MAIN!E900))), " ", ""), lookup_values!$E$2:$E$197, 0)), UPPER(SUBSTITUTE(LEFT(MAIN!E900, IFERROR(FIND(",", MAIN!E900)-1, LEN(MAIN!E900))), " ", "")), IF(ISNA(VLOOKUP(SUBSTITUTE(LEFT(MAIN!E900, IFERROR(FIND(",", MAIN!E900)-1, LEN(MAIN!E900))), " ", ""), lookup_values!$D$2:$E$197, 2, FALSE)), "--", VLOOKUP(SUBSTITUTE(LEFT(MAIN!E900, IFERROR(FIND(",", MAIN!E900)-1, LEN(MAIN!E900))), " ", ""), lookup_values!$D$2:$E$197, 2, FALSE)))))</f>
        <v>--</v>
      </c>
      <c r="F900" t="str">
        <f>IF(ISBLANK(MAIN!F900), "", IF(AND(ISNUMBER(VALUE(TRIM(MAIN!F900))), LEN(TRIM(MAIN!F900))=4), VALUE(TRIM(MAIN!F900)), ""))</f>
        <v/>
      </c>
      <c r="G900">
        <f>IF(ISBLANK(MAIN!G900), 0, IF(ISNUMBER(VALUE(TRIM(MAIN!G900))), VALUE(TRIM(MAIN!G900)), 0))</f>
        <v>0</v>
      </c>
      <c r="H900">
        <f>IF(ISBLANK(MAIN!H900), 0, IF(ISNUMBER(VALUE(TRIM(MAIN!H900))), VALUE(TRIM(MAIN!H900)), 0))</f>
        <v>0</v>
      </c>
      <c r="I900">
        <f>IF(ISBLANK(MAIN!I900), 0, IF(ISNUMBER(VALUE(TRIM(MAIN!I900))), VALUE(TRIM(MAIN!I900)), 0))</f>
        <v>0</v>
      </c>
      <c r="J900">
        <f>IF(ISBLANK(MAIN!J900), 0, IF(ISNUMBER(VALUE(TRIM(MAIN!J900))), VALUE(TRIM(MAIN!J900)), 0))</f>
        <v>0</v>
      </c>
      <c r="K900" cm="1">
        <f t="array" ref="K900">IFERROR(
    VALUE(
        IFERROR(
            UPPER(
                IF(MAX(IFERROR(SEARCH("WD",MAIN!G900:J900), 0))&gt;0, "WD",
                IF(MAX(IFERROR(SEARCH("NS",MAIN!G900:J900), 0))&gt;0, "NS",
                IF(MAX(IFERROR(SEARCH("NC",MAIN!G900:J900), 0))&gt;0, "NC",
                IF(MAX(IFERROR(SEARCH("DQ",MAIN!G900:J900), 0))&gt;0, "DQ",
                IF(ISNUMBER(SEARCH("WD",MAIN!K900)), "WD",
                IF(ISNUMBER(SEARCH("NS",MAIN!K900)), "NS",
                IF(ISNUMBER(SEARCH("NC",MAIN!K900)), "NC",
                IF(ISNUMBER(SEARCH("DQ",MAIN!K900)), "DQ",
                IF(ISNUMBER(SEARCH("A",MAIN!K900)), 0,
                IF(OR(MAIN!K900=0,MAIN!K900=""), 0, --TRIM(MAIN!K900)))))))))))),
            0
        )
    ),
    IFERROR(
        UPPER(
            IF(MAX(IFERROR(SEARCH("WD",MAIN!G900:J900), 0))&gt;0, "WD",
            IF(MAX(IFERROR(SEARCH("NS",MAIN!G900:J900), 0))&gt;0, "NS",
            IF(MAX(IFERROR(SEARCH("NC",MAIN!G900:J900), 0))&gt;0, "NC",
            IF(MAX(IFERROR(SEARCH("DQ",MAIN!G900:J900), 0))&gt;0, "DQ",
            IF(ISNUMBER(SEARCH("WD",MAIN!K900)), "WD",
            IF(ISNUMBER(SEARCH("NS",MAIN!K900)), "NS",
            IF(ISNUMBER(SEARCH("NC",MAIN!K900)), "NC",
            IF(ISNUMBER(SEARCH("DQ",MAIN!K900)), "DQ",
            IF(ISNUMBER(SEARCH("A",MAIN!K900)), 0,
            IF(OR(MAIN!K900=0,MAIN!K900=""), 0, --TRIM(MAIN!K900)))))))))))),
        0
    )
)</f>
        <v>0</v>
      </c>
    </row>
    <row r="901" spans="1:11" x14ac:dyDescent="0.25">
      <c r="A901" t="str">
        <f>IF(ISBLANK(MAIN!A901), "--", IFERROR(PROPER(SUBSTITUTE(SUBSTITUTE(SUBSTITUTE(SUBSTITUTE(SUBSTITUTE(SUBSTITUTE(SUBSTITUTE(SUBSTITUTE(SUBSTITUTE(SUBSTITUTE(LEFT(MAIN!A901, FIND(",",MAIN!A901) -1), "0", ""), "1", ""), "2", ""), "3", ""), "4", ""), "5", ""), "6", ""), "7", ""), "8", ""), "9", "")), PROPER(SUBSTITUTE(SUBSTITUTE(SUBSTITUTE(SUBSTITUTE(SUBSTITUTE(SUBSTITUTE(SUBSTITUTE(SUBSTITUTE(SUBSTITUTE(SUBSTITUTE(MAIN!A901, "0", ""), "1", ""), "2", ""), "3", ""), "4", ""), "5", ""), "6", ""), "7", ""), "8", ""), "9", ""))))</f>
        <v>--</v>
      </c>
      <c r="B901" t="str">
        <f>IF(ISBLANK(MAIN!B901), "--", IFERROR(PROPER(SUBSTITUTE(SUBSTITUTE(SUBSTITUTE(SUBSTITUTE(SUBSTITUTE(SUBSTITUTE(SUBSTITUTE(SUBSTITUTE(SUBSTITUTE(SUBSTITUTE(LEFT(MAIN!B901, FIND(",",MAIN!B901) -1), "0", ""), "1", ""), "2", ""), "3", ""), "4", ""), "5", ""), "6", ""), "7", ""), "8", ""), "9", "")), PROPER(SUBSTITUTE(SUBSTITUTE(SUBSTITUTE(SUBSTITUTE(SUBSTITUTE(SUBSTITUTE(SUBSTITUTE(SUBSTITUTE(SUBSTITUTE(SUBSTITUTE(MAIN!B901, "0", ""), "1", ""), "2", ""), "3", ""), "4", ""), "5", ""), "6", ""), "7", ""), "8", ""), "9", ""))))</f>
        <v>--</v>
      </c>
      <c r="C901" t="str">
        <f>IF(ISBLANK(MAIN!C901), "--", IFERROR(PROPER(SUBSTITUTE(SUBSTITUTE(SUBSTITUTE(SUBSTITUTE(SUBSTITUTE(SUBSTITUTE(SUBSTITUTE(SUBSTITUTE(SUBSTITUTE(SUBSTITUTE(LEFT(MAIN!C901, FIND(",",MAIN!C901) -1), "0", ""), "1", ""), "2", ""), "3", ""), "4", ""), "5", ""), "6", ""), "7", ""), "8", ""), "9", "")), PROPER(SUBSTITUTE(SUBSTITUTE(SUBSTITUTE(SUBSTITUTE(SUBSTITUTE(SUBSTITUTE(SUBSTITUTE(SUBSTITUTE(SUBSTITUTE(SUBSTITUTE(MAIN!C901, "0", ""), "1", ""), "2", ""), "3", ""), "4", ""), "5", ""), "6", ""), "7", ""), "8", ""), "9", ""))))</f>
        <v>--</v>
      </c>
      <c r="D901" t="str">
        <f>IF(ISBLANK(MAIN!D901), "--", IF(ISNUMBER(MATCH(SUBSTITUTE(LEFT(MAIN!D901, IFERROR(FIND(",", MAIN!D901)-1, LEN(MAIN!D901))), " ", ""), lookup_values!$B$2:$B$51, 0)), UPPER(SUBSTITUTE(LEFT(MAIN!D901, IFERROR(FIND(",", MAIN!D901)-1, LEN(MAIN!D901))), " ", "")), IF(ISNA(VLOOKUP(SUBSTITUTE(LEFT(MAIN!D901, IFERROR(FIND(",", MAIN!D901)-1, LEN(MAIN!D901))), " ", ""), lookup_values!$A$2:$B$51, 2, FALSE)), "--", VLOOKUP(SUBSTITUTE(LEFT(MAIN!D901, IFERROR(FIND(",", MAIN!D901)-1, LEN(MAIN!D901))), " ", ""), lookup_values!$A$2:$B$51, 2, FALSE))))</f>
        <v>--</v>
      </c>
      <c r="E901" t="str">
        <f>IF(CLEAN_DATA!D901&lt;&gt;"--","US",IF(ISBLANK(MAIN!E901), "--", IF(ISNUMBER(MATCH(SUBSTITUTE(LEFT(MAIN!E901, IFERROR(FIND(",", MAIN!E901)-1, LEN(MAIN!E901))), " ", ""), lookup_values!$E$2:$E$197, 0)), UPPER(SUBSTITUTE(LEFT(MAIN!E901, IFERROR(FIND(",", MAIN!E901)-1, LEN(MAIN!E901))), " ", "")), IF(ISNA(VLOOKUP(SUBSTITUTE(LEFT(MAIN!E901, IFERROR(FIND(",", MAIN!E901)-1, LEN(MAIN!E901))), " ", ""), lookup_values!$D$2:$E$197, 2, FALSE)), "--", VLOOKUP(SUBSTITUTE(LEFT(MAIN!E901, IFERROR(FIND(",", MAIN!E901)-1, LEN(MAIN!E901))), " ", ""), lookup_values!$D$2:$E$197, 2, FALSE)))))</f>
        <v>--</v>
      </c>
      <c r="F901" t="str">
        <f>IF(ISBLANK(MAIN!F901), "", IF(AND(ISNUMBER(VALUE(TRIM(MAIN!F901))), LEN(TRIM(MAIN!F901))=4), VALUE(TRIM(MAIN!F901)), ""))</f>
        <v/>
      </c>
      <c r="G901">
        <f>IF(ISBLANK(MAIN!G901), 0, IF(ISNUMBER(VALUE(TRIM(MAIN!G901))), VALUE(TRIM(MAIN!G901)), 0))</f>
        <v>0</v>
      </c>
      <c r="H901">
        <f>IF(ISBLANK(MAIN!H901), 0, IF(ISNUMBER(VALUE(TRIM(MAIN!H901))), VALUE(TRIM(MAIN!H901)), 0))</f>
        <v>0</v>
      </c>
      <c r="I901">
        <f>IF(ISBLANK(MAIN!I901), 0, IF(ISNUMBER(VALUE(TRIM(MAIN!I901))), VALUE(TRIM(MAIN!I901)), 0))</f>
        <v>0</v>
      </c>
      <c r="J901">
        <f>IF(ISBLANK(MAIN!J901), 0, IF(ISNUMBER(VALUE(TRIM(MAIN!J901))), VALUE(TRIM(MAIN!J901)), 0))</f>
        <v>0</v>
      </c>
      <c r="K901" cm="1">
        <f t="array" ref="K901">IFERROR(
    VALUE(
        IFERROR(
            UPPER(
                IF(MAX(IFERROR(SEARCH("WD",MAIN!G901:J901), 0))&gt;0, "WD",
                IF(MAX(IFERROR(SEARCH("NS",MAIN!G901:J901), 0))&gt;0, "NS",
                IF(MAX(IFERROR(SEARCH("NC",MAIN!G901:J901), 0))&gt;0, "NC",
                IF(MAX(IFERROR(SEARCH("DQ",MAIN!G901:J901), 0))&gt;0, "DQ",
                IF(ISNUMBER(SEARCH("WD",MAIN!K901)), "WD",
                IF(ISNUMBER(SEARCH("NS",MAIN!K901)), "NS",
                IF(ISNUMBER(SEARCH("NC",MAIN!K901)), "NC",
                IF(ISNUMBER(SEARCH("DQ",MAIN!K901)), "DQ",
                IF(ISNUMBER(SEARCH("A",MAIN!K901)), 0,
                IF(OR(MAIN!K901=0,MAIN!K901=""), 0, --TRIM(MAIN!K901)))))))))))),
            0
        )
    ),
    IFERROR(
        UPPER(
            IF(MAX(IFERROR(SEARCH("WD",MAIN!G901:J901), 0))&gt;0, "WD",
            IF(MAX(IFERROR(SEARCH("NS",MAIN!G901:J901), 0))&gt;0, "NS",
            IF(MAX(IFERROR(SEARCH("NC",MAIN!G901:J901), 0))&gt;0, "NC",
            IF(MAX(IFERROR(SEARCH("DQ",MAIN!G901:J901), 0))&gt;0, "DQ",
            IF(ISNUMBER(SEARCH("WD",MAIN!K901)), "WD",
            IF(ISNUMBER(SEARCH("NS",MAIN!K901)), "NS",
            IF(ISNUMBER(SEARCH("NC",MAIN!K901)), "NC",
            IF(ISNUMBER(SEARCH("DQ",MAIN!K901)), "DQ",
            IF(ISNUMBER(SEARCH("A",MAIN!K901)), 0,
            IF(OR(MAIN!K901=0,MAIN!K901=""), 0, --TRIM(MAIN!K901)))))))))))),
        0
    )
)</f>
        <v>0</v>
      </c>
    </row>
    <row r="902" spans="1:11" x14ac:dyDescent="0.25">
      <c r="A902" t="str">
        <f>IF(ISBLANK(MAIN!A902), "--", IFERROR(PROPER(SUBSTITUTE(SUBSTITUTE(SUBSTITUTE(SUBSTITUTE(SUBSTITUTE(SUBSTITUTE(SUBSTITUTE(SUBSTITUTE(SUBSTITUTE(SUBSTITUTE(LEFT(MAIN!A902, FIND(",",MAIN!A902) -1), "0", ""), "1", ""), "2", ""), "3", ""), "4", ""), "5", ""), "6", ""), "7", ""), "8", ""), "9", "")), PROPER(SUBSTITUTE(SUBSTITUTE(SUBSTITUTE(SUBSTITUTE(SUBSTITUTE(SUBSTITUTE(SUBSTITUTE(SUBSTITUTE(SUBSTITUTE(SUBSTITUTE(MAIN!A902, "0", ""), "1", ""), "2", ""), "3", ""), "4", ""), "5", ""), "6", ""), "7", ""), "8", ""), "9", ""))))</f>
        <v>--</v>
      </c>
      <c r="B902" t="str">
        <f>IF(ISBLANK(MAIN!B902), "--", IFERROR(PROPER(SUBSTITUTE(SUBSTITUTE(SUBSTITUTE(SUBSTITUTE(SUBSTITUTE(SUBSTITUTE(SUBSTITUTE(SUBSTITUTE(SUBSTITUTE(SUBSTITUTE(LEFT(MAIN!B902, FIND(",",MAIN!B902) -1), "0", ""), "1", ""), "2", ""), "3", ""), "4", ""), "5", ""), "6", ""), "7", ""), "8", ""), "9", "")), PROPER(SUBSTITUTE(SUBSTITUTE(SUBSTITUTE(SUBSTITUTE(SUBSTITUTE(SUBSTITUTE(SUBSTITUTE(SUBSTITUTE(SUBSTITUTE(SUBSTITUTE(MAIN!B902, "0", ""), "1", ""), "2", ""), "3", ""), "4", ""), "5", ""), "6", ""), "7", ""), "8", ""), "9", ""))))</f>
        <v>--</v>
      </c>
      <c r="C902" t="str">
        <f>IF(ISBLANK(MAIN!C902), "--", IFERROR(PROPER(SUBSTITUTE(SUBSTITUTE(SUBSTITUTE(SUBSTITUTE(SUBSTITUTE(SUBSTITUTE(SUBSTITUTE(SUBSTITUTE(SUBSTITUTE(SUBSTITUTE(LEFT(MAIN!C902, FIND(",",MAIN!C902) -1), "0", ""), "1", ""), "2", ""), "3", ""), "4", ""), "5", ""), "6", ""), "7", ""), "8", ""), "9", "")), PROPER(SUBSTITUTE(SUBSTITUTE(SUBSTITUTE(SUBSTITUTE(SUBSTITUTE(SUBSTITUTE(SUBSTITUTE(SUBSTITUTE(SUBSTITUTE(SUBSTITUTE(MAIN!C902, "0", ""), "1", ""), "2", ""), "3", ""), "4", ""), "5", ""), "6", ""), "7", ""), "8", ""), "9", ""))))</f>
        <v>--</v>
      </c>
      <c r="D902" t="str">
        <f>IF(ISBLANK(MAIN!D902), "--", IF(ISNUMBER(MATCH(SUBSTITUTE(LEFT(MAIN!D902, IFERROR(FIND(",", MAIN!D902)-1, LEN(MAIN!D902))), " ", ""), lookup_values!$B$2:$B$51, 0)), UPPER(SUBSTITUTE(LEFT(MAIN!D902, IFERROR(FIND(",", MAIN!D902)-1, LEN(MAIN!D902))), " ", "")), IF(ISNA(VLOOKUP(SUBSTITUTE(LEFT(MAIN!D902, IFERROR(FIND(",", MAIN!D902)-1, LEN(MAIN!D902))), " ", ""), lookup_values!$A$2:$B$51, 2, FALSE)), "--", VLOOKUP(SUBSTITUTE(LEFT(MAIN!D902, IFERROR(FIND(",", MAIN!D902)-1, LEN(MAIN!D902))), " ", ""), lookup_values!$A$2:$B$51, 2, FALSE))))</f>
        <v>--</v>
      </c>
      <c r="E902" t="str">
        <f>IF(CLEAN_DATA!D902&lt;&gt;"--","US",IF(ISBLANK(MAIN!E902), "--", IF(ISNUMBER(MATCH(SUBSTITUTE(LEFT(MAIN!E902, IFERROR(FIND(",", MAIN!E902)-1, LEN(MAIN!E902))), " ", ""), lookup_values!$E$2:$E$197, 0)), UPPER(SUBSTITUTE(LEFT(MAIN!E902, IFERROR(FIND(",", MAIN!E902)-1, LEN(MAIN!E902))), " ", "")), IF(ISNA(VLOOKUP(SUBSTITUTE(LEFT(MAIN!E902, IFERROR(FIND(",", MAIN!E902)-1, LEN(MAIN!E902))), " ", ""), lookup_values!$D$2:$E$197, 2, FALSE)), "--", VLOOKUP(SUBSTITUTE(LEFT(MAIN!E902, IFERROR(FIND(",", MAIN!E902)-1, LEN(MAIN!E902))), " ", ""), lookup_values!$D$2:$E$197, 2, FALSE)))))</f>
        <v>--</v>
      </c>
      <c r="F902" t="str">
        <f>IF(ISBLANK(MAIN!F902), "", IF(AND(ISNUMBER(VALUE(TRIM(MAIN!F902))), LEN(TRIM(MAIN!F902))=4), VALUE(TRIM(MAIN!F902)), ""))</f>
        <v/>
      </c>
      <c r="G902">
        <f>IF(ISBLANK(MAIN!G902), 0, IF(ISNUMBER(VALUE(TRIM(MAIN!G902))), VALUE(TRIM(MAIN!G902)), 0))</f>
        <v>0</v>
      </c>
      <c r="H902">
        <f>IF(ISBLANK(MAIN!H902), 0, IF(ISNUMBER(VALUE(TRIM(MAIN!H902))), VALUE(TRIM(MAIN!H902)), 0))</f>
        <v>0</v>
      </c>
      <c r="I902">
        <f>IF(ISBLANK(MAIN!I902), 0, IF(ISNUMBER(VALUE(TRIM(MAIN!I902))), VALUE(TRIM(MAIN!I902)), 0))</f>
        <v>0</v>
      </c>
      <c r="J902">
        <f>IF(ISBLANK(MAIN!J902), 0, IF(ISNUMBER(VALUE(TRIM(MAIN!J902))), VALUE(TRIM(MAIN!J902)), 0))</f>
        <v>0</v>
      </c>
      <c r="K902" cm="1">
        <f t="array" ref="K902">IFERROR(
    VALUE(
        IFERROR(
            UPPER(
                IF(MAX(IFERROR(SEARCH("WD",MAIN!G902:J902), 0))&gt;0, "WD",
                IF(MAX(IFERROR(SEARCH("NS",MAIN!G902:J902), 0))&gt;0, "NS",
                IF(MAX(IFERROR(SEARCH("NC",MAIN!G902:J902), 0))&gt;0, "NC",
                IF(MAX(IFERROR(SEARCH("DQ",MAIN!G902:J902), 0))&gt;0, "DQ",
                IF(ISNUMBER(SEARCH("WD",MAIN!K902)), "WD",
                IF(ISNUMBER(SEARCH("NS",MAIN!K902)), "NS",
                IF(ISNUMBER(SEARCH("NC",MAIN!K902)), "NC",
                IF(ISNUMBER(SEARCH("DQ",MAIN!K902)), "DQ",
                IF(ISNUMBER(SEARCH("A",MAIN!K902)), 0,
                IF(OR(MAIN!K902=0,MAIN!K902=""), 0, --TRIM(MAIN!K902)))))))))))),
            0
        )
    ),
    IFERROR(
        UPPER(
            IF(MAX(IFERROR(SEARCH("WD",MAIN!G902:J902), 0))&gt;0, "WD",
            IF(MAX(IFERROR(SEARCH("NS",MAIN!G902:J902), 0))&gt;0, "NS",
            IF(MAX(IFERROR(SEARCH("NC",MAIN!G902:J902), 0))&gt;0, "NC",
            IF(MAX(IFERROR(SEARCH("DQ",MAIN!G902:J902), 0))&gt;0, "DQ",
            IF(ISNUMBER(SEARCH("WD",MAIN!K902)), "WD",
            IF(ISNUMBER(SEARCH("NS",MAIN!K902)), "NS",
            IF(ISNUMBER(SEARCH("NC",MAIN!K902)), "NC",
            IF(ISNUMBER(SEARCH("DQ",MAIN!K902)), "DQ",
            IF(ISNUMBER(SEARCH("A",MAIN!K902)), 0,
            IF(OR(MAIN!K902=0,MAIN!K902=""), 0, --TRIM(MAIN!K902)))))))))))),
        0
    )
)</f>
        <v>0</v>
      </c>
    </row>
    <row r="903" spans="1:11" x14ac:dyDescent="0.25">
      <c r="A903" t="str">
        <f>IF(ISBLANK(MAIN!A903), "--", IFERROR(PROPER(SUBSTITUTE(SUBSTITUTE(SUBSTITUTE(SUBSTITUTE(SUBSTITUTE(SUBSTITUTE(SUBSTITUTE(SUBSTITUTE(SUBSTITUTE(SUBSTITUTE(LEFT(MAIN!A903, FIND(",",MAIN!A903) -1), "0", ""), "1", ""), "2", ""), "3", ""), "4", ""), "5", ""), "6", ""), "7", ""), "8", ""), "9", "")), PROPER(SUBSTITUTE(SUBSTITUTE(SUBSTITUTE(SUBSTITUTE(SUBSTITUTE(SUBSTITUTE(SUBSTITUTE(SUBSTITUTE(SUBSTITUTE(SUBSTITUTE(MAIN!A903, "0", ""), "1", ""), "2", ""), "3", ""), "4", ""), "5", ""), "6", ""), "7", ""), "8", ""), "9", ""))))</f>
        <v>--</v>
      </c>
      <c r="B903" t="str">
        <f>IF(ISBLANK(MAIN!B903), "--", IFERROR(PROPER(SUBSTITUTE(SUBSTITUTE(SUBSTITUTE(SUBSTITUTE(SUBSTITUTE(SUBSTITUTE(SUBSTITUTE(SUBSTITUTE(SUBSTITUTE(SUBSTITUTE(LEFT(MAIN!B903, FIND(",",MAIN!B903) -1), "0", ""), "1", ""), "2", ""), "3", ""), "4", ""), "5", ""), "6", ""), "7", ""), "8", ""), "9", "")), PROPER(SUBSTITUTE(SUBSTITUTE(SUBSTITUTE(SUBSTITUTE(SUBSTITUTE(SUBSTITUTE(SUBSTITUTE(SUBSTITUTE(SUBSTITUTE(SUBSTITUTE(MAIN!B903, "0", ""), "1", ""), "2", ""), "3", ""), "4", ""), "5", ""), "6", ""), "7", ""), "8", ""), "9", ""))))</f>
        <v>--</v>
      </c>
      <c r="C903" t="str">
        <f>IF(ISBLANK(MAIN!C903), "--", IFERROR(PROPER(SUBSTITUTE(SUBSTITUTE(SUBSTITUTE(SUBSTITUTE(SUBSTITUTE(SUBSTITUTE(SUBSTITUTE(SUBSTITUTE(SUBSTITUTE(SUBSTITUTE(LEFT(MAIN!C903, FIND(",",MAIN!C903) -1), "0", ""), "1", ""), "2", ""), "3", ""), "4", ""), "5", ""), "6", ""), "7", ""), "8", ""), "9", "")), PROPER(SUBSTITUTE(SUBSTITUTE(SUBSTITUTE(SUBSTITUTE(SUBSTITUTE(SUBSTITUTE(SUBSTITUTE(SUBSTITUTE(SUBSTITUTE(SUBSTITUTE(MAIN!C903, "0", ""), "1", ""), "2", ""), "3", ""), "4", ""), "5", ""), "6", ""), "7", ""), "8", ""), "9", ""))))</f>
        <v>--</v>
      </c>
      <c r="D903" t="str">
        <f>IF(ISBLANK(MAIN!D903), "--", IF(ISNUMBER(MATCH(SUBSTITUTE(LEFT(MAIN!D903, IFERROR(FIND(",", MAIN!D903)-1, LEN(MAIN!D903))), " ", ""), lookup_values!$B$2:$B$51, 0)), UPPER(SUBSTITUTE(LEFT(MAIN!D903, IFERROR(FIND(",", MAIN!D903)-1, LEN(MAIN!D903))), " ", "")), IF(ISNA(VLOOKUP(SUBSTITUTE(LEFT(MAIN!D903, IFERROR(FIND(",", MAIN!D903)-1, LEN(MAIN!D903))), " ", ""), lookup_values!$A$2:$B$51, 2, FALSE)), "--", VLOOKUP(SUBSTITUTE(LEFT(MAIN!D903, IFERROR(FIND(",", MAIN!D903)-1, LEN(MAIN!D903))), " ", ""), lookup_values!$A$2:$B$51, 2, FALSE))))</f>
        <v>--</v>
      </c>
      <c r="E903" t="str">
        <f>IF(CLEAN_DATA!D903&lt;&gt;"--","US",IF(ISBLANK(MAIN!E903), "--", IF(ISNUMBER(MATCH(SUBSTITUTE(LEFT(MAIN!E903, IFERROR(FIND(",", MAIN!E903)-1, LEN(MAIN!E903))), " ", ""), lookup_values!$E$2:$E$197, 0)), UPPER(SUBSTITUTE(LEFT(MAIN!E903, IFERROR(FIND(",", MAIN!E903)-1, LEN(MAIN!E903))), " ", "")), IF(ISNA(VLOOKUP(SUBSTITUTE(LEFT(MAIN!E903, IFERROR(FIND(",", MAIN!E903)-1, LEN(MAIN!E903))), " ", ""), lookup_values!$D$2:$E$197, 2, FALSE)), "--", VLOOKUP(SUBSTITUTE(LEFT(MAIN!E903, IFERROR(FIND(",", MAIN!E903)-1, LEN(MAIN!E903))), " ", ""), lookup_values!$D$2:$E$197, 2, FALSE)))))</f>
        <v>--</v>
      </c>
      <c r="F903" t="str">
        <f>IF(ISBLANK(MAIN!F903), "", IF(AND(ISNUMBER(VALUE(TRIM(MAIN!F903))), LEN(TRIM(MAIN!F903))=4), VALUE(TRIM(MAIN!F903)), ""))</f>
        <v/>
      </c>
      <c r="G903">
        <f>IF(ISBLANK(MAIN!G903), 0, IF(ISNUMBER(VALUE(TRIM(MAIN!G903))), VALUE(TRIM(MAIN!G903)), 0))</f>
        <v>0</v>
      </c>
      <c r="H903">
        <f>IF(ISBLANK(MAIN!H903), 0, IF(ISNUMBER(VALUE(TRIM(MAIN!H903))), VALUE(TRIM(MAIN!H903)), 0))</f>
        <v>0</v>
      </c>
      <c r="I903">
        <f>IF(ISBLANK(MAIN!I903), 0, IF(ISNUMBER(VALUE(TRIM(MAIN!I903))), VALUE(TRIM(MAIN!I903)), 0))</f>
        <v>0</v>
      </c>
      <c r="J903">
        <f>IF(ISBLANK(MAIN!J903), 0, IF(ISNUMBER(VALUE(TRIM(MAIN!J903))), VALUE(TRIM(MAIN!J903)), 0))</f>
        <v>0</v>
      </c>
      <c r="K903" cm="1">
        <f t="array" ref="K903">IFERROR(
    VALUE(
        IFERROR(
            UPPER(
                IF(MAX(IFERROR(SEARCH("WD",MAIN!G903:J903), 0))&gt;0, "WD",
                IF(MAX(IFERROR(SEARCH("NS",MAIN!G903:J903), 0))&gt;0, "NS",
                IF(MAX(IFERROR(SEARCH("NC",MAIN!G903:J903), 0))&gt;0, "NC",
                IF(MAX(IFERROR(SEARCH("DQ",MAIN!G903:J903), 0))&gt;0, "DQ",
                IF(ISNUMBER(SEARCH("WD",MAIN!K903)), "WD",
                IF(ISNUMBER(SEARCH("NS",MAIN!K903)), "NS",
                IF(ISNUMBER(SEARCH("NC",MAIN!K903)), "NC",
                IF(ISNUMBER(SEARCH("DQ",MAIN!K903)), "DQ",
                IF(ISNUMBER(SEARCH("A",MAIN!K903)), 0,
                IF(OR(MAIN!K903=0,MAIN!K903=""), 0, --TRIM(MAIN!K903)))))))))))),
            0
        )
    ),
    IFERROR(
        UPPER(
            IF(MAX(IFERROR(SEARCH("WD",MAIN!G903:J903), 0))&gt;0, "WD",
            IF(MAX(IFERROR(SEARCH("NS",MAIN!G903:J903), 0))&gt;0, "NS",
            IF(MAX(IFERROR(SEARCH("NC",MAIN!G903:J903), 0))&gt;0, "NC",
            IF(MAX(IFERROR(SEARCH("DQ",MAIN!G903:J903), 0))&gt;0, "DQ",
            IF(ISNUMBER(SEARCH("WD",MAIN!K903)), "WD",
            IF(ISNUMBER(SEARCH("NS",MAIN!K903)), "NS",
            IF(ISNUMBER(SEARCH("NC",MAIN!K903)), "NC",
            IF(ISNUMBER(SEARCH("DQ",MAIN!K903)), "DQ",
            IF(ISNUMBER(SEARCH("A",MAIN!K903)), 0,
            IF(OR(MAIN!K903=0,MAIN!K903=""), 0, --TRIM(MAIN!K903)))))))))))),
        0
    )
)</f>
        <v>0</v>
      </c>
    </row>
    <row r="904" spans="1:11" x14ac:dyDescent="0.25">
      <c r="A904" t="str">
        <f>IF(ISBLANK(MAIN!A904), "--", IFERROR(PROPER(SUBSTITUTE(SUBSTITUTE(SUBSTITUTE(SUBSTITUTE(SUBSTITUTE(SUBSTITUTE(SUBSTITUTE(SUBSTITUTE(SUBSTITUTE(SUBSTITUTE(LEFT(MAIN!A904, FIND(",",MAIN!A904) -1), "0", ""), "1", ""), "2", ""), "3", ""), "4", ""), "5", ""), "6", ""), "7", ""), "8", ""), "9", "")), PROPER(SUBSTITUTE(SUBSTITUTE(SUBSTITUTE(SUBSTITUTE(SUBSTITUTE(SUBSTITUTE(SUBSTITUTE(SUBSTITUTE(SUBSTITUTE(SUBSTITUTE(MAIN!A904, "0", ""), "1", ""), "2", ""), "3", ""), "4", ""), "5", ""), "6", ""), "7", ""), "8", ""), "9", ""))))</f>
        <v>--</v>
      </c>
      <c r="B904" t="str">
        <f>IF(ISBLANK(MAIN!B904), "--", IFERROR(PROPER(SUBSTITUTE(SUBSTITUTE(SUBSTITUTE(SUBSTITUTE(SUBSTITUTE(SUBSTITUTE(SUBSTITUTE(SUBSTITUTE(SUBSTITUTE(SUBSTITUTE(LEFT(MAIN!B904, FIND(",",MAIN!B904) -1), "0", ""), "1", ""), "2", ""), "3", ""), "4", ""), "5", ""), "6", ""), "7", ""), "8", ""), "9", "")), PROPER(SUBSTITUTE(SUBSTITUTE(SUBSTITUTE(SUBSTITUTE(SUBSTITUTE(SUBSTITUTE(SUBSTITUTE(SUBSTITUTE(SUBSTITUTE(SUBSTITUTE(MAIN!B904, "0", ""), "1", ""), "2", ""), "3", ""), "4", ""), "5", ""), "6", ""), "7", ""), "8", ""), "9", ""))))</f>
        <v>--</v>
      </c>
      <c r="C904" t="str">
        <f>IF(ISBLANK(MAIN!C904), "--", IFERROR(PROPER(SUBSTITUTE(SUBSTITUTE(SUBSTITUTE(SUBSTITUTE(SUBSTITUTE(SUBSTITUTE(SUBSTITUTE(SUBSTITUTE(SUBSTITUTE(SUBSTITUTE(LEFT(MAIN!C904, FIND(",",MAIN!C904) -1), "0", ""), "1", ""), "2", ""), "3", ""), "4", ""), "5", ""), "6", ""), "7", ""), "8", ""), "9", "")), PROPER(SUBSTITUTE(SUBSTITUTE(SUBSTITUTE(SUBSTITUTE(SUBSTITUTE(SUBSTITUTE(SUBSTITUTE(SUBSTITUTE(SUBSTITUTE(SUBSTITUTE(MAIN!C904, "0", ""), "1", ""), "2", ""), "3", ""), "4", ""), "5", ""), "6", ""), "7", ""), "8", ""), "9", ""))))</f>
        <v>--</v>
      </c>
      <c r="D904" t="str">
        <f>IF(ISBLANK(MAIN!D904), "--", IF(ISNUMBER(MATCH(SUBSTITUTE(LEFT(MAIN!D904, IFERROR(FIND(",", MAIN!D904)-1, LEN(MAIN!D904))), " ", ""), lookup_values!$B$2:$B$51, 0)), UPPER(SUBSTITUTE(LEFT(MAIN!D904, IFERROR(FIND(",", MAIN!D904)-1, LEN(MAIN!D904))), " ", "")), IF(ISNA(VLOOKUP(SUBSTITUTE(LEFT(MAIN!D904, IFERROR(FIND(",", MAIN!D904)-1, LEN(MAIN!D904))), " ", ""), lookup_values!$A$2:$B$51, 2, FALSE)), "--", VLOOKUP(SUBSTITUTE(LEFT(MAIN!D904, IFERROR(FIND(",", MAIN!D904)-1, LEN(MAIN!D904))), " ", ""), lookup_values!$A$2:$B$51, 2, FALSE))))</f>
        <v>--</v>
      </c>
      <c r="E904" t="str">
        <f>IF(CLEAN_DATA!D904&lt;&gt;"--","US",IF(ISBLANK(MAIN!E904), "--", IF(ISNUMBER(MATCH(SUBSTITUTE(LEFT(MAIN!E904, IFERROR(FIND(",", MAIN!E904)-1, LEN(MAIN!E904))), " ", ""), lookup_values!$E$2:$E$197, 0)), UPPER(SUBSTITUTE(LEFT(MAIN!E904, IFERROR(FIND(",", MAIN!E904)-1, LEN(MAIN!E904))), " ", "")), IF(ISNA(VLOOKUP(SUBSTITUTE(LEFT(MAIN!E904, IFERROR(FIND(",", MAIN!E904)-1, LEN(MAIN!E904))), " ", ""), lookup_values!$D$2:$E$197, 2, FALSE)), "--", VLOOKUP(SUBSTITUTE(LEFT(MAIN!E904, IFERROR(FIND(",", MAIN!E904)-1, LEN(MAIN!E904))), " ", ""), lookup_values!$D$2:$E$197, 2, FALSE)))))</f>
        <v>--</v>
      </c>
      <c r="F904" t="str">
        <f>IF(ISBLANK(MAIN!F904), "", IF(AND(ISNUMBER(VALUE(TRIM(MAIN!F904))), LEN(TRIM(MAIN!F904))=4), VALUE(TRIM(MAIN!F904)), ""))</f>
        <v/>
      </c>
      <c r="G904">
        <f>IF(ISBLANK(MAIN!G904), 0, IF(ISNUMBER(VALUE(TRIM(MAIN!G904))), VALUE(TRIM(MAIN!G904)), 0))</f>
        <v>0</v>
      </c>
      <c r="H904">
        <f>IF(ISBLANK(MAIN!H904), 0, IF(ISNUMBER(VALUE(TRIM(MAIN!H904))), VALUE(TRIM(MAIN!H904)), 0))</f>
        <v>0</v>
      </c>
      <c r="I904">
        <f>IF(ISBLANK(MAIN!I904), 0, IF(ISNUMBER(VALUE(TRIM(MAIN!I904))), VALUE(TRIM(MAIN!I904)), 0))</f>
        <v>0</v>
      </c>
      <c r="J904">
        <f>IF(ISBLANK(MAIN!J904), 0, IF(ISNUMBER(VALUE(TRIM(MAIN!J904))), VALUE(TRIM(MAIN!J904)), 0))</f>
        <v>0</v>
      </c>
      <c r="K904" cm="1">
        <f t="array" ref="K904">IFERROR(
    VALUE(
        IFERROR(
            UPPER(
                IF(MAX(IFERROR(SEARCH("WD",MAIN!G904:J904), 0))&gt;0, "WD",
                IF(MAX(IFERROR(SEARCH("NS",MAIN!G904:J904), 0))&gt;0, "NS",
                IF(MAX(IFERROR(SEARCH("NC",MAIN!G904:J904), 0))&gt;0, "NC",
                IF(MAX(IFERROR(SEARCH("DQ",MAIN!G904:J904), 0))&gt;0, "DQ",
                IF(ISNUMBER(SEARCH("WD",MAIN!K904)), "WD",
                IF(ISNUMBER(SEARCH("NS",MAIN!K904)), "NS",
                IF(ISNUMBER(SEARCH("NC",MAIN!K904)), "NC",
                IF(ISNUMBER(SEARCH("DQ",MAIN!K904)), "DQ",
                IF(ISNUMBER(SEARCH("A",MAIN!K904)), 0,
                IF(OR(MAIN!K904=0,MAIN!K904=""), 0, --TRIM(MAIN!K904)))))))))))),
            0
        )
    ),
    IFERROR(
        UPPER(
            IF(MAX(IFERROR(SEARCH("WD",MAIN!G904:J904), 0))&gt;0, "WD",
            IF(MAX(IFERROR(SEARCH("NS",MAIN!G904:J904), 0))&gt;0, "NS",
            IF(MAX(IFERROR(SEARCH("NC",MAIN!G904:J904), 0))&gt;0, "NC",
            IF(MAX(IFERROR(SEARCH("DQ",MAIN!G904:J904), 0))&gt;0, "DQ",
            IF(ISNUMBER(SEARCH("WD",MAIN!K904)), "WD",
            IF(ISNUMBER(SEARCH("NS",MAIN!K904)), "NS",
            IF(ISNUMBER(SEARCH("NC",MAIN!K904)), "NC",
            IF(ISNUMBER(SEARCH("DQ",MAIN!K904)), "DQ",
            IF(ISNUMBER(SEARCH("A",MAIN!K904)), 0,
            IF(OR(MAIN!K904=0,MAIN!K904=""), 0, --TRIM(MAIN!K904)))))))))))),
        0
    )
)</f>
        <v>0</v>
      </c>
    </row>
    <row r="905" spans="1:11" x14ac:dyDescent="0.25">
      <c r="A905" t="str">
        <f>IF(ISBLANK(MAIN!A905), "--", IFERROR(PROPER(SUBSTITUTE(SUBSTITUTE(SUBSTITUTE(SUBSTITUTE(SUBSTITUTE(SUBSTITUTE(SUBSTITUTE(SUBSTITUTE(SUBSTITUTE(SUBSTITUTE(LEFT(MAIN!A905, FIND(",",MAIN!A905) -1), "0", ""), "1", ""), "2", ""), "3", ""), "4", ""), "5", ""), "6", ""), "7", ""), "8", ""), "9", "")), PROPER(SUBSTITUTE(SUBSTITUTE(SUBSTITUTE(SUBSTITUTE(SUBSTITUTE(SUBSTITUTE(SUBSTITUTE(SUBSTITUTE(SUBSTITUTE(SUBSTITUTE(MAIN!A905, "0", ""), "1", ""), "2", ""), "3", ""), "4", ""), "5", ""), "6", ""), "7", ""), "8", ""), "9", ""))))</f>
        <v>--</v>
      </c>
      <c r="B905" t="str">
        <f>IF(ISBLANK(MAIN!B905), "--", IFERROR(PROPER(SUBSTITUTE(SUBSTITUTE(SUBSTITUTE(SUBSTITUTE(SUBSTITUTE(SUBSTITUTE(SUBSTITUTE(SUBSTITUTE(SUBSTITUTE(SUBSTITUTE(LEFT(MAIN!B905, FIND(",",MAIN!B905) -1), "0", ""), "1", ""), "2", ""), "3", ""), "4", ""), "5", ""), "6", ""), "7", ""), "8", ""), "9", "")), PROPER(SUBSTITUTE(SUBSTITUTE(SUBSTITUTE(SUBSTITUTE(SUBSTITUTE(SUBSTITUTE(SUBSTITUTE(SUBSTITUTE(SUBSTITUTE(SUBSTITUTE(MAIN!B905, "0", ""), "1", ""), "2", ""), "3", ""), "4", ""), "5", ""), "6", ""), "7", ""), "8", ""), "9", ""))))</f>
        <v>--</v>
      </c>
      <c r="C905" t="str">
        <f>IF(ISBLANK(MAIN!C905), "--", IFERROR(PROPER(SUBSTITUTE(SUBSTITUTE(SUBSTITUTE(SUBSTITUTE(SUBSTITUTE(SUBSTITUTE(SUBSTITUTE(SUBSTITUTE(SUBSTITUTE(SUBSTITUTE(LEFT(MAIN!C905, FIND(",",MAIN!C905) -1), "0", ""), "1", ""), "2", ""), "3", ""), "4", ""), "5", ""), "6", ""), "7", ""), "8", ""), "9", "")), PROPER(SUBSTITUTE(SUBSTITUTE(SUBSTITUTE(SUBSTITUTE(SUBSTITUTE(SUBSTITUTE(SUBSTITUTE(SUBSTITUTE(SUBSTITUTE(SUBSTITUTE(MAIN!C905, "0", ""), "1", ""), "2", ""), "3", ""), "4", ""), "5", ""), "6", ""), "7", ""), "8", ""), "9", ""))))</f>
        <v>--</v>
      </c>
      <c r="D905" t="str">
        <f>IF(ISBLANK(MAIN!D905), "--", IF(ISNUMBER(MATCH(SUBSTITUTE(LEFT(MAIN!D905, IFERROR(FIND(",", MAIN!D905)-1, LEN(MAIN!D905))), " ", ""), lookup_values!$B$2:$B$51, 0)), UPPER(SUBSTITUTE(LEFT(MAIN!D905, IFERROR(FIND(",", MAIN!D905)-1, LEN(MAIN!D905))), " ", "")), IF(ISNA(VLOOKUP(SUBSTITUTE(LEFT(MAIN!D905, IFERROR(FIND(",", MAIN!D905)-1, LEN(MAIN!D905))), " ", ""), lookup_values!$A$2:$B$51, 2, FALSE)), "--", VLOOKUP(SUBSTITUTE(LEFT(MAIN!D905, IFERROR(FIND(",", MAIN!D905)-1, LEN(MAIN!D905))), " ", ""), lookup_values!$A$2:$B$51, 2, FALSE))))</f>
        <v>--</v>
      </c>
      <c r="E905" t="str">
        <f>IF(CLEAN_DATA!D905&lt;&gt;"--","US",IF(ISBLANK(MAIN!E905), "--", IF(ISNUMBER(MATCH(SUBSTITUTE(LEFT(MAIN!E905, IFERROR(FIND(",", MAIN!E905)-1, LEN(MAIN!E905))), " ", ""), lookup_values!$E$2:$E$197, 0)), UPPER(SUBSTITUTE(LEFT(MAIN!E905, IFERROR(FIND(",", MAIN!E905)-1, LEN(MAIN!E905))), " ", "")), IF(ISNA(VLOOKUP(SUBSTITUTE(LEFT(MAIN!E905, IFERROR(FIND(",", MAIN!E905)-1, LEN(MAIN!E905))), " ", ""), lookup_values!$D$2:$E$197, 2, FALSE)), "--", VLOOKUP(SUBSTITUTE(LEFT(MAIN!E905, IFERROR(FIND(",", MAIN!E905)-1, LEN(MAIN!E905))), " ", ""), lookup_values!$D$2:$E$197, 2, FALSE)))))</f>
        <v>--</v>
      </c>
      <c r="F905" t="str">
        <f>IF(ISBLANK(MAIN!F905), "", IF(AND(ISNUMBER(VALUE(TRIM(MAIN!F905))), LEN(TRIM(MAIN!F905))=4), VALUE(TRIM(MAIN!F905)), ""))</f>
        <v/>
      </c>
      <c r="G905">
        <f>IF(ISBLANK(MAIN!G905), 0, IF(ISNUMBER(VALUE(TRIM(MAIN!G905))), VALUE(TRIM(MAIN!G905)), 0))</f>
        <v>0</v>
      </c>
      <c r="H905">
        <f>IF(ISBLANK(MAIN!H905), 0, IF(ISNUMBER(VALUE(TRIM(MAIN!H905))), VALUE(TRIM(MAIN!H905)), 0))</f>
        <v>0</v>
      </c>
      <c r="I905">
        <f>IF(ISBLANK(MAIN!I905), 0, IF(ISNUMBER(VALUE(TRIM(MAIN!I905))), VALUE(TRIM(MAIN!I905)), 0))</f>
        <v>0</v>
      </c>
      <c r="J905">
        <f>IF(ISBLANK(MAIN!J905), 0, IF(ISNUMBER(VALUE(TRIM(MAIN!J905))), VALUE(TRIM(MAIN!J905)), 0))</f>
        <v>0</v>
      </c>
      <c r="K905" cm="1">
        <f t="array" ref="K905">IFERROR(
    VALUE(
        IFERROR(
            UPPER(
                IF(MAX(IFERROR(SEARCH("WD",MAIN!G905:J905), 0))&gt;0, "WD",
                IF(MAX(IFERROR(SEARCH("NS",MAIN!G905:J905), 0))&gt;0, "NS",
                IF(MAX(IFERROR(SEARCH("NC",MAIN!G905:J905), 0))&gt;0, "NC",
                IF(MAX(IFERROR(SEARCH("DQ",MAIN!G905:J905), 0))&gt;0, "DQ",
                IF(ISNUMBER(SEARCH("WD",MAIN!K905)), "WD",
                IF(ISNUMBER(SEARCH("NS",MAIN!K905)), "NS",
                IF(ISNUMBER(SEARCH("NC",MAIN!K905)), "NC",
                IF(ISNUMBER(SEARCH("DQ",MAIN!K905)), "DQ",
                IF(ISNUMBER(SEARCH("A",MAIN!K905)), 0,
                IF(OR(MAIN!K905=0,MAIN!K905=""), 0, --TRIM(MAIN!K905)))))))))))),
            0
        )
    ),
    IFERROR(
        UPPER(
            IF(MAX(IFERROR(SEARCH("WD",MAIN!G905:J905), 0))&gt;0, "WD",
            IF(MAX(IFERROR(SEARCH("NS",MAIN!G905:J905), 0))&gt;0, "NS",
            IF(MAX(IFERROR(SEARCH("NC",MAIN!G905:J905), 0))&gt;0, "NC",
            IF(MAX(IFERROR(SEARCH("DQ",MAIN!G905:J905), 0))&gt;0, "DQ",
            IF(ISNUMBER(SEARCH("WD",MAIN!K905)), "WD",
            IF(ISNUMBER(SEARCH("NS",MAIN!K905)), "NS",
            IF(ISNUMBER(SEARCH("NC",MAIN!K905)), "NC",
            IF(ISNUMBER(SEARCH("DQ",MAIN!K905)), "DQ",
            IF(ISNUMBER(SEARCH("A",MAIN!K905)), 0,
            IF(OR(MAIN!K905=0,MAIN!K905=""), 0, --TRIM(MAIN!K905)))))))))))),
        0
    )
)</f>
        <v>0</v>
      </c>
    </row>
    <row r="906" spans="1:11" x14ac:dyDescent="0.25">
      <c r="A906" t="str">
        <f>IF(ISBLANK(MAIN!A906), "--", IFERROR(PROPER(SUBSTITUTE(SUBSTITUTE(SUBSTITUTE(SUBSTITUTE(SUBSTITUTE(SUBSTITUTE(SUBSTITUTE(SUBSTITUTE(SUBSTITUTE(SUBSTITUTE(LEFT(MAIN!A906, FIND(",",MAIN!A906) -1), "0", ""), "1", ""), "2", ""), "3", ""), "4", ""), "5", ""), "6", ""), "7", ""), "8", ""), "9", "")), PROPER(SUBSTITUTE(SUBSTITUTE(SUBSTITUTE(SUBSTITUTE(SUBSTITUTE(SUBSTITUTE(SUBSTITUTE(SUBSTITUTE(SUBSTITUTE(SUBSTITUTE(MAIN!A906, "0", ""), "1", ""), "2", ""), "3", ""), "4", ""), "5", ""), "6", ""), "7", ""), "8", ""), "9", ""))))</f>
        <v>--</v>
      </c>
      <c r="B906" t="str">
        <f>IF(ISBLANK(MAIN!B906), "--", IFERROR(PROPER(SUBSTITUTE(SUBSTITUTE(SUBSTITUTE(SUBSTITUTE(SUBSTITUTE(SUBSTITUTE(SUBSTITUTE(SUBSTITUTE(SUBSTITUTE(SUBSTITUTE(LEFT(MAIN!B906, FIND(",",MAIN!B906) -1), "0", ""), "1", ""), "2", ""), "3", ""), "4", ""), "5", ""), "6", ""), "7", ""), "8", ""), "9", "")), PROPER(SUBSTITUTE(SUBSTITUTE(SUBSTITUTE(SUBSTITUTE(SUBSTITUTE(SUBSTITUTE(SUBSTITUTE(SUBSTITUTE(SUBSTITUTE(SUBSTITUTE(MAIN!B906, "0", ""), "1", ""), "2", ""), "3", ""), "4", ""), "5", ""), "6", ""), "7", ""), "8", ""), "9", ""))))</f>
        <v>--</v>
      </c>
      <c r="C906" t="str">
        <f>IF(ISBLANK(MAIN!C906), "--", IFERROR(PROPER(SUBSTITUTE(SUBSTITUTE(SUBSTITUTE(SUBSTITUTE(SUBSTITUTE(SUBSTITUTE(SUBSTITUTE(SUBSTITUTE(SUBSTITUTE(SUBSTITUTE(LEFT(MAIN!C906, FIND(",",MAIN!C906) -1), "0", ""), "1", ""), "2", ""), "3", ""), "4", ""), "5", ""), "6", ""), "7", ""), "8", ""), "9", "")), PROPER(SUBSTITUTE(SUBSTITUTE(SUBSTITUTE(SUBSTITUTE(SUBSTITUTE(SUBSTITUTE(SUBSTITUTE(SUBSTITUTE(SUBSTITUTE(SUBSTITUTE(MAIN!C906, "0", ""), "1", ""), "2", ""), "3", ""), "4", ""), "5", ""), "6", ""), "7", ""), "8", ""), "9", ""))))</f>
        <v>--</v>
      </c>
      <c r="D906" t="str">
        <f>IF(ISBLANK(MAIN!D906), "--", IF(ISNUMBER(MATCH(SUBSTITUTE(LEFT(MAIN!D906, IFERROR(FIND(",", MAIN!D906)-1, LEN(MAIN!D906))), " ", ""), lookup_values!$B$2:$B$51, 0)), UPPER(SUBSTITUTE(LEFT(MAIN!D906, IFERROR(FIND(",", MAIN!D906)-1, LEN(MAIN!D906))), " ", "")), IF(ISNA(VLOOKUP(SUBSTITUTE(LEFT(MAIN!D906, IFERROR(FIND(",", MAIN!D906)-1, LEN(MAIN!D906))), " ", ""), lookup_values!$A$2:$B$51, 2, FALSE)), "--", VLOOKUP(SUBSTITUTE(LEFT(MAIN!D906, IFERROR(FIND(",", MAIN!D906)-1, LEN(MAIN!D906))), " ", ""), lookup_values!$A$2:$B$51, 2, FALSE))))</f>
        <v>--</v>
      </c>
      <c r="E906" t="str">
        <f>IF(CLEAN_DATA!D906&lt;&gt;"--","US",IF(ISBLANK(MAIN!E906), "--", IF(ISNUMBER(MATCH(SUBSTITUTE(LEFT(MAIN!E906, IFERROR(FIND(",", MAIN!E906)-1, LEN(MAIN!E906))), " ", ""), lookup_values!$E$2:$E$197, 0)), UPPER(SUBSTITUTE(LEFT(MAIN!E906, IFERROR(FIND(",", MAIN!E906)-1, LEN(MAIN!E906))), " ", "")), IF(ISNA(VLOOKUP(SUBSTITUTE(LEFT(MAIN!E906, IFERROR(FIND(",", MAIN!E906)-1, LEN(MAIN!E906))), " ", ""), lookup_values!$D$2:$E$197, 2, FALSE)), "--", VLOOKUP(SUBSTITUTE(LEFT(MAIN!E906, IFERROR(FIND(",", MAIN!E906)-1, LEN(MAIN!E906))), " ", ""), lookup_values!$D$2:$E$197, 2, FALSE)))))</f>
        <v>--</v>
      </c>
      <c r="F906" t="str">
        <f>IF(ISBLANK(MAIN!F906), "", IF(AND(ISNUMBER(VALUE(TRIM(MAIN!F906))), LEN(TRIM(MAIN!F906))=4), VALUE(TRIM(MAIN!F906)), ""))</f>
        <v/>
      </c>
      <c r="G906">
        <f>IF(ISBLANK(MAIN!G906), 0, IF(ISNUMBER(VALUE(TRIM(MAIN!G906))), VALUE(TRIM(MAIN!G906)), 0))</f>
        <v>0</v>
      </c>
      <c r="H906">
        <f>IF(ISBLANK(MAIN!H906), 0, IF(ISNUMBER(VALUE(TRIM(MAIN!H906))), VALUE(TRIM(MAIN!H906)), 0))</f>
        <v>0</v>
      </c>
      <c r="I906">
        <f>IF(ISBLANK(MAIN!I906), 0, IF(ISNUMBER(VALUE(TRIM(MAIN!I906))), VALUE(TRIM(MAIN!I906)), 0))</f>
        <v>0</v>
      </c>
      <c r="J906">
        <f>IF(ISBLANK(MAIN!J906), 0, IF(ISNUMBER(VALUE(TRIM(MAIN!J906))), VALUE(TRIM(MAIN!J906)), 0))</f>
        <v>0</v>
      </c>
      <c r="K906" cm="1">
        <f t="array" ref="K906">IFERROR(
    VALUE(
        IFERROR(
            UPPER(
                IF(MAX(IFERROR(SEARCH("WD",MAIN!G906:J906), 0))&gt;0, "WD",
                IF(MAX(IFERROR(SEARCH("NS",MAIN!G906:J906), 0))&gt;0, "NS",
                IF(MAX(IFERROR(SEARCH("NC",MAIN!G906:J906), 0))&gt;0, "NC",
                IF(MAX(IFERROR(SEARCH("DQ",MAIN!G906:J906), 0))&gt;0, "DQ",
                IF(ISNUMBER(SEARCH("WD",MAIN!K906)), "WD",
                IF(ISNUMBER(SEARCH("NS",MAIN!K906)), "NS",
                IF(ISNUMBER(SEARCH("NC",MAIN!K906)), "NC",
                IF(ISNUMBER(SEARCH("DQ",MAIN!K906)), "DQ",
                IF(ISNUMBER(SEARCH("A",MAIN!K906)), 0,
                IF(OR(MAIN!K906=0,MAIN!K906=""), 0, --TRIM(MAIN!K906)))))))))))),
            0
        )
    ),
    IFERROR(
        UPPER(
            IF(MAX(IFERROR(SEARCH("WD",MAIN!G906:J906), 0))&gt;0, "WD",
            IF(MAX(IFERROR(SEARCH("NS",MAIN!G906:J906), 0))&gt;0, "NS",
            IF(MAX(IFERROR(SEARCH("NC",MAIN!G906:J906), 0))&gt;0, "NC",
            IF(MAX(IFERROR(SEARCH("DQ",MAIN!G906:J906), 0))&gt;0, "DQ",
            IF(ISNUMBER(SEARCH("WD",MAIN!K906)), "WD",
            IF(ISNUMBER(SEARCH("NS",MAIN!K906)), "NS",
            IF(ISNUMBER(SEARCH("NC",MAIN!K906)), "NC",
            IF(ISNUMBER(SEARCH("DQ",MAIN!K906)), "DQ",
            IF(ISNUMBER(SEARCH("A",MAIN!K906)), 0,
            IF(OR(MAIN!K906=0,MAIN!K906=""), 0, --TRIM(MAIN!K906)))))))))))),
        0
    )
)</f>
        <v>0</v>
      </c>
    </row>
    <row r="907" spans="1:11" x14ac:dyDescent="0.25">
      <c r="A907" t="str">
        <f>IF(ISBLANK(MAIN!A907), "--", IFERROR(PROPER(SUBSTITUTE(SUBSTITUTE(SUBSTITUTE(SUBSTITUTE(SUBSTITUTE(SUBSTITUTE(SUBSTITUTE(SUBSTITUTE(SUBSTITUTE(SUBSTITUTE(LEFT(MAIN!A907, FIND(",",MAIN!A907) -1), "0", ""), "1", ""), "2", ""), "3", ""), "4", ""), "5", ""), "6", ""), "7", ""), "8", ""), "9", "")), PROPER(SUBSTITUTE(SUBSTITUTE(SUBSTITUTE(SUBSTITUTE(SUBSTITUTE(SUBSTITUTE(SUBSTITUTE(SUBSTITUTE(SUBSTITUTE(SUBSTITUTE(MAIN!A907, "0", ""), "1", ""), "2", ""), "3", ""), "4", ""), "5", ""), "6", ""), "7", ""), "8", ""), "9", ""))))</f>
        <v>--</v>
      </c>
      <c r="B907" t="str">
        <f>IF(ISBLANK(MAIN!B907), "--", IFERROR(PROPER(SUBSTITUTE(SUBSTITUTE(SUBSTITUTE(SUBSTITUTE(SUBSTITUTE(SUBSTITUTE(SUBSTITUTE(SUBSTITUTE(SUBSTITUTE(SUBSTITUTE(LEFT(MAIN!B907, FIND(",",MAIN!B907) -1), "0", ""), "1", ""), "2", ""), "3", ""), "4", ""), "5", ""), "6", ""), "7", ""), "8", ""), "9", "")), PROPER(SUBSTITUTE(SUBSTITUTE(SUBSTITUTE(SUBSTITUTE(SUBSTITUTE(SUBSTITUTE(SUBSTITUTE(SUBSTITUTE(SUBSTITUTE(SUBSTITUTE(MAIN!B907, "0", ""), "1", ""), "2", ""), "3", ""), "4", ""), "5", ""), "6", ""), "7", ""), "8", ""), "9", ""))))</f>
        <v>--</v>
      </c>
      <c r="C907" t="str">
        <f>IF(ISBLANK(MAIN!C907), "--", IFERROR(PROPER(SUBSTITUTE(SUBSTITUTE(SUBSTITUTE(SUBSTITUTE(SUBSTITUTE(SUBSTITUTE(SUBSTITUTE(SUBSTITUTE(SUBSTITUTE(SUBSTITUTE(LEFT(MAIN!C907, FIND(",",MAIN!C907) -1), "0", ""), "1", ""), "2", ""), "3", ""), "4", ""), "5", ""), "6", ""), "7", ""), "8", ""), "9", "")), PROPER(SUBSTITUTE(SUBSTITUTE(SUBSTITUTE(SUBSTITUTE(SUBSTITUTE(SUBSTITUTE(SUBSTITUTE(SUBSTITUTE(SUBSTITUTE(SUBSTITUTE(MAIN!C907, "0", ""), "1", ""), "2", ""), "3", ""), "4", ""), "5", ""), "6", ""), "7", ""), "8", ""), "9", ""))))</f>
        <v>--</v>
      </c>
      <c r="D907" t="str">
        <f>IF(ISBLANK(MAIN!D907), "--", IF(ISNUMBER(MATCH(SUBSTITUTE(LEFT(MAIN!D907, IFERROR(FIND(",", MAIN!D907)-1, LEN(MAIN!D907))), " ", ""), lookup_values!$B$2:$B$51, 0)), UPPER(SUBSTITUTE(LEFT(MAIN!D907, IFERROR(FIND(",", MAIN!D907)-1, LEN(MAIN!D907))), " ", "")), IF(ISNA(VLOOKUP(SUBSTITUTE(LEFT(MAIN!D907, IFERROR(FIND(",", MAIN!D907)-1, LEN(MAIN!D907))), " ", ""), lookup_values!$A$2:$B$51, 2, FALSE)), "--", VLOOKUP(SUBSTITUTE(LEFT(MAIN!D907, IFERROR(FIND(",", MAIN!D907)-1, LEN(MAIN!D907))), " ", ""), lookup_values!$A$2:$B$51, 2, FALSE))))</f>
        <v>--</v>
      </c>
      <c r="E907" t="str">
        <f>IF(CLEAN_DATA!D907&lt;&gt;"--","US",IF(ISBLANK(MAIN!E907), "--", IF(ISNUMBER(MATCH(SUBSTITUTE(LEFT(MAIN!E907, IFERROR(FIND(",", MAIN!E907)-1, LEN(MAIN!E907))), " ", ""), lookup_values!$E$2:$E$197, 0)), UPPER(SUBSTITUTE(LEFT(MAIN!E907, IFERROR(FIND(",", MAIN!E907)-1, LEN(MAIN!E907))), " ", "")), IF(ISNA(VLOOKUP(SUBSTITUTE(LEFT(MAIN!E907, IFERROR(FIND(",", MAIN!E907)-1, LEN(MAIN!E907))), " ", ""), lookup_values!$D$2:$E$197, 2, FALSE)), "--", VLOOKUP(SUBSTITUTE(LEFT(MAIN!E907, IFERROR(FIND(",", MAIN!E907)-1, LEN(MAIN!E907))), " ", ""), lookup_values!$D$2:$E$197, 2, FALSE)))))</f>
        <v>--</v>
      </c>
      <c r="F907" t="str">
        <f>IF(ISBLANK(MAIN!F907), "", IF(AND(ISNUMBER(VALUE(TRIM(MAIN!F907))), LEN(TRIM(MAIN!F907))=4), VALUE(TRIM(MAIN!F907)), ""))</f>
        <v/>
      </c>
      <c r="G907">
        <f>IF(ISBLANK(MAIN!G907), 0, IF(ISNUMBER(VALUE(TRIM(MAIN!G907))), VALUE(TRIM(MAIN!G907)), 0))</f>
        <v>0</v>
      </c>
      <c r="H907">
        <f>IF(ISBLANK(MAIN!H907), 0, IF(ISNUMBER(VALUE(TRIM(MAIN!H907))), VALUE(TRIM(MAIN!H907)), 0))</f>
        <v>0</v>
      </c>
      <c r="I907">
        <f>IF(ISBLANK(MAIN!I907), 0, IF(ISNUMBER(VALUE(TRIM(MAIN!I907))), VALUE(TRIM(MAIN!I907)), 0))</f>
        <v>0</v>
      </c>
      <c r="J907">
        <f>IF(ISBLANK(MAIN!J907), 0, IF(ISNUMBER(VALUE(TRIM(MAIN!J907))), VALUE(TRIM(MAIN!J907)), 0))</f>
        <v>0</v>
      </c>
      <c r="K907" cm="1">
        <f t="array" ref="K907">IFERROR(
    VALUE(
        IFERROR(
            UPPER(
                IF(MAX(IFERROR(SEARCH("WD",MAIN!G907:J907), 0))&gt;0, "WD",
                IF(MAX(IFERROR(SEARCH("NS",MAIN!G907:J907), 0))&gt;0, "NS",
                IF(MAX(IFERROR(SEARCH("NC",MAIN!G907:J907), 0))&gt;0, "NC",
                IF(MAX(IFERROR(SEARCH("DQ",MAIN!G907:J907), 0))&gt;0, "DQ",
                IF(ISNUMBER(SEARCH("WD",MAIN!K907)), "WD",
                IF(ISNUMBER(SEARCH("NS",MAIN!K907)), "NS",
                IF(ISNUMBER(SEARCH("NC",MAIN!K907)), "NC",
                IF(ISNUMBER(SEARCH("DQ",MAIN!K907)), "DQ",
                IF(ISNUMBER(SEARCH("A",MAIN!K907)), 0,
                IF(OR(MAIN!K907=0,MAIN!K907=""), 0, --TRIM(MAIN!K907)))))))))))),
            0
        )
    ),
    IFERROR(
        UPPER(
            IF(MAX(IFERROR(SEARCH("WD",MAIN!G907:J907), 0))&gt;0, "WD",
            IF(MAX(IFERROR(SEARCH("NS",MAIN!G907:J907), 0))&gt;0, "NS",
            IF(MAX(IFERROR(SEARCH("NC",MAIN!G907:J907), 0))&gt;0, "NC",
            IF(MAX(IFERROR(SEARCH("DQ",MAIN!G907:J907), 0))&gt;0, "DQ",
            IF(ISNUMBER(SEARCH("WD",MAIN!K907)), "WD",
            IF(ISNUMBER(SEARCH("NS",MAIN!K907)), "NS",
            IF(ISNUMBER(SEARCH("NC",MAIN!K907)), "NC",
            IF(ISNUMBER(SEARCH("DQ",MAIN!K907)), "DQ",
            IF(ISNUMBER(SEARCH("A",MAIN!K907)), 0,
            IF(OR(MAIN!K907=0,MAIN!K907=""), 0, --TRIM(MAIN!K907)))))))))))),
        0
    )
)</f>
        <v>0</v>
      </c>
    </row>
    <row r="908" spans="1:11" x14ac:dyDescent="0.25">
      <c r="A908" t="str">
        <f>IF(ISBLANK(MAIN!A908), "--", IFERROR(PROPER(SUBSTITUTE(SUBSTITUTE(SUBSTITUTE(SUBSTITUTE(SUBSTITUTE(SUBSTITUTE(SUBSTITUTE(SUBSTITUTE(SUBSTITUTE(SUBSTITUTE(LEFT(MAIN!A908, FIND(",",MAIN!A908) -1), "0", ""), "1", ""), "2", ""), "3", ""), "4", ""), "5", ""), "6", ""), "7", ""), "8", ""), "9", "")), PROPER(SUBSTITUTE(SUBSTITUTE(SUBSTITUTE(SUBSTITUTE(SUBSTITUTE(SUBSTITUTE(SUBSTITUTE(SUBSTITUTE(SUBSTITUTE(SUBSTITUTE(MAIN!A908, "0", ""), "1", ""), "2", ""), "3", ""), "4", ""), "5", ""), "6", ""), "7", ""), "8", ""), "9", ""))))</f>
        <v>--</v>
      </c>
      <c r="B908" t="str">
        <f>IF(ISBLANK(MAIN!B908), "--", IFERROR(PROPER(SUBSTITUTE(SUBSTITUTE(SUBSTITUTE(SUBSTITUTE(SUBSTITUTE(SUBSTITUTE(SUBSTITUTE(SUBSTITUTE(SUBSTITUTE(SUBSTITUTE(LEFT(MAIN!B908, FIND(",",MAIN!B908) -1), "0", ""), "1", ""), "2", ""), "3", ""), "4", ""), "5", ""), "6", ""), "7", ""), "8", ""), "9", "")), PROPER(SUBSTITUTE(SUBSTITUTE(SUBSTITUTE(SUBSTITUTE(SUBSTITUTE(SUBSTITUTE(SUBSTITUTE(SUBSTITUTE(SUBSTITUTE(SUBSTITUTE(MAIN!B908, "0", ""), "1", ""), "2", ""), "3", ""), "4", ""), "5", ""), "6", ""), "7", ""), "8", ""), "9", ""))))</f>
        <v>--</v>
      </c>
      <c r="C908" t="str">
        <f>IF(ISBLANK(MAIN!C908), "--", IFERROR(PROPER(SUBSTITUTE(SUBSTITUTE(SUBSTITUTE(SUBSTITUTE(SUBSTITUTE(SUBSTITUTE(SUBSTITUTE(SUBSTITUTE(SUBSTITUTE(SUBSTITUTE(LEFT(MAIN!C908, FIND(",",MAIN!C908) -1), "0", ""), "1", ""), "2", ""), "3", ""), "4", ""), "5", ""), "6", ""), "7", ""), "8", ""), "9", "")), PROPER(SUBSTITUTE(SUBSTITUTE(SUBSTITUTE(SUBSTITUTE(SUBSTITUTE(SUBSTITUTE(SUBSTITUTE(SUBSTITUTE(SUBSTITUTE(SUBSTITUTE(MAIN!C908, "0", ""), "1", ""), "2", ""), "3", ""), "4", ""), "5", ""), "6", ""), "7", ""), "8", ""), "9", ""))))</f>
        <v>--</v>
      </c>
      <c r="D908" t="str">
        <f>IF(ISBLANK(MAIN!D908), "--", IF(ISNUMBER(MATCH(SUBSTITUTE(LEFT(MAIN!D908, IFERROR(FIND(",", MAIN!D908)-1, LEN(MAIN!D908))), " ", ""), lookup_values!$B$2:$B$51, 0)), UPPER(SUBSTITUTE(LEFT(MAIN!D908, IFERROR(FIND(",", MAIN!D908)-1, LEN(MAIN!D908))), " ", "")), IF(ISNA(VLOOKUP(SUBSTITUTE(LEFT(MAIN!D908, IFERROR(FIND(",", MAIN!D908)-1, LEN(MAIN!D908))), " ", ""), lookup_values!$A$2:$B$51, 2, FALSE)), "--", VLOOKUP(SUBSTITUTE(LEFT(MAIN!D908, IFERROR(FIND(",", MAIN!D908)-1, LEN(MAIN!D908))), " ", ""), lookup_values!$A$2:$B$51, 2, FALSE))))</f>
        <v>--</v>
      </c>
      <c r="E908" t="str">
        <f>IF(CLEAN_DATA!D908&lt;&gt;"--","US",IF(ISBLANK(MAIN!E908), "--", IF(ISNUMBER(MATCH(SUBSTITUTE(LEFT(MAIN!E908, IFERROR(FIND(",", MAIN!E908)-1, LEN(MAIN!E908))), " ", ""), lookup_values!$E$2:$E$197, 0)), UPPER(SUBSTITUTE(LEFT(MAIN!E908, IFERROR(FIND(",", MAIN!E908)-1, LEN(MAIN!E908))), " ", "")), IF(ISNA(VLOOKUP(SUBSTITUTE(LEFT(MAIN!E908, IFERROR(FIND(",", MAIN!E908)-1, LEN(MAIN!E908))), " ", ""), lookup_values!$D$2:$E$197, 2, FALSE)), "--", VLOOKUP(SUBSTITUTE(LEFT(MAIN!E908, IFERROR(FIND(",", MAIN!E908)-1, LEN(MAIN!E908))), " ", ""), lookup_values!$D$2:$E$197, 2, FALSE)))))</f>
        <v>--</v>
      </c>
      <c r="F908" t="str">
        <f>IF(ISBLANK(MAIN!F908), "", IF(AND(ISNUMBER(VALUE(TRIM(MAIN!F908))), LEN(TRIM(MAIN!F908))=4), VALUE(TRIM(MAIN!F908)), ""))</f>
        <v/>
      </c>
      <c r="G908">
        <f>IF(ISBLANK(MAIN!G908), 0, IF(ISNUMBER(VALUE(TRIM(MAIN!G908))), VALUE(TRIM(MAIN!G908)), 0))</f>
        <v>0</v>
      </c>
      <c r="H908">
        <f>IF(ISBLANK(MAIN!H908), 0, IF(ISNUMBER(VALUE(TRIM(MAIN!H908))), VALUE(TRIM(MAIN!H908)), 0))</f>
        <v>0</v>
      </c>
      <c r="I908">
        <f>IF(ISBLANK(MAIN!I908), 0, IF(ISNUMBER(VALUE(TRIM(MAIN!I908))), VALUE(TRIM(MAIN!I908)), 0))</f>
        <v>0</v>
      </c>
      <c r="J908">
        <f>IF(ISBLANK(MAIN!J908), 0, IF(ISNUMBER(VALUE(TRIM(MAIN!J908))), VALUE(TRIM(MAIN!J908)), 0))</f>
        <v>0</v>
      </c>
      <c r="K908" cm="1">
        <f t="array" ref="K908">IFERROR(
    VALUE(
        IFERROR(
            UPPER(
                IF(MAX(IFERROR(SEARCH("WD",MAIN!G908:J908), 0))&gt;0, "WD",
                IF(MAX(IFERROR(SEARCH("NS",MAIN!G908:J908), 0))&gt;0, "NS",
                IF(MAX(IFERROR(SEARCH("NC",MAIN!G908:J908), 0))&gt;0, "NC",
                IF(MAX(IFERROR(SEARCH("DQ",MAIN!G908:J908), 0))&gt;0, "DQ",
                IF(ISNUMBER(SEARCH("WD",MAIN!K908)), "WD",
                IF(ISNUMBER(SEARCH("NS",MAIN!K908)), "NS",
                IF(ISNUMBER(SEARCH("NC",MAIN!K908)), "NC",
                IF(ISNUMBER(SEARCH("DQ",MAIN!K908)), "DQ",
                IF(ISNUMBER(SEARCH("A",MAIN!K908)), 0,
                IF(OR(MAIN!K908=0,MAIN!K908=""), 0, --TRIM(MAIN!K908)))))))))))),
            0
        )
    ),
    IFERROR(
        UPPER(
            IF(MAX(IFERROR(SEARCH("WD",MAIN!G908:J908), 0))&gt;0, "WD",
            IF(MAX(IFERROR(SEARCH("NS",MAIN!G908:J908), 0))&gt;0, "NS",
            IF(MAX(IFERROR(SEARCH("NC",MAIN!G908:J908), 0))&gt;0, "NC",
            IF(MAX(IFERROR(SEARCH("DQ",MAIN!G908:J908), 0))&gt;0, "DQ",
            IF(ISNUMBER(SEARCH("WD",MAIN!K908)), "WD",
            IF(ISNUMBER(SEARCH("NS",MAIN!K908)), "NS",
            IF(ISNUMBER(SEARCH("NC",MAIN!K908)), "NC",
            IF(ISNUMBER(SEARCH("DQ",MAIN!K908)), "DQ",
            IF(ISNUMBER(SEARCH("A",MAIN!K908)), 0,
            IF(OR(MAIN!K908=0,MAIN!K908=""), 0, --TRIM(MAIN!K908)))))))))))),
        0
    )
)</f>
        <v>0</v>
      </c>
    </row>
    <row r="909" spans="1:11" x14ac:dyDescent="0.25">
      <c r="A909" t="str">
        <f>IF(ISBLANK(MAIN!A909), "--", IFERROR(PROPER(SUBSTITUTE(SUBSTITUTE(SUBSTITUTE(SUBSTITUTE(SUBSTITUTE(SUBSTITUTE(SUBSTITUTE(SUBSTITUTE(SUBSTITUTE(SUBSTITUTE(LEFT(MAIN!A909, FIND(",",MAIN!A909) -1), "0", ""), "1", ""), "2", ""), "3", ""), "4", ""), "5", ""), "6", ""), "7", ""), "8", ""), "9", "")), PROPER(SUBSTITUTE(SUBSTITUTE(SUBSTITUTE(SUBSTITUTE(SUBSTITUTE(SUBSTITUTE(SUBSTITUTE(SUBSTITUTE(SUBSTITUTE(SUBSTITUTE(MAIN!A909, "0", ""), "1", ""), "2", ""), "3", ""), "4", ""), "5", ""), "6", ""), "7", ""), "8", ""), "9", ""))))</f>
        <v>--</v>
      </c>
      <c r="B909" t="str">
        <f>IF(ISBLANK(MAIN!B909), "--", IFERROR(PROPER(SUBSTITUTE(SUBSTITUTE(SUBSTITUTE(SUBSTITUTE(SUBSTITUTE(SUBSTITUTE(SUBSTITUTE(SUBSTITUTE(SUBSTITUTE(SUBSTITUTE(LEFT(MAIN!B909, FIND(",",MAIN!B909) -1), "0", ""), "1", ""), "2", ""), "3", ""), "4", ""), "5", ""), "6", ""), "7", ""), "8", ""), "9", "")), PROPER(SUBSTITUTE(SUBSTITUTE(SUBSTITUTE(SUBSTITUTE(SUBSTITUTE(SUBSTITUTE(SUBSTITUTE(SUBSTITUTE(SUBSTITUTE(SUBSTITUTE(MAIN!B909, "0", ""), "1", ""), "2", ""), "3", ""), "4", ""), "5", ""), "6", ""), "7", ""), "8", ""), "9", ""))))</f>
        <v>--</v>
      </c>
      <c r="C909" t="str">
        <f>IF(ISBLANK(MAIN!C909), "--", IFERROR(PROPER(SUBSTITUTE(SUBSTITUTE(SUBSTITUTE(SUBSTITUTE(SUBSTITUTE(SUBSTITUTE(SUBSTITUTE(SUBSTITUTE(SUBSTITUTE(SUBSTITUTE(LEFT(MAIN!C909, FIND(",",MAIN!C909) -1), "0", ""), "1", ""), "2", ""), "3", ""), "4", ""), "5", ""), "6", ""), "7", ""), "8", ""), "9", "")), PROPER(SUBSTITUTE(SUBSTITUTE(SUBSTITUTE(SUBSTITUTE(SUBSTITUTE(SUBSTITUTE(SUBSTITUTE(SUBSTITUTE(SUBSTITUTE(SUBSTITUTE(MAIN!C909, "0", ""), "1", ""), "2", ""), "3", ""), "4", ""), "5", ""), "6", ""), "7", ""), "8", ""), "9", ""))))</f>
        <v>--</v>
      </c>
      <c r="D909" t="str">
        <f>IF(ISBLANK(MAIN!D909), "--", IF(ISNUMBER(MATCH(SUBSTITUTE(LEFT(MAIN!D909, IFERROR(FIND(",", MAIN!D909)-1, LEN(MAIN!D909))), " ", ""), lookup_values!$B$2:$B$51, 0)), UPPER(SUBSTITUTE(LEFT(MAIN!D909, IFERROR(FIND(",", MAIN!D909)-1, LEN(MAIN!D909))), " ", "")), IF(ISNA(VLOOKUP(SUBSTITUTE(LEFT(MAIN!D909, IFERROR(FIND(",", MAIN!D909)-1, LEN(MAIN!D909))), " ", ""), lookup_values!$A$2:$B$51, 2, FALSE)), "--", VLOOKUP(SUBSTITUTE(LEFT(MAIN!D909, IFERROR(FIND(",", MAIN!D909)-1, LEN(MAIN!D909))), " ", ""), lookup_values!$A$2:$B$51, 2, FALSE))))</f>
        <v>--</v>
      </c>
      <c r="E909" t="str">
        <f>IF(CLEAN_DATA!D909&lt;&gt;"--","US",IF(ISBLANK(MAIN!E909), "--", IF(ISNUMBER(MATCH(SUBSTITUTE(LEFT(MAIN!E909, IFERROR(FIND(",", MAIN!E909)-1, LEN(MAIN!E909))), " ", ""), lookup_values!$E$2:$E$197, 0)), UPPER(SUBSTITUTE(LEFT(MAIN!E909, IFERROR(FIND(",", MAIN!E909)-1, LEN(MAIN!E909))), " ", "")), IF(ISNA(VLOOKUP(SUBSTITUTE(LEFT(MAIN!E909, IFERROR(FIND(",", MAIN!E909)-1, LEN(MAIN!E909))), " ", ""), lookup_values!$D$2:$E$197, 2, FALSE)), "--", VLOOKUP(SUBSTITUTE(LEFT(MAIN!E909, IFERROR(FIND(",", MAIN!E909)-1, LEN(MAIN!E909))), " ", ""), lookup_values!$D$2:$E$197, 2, FALSE)))))</f>
        <v>--</v>
      </c>
      <c r="F909" t="str">
        <f>IF(ISBLANK(MAIN!F909), "", IF(AND(ISNUMBER(VALUE(TRIM(MAIN!F909))), LEN(TRIM(MAIN!F909))=4), VALUE(TRIM(MAIN!F909)), ""))</f>
        <v/>
      </c>
      <c r="G909">
        <f>IF(ISBLANK(MAIN!G909), 0, IF(ISNUMBER(VALUE(TRIM(MAIN!G909))), VALUE(TRIM(MAIN!G909)), 0))</f>
        <v>0</v>
      </c>
      <c r="H909">
        <f>IF(ISBLANK(MAIN!H909), 0, IF(ISNUMBER(VALUE(TRIM(MAIN!H909))), VALUE(TRIM(MAIN!H909)), 0))</f>
        <v>0</v>
      </c>
      <c r="I909">
        <f>IF(ISBLANK(MAIN!I909), 0, IF(ISNUMBER(VALUE(TRIM(MAIN!I909))), VALUE(TRIM(MAIN!I909)), 0))</f>
        <v>0</v>
      </c>
      <c r="J909">
        <f>IF(ISBLANK(MAIN!J909), 0, IF(ISNUMBER(VALUE(TRIM(MAIN!J909))), VALUE(TRIM(MAIN!J909)), 0))</f>
        <v>0</v>
      </c>
      <c r="K909" cm="1">
        <f t="array" ref="K909">IFERROR(
    VALUE(
        IFERROR(
            UPPER(
                IF(MAX(IFERROR(SEARCH("WD",MAIN!G909:J909), 0))&gt;0, "WD",
                IF(MAX(IFERROR(SEARCH("NS",MAIN!G909:J909), 0))&gt;0, "NS",
                IF(MAX(IFERROR(SEARCH("NC",MAIN!G909:J909), 0))&gt;0, "NC",
                IF(MAX(IFERROR(SEARCH("DQ",MAIN!G909:J909), 0))&gt;0, "DQ",
                IF(ISNUMBER(SEARCH("WD",MAIN!K909)), "WD",
                IF(ISNUMBER(SEARCH("NS",MAIN!K909)), "NS",
                IF(ISNUMBER(SEARCH("NC",MAIN!K909)), "NC",
                IF(ISNUMBER(SEARCH("DQ",MAIN!K909)), "DQ",
                IF(ISNUMBER(SEARCH("A",MAIN!K909)), 0,
                IF(OR(MAIN!K909=0,MAIN!K909=""), 0, --TRIM(MAIN!K909)))))))))))),
            0
        )
    ),
    IFERROR(
        UPPER(
            IF(MAX(IFERROR(SEARCH("WD",MAIN!G909:J909), 0))&gt;0, "WD",
            IF(MAX(IFERROR(SEARCH("NS",MAIN!G909:J909), 0))&gt;0, "NS",
            IF(MAX(IFERROR(SEARCH("NC",MAIN!G909:J909), 0))&gt;0, "NC",
            IF(MAX(IFERROR(SEARCH("DQ",MAIN!G909:J909), 0))&gt;0, "DQ",
            IF(ISNUMBER(SEARCH("WD",MAIN!K909)), "WD",
            IF(ISNUMBER(SEARCH("NS",MAIN!K909)), "NS",
            IF(ISNUMBER(SEARCH("NC",MAIN!K909)), "NC",
            IF(ISNUMBER(SEARCH("DQ",MAIN!K909)), "DQ",
            IF(ISNUMBER(SEARCH("A",MAIN!K909)), 0,
            IF(OR(MAIN!K909=0,MAIN!K909=""), 0, --TRIM(MAIN!K909)))))))))))),
        0
    )
)</f>
        <v>0</v>
      </c>
    </row>
    <row r="910" spans="1:11" x14ac:dyDescent="0.25">
      <c r="A910" t="str">
        <f>IF(ISBLANK(MAIN!A910), "--", IFERROR(PROPER(SUBSTITUTE(SUBSTITUTE(SUBSTITUTE(SUBSTITUTE(SUBSTITUTE(SUBSTITUTE(SUBSTITUTE(SUBSTITUTE(SUBSTITUTE(SUBSTITUTE(LEFT(MAIN!A910, FIND(",",MAIN!A910) -1), "0", ""), "1", ""), "2", ""), "3", ""), "4", ""), "5", ""), "6", ""), "7", ""), "8", ""), "9", "")), PROPER(SUBSTITUTE(SUBSTITUTE(SUBSTITUTE(SUBSTITUTE(SUBSTITUTE(SUBSTITUTE(SUBSTITUTE(SUBSTITUTE(SUBSTITUTE(SUBSTITUTE(MAIN!A910, "0", ""), "1", ""), "2", ""), "3", ""), "4", ""), "5", ""), "6", ""), "7", ""), "8", ""), "9", ""))))</f>
        <v>--</v>
      </c>
      <c r="B910" t="str">
        <f>IF(ISBLANK(MAIN!B910), "--", IFERROR(PROPER(SUBSTITUTE(SUBSTITUTE(SUBSTITUTE(SUBSTITUTE(SUBSTITUTE(SUBSTITUTE(SUBSTITUTE(SUBSTITUTE(SUBSTITUTE(SUBSTITUTE(LEFT(MAIN!B910, FIND(",",MAIN!B910) -1), "0", ""), "1", ""), "2", ""), "3", ""), "4", ""), "5", ""), "6", ""), "7", ""), "8", ""), "9", "")), PROPER(SUBSTITUTE(SUBSTITUTE(SUBSTITUTE(SUBSTITUTE(SUBSTITUTE(SUBSTITUTE(SUBSTITUTE(SUBSTITUTE(SUBSTITUTE(SUBSTITUTE(MAIN!B910, "0", ""), "1", ""), "2", ""), "3", ""), "4", ""), "5", ""), "6", ""), "7", ""), "8", ""), "9", ""))))</f>
        <v>--</v>
      </c>
      <c r="C910" t="str">
        <f>IF(ISBLANK(MAIN!C910), "--", IFERROR(PROPER(SUBSTITUTE(SUBSTITUTE(SUBSTITUTE(SUBSTITUTE(SUBSTITUTE(SUBSTITUTE(SUBSTITUTE(SUBSTITUTE(SUBSTITUTE(SUBSTITUTE(LEFT(MAIN!C910, FIND(",",MAIN!C910) -1), "0", ""), "1", ""), "2", ""), "3", ""), "4", ""), "5", ""), "6", ""), "7", ""), "8", ""), "9", "")), PROPER(SUBSTITUTE(SUBSTITUTE(SUBSTITUTE(SUBSTITUTE(SUBSTITUTE(SUBSTITUTE(SUBSTITUTE(SUBSTITUTE(SUBSTITUTE(SUBSTITUTE(MAIN!C910, "0", ""), "1", ""), "2", ""), "3", ""), "4", ""), "5", ""), "6", ""), "7", ""), "8", ""), "9", ""))))</f>
        <v>--</v>
      </c>
      <c r="D910" t="str">
        <f>IF(ISBLANK(MAIN!D910), "--", IF(ISNUMBER(MATCH(SUBSTITUTE(LEFT(MAIN!D910, IFERROR(FIND(",", MAIN!D910)-1, LEN(MAIN!D910))), " ", ""), lookup_values!$B$2:$B$51, 0)), UPPER(SUBSTITUTE(LEFT(MAIN!D910, IFERROR(FIND(",", MAIN!D910)-1, LEN(MAIN!D910))), " ", "")), IF(ISNA(VLOOKUP(SUBSTITUTE(LEFT(MAIN!D910, IFERROR(FIND(",", MAIN!D910)-1, LEN(MAIN!D910))), " ", ""), lookup_values!$A$2:$B$51, 2, FALSE)), "--", VLOOKUP(SUBSTITUTE(LEFT(MAIN!D910, IFERROR(FIND(",", MAIN!D910)-1, LEN(MAIN!D910))), " ", ""), lookup_values!$A$2:$B$51, 2, FALSE))))</f>
        <v>--</v>
      </c>
      <c r="E910" t="str">
        <f>IF(CLEAN_DATA!D910&lt;&gt;"--","US",IF(ISBLANK(MAIN!E910), "--", IF(ISNUMBER(MATCH(SUBSTITUTE(LEFT(MAIN!E910, IFERROR(FIND(",", MAIN!E910)-1, LEN(MAIN!E910))), " ", ""), lookup_values!$E$2:$E$197, 0)), UPPER(SUBSTITUTE(LEFT(MAIN!E910, IFERROR(FIND(",", MAIN!E910)-1, LEN(MAIN!E910))), " ", "")), IF(ISNA(VLOOKUP(SUBSTITUTE(LEFT(MAIN!E910, IFERROR(FIND(",", MAIN!E910)-1, LEN(MAIN!E910))), " ", ""), lookup_values!$D$2:$E$197, 2, FALSE)), "--", VLOOKUP(SUBSTITUTE(LEFT(MAIN!E910, IFERROR(FIND(",", MAIN!E910)-1, LEN(MAIN!E910))), " ", ""), lookup_values!$D$2:$E$197, 2, FALSE)))))</f>
        <v>--</v>
      </c>
      <c r="F910" t="str">
        <f>IF(ISBLANK(MAIN!F910), "", IF(AND(ISNUMBER(VALUE(TRIM(MAIN!F910))), LEN(TRIM(MAIN!F910))=4), VALUE(TRIM(MAIN!F910)), ""))</f>
        <v/>
      </c>
      <c r="G910">
        <f>IF(ISBLANK(MAIN!G910), 0, IF(ISNUMBER(VALUE(TRIM(MAIN!G910))), VALUE(TRIM(MAIN!G910)), 0))</f>
        <v>0</v>
      </c>
      <c r="H910">
        <f>IF(ISBLANK(MAIN!H910), 0, IF(ISNUMBER(VALUE(TRIM(MAIN!H910))), VALUE(TRIM(MAIN!H910)), 0))</f>
        <v>0</v>
      </c>
      <c r="I910">
        <f>IF(ISBLANK(MAIN!I910), 0, IF(ISNUMBER(VALUE(TRIM(MAIN!I910))), VALUE(TRIM(MAIN!I910)), 0))</f>
        <v>0</v>
      </c>
      <c r="J910">
        <f>IF(ISBLANK(MAIN!J910), 0, IF(ISNUMBER(VALUE(TRIM(MAIN!J910))), VALUE(TRIM(MAIN!J910)), 0))</f>
        <v>0</v>
      </c>
      <c r="K910" cm="1">
        <f t="array" ref="K910">IFERROR(
    VALUE(
        IFERROR(
            UPPER(
                IF(MAX(IFERROR(SEARCH("WD",MAIN!G910:J910), 0))&gt;0, "WD",
                IF(MAX(IFERROR(SEARCH("NS",MAIN!G910:J910), 0))&gt;0, "NS",
                IF(MAX(IFERROR(SEARCH("NC",MAIN!G910:J910), 0))&gt;0, "NC",
                IF(MAX(IFERROR(SEARCH("DQ",MAIN!G910:J910), 0))&gt;0, "DQ",
                IF(ISNUMBER(SEARCH("WD",MAIN!K910)), "WD",
                IF(ISNUMBER(SEARCH("NS",MAIN!K910)), "NS",
                IF(ISNUMBER(SEARCH("NC",MAIN!K910)), "NC",
                IF(ISNUMBER(SEARCH("DQ",MAIN!K910)), "DQ",
                IF(ISNUMBER(SEARCH("A",MAIN!K910)), 0,
                IF(OR(MAIN!K910=0,MAIN!K910=""), 0, --TRIM(MAIN!K910)))))))))))),
            0
        )
    ),
    IFERROR(
        UPPER(
            IF(MAX(IFERROR(SEARCH("WD",MAIN!G910:J910), 0))&gt;0, "WD",
            IF(MAX(IFERROR(SEARCH("NS",MAIN!G910:J910), 0))&gt;0, "NS",
            IF(MAX(IFERROR(SEARCH("NC",MAIN!G910:J910), 0))&gt;0, "NC",
            IF(MAX(IFERROR(SEARCH("DQ",MAIN!G910:J910), 0))&gt;0, "DQ",
            IF(ISNUMBER(SEARCH("WD",MAIN!K910)), "WD",
            IF(ISNUMBER(SEARCH("NS",MAIN!K910)), "NS",
            IF(ISNUMBER(SEARCH("NC",MAIN!K910)), "NC",
            IF(ISNUMBER(SEARCH("DQ",MAIN!K910)), "DQ",
            IF(ISNUMBER(SEARCH("A",MAIN!K910)), 0,
            IF(OR(MAIN!K910=0,MAIN!K910=""), 0, --TRIM(MAIN!K910)))))))))))),
        0
    )
)</f>
        <v>0</v>
      </c>
    </row>
    <row r="911" spans="1:11" x14ac:dyDescent="0.25">
      <c r="A911" t="str">
        <f>IF(ISBLANK(MAIN!A911), "--", IFERROR(PROPER(SUBSTITUTE(SUBSTITUTE(SUBSTITUTE(SUBSTITUTE(SUBSTITUTE(SUBSTITUTE(SUBSTITUTE(SUBSTITUTE(SUBSTITUTE(SUBSTITUTE(LEFT(MAIN!A911, FIND(",",MAIN!A911) -1), "0", ""), "1", ""), "2", ""), "3", ""), "4", ""), "5", ""), "6", ""), "7", ""), "8", ""), "9", "")), PROPER(SUBSTITUTE(SUBSTITUTE(SUBSTITUTE(SUBSTITUTE(SUBSTITUTE(SUBSTITUTE(SUBSTITUTE(SUBSTITUTE(SUBSTITUTE(SUBSTITUTE(MAIN!A911, "0", ""), "1", ""), "2", ""), "3", ""), "4", ""), "5", ""), "6", ""), "7", ""), "8", ""), "9", ""))))</f>
        <v>--</v>
      </c>
      <c r="B911" t="str">
        <f>IF(ISBLANK(MAIN!B911), "--", IFERROR(PROPER(SUBSTITUTE(SUBSTITUTE(SUBSTITUTE(SUBSTITUTE(SUBSTITUTE(SUBSTITUTE(SUBSTITUTE(SUBSTITUTE(SUBSTITUTE(SUBSTITUTE(LEFT(MAIN!B911, FIND(",",MAIN!B911) -1), "0", ""), "1", ""), "2", ""), "3", ""), "4", ""), "5", ""), "6", ""), "7", ""), "8", ""), "9", "")), PROPER(SUBSTITUTE(SUBSTITUTE(SUBSTITUTE(SUBSTITUTE(SUBSTITUTE(SUBSTITUTE(SUBSTITUTE(SUBSTITUTE(SUBSTITUTE(SUBSTITUTE(MAIN!B911, "0", ""), "1", ""), "2", ""), "3", ""), "4", ""), "5", ""), "6", ""), "7", ""), "8", ""), "9", ""))))</f>
        <v>--</v>
      </c>
      <c r="C911" t="str">
        <f>IF(ISBLANK(MAIN!C911), "--", IFERROR(PROPER(SUBSTITUTE(SUBSTITUTE(SUBSTITUTE(SUBSTITUTE(SUBSTITUTE(SUBSTITUTE(SUBSTITUTE(SUBSTITUTE(SUBSTITUTE(SUBSTITUTE(LEFT(MAIN!C911, FIND(",",MAIN!C911) -1), "0", ""), "1", ""), "2", ""), "3", ""), "4", ""), "5", ""), "6", ""), "7", ""), "8", ""), "9", "")), PROPER(SUBSTITUTE(SUBSTITUTE(SUBSTITUTE(SUBSTITUTE(SUBSTITUTE(SUBSTITUTE(SUBSTITUTE(SUBSTITUTE(SUBSTITUTE(SUBSTITUTE(MAIN!C911, "0", ""), "1", ""), "2", ""), "3", ""), "4", ""), "5", ""), "6", ""), "7", ""), "8", ""), "9", ""))))</f>
        <v>--</v>
      </c>
      <c r="D911" t="str">
        <f>IF(ISBLANK(MAIN!D911), "--", IF(ISNUMBER(MATCH(SUBSTITUTE(LEFT(MAIN!D911, IFERROR(FIND(",", MAIN!D911)-1, LEN(MAIN!D911))), " ", ""), lookup_values!$B$2:$B$51, 0)), UPPER(SUBSTITUTE(LEFT(MAIN!D911, IFERROR(FIND(",", MAIN!D911)-1, LEN(MAIN!D911))), " ", "")), IF(ISNA(VLOOKUP(SUBSTITUTE(LEFT(MAIN!D911, IFERROR(FIND(",", MAIN!D911)-1, LEN(MAIN!D911))), " ", ""), lookup_values!$A$2:$B$51, 2, FALSE)), "--", VLOOKUP(SUBSTITUTE(LEFT(MAIN!D911, IFERROR(FIND(",", MAIN!D911)-1, LEN(MAIN!D911))), " ", ""), lookup_values!$A$2:$B$51, 2, FALSE))))</f>
        <v>--</v>
      </c>
      <c r="E911" t="str">
        <f>IF(CLEAN_DATA!D911&lt;&gt;"--","US",IF(ISBLANK(MAIN!E911), "--", IF(ISNUMBER(MATCH(SUBSTITUTE(LEFT(MAIN!E911, IFERROR(FIND(",", MAIN!E911)-1, LEN(MAIN!E911))), " ", ""), lookup_values!$E$2:$E$197, 0)), UPPER(SUBSTITUTE(LEFT(MAIN!E911, IFERROR(FIND(",", MAIN!E911)-1, LEN(MAIN!E911))), " ", "")), IF(ISNA(VLOOKUP(SUBSTITUTE(LEFT(MAIN!E911, IFERROR(FIND(",", MAIN!E911)-1, LEN(MAIN!E911))), " ", ""), lookup_values!$D$2:$E$197, 2, FALSE)), "--", VLOOKUP(SUBSTITUTE(LEFT(MAIN!E911, IFERROR(FIND(",", MAIN!E911)-1, LEN(MAIN!E911))), " ", ""), lookup_values!$D$2:$E$197, 2, FALSE)))))</f>
        <v>--</v>
      </c>
      <c r="F911" t="str">
        <f>IF(ISBLANK(MAIN!F911), "", IF(AND(ISNUMBER(VALUE(TRIM(MAIN!F911))), LEN(TRIM(MAIN!F911))=4), VALUE(TRIM(MAIN!F911)), ""))</f>
        <v/>
      </c>
      <c r="G911">
        <f>IF(ISBLANK(MAIN!G911), 0, IF(ISNUMBER(VALUE(TRIM(MAIN!G911))), VALUE(TRIM(MAIN!G911)), 0))</f>
        <v>0</v>
      </c>
      <c r="H911">
        <f>IF(ISBLANK(MAIN!H911), 0, IF(ISNUMBER(VALUE(TRIM(MAIN!H911))), VALUE(TRIM(MAIN!H911)), 0))</f>
        <v>0</v>
      </c>
      <c r="I911">
        <f>IF(ISBLANK(MAIN!I911), 0, IF(ISNUMBER(VALUE(TRIM(MAIN!I911))), VALUE(TRIM(MAIN!I911)), 0))</f>
        <v>0</v>
      </c>
      <c r="J911">
        <f>IF(ISBLANK(MAIN!J911), 0, IF(ISNUMBER(VALUE(TRIM(MAIN!J911))), VALUE(TRIM(MAIN!J911)), 0))</f>
        <v>0</v>
      </c>
      <c r="K911" cm="1">
        <f t="array" ref="K911">IFERROR(
    VALUE(
        IFERROR(
            UPPER(
                IF(MAX(IFERROR(SEARCH("WD",MAIN!G911:J911), 0))&gt;0, "WD",
                IF(MAX(IFERROR(SEARCH("NS",MAIN!G911:J911), 0))&gt;0, "NS",
                IF(MAX(IFERROR(SEARCH("NC",MAIN!G911:J911), 0))&gt;0, "NC",
                IF(MAX(IFERROR(SEARCH("DQ",MAIN!G911:J911), 0))&gt;0, "DQ",
                IF(ISNUMBER(SEARCH("WD",MAIN!K911)), "WD",
                IF(ISNUMBER(SEARCH("NS",MAIN!K911)), "NS",
                IF(ISNUMBER(SEARCH("NC",MAIN!K911)), "NC",
                IF(ISNUMBER(SEARCH("DQ",MAIN!K911)), "DQ",
                IF(ISNUMBER(SEARCH("A",MAIN!K911)), 0,
                IF(OR(MAIN!K911=0,MAIN!K911=""), 0, --TRIM(MAIN!K911)))))))))))),
            0
        )
    ),
    IFERROR(
        UPPER(
            IF(MAX(IFERROR(SEARCH("WD",MAIN!G911:J911), 0))&gt;0, "WD",
            IF(MAX(IFERROR(SEARCH("NS",MAIN!G911:J911), 0))&gt;0, "NS",
            IF(MAX(IFERROR(SEARCH("NC",MAIN!G911:J911), 0))&gt;0, "NC",
            IF(MAX(IFERROR(SEARCH("DQ",MAIN!G911:J911), 0))&gt;0, "DQ",
            IF(ISNUMBER(SEARCH("WD",MAIN!K911)), "WD",
            IF(ISNUMBER(SEARCH("NS",MAIN!K911)), "NS",
            IF(ISNUMBER(SEARCH("NC",MAIN!K911)), "NC",
            IF(ISNUMBER(SEARCH("DQ",MAIN!K911)), "DQ",
            IF(ISNUMBER(SEARCH("A",MAIN!K911)), 0,
            IF(OR(MAIN!K911=0,MAIN!K911=""), 0, --TRIM(MAIN!K911)))))))))))),
        0
    )
)</f>
        <v>0</v>
      </c>
    </row>
    <row r="912" spans="1:11" x14ac:dyDescent="0.25">
      <c r="A912" t="str">
        <f>IF(ISBLANK(MAIN!A912), "--", IFERROR(PROPER(SUBSTITUTE(SUBSTITUTE(SUBSTITUTE(SUBSTITUTE(SUBSTITUTE(SUBSTITUTE(SUBSTITUTE(SUBSTITUTE(SUBSTITUTE(SUBSTITUTE(LEFT(MAIN!A912, FIND(",",MAIN!A912) -1), "0", ""), "1", ""), "2", ""), "3", ""), "4", ""), "5", ""), "6", ""), "7", ""), "8", ""), "9", "")), PROPER(SUBSTITUTE(SUBSTITUTE(SUBSTITUTE(SUBSTITUTE(SUBSTITUTE(SUBSTITUTE(SUBSTITUTE(SUBSTITUTE(SUBSTITUTE(SUBSTITUTE(MAIN!A912, "0", ""), "1", ""), "2", ""), "3", ""), "4", ""), "5", ""), "6", ""), "7", ""), "8", ""), "9", ""))))</f>
        <v>--</v>
      </c>
      <c r="B912" t="str">
        <f>IF(ISBLANK(MAIN!B912), "--", IFERROR(PROPER(SUBSTITUTE(SUBSTITUTE(SUBSTITUTE(SUBSTITUTE(SUBSTITUTE(SUBSTITUTE(SUBSTITUTE(SUBSTITUTE(SUBSTITUTE(SUBSTITUTE(LEFT(MAIN!B912, FIND(",",MAIN!B912) -1), "0", ""), "1", ""), "2", ""), "3", ""), "4", ""), "5", ""), "6", ""), "7", ""), "8", ""), "9", "")), PROPER(SUBSTITUTE(SUBSTITUTE(SUBSTITUTE(SUBSTITUTE(SUBSTITUTE(SUBSTITUTE(SUBSTITUTE(SUBSTITUTE(SUBSTITUTE(SUBSTITUTE(MAIN!B912, "0", ""), "1", ""), "2", ""), "3", ""), "4", ""), "5", ""), "6", ""), "7", ""), "8", ""), "9", ""))))</f>
        <v>--</v>
      </c>
      <c r="C912" t="str">
        <f>IF(ISBLANK(MAIN!C912), "--", IFERROR(PROPER(SUBSTITUTE(SUBSTITUTE(SUBSTITUTE(SUBSTITUTE(SUBSTITUTE(SUBSTITUTE(SUBSTITUTE(SUBSTITUTE(SUBSTITUTE(SUBSTITUTE(LEFT(MAIN!C912, FIND(",",MAIN!C912) -1), "0", ""), "1", ""), "2", ""), "3", ""), "4", ""), "5", ""), "6", ""), "7", ""), "8", ""), "9", "")), PROPER(SUBSTITUTE(SUBSTITUTE(SUBSTITUTE(SUBSTITUTE(SUBSTITUTE(SUBSTITUTE(SUBSTITUTE(SUBSTITUTE(SUBSTITUTE(SUBSTITUTE(MAIN!C912, "0", ""), "1", ""), "2", ""), "3", ""), "4", ""), "5", ""), "6", ""), "7", ""), "8", ""), "9", ""))))</f>
        <v>--</v>
      </c>
      <c r="D912" t="str">
        <f>IF(ISBLANK(MAIN!D912), "--", IF(ISNUMBER(MATCH(SUBSTITUTE(LEFT(MAIN!D912, IFERROR(FIND(",", MAIN!D912)-1, LEN(MAIN!D912))), " ", ""), lookup_values!$B$2:$B$51, 0)), UPPER(SUBSTITUTE(LEFT(MAIN!D912, IFERROR(FIND(",", MAIN!D912)-1, LEN(MAIN!D912))), " ", "")), IF(ISNA(VLOOKUP(SUBSTITUTE(LEFT(MAIN!D912, IFERROR(FIND(",", MAIN!D912)-1, LEN(MAIN!D912))), " ", ""), lookup_values!$A$2:$B$51, 2, FALSE)), "--", VLOOKUP(SUBSTITUTE(LEFT(MAIN!D912, IFERROR(FIND(",", MAIN!D912)-1, LEN(MAIN!D912))), " ", ""), lookup_values!$A$2:$B$51, 2, FALSE))))</f>
        <v>--</v>
      </c>
      <c r="E912" t="str">
        <f>IF(CLEAN_DATA!D912&lt;&gt;"--","US",IF(ISBLANK(MAIN!E912), "--", IF(ISNUMBER(MATCH(SUBSTITUTE(LEFT(MAIN!E912, IFERROR(FIND(",", MAIN!E912)-1, LEN(MAIN!E912))), " ", ""), lookup_values!$E$2:$E$197, 0)), UPPER(SUBSTITUTE(LEFT(MAIN!E912, IFERROR(FIND(",", MAIN!E912)-1, LEN(MAIN!E912))), " ", "")), IF(ISNA(VLOOKUP(SUBSTITUTE(LEFT(MAIN!E912, IFERROR(FIND(",", MAIN!E912)-1, LEN(MAIN!E912))), " ", ""), lookup_values!$D$2:$E$197, 2, FALSE)), "--", VLOOKUP(SUBSTITUTE(LEFT(MAIN!E912, IFERROR(FIND(",", MAIN!E912)-1, LEN(MAIN!E912))), " ", ""), lookup_values!$D$2:$E$197, 2, FALSE)))))</f>
        <v>--</v>
      </c>
      <c r="F912" t="str">
        <f>IF(ISBLANK(MAIN!F912), "", IF(AND(ISNUMBER(VALUE(TRIM(MAIN!F912))), LEN(TRIM(MAIN!F912))=4), VALUE(TRIM(MAIN!F912)), ""))</f>
        <v/>
      </c>
      <c r="G912">
        <f>IF(ISBLANK(MAIN!G912), 0, IF(ISNUMBER(VALUE(TRIM(MAIN!G912))), VALUE(TRIM(MAIN!G912)), 0))</f>
        <v>0</v>
      </c>
      <c r="H912">
        <f>IF(ISBLANK(MAIN!H912), 0, IF(ISNUMBER(VALUE(TRIM(MAIN!H912))), VALUE(TRIM(MAIN!H912)), 0))</f>
        <v>0</v>
      </c>
      <c r="I912">
        <f>IF(ISBLANK(MAIN!I912), 0, IF(ISNUMBER(VALUE(TRIM(MAIN!I912))), VALUE(TRIM(MAIN!I912)), 0))</f>
        <v>0</v>
      </c>
      <c r="J912">
        <f>IF(ISBLANK(MAIN!J912), 0, IF(ISNUMBER(VALUE(TRIM(MAIN!J912))), VALUE(TRIM(MAIN!J912)), 0))</f>
        <v>0</v>
      </c>
      <c r="K912" cm="1">
        <f t="array" ref="K912">IFERROR(
    VALUE(
        IFERROR(
            UPPER(
                IF(MAX(IFERROR(SEARCH("WD",MAIN!G912:J912), 0))&gt;0, "WD",
                IF(MAX(IFERROR(SEARCH("NS",MAIN!G912:J912), 0))&gt;0, "NS",
                IF(MAX(IFERROR(SEARCH("NC",MAIN!G912:J912), 0))&gt;0, "NC",
                IF(MAX(IFERROR(SEARCH("DQ",MAIN!G912:J912), 0))&gt;0, "DQ",
                IF(ISNUMBER(SEARCH("WD",MAIN!K912)), "WD",
                IF(ISNUMBER(SEARCH("NS",MAIN!K912)), "NS",
                IF(ISNUMBER(SEARCH("NC",MAIN!K912)), "NC",
                IF(ISNUMBER(SEARCH("DQ",MAIN!K912)), "DQ",
                IF(ISNUMBER(SEARCH("A",MAIN!K912)), 0,
                IF(OR(MAIN!K912=0,MAIN!K912=""), 0, --TRIM(MAIN!K912)))))))))))),
            0
        )
    ),
    IFERROR(
        UPPER(
            IF(MAX(IFERROR(SEARCH("WD",MAIN!G912:J912), 0))&gt;0, "WD",
            IF(MAX(IFERROR(SEARCH("NS",MAIN!G912:J912), 0))&gt;0, "NS",
            IF(MAX(IFERROR(SEARCH("NC",MAIN!G912:J912), 0))&gt;0, "NC",
            IF(MAX(IFERROR(SEARCH("DQ",MAIN!G912:J912), 0))&gt;0, "DQ",
            IF(ISNUMBER(SEARCH("WD",MAIN!K912)), "WD",
            IF(ISNUMBER(SEARCH("NS",MAIN!K912)), "NS",
            IF(ISNUMBER(SEARCH("NC",MAIN!K912)), "NC",
            IF(ISNUMBER(SEARCH("DQ",MAIN!K912)), "DQ",
            IF(ISNUMBER(SEARCH("A",MAIN!K912)), 0,
            IF(OR(MAIN!K912=0,MAIN!K912=""), 0, --TRIM(MAIN!K912)))))))))))),
        0
    )
)</f>
        <v>0</v>
      </c>
    </row>
    <row r="913" spans="1:11" x14ac:dyDescent="0.25">
      <c r="A913" t="str">
        <f>IF(ISBLANK(MAIN!A913), "--", IFERROR(PROPER(SUBSTITUTE(SUBSTITUTE(SUBSTITUTE(SUBSTITUTE(SUBSTITUTE(SUBSTITUTE(SUBSTITUTE(SUBSTITUTE(SUBSTITUTE(SUBSTITUTE(LEFT(MAIN!A913, FIND(",",MAIN!A913) -1), "0", ""), "1", ""), "2", ""), "3", ""), "4", ""), "5", ""), "6", ""), "7", ""), "8", ""), "9", "")), PROPER(SUBSTITUTE(SUBSTITUTE(SUBSTITUTE(SUBSTITUTE(SUBSTITUTE(SUBSTITUTE(SUBSTITUTE(SUBSTITUTE(SUBSTITUTE(SUBSTITUTE(MAIN!A913, "0", ""), "1", ""), "2", ""), "3", ""), "4", ""), "5", ""), "6", ""), "7", ""), "8", ""), "9", ""))))</f>
        <v>--</v>
      </c>
      <c r="B913" t="str">
        <f>IF(ISBLANK(MAIN!B913), "--", IFERROR(PROPER(SUBSTITUTE(SUBSTITUTE(SUBSTITUTE(SUBSTITUTE(SUBSTITUTE(SUBSTITUTE(SUBSTITUTE(SUBSTITUTE(SUBSTITUTE(SUBSTITUTE(LEFT(MAIN!B913, FIND(",",MAIN!B913) -1), "0", ""), "1", ""), "2", ""), "3", ""), "4", ""), "5", ""), "6", ""), "7", ""), "8", ""), "9", "")), PROPER(SUBSTITUTE(SUBSTITUTE(SUBSTITUTE(SUBSTITUTE(SUBSTITUTE(SUBSTITUTE(SUBSTITUTE(SUBSTITUTE(SUBSTITUTE(SUBSTITUTE(MAIN!B913, "0", ""), "1", ""), "2", ""), "3", ""), "4", ""), "5", ""), "6", ""), "7", ""), "8", ""), "9", ""))))</f>
        <v>--</v>
      </c>
      <c r="C913" t="str">
        <f>IF(ISBLANK(MAIN!C913), "--", IFERROR(PROPER(SUBSTITUTE(SUBSTITUTE(SUBSTITUTE(SUBSTITUTE(SUBSTITUTE(SUBSTITUTE(SUBSTITUTE(SUBSTITUTE(SUBSTITUTE(SUBSTITUTE(LEFT(MAIN!C913, FIND(",",MAIN!C913) -1), "0", ""), "1", ""), "2", ""), "3", ""), "4", ""), "5", ""), "6", ""), "7", ""), "8", ""), "9", "")), PROPER(SUBSTITUTE(SUBSTITUTE(SUBSTITUTE(SUBSTITUTE(SUBSTITUTE(SUBSTITUTE(SUBSTITUTE(SUBSTITUTE(SUBSTITUTE(SUBSTITUTE(MAIN!C913, "0", ""), "1", ""), "2", ""), "3", ""), "4", ""), "5", ""), "6", ""), "7", ""), "8", ""), "9", ""))))</f>
        <v>--</v>
      </c>
      <c r="D913" t="str">
        <f>IF(ISBLANK(MAIN!D913), "--", IF(ISNUMBER(MATCH(SUBSTITUTE(LEFT(MAIN!D913, IFERROR(FIND(",", MAIN!D913)-1, LEN(MAIN!D913))), " ", ""), lookup_values!$B$2:$B$51, 0)), UPPER(SUBSTITUTE(LEFT(MAIN!D913, IFERROR(FIND(",", MAIN!D913)-1, LEN(MAIN!D913))), " ", "")), IF(ISNA(VLOOKUP(SUBSTITUTE(LEFT(MAIN!D913, IFERROR(FIND(",", MAIN!D913)-1, LEN(MAIN!D913))), " ", ""), lookup_values!$A$2:$B$51, 2, FALSE)), "--", VLOOKUP(SUBSTITUTE(LEFT(MAIN!D913, IFERROR(FIND(",", MAIN!D913)-1, LEN(MAIN!D913))), " ", ""), lookup_values!$A$2:$B$51, 2, FALSE))))</f>
        <v>--</v>
      </c>
      <c r="E913" t="str">
        <f>IF(CLEAN_DATA!D913&lt;&gt;"--","US",IF(ISBLANK(MAIN!E913), "--", IF(ISNUMBER(MATCH(SUBSTITUTE(LEFT(MAIN!E913, IFERROR(FIND(",", MAIN!E913)-1, LEN(MAIN!E913))), " ", ""), lookup_values!$E$2:$E$197, 0)), UPPER(SUBSTITUTE(LEFT(MAIN!E913, IFERROR(FIND(",", MAIN!E913)-1, LEN(MAIN!E913))), " ", "")), IF(ISNA(VLOOKUP(SUBSTITUTE(LEFT(MAIN!E913, IFERROR(FIND(",", MAIN!E913)-1, LEN(MAIN!E913))), " ", ""), lookup_values!$D$2:$E$197, 2, FALSE)), "--", VLOOKUP(SUBSTITUTE(LEFT(MAIN!E913, IFERROR(FIND(",", MAIN!E913)-1, LEN(MAIN!E913))), " ", ""), lookup_values!$D$2:$E$197, 2, FALSE)))))</f>
        <v>--</v>
      </c>
      <c r="F913" t="str">
        <f>IF(ISBLANK(MAIN!F913), "", IF(AND(ISNUMBER(VALUE(TRIM(MAIN!F913))), LEN(TRIM(MAIN!F913))=4), VALUE(TRIM(MAIN!F913)), ""))</f>
        <v/>
      </c>
      <c r="G913">
        <f>IF(ISBLANK(MAIN!G913), 0, IF(ISNUMBER(VALUE(TRIM(MAIN!G913))), VALUE(TRIM(MAIN!G913)), 0))</f>
        <v>0</v>
      </c>
      <c r="H913">
        <f>IF(ISBLANK(MAIN!H913), 0, IF(ISNUMBER(VALUE(TRIM(MAIN!H913))), VALUE(TRIM(MAIN!H913)), 0))</f>
        <v>0</v>
      </c>
      <c r="I913">
        <f>IF(ISBLANK(MAIN!I913), 0, IF(ISNUMBER(VALUE(TRIM(MAIN!I913))), VALUE(TRIM(MAIN!I913)), 0))</f>
        <v>0</v>
      </c>
      <c r="J913">
        <f>IF(ISBLANK(MAIN!J913), 0, IF(ISNUMBER(VALUE(TRIM(MAIN!J913))), VALUE(TRIM(MAIN!J913)), 0))</f>
        <v>0</v>
      </c>
      <c r="K913" cm="1">
        <f t="array" ref="K913">IFERROR(
    VALUE(
        IFERROR(
            UPPER(
                IF(MAX(IFERROR(SEARCH("WD",MAIN!G913:J913), 0))&gt;0, "WD",
                IF(MAX(IFERROR(SEARCH("NS",MAIN!G913:J913), 0))&gt;0, "NS",
                IF(MAX(IFERROR(SEARCH("NC",MAIN!G913:J913), 0))&gt;0, "NC",
                IF(MAX(IFERROR(SEARCH("DQ",MAIN!G913:J913), 0))&gt;0, "DQ",
                IF(ISNUMBER(SEARCH("WD",MAIN!K913)), "WD",
                IF(ISNUMBER(SEARCH("NS",MAIN!K913)), "NS",
                IF(ISNUMBER(SEARCH("NC",MAIN!K913)), "NC",
                IF(ISNUMBER(SEARCH("DQ",MAIN!K913)), "DQ",
                IF(ISNUMBER(SEARCH("A",MAIN!K913)), 0,
                IF(OR(MAIN!K913=0,MAIN!K913=""), 0, --TRIM(MAIN!K913)))))))))))),
            0
        )
    ),
    IFERROR(
        UPPER(
            IF(MAX(IFERROR(SEARCH("WD",MAIN!G913:J913), 0))&gt;0, "WD",
            IF(MAX(IFERROR(SEARCH("NS",MAIN!G913:J913), 0))&gt;0, "NS",
            IF(MAX(IFERROR(SEARCH("NC",MAIN!G913:J913), 0))&gt;0, "NC",
            IF(MAX(IFERROR(SEARCH("DQ",MAIN!G913:J913), 0))&gt;0, "DQ",
            IF(ISNUMBER(SEARCH("WD",MAIN!K913)), "WD",
            IF(ISNUMBER(SEARCH("NS",MAIN!K913)), "NS",
            IF(ISNUMBER(SEARCH("NC",MAIN!K913)), "NC",
            IF(ISNUMBER(SEARCH("DQ",MAIN!K913)), "DQ",
            IF(ISNUMBER(SEARCH("A",MAIN!K913)), 0,
            IF(OR(MAIN!K913=0,MAIN!K913=""), 0, --TRIM(MAIN!K913)))))))))))),
        0
    )
)</f>
        <v>0</v>
      </c>
    </row>
    <row r="914" spans="1:11" x14ac:dyDescent="0.25">
      <c r="A914" t="str">
        <f>IF(ISBLANK(MAIN!A914), "--", IFERROR(PROPER(SUBSTITUTE(SUBSTITUTE(SUBSTITUTE(SUBSTITUTE(SUBSTITUTE(SUBSTITUTE(SUBSTITUTE(SUBSTITUTE(SUBSTITUTE(SUBSTITUTE(LEFT(MAIN!A914, FIND(",",MAIN!A914) -1), "0", ""), "1", ""), "2", ""), "3", ""), "4", ""), "5", ""), "6", ""), "7", ""), "8", ""), "9", "")), PROPER(SUBSTITUTE(SUBSTITUTE(SUBSTITUTE(SUBSTITUTE(SUBSTITUTE(SUBSTITUTE(SUBSTITUTE(SUBSTITUTE(SUBSTITUTE(SUBSTITUTE(MAIN!A914, "0", ""), "1", ""), "2", ""), "3", ""), "4", ""), "5", ""), "6", ""), "7", ""), "8", ""), "9", ""))))</f>
        <v>--</v>
      </c>
      <c r="B914" t="str">
        <f>IF(ISBLANK(MAIN!B914), "--", IFERROR(PROPER(SUBSTITUTE(SUBSTITUTE(SUBSTITUTE(SUBSTITUTE(SUBSTITUTE(SUBSTITUTE(SUBSTITUTE(SUBSTITUTE(SUBSTITUTE(SUBSTITUTE(LEFT(MAIN!B914, FIND(",",MAIN!B914) -1), "0", ""), "1", ""), "2", ""), "3", ""), "4", ""), "5", ""), "6", ""), "7", ""), "8", ""), "9", "")), PROPER(SUBSTITUTE(SUBSTITUTE(SUBSTITUTE(SUBSTITUTE(SUBSTITUTE(SUBSTITUTE(SUBSTITUTE(SUBSTITUTE(SUBSTITUTE(SUBSTITUTE(MAIN!B914, "0", ""), "1", ""), "2", ""), "3", ""), "4", ""), "5", ""), "6", ""), "7", ""), "8", ""), "9", ""))))</f>
        <v>--</v>
      </c>
      <c r="C914" t="str">
        <f>IF(ISBLANK(MAIN!C914), "--", IFERROR(PROPER(SUBSTITUTE(SUBSTITUTE(SUBSTITUTE(SUBSTITUTE(SUBSTITUTE(SUBSTITUTE(SUBSTITUTE(SUBSTITUTE(SUBSTITUTE(SUBSTITUTE(LEFT(MAIN!C914, FIND(",",MAIN!C914) -1), "0", ""), "1", ""), "2", ""), "3", ""), "4", ""), "5", ""), "6", ""), "7", ""), "8", ""), "9", "")), PROPER(SUBSTITUTE(SUBSTITUTE(SUBSTITUTE(SUBSTITUTE(SUBSTITUTE(SUBSTITUTE(SUBSTITUTE(SUBSTITUTE(SUBSTITUTE(SUBSTITUTE(MAIN!C914, "0", ""), "1", ""), "2", ""), "3", ""), "4", ""), "5", ""), "6", ""), "7", ""), "8", ""), "9", ""))))</f>
        <v>--</v>
      </c>
      <c r="D914" t="str">
        <f>IF(ISBLANK(MAIN!D914), "--", IF(ISNUMBER(MATCH(SUBSTITUTE(LEFT(MAIN!D914, IFERROR(FIND(",", MAIN!D914)-1, LEN(MAIN!D914))), " ", ""), lookup_values!$B$2:$B$51, 0)), UPPER(SUBSTITUTE(LEFT(MAIN!D914, IFERROR(FIND(",", MAIN!D914)-1, LEN(MAIN!D914))), " ", "")), IF(ISNA(VLOOKUP(SUBSTITUTE(LEFT(MAIN!D914, IFERROR(FIND(",", MAIN!D914)-1, LEN(MAIN!D914))), " ", ""), lookup_values!$A$2:$B$51, 2, FALSE)), "--", VLOOKUP(SUBSTITUTE(LEFT(MAIN!D914, IFERROR(FIND(",", MAIN!D914)-1, LEN(MAIN!D914))), " ", ""), lookup_values!$A$2:$B$51, 2, FALSE))))</f>
        <v>--</v>
      </c>
      <c r="E914" t="str">
        <f>IF(CLEAN_DATA!D914&lt;&gt;"--","US",IF(ISBLANK(MAIN!E914), "--", IF(ISNUMBER(MATCH(SUBSTITUTE(LEFT(MAIN!E914, IFERROR(FIND(",", MAIN!E914)-1, LEN(MAIN!E914))), " ", ""), lookup_values!$E$2:$E$197, 0)), UPPER(SUBSTITUTE(LEFT(MAIN!E914, IFERROR(FIND(",", MAIN!E914)-1, LEN(MAIN!E914))), " ", "")), IF(ISNA(VLOOKUP(SUBSTITUTE(LEFT(MAIN!E914, IFERROR(FIND(",", MAIN!E914)-1, LEN(MAIN!E914))), " ", ""), lookup_values!$D$2:$E$197, 2, FALSE)), "--", VLOOKUP(SUBSTITUTE(LEFT(MAIN!E914, IFERROR(FIND(",", MAIN!E914)-1, LEN(MAIN!E914))), " ", ""), lookup_values!$D$2:$E$197, 2, FALSE)))))</f>
        <v>--</v>
      </c>
      <c r="F914" t="str">
        <f>IF(ISBLANK(MAIN!F914), "", IF(AND(ISNUMBER(VALUE(TRIM(MAIN!F914))), LEN(TRIM(MAIN!F914))=4), VALUE(TRIM(MAIN!F914)), ""))</f>
        <v/>
      </c>
      <c r="G914">
        <f>IF(ISBLANK(MAIN!G914), 0, IF(ISNUMBER(VALUE(TRIM(MAIN!G914))), VALUE(TRIM(MAIN!G914)), 0))</f>
        <v>0</v>
      </c>
      <c r="H914">
        <f>IF(ISBLANK(MAIN!H914), 0, IF(ISNUMBER(VALUE(TRIM(MAIN!H914))), VALUE(TRIM(MAIN!H914)), 0))</f>
        <v>0</v>
      </c>
      <c r="I914">
        <f>IF(ISBLANK(MAIN!I914), 0, IF(ISNUMBER(VALUE(TRIM(MAIN!I914))), VALUE(TRIM(MAIN!I914)), 0))</f>
        <v>0</v>
      </c>
      <c r="J914">
        <f>IF(ISBLANK(MAIN!J914), 0, IF(ISNUMBER(VALUE(TRIM(MAIN!J914))), VALUE(TRIM(MAIN!J914)), 0))</f>
        <v>0</v>
      </c>
      <c r="K914" cm="1">
        <f t="array" ref="K914">IFERROR(
    VALUE(
        IFERROR(
            UPPER(
                IF(MAX(IFERROR(SEARCH("WD",MAIN!G914:J914), 0))&gt;0, "WD",
                IF(MAX(IFERROR(SEARCH("NS",MAIN!G914:J914), 0))&gt;0, "NS",
                IF(MAX(IFERROR(SEARCH("NC",MAIN!G914:J914), 0))&gt;0, "NC",
                IF(MAX(IFERROR(SEARCH("DQ",MAIN!G914:J914), 0))&gt;0, "DQ",
                IF(ISNUMBER(SEARCH("WD",MAIN!K914)), "WD",
                IF(ISNUMBER(SEARCH("NS",MAIN!K914)), "NS",
                IF(ISNUMBER(SEARCH("NC",MAIN!K914)), "NC",
                IF(ISNUMBER(SEARCH("DQ",MAIN!K914)), "DQ",
                IF(ISNUMBER(SEARCH("A",MAIN!K914)), 0,
                IF(OR(MAIN!K914=0,MAIN!K914=""), 0, --TRIM(MAIN!K914)))))))))))),
            0
        )
    ),
    IFERROR(
        UPPER(
            IF(MAX(IFERROR(SEARCH("WD",MAIN!G914:J914), 0))&gt;0, "WD",
            IF(MAX(IFERROR(SEARCH("NS",MAIN!G914:J914), 0))&gt;0, "NS",
            IF(MAX(IFERROR(SEARCH("NC",MAIN!G914:J914), 0))&gt;0, "NC",
            IF(MAX(IFERROR(SEARCH("DQ",MAIN!G914:J914), 0))&gt;0, "DQ",
            IF(ISNUMBER(SEARCH("WD",MAIN!K914)), "WD",
            IF(ISNUMBER(SEARCH("NS",MAIN!K914)), "NS",
            IF(ISNUMBER(SEARCH("NC",MAIN!K914)), "NC",
            IF(ISNUMBER(SEARCH("DQ",MAIN!K914)), "DQ",
            IF(ISNUMBER(SEARCH("A",MAIN!K914)), 0,
            IF(OR(MAIN!K914=0,MAIN!K914=""), 0, --TRIM(MAIN!K914)))))))))))),
        0
    )
)</f>
        <v>0</v>
      </c>
    </row>
    <row r="915" spans="1:11" x14ac:dyDescent="0.25">
      <c r="A915" t="str">
        <f>IF(ISBLANK(MAIN!A915), "--", IFERROR(PROPER(SUBSTITUTE(SUBSTITUTE(SUBSTITUTE(SUBSTITUTE(SUBSTITUTE(SUBSTITUTE(SUBSTITUTE(SUBSTITUTE(SUBSTITUTE(SUBSTITUTE(LEFT(MAIN!A915, FIND(",",MAIN!A915) -1), "0", ""), "1", ""), "2", ""), "3", ""), "4", ""), "5", ""), "6", ""), "7", ""), "8", ""), "9", "")), PROPER(SUBSTITUTE(SUBSTITUTE(SUBSTITUTE(SUBSTITUTE(SUBSTITUTE(SUBSTITUTE(SUBSTITUTE(SUBSTITUTE(SUBSTITUTE(SUBSTITUTE(MAIN!A915, "0", ""), "1", ""), "2", ""), "3", ""), "4", ""), "5", ""), "6", ""), "7", ""), "8", ""), "9", ""))))</f>
        <v>--</v>
      </c>
      <c r="B915" t="str">
        <f>IF(ISBLANK(MAIN!B915), "--", IFERROR(PROPER(SUBSTITUTE(SUBSTITUTE(SUBSTITUTE(SUBSTITUTE(SUBSTITUTE(SUBSTITUTE(SUBSTITUTE(SUBSTITUTE(SUBSTITUTE(SUBSTITUTE(LEFT(MAIN!B915, FIND(",",MAIN!B915) -1), "0", ""), "1", ""), "2", ""), "3", ""), "4", ""), "5", ""), "6", ""), "7", ""), "8", ""), "9", "")), PROPER(SUBSTITUTE(SUBSTITUTE(SUBSTITUTE(SUBSTITUTE(SUBSTITUTE(SUBSTITUTE(SUBSTITUTE(SUBSTITUTE(SUBSTITUTE(SUBSTITUTE(MAIN!B915, "0", ""), "1", ""), "2", ""), "3", ""), "4", ""), "5", ""), "6", ""), "7", ""), "8", ""), "9", ""))))</f>
        <v>--</v>
      </c>
      <c r="C915" t="str">
        <f>IF(ISBLANK(MAIN!C915), "--", IFERROR(PROPER(SUBSTITUTE(SUBSTITUTE(SUBSTITUTE(SUBSTITUTE(SUBSTITUTE(SUBSTITUTE(SUBSTITUTE(SUBSTITUTE(SUBSTITUTE(SUBSTITUTE(LEFT(MAIN!C915, FIND(",",MAIN!C915) -1), "0", ""), "1", ""), "2", ""), "3", ""), "4", ""), "5", ""), "6", ""), "7", ""), "8", ""), "9", "")), PROPER(SUBSTITUTE(SUBSTITUTE(SUBSTITUTE(SUBSTITUTE(SUBSTITUTE(SUBSTITUTE(SUBSTITUTE(SUBSTITUTE(SUBSTITUTE(SUBSTITUTE(MAIN!C915, "0", ""), "1", ""), "2", ""), "3", ""), "4", ""), "5", ""), "6", ""), "7", ""), "8", ""), "9", ""))))</f>
        <v>--</v>
      </c>
      <c r="D915" t="str">
        <f>IF(ISBLANK(MAIN!D915), "--", IF(ISNUMBER(MATCH(SUBSTITUTE(LEFT(MAIN!D915, IFERROR(FIND(",", MAIN!D915)-1, LEN(MAIN!D915))), " ", ""), lookup_values!$B$2:$B$51, 0)), UPPER(SUBSTITUTE(LEFT(MAIN!D915, IFERROR(FIND(",", MAIN!D915)-1, LEN(MAIN!D915))), " ", "")), IF(ISNA(VLOOKUP(SUBSTITUTE(LEFT(MAIN!D915, IFERROR(FIND(",", MAIN!D915)-1, LEN(MAIN!D915))), " ", ""), lookup_values!$A$2:$B$51, 2, FALSE)), "--", VLOOKUP(SUBSTITUTE(LEFT(MAIN!D915, IFERROR(FIND(",", MAIN!D915)-1, LEN(MAIN!D915))), " ", ""), lookup_values!$A$2:$B$51, 2, FALSE))))</f>
        <v>--</v>
      </c>
      <c r="E915" t="str">
        <f>IF(CLEAN_DATA!D915&lt;&gt;"--","US",IF(ISBLANK(MAIN!E915), "--", IF(ISNUMBER(MATCH(SUBSTITUTE(LEFT(MAIN!E915, IFERROR(FIND(",", MAIN!E915)-1, LEN(MAIN!E915))), " ", ""), lookup_values!$E$2:$E$197, 0)), UPPER(SUBSTITUTE(LEFT(MAIN!E915, IFERROR(FIND(",", MAIN!E915)-1, LEN(MAIN!E915))), " ", "")), IF(ISNA(VLOOKUP(SUBSTITUTE(LEFT(MAIN!E915, IFERROR(FIND(",", MAIN!E915)-1, LEN(MAIN!E915))), " ", ""), lookup_values!$D$2:$E$197, 2, FALSE)), "--", VLOOKUP(SUBSTITUTE(LEFT(MAIN!E915, IFERROR(FIND(",", MAIN!E915)-1, LEN(MAIN!E915))), " ", ""), lookup_values!$D$2:$E$197, 2, FALSE)))))</f>
        <v>--</v>
      </c>
      <c r="F915" t="str">
        <f>IF(ISBLANK(MAIN!F915), "", IF(AND(ISNUMBER(VALUE(TRIM(MAIN!F915))), LEN(TRIM(MAIN!F915))=4), VALUE(TRIM(MAIN!F915)), ""))</f>
        <v/>
      </c>
      <c r="G915">
        <f>IF(ISBLANK(MAIN!G915), 0, IF(ISNUMBER(VALUE(TRIM(MAIN!G915))), VALUE(TRIM(MAIN!G915)), 0))</f>
        <v>0</v>
      </c>
      <c r="H915">
        <f>IF(ISBLANK(MAIN!H915), 0, IF(ISNUMBER(VALUE(TRIM(MAIN!H915))), VALUE(TRIM(MAIN!H915)), 0))</f>
        <v>0</v>
      </c>
      <c r="I915">
        <f>IF(ISBLANK(MAIN!I915), 0, IF(ISNUMBER(VALUE(TRIM(MAIN!I915))), VALUE(TRIM(MAIN!I915)), 0))</f>
        <v>0</v>
      </c>
      <c r="J915">
        <f>IF(ISBLANK(MAIN!J915), 0, IF(ISNUMBER(VALUE(TRIM(MAIN!J915))), VALUE(TRIM(MAIN!J915)), 0))</f>
        <v>0</v>
      </c>
      <c r="K915" cm="1">
        <f t="array" ref="K915">IFERROR(
    VALUE(
        IFERROR(
            UPPER(
                IF(MAX(IFERROR(SEARCH("WD",MAIN!G915:J915), 0))&gt;0, "WD",
                IF(MAX(IFERROR(SEARCH("NS",MAIN!G915:J915), 0))&gt;0, "NS",
                IF(MAX(IFERROR(SEARCH("NC",MAIN!G915:J915), 0))&gt;0, "NC",
                IF(MAX(IFERROR(SEARCH("DQ",MAIN!G915:J915), 0))&gt;0, "DQ",
                IF(ISNUMBER(SEARCH("WD",MAIN!K915)), "WD",
                IF(ISNUMBER(SEARCH("NS",MAIN!K915)), "NS",
                IF(ISNUMBER(SEARCH("NC",MAIN!K915)), "NC",
                IF(ISNUMBER(SEARCH("DQ",MAIN!K915)), "DQ",
                IF(ISNUMBER(SEARCH("A",MAIN!K915)), 0,
                IF(OR(MAIN!K915=0,MAIN!K915=""), 0, --TRIM(MAIN!K915)))))))))))),
            0
        )
    ),
    IFERROR(
        UPPER(
            IF(MAX(IFERROR(SEARCH("WD",MAIN!G915:J915), 0))&gt;0, "WD",
            IF(MAX(IFERROR(SEARCH("NS",MAIN!G915:J915), 0))&gt;0, "NS",
            IF(MAX(IFERROR(SEARCH("NC",MAIN!G915:J915), 0))&gt;0, "NC",
            IF(MAX(IFERROR(SEARCH("DQ",MAIN!G915:J915), 0))&gt;0, "DQ",
            IF(ISNUMBER(SEARCH("WD",MAIN!K915)), "WD",
            IF(ISNUMBER(SEARCH("NS",MAIN!K915)), "NS",
            IF(ISNUMBER(SEARCH("NC",MAIN!K915)), "NC",
            IF(ISNUMBER(SEARCH("DQ",MAIN!K915)), "DQ",
            IF(ISNUMBER(SEARCH("A",MAIN!K915)), 0,
            IF(OR(MAIN!K915=0,MAIN!K915=""), 0, --TRIM(MAIN!K915)))))))))))),
        0
    )
)</f>
        <v>0</v>
      </c>
    </row>
    <row r="916" spans="1:11" x14ac:dyDescent="0.25">
      <c r="A916" t="str">
        <f>IF(ISBLANK(MAIN!A916), "--", IFERROR(PROPER(SUBSTITUTE(SUBSTITUTE(SUBSTITUTE(SUBSTITUTE(SUBSTITUTE(SUBSTITUTE(SUBSTITUTE(SUBSTITUTE(SUBSTITUTE(SUBSTITUTE(LEFT(MAIN!A916, FIND(",",MAIN!A916) -1), "0", ""), "1", ""), "2", ""), "3", ""), "4", ""), "5", ""), "6", ""), "7", ""), "8", ""), "9", "")), PROPER(SUBSTITUTE(SUBSTITUTE(SUBSTITUTE(SUBSTITUTE(SUBSTITUTE(SUBSTITUTE(SUBSTITUTE(SUBSTITUTE(SUBSTITUTE(SUBSTITUTE(MAIN!A916, "0", ""), "1", ""), "2", ""), "3", ""), "4", ""), "5", ""), "6", ""), "7", ""), "8", ""), "9", ""))))</f>
        <v>--</v>
      </c>
      <c r="B916" t="str">
        <f>IF(ISBLANK(MAIN!B916), "--", IFERROR(PROPER(SUBSTITUTE(SUBSTITUTE(SUBSTITUTE(SUBSTITUTE(SUBSTITUTE(SUBSTITUTE(SUBSTITUTE(SUBSTITUTE(SUBSTITUTE(SUBSTITUTE(LEFT(MAIN!B916, FIND(",",MAIN!B916) -1), "0", ""), "1", ""), "2", ""), "3", ""), "4", ""), "5", ""), "6", ""), "7", ""), "8", ""), "9", "")), PROPER(SUBSTITUTE(SUBSTITUTE(SUBSTITUTE(SUBSTITUTE(SUBSTITUTE(SUBSTITUTE(SUBSTITUTE(SUBSTITUTE(SUBSTITUTE(SUBSTITUTE(MAIN!B916, "0", ""), "1", ""), "2", ""), "3", ""), "4", ""), "5", ""), "6", ""), "7", ""), "8", ""), "9", ""))))</f>
        <v>--</v>
      </c>
      <c r="C916" t="str">
        <f>IF(ISBLANK(MAIN!C916), "--", IFERROR(PROPER(SUBSTITUTE(SUBSTITUTE(SUBSTITUTE(SUBSTITUTE(SUBSTITUTE(SUBSTITUTE(SUBSTITUTE(SUBSTITUTE(SUBSTITUTE(SUBSTITUTE(LEFT(MAIN!C916, FIND(",",MAIN!C916) -1), "0", ""), "1", ""), "2", ""), "3", ""), "4", ""), "5", ""), "6", ""), "7", ""), "8", ""), "9", "")), PROPER(SUBSTITUTE(SUBSTITUTE(SUBSTITUTE(SUBSTITUTE(SUBSTITUTE(SUBSTITUTE(SUBSTITUTE(SUBSTITUTE(SUBSTITUTE(SUBSTITUTE(MAIN!C916, "0", ""), "1", ""), "2", ""), "3", ""), "4", ""), "5", ""), "6", ""), "7", ""), "8", ""), "9", ""))))</f>
        <v>--</v>
      </c>
      <c r="D916" t="str">
        <f>IF(ISBLANK(MAIN!D916), "--", IF(ISNUMBER(MATCH(SUBSTITUTE(LEFT(MAIN!D916, IFERROR(FIND(",", MAIN!D916)-1, LEN(MAIN!D916))), " ", ""), lookup_values!$B$2:$B$51, 0)), UPPER(SUBSTITUTE(LEFT(MAIN!D916, IFERROR(FIND(",", MAIN!D916)-1, LEN(MAIN!D916))), " ", "")), IF(ISNA(VLOOKUP(SUBSTITUTE(LEFT(MAIN!D916, IFERROR(FIND(",", MAIN!D916)-1, LEN(MAIN!D916))), " ", ""), lookup_values!$A$2:$B$51, 2, FALSE)), "--", VLOOKUP(SUBSTITUTE(LEFT(MAIN!D916, IFERROR(FIND(",", MAIN!D916)-1, LEN(MAIN!D916))), " ", ""), lookup_values!$A$2:$B$51, 2, FALSE))))</f>
        <v>--</v>
      </c>
      <c r="E916" t="str">
        <f>IF(CLEAN_DATA!D916&lt;&gt;"--","US",IF(ISBLANK(MAIN!E916), "--", IF(ISNUMBER(MATCH(SUBSTITUTE(LEFT(MAIN!E916, IFERROR(FIND(",", MAIN!E916)-1, LEN(MAIN!E916))), " ", ""), lookup_values!$E$2:$E$197, 0)), UPPER(SUBSTITUTE(LEFT(MAIN!E916, IFERROR(FIND(",", MAIN!E916)-1, LEN(MAIN!E916))), " ", "")), IF(ISNA(VLOOKUP(SUBSTITUTE(LEFT(MAIN!E916, IFERROR(FIND(",", MAIN!E916)-1, LEN(MAIN!E916))), " ", ""), lookup_values!$D$2:$E$197, 2, FALSE)), "--", VLOOKUP(SUBSTITUTE(LEFT(MAIN!E916, IFERROR(FIND(",", MAIN!E916)-1, LEN(MAIN!E916))), " ", ""), lookup_values!$D$2:$E$197, 2, FALSE)))))</f>
        <v>--</v>
      </c>
      <c r="F916" t="str">
        <f>IF(ISBLANK(MAIN!F916), "", IF(AND(ISNUMBER(VALUE(TRIM(MAIN!F916))), LEN(TRIM(MAIN!F916))=4), VALUE(TRIM(MAIN!F916)), ""))</f>
        <v/>
      </c>
      <c r="G916">
        <f>IF(ISBLANK(MAIN!G916), 0, IF(ISNUMBER(VALUE(TRIM(MAIN!G916))), VALUE(TRIM(MAIN!G916)), 0))</f>
        <v>0</v>
      </c>
      <c r="H916">
        <f>IF(ISBLANK(MAIN!H916), 0, IF(ISNUMBER(VALUE(TRIM(MAIN!H916))), VALUE(TRIM(MAIN!H916)), 0))</f>
        <v>0</v>
      </c>
      <c r="I916">
        <f>IF(ISBLANK(MAIN!I916), 0, IF(ISNUMBER(VALUE(TRIM(MAIN!I916))), VALUE(TRIM(MAIN!I916)), 0))</f>
        <v>0</v>
      </c>
      <c r="J916">
        <f>IF(ISBLANK(MAIN!J916), 0, IF(ISNUMBER(VALUE(TRIM(MAIN!J916))), VALUE(TRIM(MAIN!J916)), 0))</f>
        <v>0</v>
      </c>
      <c r="K916" cm="1">
        <f t="array" ref="K916">IFERROR(
    VALUE(
        IFERROR(
            UPPER(
                IF(MAX(IFERROR(SEARCH("WD",MAIN!G916:J916), 0))&gt;0, "WD",
                IF(MAX(IFERROR(SEARCH("NS",MAIN!G916:J916), 0))&gt;0, "NS",
                IF(MAX(IFERROR(SEARCH("NC",MAIN!G916:J916), 0))&gt;0, "NC",
                IF(MAX(IFERROR(SEARCH("DQ",MAIN!G916:J916), 0))&gt;0, "DQ",
                IF(ISNUMBER(SEARCH("WD",MAIN!K916)), "WD",
                IF(ISNUMBER(SEARCH("NS",MAIN!K916)), "NS",
                IF(ISNUMBER(SEARCH("NC",MAIN!K916)), "NC",
                IF(ISNUMBER(SEARCH("DQ",MAIN!K916)), "DQ",
                IF(ISNUMBER(SEARCH("A",MAIN!K916)), 0,
                IF(OR(MAIN!K916=0,MAIN!K916=""), 0, --TRIM(MAIN!K916)))))))))))),
            0
        )
    ),
    IFERROR(
        UPPER(
            IF(MAX(IFERROR(SEARCH("WD",MAIN!G916:J916), 0))&gt;0, "WD",
            IF(MAX(IFERROR(SEARCH("NS",MAIN!G916:J916), 0))&gt;0, "NS",
            IF(MAX(IFERROR(SEARCH("NC",MAIN!G916:J916), 0))&gt;0, "NC",
            IF(MAX(IFERROR(SEARCH("DQ",MAIN!G916:J916), 0))&gt;0, "DQ",
            IF(ISNUMBER(SEARCH("WD",MAIN!K916)), "WD",
            IF(ISNUMBER(SEARCH("NS",MAIN!K916)), "NS",
            IF(ISNUMBER(SEARCH("NC",MAIN!K916)), "NC",
            IF(ISNUMBER(SEARCH("DQ",MAIN!K916)), "DQ",
            IF(ISNUMBER(SEARCH("A",MAIN!K916)), 0,
            IF(OR(MAIN!K916=0,MAIN!K916=""), 0, --TRIM(MAIN!K916)))))))))))),
        0
    )
)</f>
        <v>0</v>
      </c>
    </row>
    <row r="917" spans="1:11" x14ac:dyDescent="0.25">
      <c r="A917" t="str">
        <f>IF(ISBLANK(MAIN!A917), "--", IFERROR(PROPER(SUBSTITUTE(SUBSTITUTE(SUBSTITUTE(SUBSTITUTE(SUBSTITUTE(SUBSTITUTE(SUBSTITUTE(SUBSTITUTE(SUBSTITUTE(SUBSTITUTE(LEFT(MAIN!A917, FIND(",",MAIN!A917) -1), "0", ""), "1", ""), "2", ""), "3", ""), "4", ""), "5", ""), "6", ""), "7", ""), "8", ""), "9", "")), PROPER(SUBSTITUTE(SUBSTITUTE(SUBSTITUTE(SUBSTITUTE(SUBSTITUTE(SUBSTITUTE(SUBSTITUTE(SUBSTITUTE(SUBSTITUTE(SUBSTITUTE(MAIN!A917, "0", ""), "1", ""), "2", ""), "3", ""), "4", ""), "5", ""), "6", ""), "7", ""), "8", ""), "9", ""))))</f>
        <v>--</v>
      </c>
      <c r="B917" t="str">
        <f>IF(ISBLANK(MAIN!B917), "--", IFERROR(PROPER(SUBSTITUTE(SUBSTITUTE(SUBSTITUTE(SUBSTITUTE(SUBSTITUTE(SUBSTITUTE(SUBSTITUTE(SUBSTITUTE(SUBSTITUTE(SUBSTITUTE(LEFT(MAIN!B917, FIND(",",MAIN!B917) -1), "0", ""), "1", ""), "2", ""), "3", ""), "4", ""), "5", ""), "6", ""), "7", ""), "8", ""), "9", "")), PROPER(SUBSTITUTE(SUBSTITUTE(SUBSTITUTE(SUBSTITUTE(SUBSTITUTE(SUBSTITUTE(SUBSTITUTE(SUBSTITUTE(SUBSTITUTE(SUBSTITUTE(MAIN!B917, "0", ""), "1", ""), "2", ""), "3", ""), "4", ""), "5", ""), "6", ""), "7", ""), "8", ""), "9", ""))))</f>
        <v>--</v>
      </c>
      <c r="C917" t="str">
        <f>IF(ISBLANK(MAIN!C917), "--", IFERROR(PROPER(SUBSTITUTE(SUBSTITUTE(SUBSTITUTE(SUBSTITUTE(SUBSTITUTE(SUBSTITUTE(SUBSTITUTE(SUBSTITUTE(SUBSTITUTE(SUBSTITUTE(LEFT(MAIN!C917, FIND(",",MAIN!C917) -1), "0", ""), "1", ""), "2", ""), "3", ""), "4", ""), "5", ""), "6", ""), "7", ""), "8", ""), "9", "")), PROPER(SUBSTITUTE(SUBSTITUTE(SUBSTITUTE(SUBSTITUTE(SUBSTITUTE(SUBSTITUTE(SUBSTITUTE(SUBSTITUTE(SUBSTITUTE(SUBSTITUTE(MAIN!C917, "0", ""), "1", ""), "2", ""), "3", ""), "4", ""), "5", ""), "6", ""), "7", ""), "8", ""), "9", ""))))</f>
        <v>--</v>
      </c>
      <c r="D917" t="str">
        <f>IF(ISBLANK(MAIN!D917), "--", IF(ISNUMBER(MATCH(SUBSTITUTE(LEFT(MAIN!D917, IFERROR(FIND(",", MAIN!D917)-1, LEN(MAIN!D917))), " ", ""), lookup_values!$B$2:$B$51, 0)), UPPER(SUBSTITUTE(LEFT(MAIN!D917, IFERROR(FIND(",", MAIN!D917)-1, LEN(MAIN!D917))), " ", "")), IF(ISNA(VLOOKUP(SUBSTITUTE(LEFT(MAIN!D917, IFERROR(FIND(",", MAIN!D917)-1, LEN(MAIN!D917))), " ", ""), lookup_values!$A$2:$B$51, 2, FALSE)), "--", VLOOKUP(SUBSTITUTE(LEFT(MAIN!D917, IFERROR(FIND(",", MAIN!D917)-1, LEN(MAIN!D917))), " ", ""), lookup_values!$A$2:$B$51, 2, FALSE))))</f>
        <v>--</v>
      </c>
      <c r="E917" t="str">
        <f>IF(CLEAN_DATA!D917&lt;&gt;"--","US",IF(ISBLANK(MAIN!E917), "--", IF(ISNUMBER(MATCH(SUBSTITUTE(LEFT(MAIN!E917, IFERROR(FIND(",", MAIN!E917)-1, LEN(MAIN!E917))), " ", ""), lookup_values!$E$2:$E$197, 0)), UPPER(SUBSTITUTE(LEFT(MAIN!E917, IFERROR(FIND(",", MAIN!E917)-1, LEN(MAIN!E917))), " ", "")), IF(ISNA(VLOOKUP(SUBSTITUTE(LEFT(MAIN!E917, IFERROR(FIND(",", MAIN!E917)-1, LEN(MAIN!E917))), " ", ""), lookup_values!$D$2:$E$197, 2, FALSE)), "--", VLOOKUP(SUBSTITUTE(LEFT(MAIN!E917, IFERROR(FIND(",", MAIN!E917)-1, LEN(MAIN!E917))), " ", ""), lookup_values!$D$2:$E$197, 2, FALSE)))))</f>
        <v>--</v>
      </c>
      <c r="F917" t="str">
        <f>IF(ISBLANK(MAIN!F917), "", IF(AND(ISNUMBER(VALUE(TRIM(MAIN!F917))), LEN(TRIM(MAIN!F917))=4), VALUE(TRIM(MAIN!F917)), ""))</f>
        <v/>
      </c>
      <c r="G917">
        <f>IF(ISBLANK(MAIN!G917), 0, IF(ISNUMBER(VALUE(TRIM(MAIN!G917))), VALUE(TRIM(MAIN!G917)), 0))</f>
        <v>0</v>
      </c>
      <c r="H917">
        <f>IF(ISBLANK(MAIN!H917), 0, IF(ISNUMBER(VALUE(TRIM(MAIN!H917))), VALUE(TRIM(MAIN!H917)), 0))</f>
        <v>0</v>
      </c>
      <c r="I917">
        <f>IF(ISBLANK(MAIN!I917), 0, IF(ISNUMBER(VALUE(TRIM(MAIN!I917))), VALUE(TRIM(MAIN!I917)), 0))</f>
        <v>0</v>
      </c>
      <c r="J917">
        <f>IF(ISBLANK(MAIN!J917), 0, IF(ISNUMBER(VALUE(TRIM(MAIN!J917))), VALUE(TRIM(MAIN!J917)), 0))</f>
        <v>0</v>
      </c>
      <c r="K917" cm="1">
        <f t="array" ref="K917">IFERROR(
    VALUE(
        IFERROR(
            UPPER(
                IF(MAX(IFERROR(SEARCH("WD",MAIN!G917:J917), 0))&gt;0, "WD",
                IF(MAX(IFERROR(SEARCH("NS",MAIN!G917:J917), 0))&gt;0, "NS",
                IF(MAX(IFERROR(SEARCH("NC",MAIN!G917:J917), 0))&gt;0, "NC",
                IF(MAX(IFERROR(SEARCH("DQ",MAIN!G917:J917), 0))&gt;0, "DQ",
                IF(ISNUMBER(SEARCH("WD",MAIN!K917)), "WD",
                IF(ISNUMBER(SEARCH("NS",MAIN!K917)), "NS",
                IF(ISNUMBER(SEARCH("NC",MAIN!K917)), "NC",
                IF(ISNUMBER(SEARCH("DQ",MAIN!K917)), "DQ",
                IF(ISNUMBER(SEARCH("A",MAIN!K917)), 0,
                IF(OR(MAIN!K917=0,MAIN!K917=""), 0, --TRIM(MAIN!K917)))))))))))),
            0
        )
    ),
    IFERROR(
        UPPER(
            IF(MAX(IFERROR(SEARCH("WD",MAIN!G917:J917), 0))&gt;0, "WD",
            IF(MAX(IFERROR(SEARCH("NS",MAIN!G917:J917), 0))&gt;0, "NS",
            IF(MAX(IFERROR(SEARCH("NC",MAIN!G917:J917), 0))&gt;0, "NC",
            IF(MAX(IFERROR(SEARCH("DQ",MAIN!G917:J917), 0))&gt;0, "DQ",
            IF(ISNUMBER(SEARCH("WD",MAIN!K917)), "WD",
            IF(ISNUMBER(SEARCH("NS",MAIN!K917)), "NS",
            IF(ISNUMBER(SEARCH("NC",MAIN!K917)), "NC",
            IF(ISNUMBER(SEARCH("DQ",MAIN!K917)), "DQ",
            IF(ISNUMBER(SEARCH("A",MAIN!K917)), 0,
            IF(OR(MAIN!K917=0,MAIN!K917=""), 0, --TRIM(MAIN!K917)))))))))))),
        0
    )
)</f>
        <v>0</v>
      </c>
    </row>
    <row r="918" spans="1:11" x14ac:dyDescent="0.25">
      <c r="A918" t="str">
        <f>IF(ISBLANK(MAIN!A918), "--", IFERROR(PROPER(SUBSTITUTE(SUBSTITUTE(SUBSTITUTE(SUBSTITUTE(SUBSTITUTE(SUBSTITUTE(SUBSTITUTE(SUBSTITUTE(SUBSTITUTE(SUBSTITUTE(LEFT(MAIN!A918, FIND(",",MAIN!A918) -1), "0", ""), "1", ""), "2", ""), "3", ""), "4", ""), "5", ""), "6", ""), "7", ""), "8", ""), "9", "")), PROPER(SUBSTITUTE(SUBSTITUTE(SUBSTITUTE(SUBSTITUTE(SUBSTITUTE(SUBSTITUTE(SUBSTITUTE(SUBSTITUTE(SUBSTITUTE(SUBSTITUTE(MAIN!A918, "0", ""), "1", ""), "2", ""), "3", ""), "4", ""), "5", ""), "6", ""), "7", ""), "8", ""), "9", ""))))</f>
        <v>--</v>
      </c>
      <c r="B918" t="str">
        <f>IF(ISBLANK(MAIN!B918), "--", IFERROR(PROPER(SUBSTITUTE(SUBSTITUTE(SUBSTITUTE(SUBSTITUTE(SUBSTITUTE(SUBSTITUTE(SUBSTITUTE(SUBSTITUTE(SUBSTITUTE(SUBSTITUTE(LEFT(MAIN!B918, FIND(",",MAIN!B918) -1), "0", ""), "1", ""), "2", ""), "3", ""), "4", ""), "5", ""), "6", ""), "7", ""), "8", ""), "9", "")), PROPER(SUBSTITUTE(SUBSTITUTE(SUBSTITUTE(SUBSTITUTE(SUBSTITUTE(SUBSTITUTE(SUBSTITUTE(SUBSTITUTE(SUBSTITUTE(SUBSTITUTE(MAIN!B918, "0", ""), "1", ""), "2", ""), "3", ""), "4", ""), "5", ""), "6", ""), "7", ""), "8", ""), "9", ""))))</f>
        <v>--</v>
      </c>
      <c r="C918" t="str">
        <f>IF(ISBLANK(MAIN!C918), "--", IFERROR(PROPER(SUBSTITUTE(SUBSTITUTE(SUBSTITUTE(SUBSTITUTE(SUBSTITUTE(SUBSTITUTE(SUBSTITUTE(SUBSTITUTE(SUBSTITUTE(SUBSTITUTE(LEFT(MAIN!C918, FIND(",",MAIN!C918) -1), "0", ""), "1", ""), "2", ""), "3", ""), "4", ""), "5", ""), "6", ""), "7", ""), "8", ""), "9", "")), PROPER(SUBSTITUTE(SUBSTITUTE(SUBSTITUTE(SUBSTITUTE(SUBSTITUTE(SUBSTITUTE(SUBSTITUTE(SUBSTITUTE(SUBSTITUTE(SUBSTITUTE(MAIN!C918, "0", ""), "1", ""), "2", ""), "3", ""), "4", ""), "5", ""), "6", ""), "7", ""), "8", ""), "9", ""))))</f>
        <v>--</v>
      </c>
      <c r="D918" t="str">
        <f>IF(ISBLANK(MAIN!D918), "--", IF(ISNUMBER(MATCH(SUBSTITUTE(LEFT(MAIN!D918, IFERROR(FIND(",", MAIN!D918)-1, LEN(MAIN!D918))), " ", ""), lookup_values!$B$2:$B$51, 0)), UPPER(SUBSTITUTE(LEFT(MAIN!D918, IFERROR(FIND(",", MAIN!D918)-1, LEN(MAIN!D918))), " ", "")), IF(ISNA(VLOOKUP(SUBSTITUTE(LEFT(MAIN!D918, IFERROR(FIND(",", MAIN!D918)-1, LEN(MAIN!D918))), " ", ""), lookup_values!$A$2:$B$51, 2, FALSE)), "--", VLOOKUP(SUBSTITUTE(LEFT(MAIN!D918, IFERROR(FIND(",", MAIN!D918)-1, LEN(MAIN!D918))), " ", ""), lookup_values!$A$2:$B$51, 2, FALSE))))</f>
        <v>--</v>
      </c>
      <c r="E918" t="str">
        <f>IF(CLEAN_DATA!D918&lt;&gt;"--","US",IF(ISBLANK(MAIN!E918), "--", IF(ISNUMBER(MATCH(SUBSTITUTE(LEFT(MAIN!E918, IFERROR(FIND(",", MAIN!E918)-1, LEN(MAIN!E918))), " ", ""), lookup_values!$E$2:$E$197, 0)), UPPER(SUBSTITUTE(LEFT(MAIN!E918, IFERROR(FIND(",", MAIN!E918)-1, LEN(MAIN!E918))), " ", "")), IF(ISNA(VLOOKUP(SUBSTITUTE(LEFT(MAIN!E918, IFERROR(FIND(",", MAIN!E918)-1, LEN(MAIN!E918))), " ", ""), lookup_values!$D$2:$E$197, 2, FALSE)), "--", VLOOKUP(SUBSTITUTE(LEFT(MAIN!E918, IFERROR(FIND(",", MAIN!E918)-1, LEN(MAIN!E918))), " ", ""), lookup_values!$D$2:$E$197, 2, FALSE)))))</f>
        <v>--</v>
      </c>
      <c r="F918" t="str">
        <f>IF(ISBLANK(MAIN!F918), "", IF(AND(ISNUMBER(VALUE(TRIM(MAIN!F918))), LEN(TRIM(MAIN!F918))=4), VALUE(TRIM(MAIN!F918)), ""))</f>
        <v/>
      </c>
      <c r="G918">
        <f>IF(ISBLANK(MAIN!G918), 0, IF(ISNUMBER(VALUE(TRIM(MAIN!G918))), VALUE(TRIM(MAIN!G918)), 0))</f>
        <v>0</v>
      </c>
      <c r="H918">
        <f>IF(ISBLANK(MAIN!H918), 0, IF(ISNUMBER(VALUE(TRIM(MAIN!H918))), VALUE(TRIM(MAIN!H918)), 0))</f>
        <v>0</v>
      </c>
      <c r="I918">
        <f>IF(ISBLANK(MAIN!I918), 0, IF(ISNUMBER(VALUE(TRIM(MAIN!I918))), VALUE(TRIM(MAIN!I918)), 0))</f>
        <v>0</v>
      </c>
      <c r="J918">
        <f>IF(ISBLANK(MAIN!J918), 0, IF(ISNUMBER(VALUE(TRIM(MAIN!J918))), VALUE(TRIM(MAIN!J918)), 0))</f>
        <v>0</v>
      </c>
      <c r="K918" cm="1">
        <f t="array" ref="K918">IFERROR(
    VALUE(
        IFERROR(
            UPPER(
                IF(MAX(IFERROR(SEARCH("WD",MAIN!G918:J918), 0))&gt;0, "WD",
                IF(MAX(IFERROR(SEARCH("NS",MAIN!G918:J918), 0))&gt;0, "NS",
                IF(MAX(IFERROR(SEARCH("NC",MAIN!G918:J918), 0))&gt;0, "NC",
                IF(MAX(IFERROR(SEARCH("DQ",MAIN!G918:J918), 0))&gt;0, "DQ",
                IF(ISNUMBER(SEARCH("WD",MAIN!K918)), "WD",
                IF(ISNUMBER(SEARCH("NS",MAIN!K918)), "NS",
                IF(ISNUMBER(SEARCH("NC",MAIN!K918)), "NC",
                IF(ISNUMBER(SEARCH("DQ",MAIN!K918)), "DQ",
                IF(ISNUMBER(SEARCH("A",MAIN!K918)), 0,
                IF(OR(MAIN!K918=0,MAIN!K918=""), 0, --TRIM(MAIN!K918)))))))))))),
            0
        )
    ),
    IFERROR(
        UPPER(
            IF(MAX(IFERROR(SEARCH("WD",MAIN!G918:J918), 0))&gt;0, "WD",
            IF(MAX(IFERROR(SEARCH("NS",MAIN!G918:J918), 0))&gt;0, "NS",
            IF(MAX(IFERROR(SEARCH("NC",MAIN!G918:J918), 0))&gt;0, "NC",
            IF(MAX(IFERROR(SEARCH("DQ",MAIN!G918:J918), 0))&gt;0, "DQ",
            IF(ISNUMBER(SEARCH("WD",MAIN!K918)), "WD",
            IF(ISNUMBER(SEARCH("NS",MAIN!K918)), "NS",
            IF(ISNUMBER(SEARCH("NC",MAIN!K918)), "NC",
            IF(ISNUMBER(SEARCH("DQ",MAIN!K918)), "DQ",
            IF(ISNUMBER(SEARCH("A",MAIN!K918)), 0,
            IF(OR(MAIN!K918=0,MAIN!K918=""), 0, --TRIM(MAIN!K918)))))))))))),
        0
    )
)</f>
        <v>0</v>
      </c>
    </row>
    <row r="919" spans="1:11" x14ac:dyDescent="0.25">
      <c r="A919" t="str">
        <f>IF(ISBLANK(MAIN!A919), "--", IFERROR(PROPER(SUBSTITUTE(SUBSTITUTE(SUBSTITUTE(SUBSTITUTE(SUBSTITUTE(SUBSTITUTE(SUBSTITUTE(SUBSTITUTE(SUBSTITUTE(SUBSTITUTE(LEFT(MAIN!A919, FIND(",",MAIN!A919) -1), "0", ""), "1", ""), "2", ""), "3", ""), "4", ""), "5", ""), "6", ""), "7", ""), "8", ""), "9", "")), PROPER(SUBSTITUTE(SUBSTITUTE(SUBSTITUTE(SUBSTITUTE(SUBSTITUTE(SUBSTITUTE(SUBSTITUTE(SUBSTITUTE(SUBSTITUTE(SUBSTITUTE(MAIN!A919, "0", ""), "1", ""), "2", ""), "3", ""), "4", ""), "5", ""), "6", ""), "7", ""), "8", ""), "9", ""))))</f>
        <v>--</v>
      </c>
      <c r="B919" t="str">
        <f>IF(ISBLANK(MAIN!B919), "--", IFERROR(PROPER(SUBSTITUTE(SUBSTITUTE(SUBSTITUTE(SUBSTITUTE(SUBSTITUTE(SUBSTITUTE(SUBSTITUTE(SUBSTITUTE(SUBSTITUTE(SUBSTITUTE(LEFT(MAIN!B919, FIND(",",MAIN!B919) -1), "0", ""), "1", ""), "2", ""), "3", ""), "4", ""), "5", ""), "6", ""), "7", ""), "8", ""), "9", "")), PROPER(SUBSTITUTE(SUBSTITUTE(SUBSTITUTE(SUBSTITUTE(SUBSTITUTE(SUBSTITUTE(SUBSTITUTE(SUBSTITUTE(SUBSTITUTE(SUBSTITUTE(MAIN!B919, "0", ""), "1", ""), "2", ""), "3", ""), "4", ""), "5", ""), "6", ""), "7", ""), "8", ""), "9", ""))))</f>
        <v>--</v>
      </c>
      <c r="C919" t="str">
        <f>IF(ISBLANK(MAIN!C919), "--", IFERROR(PROPER(SUBSTITUTE(SUBSTITUTE(SUBSTITUTE(SUBSTITUTE(SUBSTITUTE(SUBSTITUTE(SUBSTITUTE(SUBSTITUTE(SUBSTITUTE(SUBSTITUTE(LEFT(MAIN!C919, FIND(",",MAIN!C919) -1), "0", ""), "1", ""), "2", ""), "3", ""), "4", ""), "5", ""), "6", ""), "7", ""), "8", ""), "9", "")), PROPER(SUBSTITUTE(SUBSTITUTE(SUBSTITUTE(SUBSTITUTE(SUBSTITUTE(SUBSTITUTE(SUBSTITUTE(SUBSTITUTE(SUBSTITUTE(SUBSTITUTE(MAIN!C919, "0", ""), "1", ""), "2", ""), "3", ""), "4", ""), "5", ""), "6", ""), "7", ""), "8", ""), "9", ""))))</f>
        <v>--</v>
      </c>
      <c r="D919" t="str">
        <f>IF(ISBLANK(MAIN!D919), "--", IF(ISNUMBER(MATCH(SUBSTITUTE(LEFT(MAIN!D919, IFERROR(FIND(",", MAIN!D919)-1, LEN(MAIN!D919))), " ", ""), lookup_values!$B$2:$B$51, 0)), UPPER(SUBSTITUTE(LEFT(MAIN!D919, IFERROR(FIND(",", MAIN!D919)-1, LEN(MAIN!D919))), " ", "")), IF(ISNA(VLOOKUP(SUBSTITUTE(LEFT(MAIN!D919, IFERROR(FIND(",", MAIN!D919)-1, LEN(MAIN!D919))), " ", ""), lookup_values!$A$2:$B$51, 2, FALSE)), "--", VLOOKUP(SUBSTITUTE(LEFT(MAIN!D919, IFERROR(FIND(",", MAIN!D919)-1, LEN(MAIN!D919))), " ", ""), lookup_values!$A$2:$B$51, 2, FALSE))))</f>
        <v>--</v>
      </c>
      <c r="E919" t="str">
        <f>IF(CLEAN_DATA!D919&lt;&gt;"--","US",IF(ISBLANK(MAIN!E919), "--", IF(ISNUMBER(MATCH(SUBSTITUTE(LEFT(MAIN!E919, IFERROR(FIND(",", MAIN!E919)-1, LEN(MAIN!E919))), " ", ""), lookup_values!$E$2:$E$197, 0)), UPPER(SUBSTITUTE(LEFT(MAIN!E919, IFERROR(FIND(",", MAIN!E919)-1, LEN(MAIN!E919))), " ", "")), IF(ISNA(VLOOKUP(SUBSTITUTE(LEFT(MAIN!E919, IFERROR(FIND(",", MAIN!E919)-1, LEN(MAIN!E919))), " ", ""), lookup_values!$D$2:$E$197, 2, FALSE)), "--", VLOOKUP(SUBSTITUTE(LEFT(MAIN!E919, IFERROR(FIND(",", MAIN!E919)-1, LEN(MAIN!E919))), " ", ""), lookup_values!$D$2:$E$197, 2, FALSE)))))</f>
        <v>--</v>
      </c>
      <c r="F919" t="str">
        <f>IF(ISBLANK(MAIN!F919), "", IF(AND(ISNUMBER(VALUE(TRIM(MAIN!F919))), LEN(TRIM(MAIN!F919))=4), VALUE(TRIM(MAIN!F919)), ""))</f>
        <v/>
      </c>
      <c r="G919">
        <f>IF(ISBLANK(MAIN!G919), 0, IF(ISNUMBER(VALUE(TRIM(MAIN!G919))), VALUE(TRIM(MAIN!G919)), 0))</f>
        <v>0</v>
      </c>
      <c r="H919">
        <f>IF(ISBLANK(MAIN!H919), 0, IF(ISNUMBER(VALUE(TRIM(MAIN!H919))), VALUE(TRIM(MAIN!H919)), 0))</f>
        <v>0</v>
      </c>
      <c r="I919">
        <f>IF(ISBLANK(MAIN!I919), 0, IF(ISNUMBER(VALUE(TRIM(MAIN!I919))), VALUE(TRIM(MAIN!I919)), 0))</f>
        <v>0</v>
      </c>
      <c r="J919">
        <f>IF(ISBLANK(MAIN!J919), 0, IF(ISNUMBER(VALUE(TRIM(MAIN!J919))), VALUE(TRIM(MAIN!J919)), 0))</f>
        <v>0</v>
      </c>
      <c r="K919" cm="1">
        <f t="array" ref="K919">IFERROR(
    VALUE(
        IFERROR(
            UPPER(
                IF(MAX(IFERROR(SEARCH("WD",MAIN!G919:J919), 0))&gt;0, "WD",
                IF(MAX(IFERROR(SEARCH("NS",MAIN!G919:J919), 0))&gt;0, "NS",
                IF(MAX(IFERROR(SEARCH("NC",MAIN!G919:J919), 0))&gt;0, "NC",
                IF(MAX(IFERROR(SEARCH("DQ",MAIN!G919:J919), 0))&gt;0, "DQ",
                IF(ISNUMBER(SEARCH("WD",MAIN!K919)), "WD",
                IF(ISNUMBER(SEARCH("NS",MAIN!K919)), "NS",
                IF(ISNUMBER(SEARCH("NC",MAIN!K919)), "NC",
                IF(ISNUMBER(SEARCH("DQ",MAIN!K919)), "DQ",
                IF(ISNUMBER(SEARCH("A",MAIN!K919)), 0,
                IF(OR(MAIN!K919=0,MAIN!K919=""), 0, --TRIM(MAIN!K919)))))))))))),
            0
        )
    ),
    IFERROR(
        UPPER(
            IF(MAX(IFERROR(SEARCH("WD",MAIN!G919:J919), 0))&gt;0, "WD",
            IF(MAX(IFERROR(SEARCH("NS",MAIN!G919:J919), 0))&gt;0, "NS",
            IF(MAX(IFERROR(SEARCH("NC",MAIN!G919:J919), 0))&gt;0, "NC",
            IF(MAX(IFERROR(SEARCH("DQ",MAIN!G919:J919), 0))&gt;0, "DQ",
            IF(ISNUMBER(SEARCH("WD",MAIN!K919)), "WD",
            IF(ISNUMBER(SEARCH("NS",MAIN!K919)), "NS",
            IF(ISNUMBER(SEARCH("NC",MAIN!K919)), "NC",
            IF(ISNUMBER(SEARCH("DQ",MAIN!K919)), "DQ",
            IF(ISNUMBER(SEARCH("A",MAIN!K919)), 0,
            IF(OR(MAIN!K919=0,MAIN!K919=""), 0, --TRIM(MAIN!K919)))))))))))),
        0
    )
)</f>
        <v>0</v>
      </c>
    </row>
    <row r="920" spans="1:11" x14ac:dyDescent="0.25">
      <c r="A920" t="str">
        <f>IF(ISBLANK(MAIN!A920), "--", IFERROR(PROPER(SUBSTITUTE(SUBSTITUTE(SUBSTITUTE(SUBSTITUTE(SUBSTITUTE(SUBSTITUTE(SUBSTITUTE(SUBSTITUTE(SUBSTITUTE(SUBSTITUTE(LEFT(MAIN!A920, FIND(",",MAIN!A920) -1), "0", ""), "1", ""), "2", ""), "3", ""), "4", ""), "5", ""), "6", ""), "7", ""), "8", ""), "9", "")), PROPER(SUBSTITUTE(SUBSTITUTE(SUBSTITUTE(SUBSTITUTE(SUBSTITUTE(SUBSTITUTE(SUBSTITUTE(SUBSTITUTE(SUBSTITUTE(SUBSTITUTE(MAIN!A920, "0", ""), "1", ""), "2", ""), "3", ""), "4", ""), "5", ""), "6", ""), "7", ""), "8", ""), "9", ""))))</f>
        <v>--</v>
      </c>
      <c r="B920" t="str">
        <f>IF(ISBLANK(MAIN!B920), "--", IFERROR(PROPER(SUBSTITUTE(SUBSTITUTE(SUBSTITUTE(SUBSTITUTE(SUBSTITUTE(SUBSTITUTE(SUBSTITUTE(SUBSTITUTE(SUBSTITUTE(SUBSTITUTE(LEFT(MAIN!B920, FIND(",",MAIN!B920) -1), "0", ""), "1", ""), "2", ""), "3", ""), "4", ""), "5", ""), "6", ""), "7", ""), "8", ""), "9", "")), PROPER(SUBSTITUTE(SUBSTITUTE(SUBSTITUTE(SUBSTITUTE(SUBSTITUTE(SUBSTITUTE(SUBSTITUTE(SUBSTITUTE(SUBSTITUTE(SUBSTITUTE(MAIN!B920, "0", ""), "1", ""), "2", ""), "3", ""), "4", ""), "5", ""), "6", ""), "7", ""), "8", ""), "9", ""))))</f>
        <v>--</v>
      </c>
      <c r="C920" t="str">
        <f>IF(ISBLANK(MAIN!C920), "--", IFERROR(PROPER(SUBSTITUTE(SUBSTITUTE(SUBSTITUTE(SUBSTITUTE(SUBSTITUTE(SUBSTITUTE(SUBSTITUTE(SUBSTITUTE(SUBSTITUTE(SUBSTITUTE(LEFT(MAIN!C920, FIND(",",MAIN!C920) -1), "0", ""), "1", ""), "2", ""), "3", ""), "4", ""), "5", ""), "6", ""), "7", ""), "8", ""), "9", "")), PROPER(SUBSTITUTE(SUBSTITUTE(SUBSTITUTE(SUBSTITUTE(SUBSTITUTE(SUBSTITUTE(SUBSTITUTE(SUBSTITUTE(SUBSTITUTE(SUBSTITUTE(MAIN!C920, "0", ""), "1", ""), "2", ""), "3", ""), "4", ""), "5", ""), "6", ""), "7", ""), "8", ""), "9", ""))))</f>
        <v>--</v>
      </c>
      <c r="D920" t="str">
        <f>IF(ISBLANK(MAIN!D920), "--", IF(ISNUMBER(MATCH(SUBSTITUTE(LEFT(MAIN!D920, IFERROR(FIND(",", MAIN!D920)-1, LEN(MAIN!D920))), " ", ""), lookup_values!$B$2:$B$51, 0)), UPPER(SUBSTITUTE(LEFT(MAIN!D920, IFERROR(FIND(",", MAIN!D920)-1, LEN(MAIN!D920))), " ", "")), IF(ISNA(VLOOKUP(SUBSTITUTE(LEFT(MAIN!D920, IFERROR(FIND(",", MAIN!D920)-1, LEN(MAIN!D920))), " ", ""), lookup_values!$A$2:$B$51, 2, FALSE)), "--", VLOOKUP(SUBSTITUTE(LEFT(MAIN!D920, IFERROR(FIND(",", MAIN!D920)-1, LEN(MAIN!D920))), " ", ""), lookup_values!$A$2:$B$51, 2, FALSE))))</f>
        <v>--</v>
      </c>
      <c r="E920" t="str">
        <f>IF(CLEAN_DATA!D920&lt;&gt;"--","US",IF(ISBLANK(MAIN!E920), "--", IF(ISNUMBER(MATCH(SUBSTITUTE(LEFT(MAIN!E920, IFERROR(FIND(",", MAIN!E920)-1, LEN(MAIN!E920))), " ", ""), lookup_values!$E$2:$E$197, 0)), UPPER(SUBSTITUTE(LEFT(MAIN!E920, IFERROR(FIND(",", MAIN!E920)-1, LEN(MAIN!E920))), " ", "")), IF(ISNA(VLOOKUP(SUBSTITUTE(LEFT(MAIN!E920, IFERROR(FIND(",", MAIN!E920)-1, LEN(MAIN!E920))), " ", ""), lookup_values!$D$2:$E$197, 2, FALSE)), "--", VLOOKUP(SUBSTITUTE(LEFT(MAIN!E920, IFERROR(FIND(",", MAIN!E920)-1, LEN(MAIN!E920))), " ", ""), lookup_values!$D$2:$E$197, 2, FALSE)))))</f>
        <v>--</v>
      </c>
      <c r="F920" t="str">
        <f>IF(ISBLANK(MAIN!F920), "", IF(AND(ISNUMBER(VALUE(TRIM(MAIN!F920))), LEN(TRIM(MAIN!F920))=4), VALUE(TRIM(MAIN!F920)), ""))</f>
        <v/>
      </c>
      <c r="G920">
        <f>IF(ISBLANK(MAIN!G920), 0, IF(ISNUMBER(VALUE(TRIM(MAIN!G920))), VALUE(TRIM(MAIN!G920)), 0))</f>
        <v>0</v>
      </c>
      <c r="H920">
        <f>IF(ISBLANK(MAIN!H920), 0, IF(ISNUMBER(VALUE(TRIM(MAIN!H920))), VALUE(TRIM(MAIN!H920)), 0))</f>
        <v>0</v>
      </c>
      <c r="I920">
        <f>IF(ISBLANK(MAIN!I920), 0, IF(ISNUMBER(VALUE(TRIM(MAIN!I920))), VALUE(TRIM(MAIN!I920)), 0))</f>
        <v>0</v>
      </c>
      <c r="J920">
        <f>IF(ISBLANK(MAIN!J920), 0, IF(ISNUMBER(VALUE(TRIM(MAIN!J920))), VALUE(TRIM(MAIN!J920)), 0))</f>
        <v>0</v>
      </c>
      <c r="K920" cm="1">
        <f t="array" ref="K920">IFERROR(
    VALUE(
        IFERROR(
            UPPER(
                IF(MAX(IFERROR(SEARCH("WD",MAIN!G920:J920), 0))&gt;0, "WD",
                IF(MAX(IFERROR(SEARCH("NS",MAIN!G920:J920), 0))&gt;0, "NS",
                IF(MAX(IFERROR(SEARCH("NC",MAIN!G920:J920), 0))&gt;0, "NC",
                IF(MAX(IFERROR(SEARCH("DQ",MAIN!G920:J920), 0))&gt;0, "DQ",
                IF(ISNUMBER(SEARCH("WD",MAIN!K920)), "WD",
                IF(ISNUMBER(SEARCH("NS",MAIN!K920)), "NS",
                IF(ISNUMBER(SEARCH("NC",MAIN!K920)), "NC",
                IF(ISNUMBER(SEARCH("DQ",MAIN!K920)), "DQ",
                IF(ISNUMBER(SEARCH("A",MAIN!K920)), 0,
                IF(OR(MAIN!K920=0,MAIN!K920=""), 0, --TRIM(MAIN!K920)))))))))))),
            0
        )
    ),
    IFERROR(
        UPPER(
            IF(MAX(IFERROR(SEARCH("WD",MAIN!G920:J920), 0))&gt;0, "WD",
            IF(MAX(IFERROR(SEARCH("NS",MAIN!G920:J920), 0))&gt;0, "NS",
            IF(MAX(IFERROR(SEARCH("NC",MAIN!G920:J920), 0))&gt;0, "NC",
            IF(MAX(IFERROR(SEARCH("DQ",MAIN!G920:J920), 0))&gt;0, "DQ",
            IF(ISNUMBER(SEARCH("WD",MAIN!K920)), "WD",
            IF(ISNUMBER(SEARCH("NS",MAIN!K920)), "NS",
            IF(ISNUMBER(SEARCH("NC",MAIN!K920)), "NC",
            IF(ISNUMBER(SEARCH("DQ",MAIN!K920)), "DQ",
            IF(ISNUMBER(SEARCH("A",MAIN!K920)), 0,
            IF(OR(MAIN!K920=0,MAIN!K920=""), 0, --TRIM(MAIN!K920)))))))))))),
        0
    )
)</f>
        <v>0</v>
      </c>
    </row>
    <row r="921" spans="1:11" x14ac:dyDescent="0.25">
      <c r="A921" t="str">
        <f>IF(ISBLANK(MAIN!A921), "--", IFERROR(PROPER(SUBSTITUTE(SUBSTITUTE(SUBSTITUTE(SUBSTITUTE(SUBSTITUTE(SUBSTITUTE(SUBSTITUTE(SUBSTITUTE(SUBSTITUTE(SUBSTITUTE(LEFT(MAIN!A921, FIND(",",MAIN!A921) -1), "0", ""), "1", ""), "2", ""), "3", ""), "4", ""), "5", ""), "6", ""), "7", ""), "8", ""), "9", "")), PROPER(SUBSTITUTE(SUBSTITUTE(SUBSTITUTE(SUBSTITUTE(SUBSTITUTE(SUBSTITUTE(SUBSTITUTE(SUBSTITUTE(SUBSTITUTE(SUBSTITUTE(MAIN!A921, "0", ""), "1", ""), "2", ""), "3", ""), "4", ""), "5", ""), "6", ""), "7", ""), "8", ""), "9", ""))))</f>
        <v>--</v>
      </c>
      <c r="B921" t="str">
        <f>IF(ISBLANK(MAIN!B921), "--", IFERROR(PROPER(SUBSTITUTE(SUBSTITUTE(SUBSTITUTE(SUBSTITUTE(SUBSTITUTE(SUBSTITUTE(SUBSTITUTE(SUBSTITUTE(SUBSTITUTE(SUBSTITUTE(LEFT(MAIN!B921, FIND(",",MAIN!B921) -1), "0", ""), "1", ""), "2", ""), "3", ""), "4", ""), "5", ""), "6", ""), "7", ""), "8", ""), "9", "")), PROPER(SUBSTITUTE(SUBSTITUTE(SUBSTITUTE(SUBSTITUTE(SUBSTITUTE(SUBSTITUTE(SUBSTITUTE(SUBSTITUTE(SUBSTITUTE(SUBSTITUTE(MAIN!B921, "0", ""), "1", ""), "2", ""), "3", ""), "4", ""), "5", ""), "6", ""), "7", ""), "8", ""), "9", ""))))</f>
        <v>--</v>
      </c>
      <c r="C921" t="str">
        <f>IF(ISBLANK(MAIN!C921), "--", IFERROR(PROPER(SUBSTITUTE(SUBSTITUTE(SUBSTITUTE(SUBSTITUTE(SUBSTITUTE(SUBSTITUTE(SUBSTITUTE(SUBSTITUTE(SUBSTITUTE(SUBSTITUTE(LEFT(MAIN!C921, FIND(",",MAIN!C921) -1), "0", ""), "1", ""), "2", ""), "3", ""), "4", ""), "5", ""), "6", ""), "7", ""), "8", ""), "9", "")), PROPER(SUBSTITUTE(SUBSTITUTE(SUBSTITUTE(SUBSTITUTE(SUBSTITUTE(SUBSTITUTE(SUBSTITUTE(SUBSTITUTE(SUBSTITUTE(SUBSTITUTE(MAIN!C921, "0", ""), "1", ""), "2", ""), "3", ""), "4", ""), "5", ""), "6", ""), "7", ""), "8", ""), "9", ""))))</f>
        <v>--</v>
      </c>
      <c r="D921" t="str">
        <f>IF(ISBLANK(MAIN!D921), "--", IF(ISNUMBER(MATCH(SUBSTITUTE(LEFT(MAIN!D921, IFERROR(FIND(",", MAIN!D921)-1, LEN(MAIN!D921))), " ", ""), lookup_values!$B$2:$B$51, 0)), UPPER(SUBSTITUTE(LEFT(MAIN!D921, IFERROR(FIND(",", MAIN!D921)-1, LEN(MAIN!D921))), " ", "")), IF(ISNA(VLOOKUP(SUBSTITUTE(LEFT(MAIN!D921, IFERROR(FIND(",", MAIN!D921)-1, LEN(MAIN!D921))), " ", ""), lookup_values!$A$2:$B$51, 2, FALSE)), "--", VLOOKUP(SUBSTITUTE(LEFT(MAIN!D921, IFERROR(FIND(",", MAIN!D921)-1, LEN(MAIN!D921))), " ", ""), lookup_values!$A$2:$B$51, 2, FALSE))))</f>
        <v>--</v>
      </c>
      <c r="E921" t="str">
        <f>IF(CLEAN_DATA!D921&lt;&gt;"--","US",IF(ISBLANK(MAIN!E921), "--", IF(ISNUMBER(MATCH(SUBSTITUTE(LEFT(MAIN!E921, IFERROR(FIND(",", MAIN!E921)-1, LEN(MAIN!E921))), " ", ""), lookup_values!$E$2:$E$197, 0)), UPPER(SUBSTITUTE(LEFT(MAIN!E921, IFERROR(FIND(",", MAIN!E921)-1, LEN(MAIN!E921))), " ", "")), IF(ISNA(VLOOKUP(SUBSTITUTE(LEFT(MAIN!E921, IFERROR(FIND(",", MAIN!E921)-1, LEN(MAIN!E921))), " ", ""), lookup_values!$D$2:$E$197, 2, FALSE)), "--", VLOOKUP(SUBSTITUTE(LEFT(MAIN!E921, IFERROR(FIND(",", MAIN!E921)-1, LEN(MAIN!E921))), " ", ""), lookup_values!$D$2:$E$197, 2, FALSE)))))</f>
        <v>--</v>
      </c>
      <c r="F921" t="str">
        <f>IF(ISBLANK(MAIN!F921), "", IF(AND(ISNUMBER(VALUE(TRIM(MAIN!F921))), LEN(TRIM(MAIN!F921))=4), VALUE(TRIM(MAIN!F921)), ""))</f>
        <v/>
      </c>
      <c r="G921">
        <f>IF(ISBLANK(MAIN!G921), 0, IF(ISNUMBER(VALUE(TRIM(MAIN!G921))), VALUE(TRIM(MAIN!G921)), 0))</f>
        <v>0</v>
      </c>
      <c r="H921">
        <f>IF(ISBLANK(MAIN!H921), 0, IF(ISNUMBER(VALUE(TRIM(MAIN!H921))), VALUE(TRIM(MAIN!H921)), 0))</f>
        <v>0</v>
      </c>
      <c r="I921">
        <f>IF(ISBLANK(MAIN!I921), 0, IF(ISNUMBER(VALUE(TRIM(MAIN!I921))), VALUE(TRIM(MAIN!I921)), 0))</f>
        <v>0</v>
      </c>
      <c r="J921">
        <f>IF(ISBLANK(MAIN!J921), 0, IF(ISNUMBER(VALUE(TRIM(MAIN!J921))), VALUE(TRIM(MAIN!J921)), 0))</f>
        <v>0</v>
      </c>
      <c r="K921" cm="1">
        <f t="array" ref="K921">IFERROR(
    VALUE(
        IFERROR(
            UPPER(
                IF(MAX(IFERROR(SEARCH("WD",MAIN!G921:J921), 0))&gt;0, "WD",
                IF(MAX(IFERROR(SEARCH("NS",MAIN!G921:J921), 0))&gt;0, "NS",
                IF(MAX(IFERROR(SEARCH("NC",MAIN!G921:J921), 0))&gt;0, "NC",
                IF(MAX(IFERROR(SEARCH("DQ",MAIN!G921:J921), 0))&gt;0, "DQ",
                IF(ISNUMBER(SEARCH("WD",MAIN!K921)), "WD",
                IF(ISNUMBER(SEARCH("NS",MAIN!K921)), "NS",
                IF(ISNUMBER(SEARCH("NC",MAIN!K921)), "NC",
                IF(ISNUMBER(SEARCH("DQ",MAIN!K921)), "DQ",
                IF(ISNUMBER(SEARCH("A",MAIN!K921)), 0,
                IF(OR(MAIN!K921=0,MAIN!K921=""), 0, --TRIM(MAIN!K921)))))))))))),
            0
        )
    ),
    IFERROR(
        UPPER(
            IF(MAX(IFERROR(SEARCH("WD",MAIN!G921:J921), 0))&gt;0, "WD",
            IF(MAX(IFERROR(SEARCH("NS",MAIN!G921:J921), 0))&gt;0, "NS",
            IF(MAX(IFERROR(SEARCH("NC",MAIN!G921:J921), 0))&gt;0, "NC",
            IF(MAX(IFERROR(SEARCH("DQ",MAIN!G921:J921), 0))&gt;0, "DQ",
            IF(ISNUMBER(SEARCH("WD",MAIN!K921)), "WD",
            IF(ISNUMBER(SEARCH("NS",MAIN!K921)), "NS",
            IF(ISNUMBER(SEARCH("NC",MAIN!K921)), "NC",
            IF(ISNUMBER(SEARCH("DQ",MAIN!K921)), "DQ",
            IF(ISNUMBER(SEARCH("A",MAIN!K921)), 0,
            IF(OR(MAIN!K921=0,MAIN!K921=""), 0, --TRIM(MAIN!K921)))))))))))),
        0
    )
)</f>
        <v>0</v>
      </c>
    </row>
    <row r="922" spans="1:11" x14ac:dyDescent="0.25">
      <c r="A922" t="str">
        <f>IF(ISBLANK(MAIN!A922), "--", IFERROR(PROPER(SUBSTITUTE(SUBSTITUTE(SUBSTITUTE(SUBSTITUTE(SUBSTITUTE(SUBSTITUTE(SUBSTITUTE(SUBSTITUTE(SUBSTITUTE(SUBSTITUTE(LEFT(MAIN!A922, FIND(",",MAIN!A922) -1), "0", ""), "1", ""), "2", ""), "3", ""), "4", ""), "5", ""), "6", ""), "7", ""), "8", ""), "9", "")), PROPER(SUBSTITUTE(SUBSTITUTE(SUBSTITUTE(SUBSTITUTE(SUBSTITUTE(SUBSTITUTE(SUBSTITUTE(SUBSTITUTE(SUBSTITUTE(SUBSTITUTE(MAIN!A922, "0", ""), "1", ""), "2", ""), "3", ""), "4", ""), "5", ""), "6", ""), "7", ""), "8", ""), "9", ""))))</f>
        <v>--</v>
      </c>
      <c r="B922" t="str">
        <f>IF(ISBLANK(MAIN!B922), "--", IFERROR(PROPER(SUBSTITUTE(SUBSTITUTE(SUBSTITUTE(SUBSTITUTE(SUBSTITUTE(SUBSTITUTE(SUBSTITUTE(SUBSTITUTE(SUBSTITUTE(SUBSTITUTE(LEFT(MAIN!B922, FIND(",",MAIN!B922) -1), "0", ""), "1", ""), "2", ""), "3", ""), "4", ""), "5", ""), "6", ""), "7", ""), "8", ""), "9", "")), PROPER(SUBSTITUTE(SUBSTITUTE(SUBSTITUTE(SUBSTITUTE(SUBSTITUTE(SUBSTITUTE(SUBSTITUTE(SUBSTITUTE(SUBSTITUTE(SUBSTITUTE(MAIN!B922, "0", ""), "1", ""), "2", ""), "3", ""), "4", ""), "5", ""), "6", ""), "7", ""), "8", ""), "9", ""))))</f>
        <v>--</v>
      </c>
      <c r="C922" t="str">
        <f>IF(ISBLANK(MAIN!C922), "--", IFERROR(PROPER(SUBSTITUTE(SUBSTITUTE(SUBSTITUTE(SUBSTITUTE(SUBSTITUTE(SUBSTITUTE(SUBSTITUTE(SUBSTITUTE(SUBSTITUTE(SUBSTITUTE(LEFT(MAIN!C922, FIND(",",MAIN!C922) -1), "0", ""), "1", ""), "2", ""), "3", ""), "4", ""), "5", ""), "6", ""), "7", ""), "8", ""), "9", "")), PROPER(SUBSTITUTE(SUBSTITUTE(SUBSTITUTE(SUBSTITUTE(SUBSTITUTE(SUBSTITUTE(SUBSTITUTE(SUBSTITUTE(SUBSTITUTE(SUBSTITUTE(MAIN!C922, "0", ""), "1", ""), "2", ""), "3", ""), "4", ""), "5", ""), "6", ""), "7", ""), "8", ""), "9", ""))))</f>
        <v>--</v>
      </c>
      <c r="D922" t="str">
        <f>IF(ISBLANK(MAIN!D922), "--", IF(ISNUMBER(MATCH(SUBSTITUTE(LEFT(MAIN!D922, IFERROR(FIND(",", MAIN!D922)-1, LEN(MAIN!D922))), " ", ""), lookup_values!$B$2:$B$51, 0)), UPPER(SUBSTITUTE(LEFT(MAIN!D922, IFERROR(FIND(",", MAIN!D922)-1, LEN(MAIN!D922))), " ", "")), IF(ISNA(VLOOKUP(SUBSTITUTE(LEFT(MAIN!D922, IFERROR(FIND(",", MAIN!D922)-1, LEN(MAIN!D922))), " ", ""), lookup_values!$A$2:$B$51, 2, FALSE)), "--", VLOOKUP(SUBSTITUTE(LEFT(MAIN!D922, IFERROR(FIND(",", MAIN!D922)-1, LEN(MAIN!D922))), " ", ""), lookup_values!$A$2:$B$51, 2, FALSE))))</f>
        <v>--</v>
      </c>
      <c r="E922" t="str">
        <f>IF(CLEAN_DATA!D922&lt;&gt;"--","US",IF(ISBLANK(MAIN!E922), "--", IF(ISNUMBER(MATCH(SUBSTITUTE(LEFT(MAIN!E922, IFERROR(FIND(",", MAIN!E922)-1, LEN(MAIN!E922))), " ", ""), lookup_values!$E$2:$E$197, 0)), UPPER(SUBSTITUTE(LEFT(MAIN!E922, IFERROR(FIND(",", MAIN!E922)-1, LEN(MAIN!E922))), " ", "")), IF(ISNA(VLOOKUP(SUBSTITUTE(LEFT(MAIN!E922, IFERROR(FIND(",", MAIN!E922)-1, LEN(MAIN!E922))), " ", ""), lookup_values!$D$2:$E$197, 2, FALSE)), "--", VLOOKUP(SUBSTITUTE(LEFT(MAIN!E922, IFERROR(FIND(",", MAIN!E922)-1, LEN(MAIN!E922))), " ", ""), lookup_values!$D$2:$E$197, 2, FALSE)))))</f>
        <v>--</v>
      </c>
      <c r="F922" t="str">
        <f>IF(ISBLANK(MAIN!F922), "", IF(AND(ISNUMBER(VALUE(TRIM(MAIN!F922))), LEN(TRIM(MAIN!F922))=4), VALUE(TRIM(MAIN!F922)), ""))</f>
        <v/>
      </c>
      <c r="G922">
        <f>IF(ISBLANK(MAIN!G922), 0, IF(ISNUMBER(VALUE(TRIM(MAIN!G922))), VALUE(TRIM(MAIN!G922)), 0))</f>
        <v>0</v>
      </c>
      <c r="H922">
        <f>IF(ISBLANK(MAIN!H922), 0, IF(ISNUMBER(VALUE(TRIM(MAIN!H922))), VALUE(TRIM(MAIN!H922)), 0))</f>
        <v>0</v>
      </c>
      <c r="I922">
        <f>IF(ISBLANK(MAIN!I922), 0, IF(ISNUMBER(VALUE(TRIM(MAIN!I922))), VALUE(TRIM(MAIN!I922)), 0))</f>
        <v>0</v>
      </c>
      <c r="J922">
        <f>IF(ISBLANK(MAIN!J922), 0, IF(ISNUMBER(VALUE(TRIM(MAIN!J922))), VALUE(TRIM(MAIN!J922)), 0))</f>
        <v>0</v>
      </c>
      <c r="K922" cm="1">
        <f t="array" ref="K922">IFERROR(
    VALUE(
        IFERROR(
            UPPER(
                IF(MAX(IFERROR(SEARCH("WD",MAIN!G922:J922), 0))&gt;0, "WD",
                IF(MAX(IFERROR(SEARCH("NS",MAIN!G922:J922), 0))&gt;0, "NS",
                IF(MAX(IFERROR(SEARCH("NC",MAIN!G922:J922), 0))&gt;0, "NC",
                IF(MAX(IFERROR(SEARCH("DQ",MAIN!G922:J922), 0))&gt;0, "DQ",
                IF(ISNUMBER(SEARCH("WD",MAIN!K922)), "WD",
                IF(ISNUMBER(SEARCH("NS",MAIN!K922)), "NS",
                IF(ISNUMBER(SEARCH("NC",MAIN!K922)), "NC",
                IF(ISNUMBER(SEARCH("DQ",MAIN!K922)), "DQ",
                IF(ISNUMBER(SEARCH("A",MAIN!K922)), 0,
                IF(OR(MAIN!K922=0,MAIN!K922=""), 0, --TRIM(MAIN!K922)))))))))))),
            0
        )
    ),
    IFERROR(
        UPPER(
            IF(MAX(IFERROR(SEARCH("WD",MAIN!G922:J922), 0))&gt;0, "WD",
            IF(MAX(IFERROR(SEARCH("NS",MAIN!G922:J922), 0))&gt;0, "NS",
            IF(MAX(IFERROR(SEARCH("NC",MAIN!G922:J922), 0))&gt;0, "NC",
            IF(MAX(IFERROR(SEARCH("DQ",MAIN!G922:J922), 0))&gt;0, "DQ",
            IF(ISNUMBER(SEARCH("WD",MAIN!K922)), "WD",
            IF(ISNUMBER(SEARCH("NS",MAIN!K922)), "NS",
            IF(ISNUMBER(SEARCH("NC",MAIN!K922)), "NC",
            IF(ISNUMBER(SEARCH("DQ",MAIN!K922)), "DQ",
            IF(ISNUMBER(SEARCH("A",MAIN!K922)), 0,
            IF(OR(MAIN!K922=0,MAIN!K922=""), 0, --TRIM(MAIN!K922)))))))))))),
        0
    )
)</f>
        <v>0</v>
      </c>
    </row>
    <row r="923" spans="1:11" x14ac:dyDescent="0.25">
      <c r="A923" t="str">
        <f>IF(ISBLANK(MAIN!A923), "--", IFERROR(PROPER(SUBSTITUTE(SUBSTITUTE(SUBSTITUTE(SUBSTITUTE(SUBSTITUTE(SUBSTITUTE(SUBSTITUTE(SUBSTITUTE(SUBSTITUTE(SUBSTITUTE(LEFT(MAIN!A923, FIND(",",MAIN!A923) -1), "0", ""), "1", ""), "2", ""), "3", ""), "4", ""), "5", ""), "6", ""), "7", ""), "8", ""), "9", "")), PROPER(SUBSTITUTE(SUBSTITUTE(SUBSTITUTE(SUBSTITUTE(SUBSTITUTE(SUBSTITUTE(SUBSTITUTE(SUBSTITUTE(SUBSTITUTE(SUBSTITUTE(MAIN!A923, "0", ""), "1", ""), "2", ""), "3", ""), "4", ""), "5", ""), "6", ""), "7", ""), "8", ""), "9", ""))))</f>
        <v>--</v>
      </c>
      <c r="B923" t="str">
        <f>IF(ISBLANK(MAIN!B923), "--", IFERROR(PROPER(SUBSTITUTE(SUBSTITUTE(SUBSTITUTE(SUBSTITUTE(SUBSTITUTE(SUBSTITUTE(SUBSTITUTE(SUBSTITUTE(SUBSTITUTE(SUBSTITUTE(LEFT(MAIN!B923, FIND(",",MAIN!B923) -1), "0", ""), "1", ""), "2", ""), "3", ""), "4", ""), "5", ""), "6", ""), "7", ""), "8", ""), "9", "")), PROPER(SUBSTITUTE(SUBSTITUTE(SUBSTITUTE(SUBSTITUTE(SUBSTITUTE(SUBSTITUTE(SUBSTITUTE(SUBSTITUTE(SUBSTITUTE(SUBSTITUTE(MAIN!B923, "0", ""), "1", ""), "2", ""), "3", ""), "4", ""), "5", ""), "6", ""), "7", ""), "8", ""), "9", ""))))</f>
        <v>--</v>
      </c>
      <c r="C923" t="str">
        <f>IF(ISBLANK(MAIN!C923), "--", IFERROR(PROPER(SUBSTITUTE(SUBSTITUTE(SUBSTITUTE(SUBSTITUTE(SUBSTITUTE(SUBSTITUTE(SUBSTITUTE(SUBSTITUTE(SUBSTITUTE(SUBSTITUTE(LEFT(MAIN!C923, FIND(",",MAIN!C923) -1), "0", ""), "1", ""), "2", ""), "3", ""), "4", ""), "5", ""), "6", ""), "7", ""), "8", ""), "9", "")), PROPER(SUBSTITUTE(SUBSTITUTE(SUBSTITUTE(SUBSTITUTE(SUBSTITUTE(SUBSTITUTE(SUBSTITUTE(SUBSTITUTE(SUBSTITUTE(SUBSTITUTE(MAIN!C923, "0", ""), "1", ""), "2", ""), "3", ""), "4", ""), "5", ""), "6", ""), "7", ""), "8", ""), "9", ""))))</f>
        <v>--</v>
      </c>
      <c r="D923" t="str">
        <f>IF(ISBLANK(MAIN!D923), "--", IF(ISNUMBER(MATCH(SUBSTITUTE(LEFT(MAIN!D923, IFERROR(FIND(",", MAIN!D923)-1, LEN(MAIN!D923))), " ", ""), lookup_values!$B$2:$B$51, 0)), UPPER(SUBSTITUTE(LEFT(MAIN!D923, IFERROR(FIND(",", MAIN!D923)-1, LEN(MAIN!D923))), " ", "")), IF(ISNA(VLOOKUP(SUBSTITUTE(LEFT(MAIN!D923, IFERROR(FIND(",", MAIN!D923)-1, LEN(MAIN!D923))), " ", ""), lookup_values!$A$2:$B$51, 2, FALSE)), "--", VLOOKUP(SUBSTITUTE(LEFT(MAIN!D923, IFERROR(FIND(",", MAIN!D923)-1, LEN(MAIN!D923))), " ", ""), lookup_values!$A$2:$B$51, 2, FALSE))))</f>
        <v>--</v>
      </c>
      <c r="E923" t="str">
        <f>IF(CLEAN_DATA!D923&lt;&gt;"--","US",IF(ISBLANK(MAIN!E923), "--", IF(ISNUMBER(MATCH(SUBSTITUTE(LEFT(MAIN!E923, IFERROR(FIND(",", MAIN!E923)-1, LEN(MAIN!E923))), " ", ""), lookup_values!$E$2:$E$197, 0)), UPPER(SUBSTITUTE(LEFT(MAIN!E923, IFERROR(FIND(",", MAIN!E923)-1, LEN(MAIN!E923))), " ", "")), IF(ISNA(VLOOKUP(SUBSTITUTE(LEFT(MAIN!E923, IFERROR(FIND(",", MAIN!E923)-1, LEN(MAIN!E923))), " ", ""), lookup_values!$D$2:$E$197, 2, FALSE)), "--", VLOOKUP(SUBSTITUTE(LEFT(MAIN!E923, IFERROR(FIND(",", MAIN!E923)-1, LEN(MAIN!E923))), " ", ""), lookup_values!$D$2:$E$197, 2, FALSE)))))</f>
        <v>--</v>
      </c>
      <c r="F923" t="str">
        <f>IF(ISBLANK(MAIN!F923), "", IF(AND(ISNUMBER(VALUE(TRIM(MAIN!F923))), LEN(TRIM(MAIN!F923))=4), VALUE(TRIM(MAIN!F923)), ""))</f>
        <v/>
      </c>
      <c r="G923">
        <f>IF(ISBLANK(MAIN!G923), 0, IF(ISNUMBER(VALUE(TRIM(MAIN!G923))), VALUE(TRIM(MAIN!G923)), 0))</f>
        <v>0</v>
      </c>
      <c r="H923">
        <f>IF(ISBLANK(MAIN!H923), 0, IF(ISNUMBER(VALUE(TRIM(MAIN!H923))), VALUE(TRIM(MAIN!H923)), 0))</f>
        <v>0</v>
      </c>
      <c r="I923">
        <f>IF(ISBLANK(MAIN!I923), 0, IF(ISNUMBER(VALUE(TRIM(MAIN!I923))), VALUE(TRIM(MAIN!I923)), 0))</f>
        <v>0</v>
      </c>
      <c r="J923">
        <f>IF(ISBLANK(MAIN!J923), 0, IF(ISNUMBER(VALUE(TRIM(MAIN!J923))), VALUE(TRIM(MAIN!J923)), 0))</f>
        <v>0</v>
      </c>
      <c r="K923" cm="1">
        <f t="array" ref="K923">IFERROR(
    VALUE(
        IFERROR(
            UPPER(
                IF(MAX(IFERROR(SEARCH("WD",MAIN!G923:J923), 0))&gt;0, "WD",
                IF(MAX(IFERROR(SEARCH("NS",MAIN!G923:J923), 0))&gt;0, "NS",
                IF(MAX(IFERROR(SEARCH("NC",MAIN!G923:J923), 0))&gt;0, "NC",
                IF(MAX(IFERROR(SEARCH("DQ",MAIN!G923:J923), 0))&gt;0, "DQ",
                IF(ISNUMBER(SEARCH("WD",MAIN!K923)), "WD",
                IF(ISNUMBER(SEARCH("NS",MAIN!K923)), "NS",
                IF(ISNUMBER(SEARCH("NC",MAIN!K923)), "NC",
                IF(ISNUMBER(SEARCH("DQ",MAIN!K923)), "DQ",
                IF(ISNUMBER(SEARCH("A",MAIN!K923)), 0,
                IF(OR(MAIN!K923=0,MAIN!K923=""), 0, --TRIM(MAIN!K923)))))))))))),
            0
        )
    ),
    IFERROR(
        UPPER(
            IF(MAX(IFERROR(SEARCH("WD",MAIN!G923:J923), 0))&gt;0, "WD",
            IF(MAX(IFERROR(SEARCH("NS",MAIN!G923:J923), 0))&gt;0, "NS",
            IF(MAX(IFERROR(SEARCH("NC",MAIN!G923:J923), 0))&gt;0, "NC",
            IF(MAX(IFERROR(SEARCH("DQ",MAIN!G923:J923), 0))&gt;0, "DQ",
            IF(ISNUMBER(SEARCH("WD",MAIN!K923)), "WD",
            IF(ISNUMBER(SEARCH("NS",MAIN!K923)), "NS",
            IF(ISNUMBER(SEARCH("NC",MAIN!K923)), "NC",
            IF(ISNUMBER(SEARCH("DQ",MAIN!K923)), "DQ",
            IF(ISNUMBER(SEARCH("A",MAIN!K923)), 0,
            IF(OR(MAIN!K923=0,MAIN!K923=""), 0, --TRIM(MAIN!K923)))))))))))),
        0
    )
)</f>
        <v>0</v>
      </c>
    </row>
    <row r="924" spans="1:11" x14ac:dyDescent="0.25">
      <c r="A924" t="str">
        <f>IF(ISBLANK(MAIN!A924), "--", IFERROR(PROPER(SUBSTITUTE(SUBSTITUTE(SUBSTITUTE(SUBSTITUTE(SUBSTITUTE(SUBSTITUTE(SUBSTITUTE(SUBSTITUTE(SUBSTITUTE(SUBSTITUTE(LEFT(MAIN!A924, FIND(",",MAIN!A924) -1), "0", ""), "1", ""), "2", ""), "3", ""), "4", ""), "5", ""), "6", ""), "7", ""), "8", ""), "9", "")), PROPER(SUBSTITUTE(SUBSTITUTE(SUBSTITUTE(SUBSTITUTE(SUBSTITUTE(SUBSTITUTE(SUBSTITUTE(SUBSTITUTE(SUBSTITUTE(SUBSTITUTE(MAIN!A924, "0", ""), "1", ""), "2", ""), "3", ""), "4", ""), "5", ""), "6", ""), "7", ""), "8", ""), "9", ""))))</f>
        <v>--</v>
      </c>
      <c r="B924" t="str">
        <f>IF(ISBLANK(MAIN!B924), "--", IFERROR(PROPER(SUBSTITUTE(SUBSTITUTE(SUBSTITUTE(SUBSTITUTE(SUBSTITUTE(SUBSTITUTE(SUBSTITUTE(SUBSTITUTE(SUBSTITUTE(SUBSTITUTE(LEFT(MAIN!B924, FIND(",",MAIN!B924) -1), "0", ""), "1", ""), "2", ""), "3", ""), "4", ""), "5", ""), "6", ""), "7", ""), "8", ""), "9", "")), PROPER(SUBSTITUTE(SUBSTITUTE(SUBSTITUTE(SUBSTITUTE(SUBSTITUTE(SUBSTITUTE(SUBSTITUTE(SUBSTITUTE(SUBSTITUTE(SUBSTITUTE(MAIN!B924, "0", ""), "1", ""), "2", ""), "3", ""), "4", ""), "5", ""), "6", ""), "7", ""), "8", ""), "9", ""))))</f>
        <v>--</v>
      </c>
      <c r="C924" t="str">
        <f>IF(ISBLANK(MAIN!C924), "--", IFERROR(PROPER(SUBSTITUTE(SUBSTITUTE(SUBSTITUTE(SUBSTITUTE(SUBSTITUTE(SUBSTITUTE(SUBSTITUTE(SUBSTITUTE(SUBSTITUTE(SUBSTITUTE(LEFT(MAIN!C924, FIND(",",MAIN!C924) -1), "0", ""), "1", ""), "2", ""), "3", ""), "4", ""), "5", ""), "6", ""), "7", ""), "8", ""), "9", "")), PROPER(SUBSTITUTE(SUBSTITUTE(SUBSTITUTE(SUBSTITUTE(SUBSTITUTE(SUBSTITUTE(SUBSTITUTE(SUBSTITUTE(SUBSTITUTE(SUBSTITUTE(MAIN!C924, "0", ""), "1", ""), "2", ""), "3", ""), "4", ""), "5", ""), "6", ""), "7", ""), "8", ""), "9", ""))))</f>
        <v>--</v>
      </c>
      <c r="D924" t="str">
        <f>IF(ISBLANK(MAIN!D924), "--", IF(ISNUMBER(MATCH(SUBSTITUTE(LEFT(MAIN!D924, IFERROR(FIND(",", MAIN!D924)-1, LEN(MAIN!D924))), " ", ""), lookup_values!$B$2:$B$51, 0)), UPPER(SUBSTITUTE(LEFT(MAIN!D924, IFERROR(FIND(",", MAIN!D924)-1, LEN(MAIN!D924))), " ", "")), IF(ISNA(VLOOKUP(SUBSTITUTE(LEFT(MAIN!D924, IFERROR(FIND(",", MAIN!D924)-1, LEN(MAIN!D924))), " ", ""), lookup_values!$A$2:$B$51, 2, FALSE)), "--", VLOOKUP(SUBSTITUTE(LEFT(MAIN!D924, IFERROR(FIND(",", MAIN!D924)-1, LEN(MAIN!D924))), " ", ""), lookup_values!$A$2:$B$51, 2, FALSE))))</f>
        <v>--</v>
      </c>
      <c r="E924" t="str">
        <f>IF(CLEAN_DATA!D924&lt;&gt;"--","US",IF(ISBLANK(MAIN!E924), "--", IF(ISNUMBER(MATCH(SUBSTITUTE(LEFT(MAIN!E924, IFERROR(FIND(",", MAIN!E924)-1, LEN(MAIN!E924))), " ", ""), lookup_values!$E$2:$E$197, 0)), UPPER(SUBSTITUTE(LEFT(MAIN!E924, IFERROR(FIND(",", MAIN!E924)-1, LEN(MAIN!E924))), " ", "")), IF(ISNA(VLOOKUP(SUBSTITUTE(LEFT(MAIN!E924, IFERROR(FIND(",", MAIN!E924)-1, LEN(MAIN!E924))), " ", ""), lookup_values!$D$2:$E$197, 2, FALSE)), "--", VLOOKUP(SUBSTITUTE(LEFT(MAIN!E924, IFERROR(FIND(",", MAIN!E924)-1, LEN(MAIN!E924))), " ", ""), lookup_values!$D$2:$E$197, 2, FALSE)))))</f>
        <v>--</v>
      </c>
      <c r="F924" t="str">
        <f>IF(ISBLANK(MAIN!F924), "", IF(AND(ISNUMBER(VALUE(TRIM(MAIN!F924))), LEN(TRIM(MAIN!F924))=4), VALUE(TRIM(MAIN!F924)), ""))</f>
        <v/>
      </c>
      <c r="G924">
        <f>IF(ISBLANK(MAIN!G924), 0, IF(ISNUMBER(VALUE(TRIM(MAIN!G924))), VALUE(TRIM(MAIN!G924)), 0))</f>
        <v>0</v>
      </c>
      <c r="H924">
        <f>IF(ISBLANK(MAIN!H924), 0, IF(ISNUMBER(VALUE(TRIM(MAIN!H924))), VALUE(TRIM(MAIN!H924)), 0))</f>
        <v>0</v>
      </c>
      <c r="I924">
        <f>IF(ISBLANK(MAIN!I924), 0, IF(ISNUMBER(VALUE(TRIM(MAIN!I924))), VALUE(TRIM(MAIN!I924)), 0))</f>
        <v>0</v>
      </c>
      <c r="J924">
        <f>IF(ISBLANK(MAIN!J924), 0, IF(ISNUMBER(VALUE(TRIM(MAIN!J924))), VALUE(TRIM(MAIN!J924)), 0))</f>
        <v>0</v>
      </c>
      <c r="K924" cm="1">
        <f t="array" ref="K924">IFERROR(
    VALUE(
        IFERROR(
            UPPER(
                IF(MAX(IFERROR(SEARCH("WD",MAIN!G924:J924), 0))&gt;0, "WD",
                IF(MAX(IFERROR(SEARCH("NS",MAIN!G924:J924), 0))&gt;0, "NS",
                IF(MAX(IFERROR(SEARCH("NC",MAIN!G924:J924), 0))&gt;0, "NC",
                IF(MAX(IFERROR(SEARCH("DQ",MAIN!G924:J924), 0))&gt;0, "DQ",
                IF(ISNUMBER(SEARCH("WD",MAIN!K924)), "WD",
                IF(ISNUMBER(SEARCH("NS",MAIN!K924)), "NS",
                IF(ISNUMBER(SEARCH("NC",MAIN!K924)), "NC",
                IF(ISNUMBER(SEARCH("DQ",MAIN!K924)), "DQ",
                IF(ISNUMBER(SEARCH("A",MAIN!K924)), 0,
                IF(OR(MAIN!K924=0,MAIN!K924=""), 0, --TRIM(MAIN!K924)))))))))))),
            0
        )
    ),
    IFERROR(
        UPPER(
            IF(MAX(IFERROR(SEARCH("WD",MAIN!G924:J924), 0))&gt;0, "WD",
            IF(MAX(IFERROR(SEARCH("NS",MAIN!G924:J924), 0))&gt;0, "NS",
            IF(MAX(IFERROR(SEARCH("NC",MAIN!G924:J924), 0))&gt;0, "NC",
            IF(MAX(IFERROR(SEARCH("DQ",MAIN!G924:J924), 0))&gt;0, "DQ",
            IF(ISNUMBER(SEARCH("WD",MAIN!K924)), "WD",
            IF(ISNUMBER(SEARCH("NS",MAIN!K924)), "NS",
            IF(ISNUMBER(SEARCH("NC",MAIN!K924)), "NC",
            IF(ISNUMBER(SEARCH("DQ",MAIN!K924)), "DQ",
            IF(ISNUMBER(SEARCH("A",MAIN!K924)), 0,
            IF(OR(MAIN!K924=0,MAIN!K924=""), 0, --TRIM(MAIN!K924)))))))))))),
        0
    )
)</f>
        <v>0</v>
      </c>
    </row>
    <row r="925" spans="1:11" x14ac:dyDescent="0.25">
      <c r="A925" t="str">
        <f>IF(ISBLANK(MAIN!A925), "--", IFERROR(PROPER(SUBSTITUTE(SUBSTITUTE(SUBSTITUTE(SUBSTITUTE(SUBSTITUTE(SUBSTITUTE(SUBSTITUTE(SUBSTITUTE(SUBSTITUTE(SUBSTITUTE(LEFT(MAIN!A925, FIND(",",MAIN!A925) -1), "0", ""), "1", ""), "2", ""), "3", ""), "4", ""), "5", ""), "6", ""), "7", ""), "8", ""), "9", "")), PROPER(SUBSTITUTE(SUBSTITUTE(SUBSTITUTE(SUBSTITUTE(SUBSTITUTE(SUBSTITUTE(SUBSTITUTE(SUBSTITUTE(SUBSTITUTE(SUBSTITUTE(MAIN!A925, "0", ""), "1", ""), "2", ""), "3", ""), "4", ""), "5", ""), "6", ""), "7", ""), "8", ""), "9", ""))))</f>
        <v>--</v>
      </c>
      <c r="B925" t="str">
        <f>IF(ISBLANK(MAIN!B925), "--", IFERROR(PROPER(SUBSTITUTE(SUBSTITUTE(SUBSTITUTE(SUBSTITUTE(SUBSTITUTE(SUBSTITUTE(SUBSTITUTE(SUBSTITUTE(SUBSTITUTE(SUBSTITUTE(LEFT(MAIN!B925, FIND(",",MAIN!B925) -1), "0", ""), "1", ""), "2", ""), "3", ""), "4", ""), "5", ""), "6", ""), "7", ""), "8", ""), "9", "")), PROPER(SUBSTITUTE(SUBSTITUTE(SUBSTITUTE(SUBSTITUTE(SUBSTITUTE(SUBSTITUTE(SUBSTITUTE(SUBSTITUTE(SUBSTITUTE(SUBSTITUTE(MAIN!B925, "0", ""), "1", ""), "2", ""), "3", ""), "4", ""), "5", ""), "6", ""), "7", ""), "8", ""), "9", ""))))</f>
        <v>--</v>
      </c>
      <c r="C925" t="str">
        <f>IF(ISBLANK(MAIN!C925), "--", IFERROR(PROPER(SUBSTITUTE(SUBSTITUTE(SUBSTITUTE(SUBSTITUTE(SUBSTITUTE(SUBSTITUTE(SUBSTITUTE(SUBSTITUTE(SUBSTITUTE(SUBSTITUTE(LEFT(MAIN!C925, FIND(",",MAIN!C925) -1), "0", ""), "1", ""), "2", ""), "3", ""), "4", ""), "5", ""), "6", ""), "7", ""), "8", ""), "9", "")), PROPER(SUBSTITUTE(SUBSTITUTE(SUBSTITUTE(SUBSTITUTE(SUBSTITUTE(SUBSTITUTE(SUBSTITUTE(SUBSTITUTE(SUBSTITUTE(SUBSTITUTE(MAIN!C925, "0", ""), "1", ""), "2", ""), "3", ""), "4", ""), "5", ""), "6", ""), "7", ""), "8", ""), "9", ""))))</f>
        <v>--</v>
      </c>
      <c r="D925" t="str">
        <f>IF(ISBLANK(MAIN!D925), "--", IF(ISNUMBER(MATCH(SUBSTITUTE(LEFT(MAIN!D925, IFERROR(FIND(",", MAIN!D925)-1, LEN(MAIN!D925))), " ", ""), lookup_values!$B$2:$B$51, 0)), UPPER(SUBSTITUTE(LEFT(MAIN!D925, IFERROR(FIND(",", MAIN!D925)-1, LEN(MAIN!D925))), " ", "")), IF(ISNA(VLOOKUP(SUBSTITUTE(LEFT(MAIN!D925, IFERROR(FIND(",", MAIN!D925)-1, LEN(MAIN!D925))), " ", ""), lookup_values!$A$2:$B$51, 2, FALSE)), "--", VLOOKUP(SUBSTITUTE(LEFT(MAIN!D925, IFERROR(FIND(",", MAIN!D925)-1, LEN(MAIN!D925))), " ", ""), lookup_values!$A$2:$B$51, 2, FALSE))))</f>
        <v>--</v>
      </c>
      <c r="E925" t="str">
        <f>IF(CLEAN_DATA!D925&lt;&gt;"--","US",IF(ISBLANK(MAIN!E925), "--", IF(ISNUMBER(MATCH(SUBSTITUTE(LEFT(MAIN!E925, IFERROR(FIND(",", MAIN!E925)-1, LEN(MAIN!E925))), " ", ""), lookup_values!$E$2:$E$197, 0)), UPPER(SUBSTITUTE(LEFT(MAIN!E925, IFERROR(FIND(",", MAIN!E925)-1, LEN(MAIN!E925))), " ", "")), IF(ISNA(VLOOKUP(SUBSTITUTE(LEFT(MAIN!E925, IFERROR(FIND(",", MAIN!E925)-1, LEN(MAIN!E925))), " ", ""), lookup_values!$D$2:$E$197, 2, FALSE)), "--", VLOOKUP(SUBSTITUTE(LEFT(MAIN!E925, IFERROR(FIND(",", MAIN!E925)-1, LEN(MAIN!E925))), " ", ""), lookup_values!$D$2:$E$197, 2, FALSE)))))</f>
        <v>--</v>
      </c>
      <c r="F925" t="str">
        <f>IF(ISBLANK(MAIN!F925), "", IF(AND(ISNUMBER(VALUE(TRIM(MAIN!F925))), LEN(TRIM(MAIN!F925))=4), VALUE(TRIM(MAIN!F925)), ""))</f>
        <v/>
      </c>
      <c r="G925">
        <f>IF(ISBLANK(MAIN!G925), 0, IF(ISNUMBER(VALUE(TRIM(MAIN!G925))), VALUE(TRIM(MAIN!G925)), 0))</f>
        <v>0</v>
      </c>
      <c r="H925">
        <f>IF(ISBLANK(MAIN!H925), 0, IF(ISNUMBER(VALUE(TRIM(MAIN!H925))), VALUE(TRIM(MAIN!H925)), 0))</f>
        <v>0</v>
      </c>
      <c r="I925">
        <f>IF(ISBLANK(MAIN!I925), 0, IF(ISNUMBER(VALUE(TRIM(MAIN!I925))), VALUE(TRIM(MAIN!I925)), 0))</f>
        <v>0</v>
      </c>
      <c r="J925">
        <f>IF(ISBLANK(MAIN!J925), 0, IF(ISNUMBER(VALUE(TRIM(MAIN!J925))), VALUE(TRIM(MAIN!J925)), 0))</f>
        <v>0</v>
      </c>
      <c r="K925" cm="1">
        <f t="array" ref="K925">IFERROR(
    VALUE(
        IFERROR(
            UPPER(
                IF(MAX(IFERROR(SEARCH("WD",MAIN!G925:J925), 0))&gt;0, "WD",
                IF(MAX(IFERROR(SEARCH("NS",MAIN!G925:J925), 0))&gt;0, "NS",
                IF(MAX(IFERROR(SEARCH("NC",MAIN!G925:J925), 0))&gt;0, "NC",
                IF(MAX(IFERROR(SEARCH("DQ",MAIN!G925:J925), 0))&gt;0, "DQ",
                IF(ISNUMBER(SEARCH("WD",MAIN!K925)), "WD",
                IF(ISNUMBER(SEARCH("NS",MAIN!K925)), "NS",
                IF(ISNUMBER(SEARCH("NC",MAIN!K925)), "NC",
                IF(ISNUMBER(SEARCH("DQ",MAIN!K925)), "DQ",
                IF(ISNUMBER(SEARCH("A",MAIN!K925)), 0,
                IF(OR(MAIN!K925=0,MAIN!K925=""), 0, --TRIM(MAIN!K925)))))))))))),
            0
        )
    ),
    IFERROR(
        UPPER(
            IF(MAX(IFERROR(SEARCH("WD",MAIN!G925:J925), 0))&gt;0, "WD",
            IF(MAX(IFERROR(SEARCH("NS",MAIN!G925:J925), 0))&gt;0, "NS",
            IF(MAX(IFERROR(SEARCH("NC",MAIN!G925:J925), 0))&gt;0, "NC",
            IF(MAX(IFERROR(SEARCH("DQ",MAIN!G925:J925), 0))&gt;0, "DQ",
            IF(ISNUMBER(SEARCH("WD",MAIN!K925)), "WD",
            IF(ISNUMBER(SEARCH("NS",MAIN!K925)), "NS",
            IF(ISNUMBER(SEARCH("NC",MAIN!K925)), "NC",
            IF(ISNUMBER(SEARCH("DQ",MAIN!K925)), "DQ",
            IF(ISNUMBER(SEARCH("A",MAIN!K925)), 0,
            IF(OR(MAIN!K925=0,MAIN!K925=""), 0, --TRIM(MAIN!K925)))))))))))),
        0
    )
)</f>
        <v>0</v>
      </c>
    </row>
    <row r="926" spans="1:11" x14ac:dyDescent="0.25">
      <c r="A926" t="str">
        <f>IF(ISBLANK(MAIN!A926), "--", IFERROR(PROPER(SUBSTITUTE(SUBSTITUTE(SUBSTITUTE(SUBSTITUTE(SUBSTITUTE(SUBSTITUTE(SUBSTITUTE(SUBSTITUTE(SUBSTITUTE(SUBSTITUTE(LEFT(MAIN!A926, FIND(",",MAIN!A926) -1), "0", ""), "1", ""), "2", ""), "3", ""), "4", ""), "5", ""), "6", ""), "7", ""), "8", ""), "9", "")), PROPER(SUBSTITUTE(SUBSTITUTE(SUBSTITUTE(SUBSTITUTE(SUBSTITUTE(SUBSTITUTE(SUBSTITUTE(SUBSTITUTE(SUBSTITUTE(SUBSTITUTE(MAIN!A926, "0", ""), "1", ""), "2", ""), "3", ""), "4", ""), "5", ""), "6", ""), "7", ""), "8", ""), "9", ""))))</f>
        <v>--</v>
      </c>
      <c r="B926" t="str">
        <f>IF(ISBLANK(MAIN!B926), "--", IFERROR(PROPER(SUBSTITUTE(SUBSTITUTE(SUBSTITUTE(SUBSTITUTE(SUBSTITUTE(SUBSTITUTE(SUBSTITUTE(SUBSTITUTE(SUBSTITUTE(SUBSTITUTE(LEFT(MAIN!B926, FIND(",",MAIN!B926) -1), "0", ""), "1", ""), "2", ""), "3", ""), "4", ""), "5", ""), "6", ""), "7", ""), "8", ""), "9", "")), PROPER(SUBSTITUTE(SUBSTITUTE(SUBSTITUTE(SUBSTITUTE(SUBSTITUTE(SUBSTITUTE(SUBSTITUTE(SUBSTITUTE(SUBSTITUTE(SUBSTITUTE(MAIN!B926, "0", ""), "1", ""), "2", ""), "3", ""), "4", ""), "5", ""), "6", ""), "7", ""), "8", ""), "9", ""))))</f>
        <v>--</v>
      </c>
      <c r="C926" t="str">
        <f>IF(ISBLANK(MAIN!C926), "--", IFERROR(PROPER(SUBSTITUTE(SUBSTITUTE(SUBSTITUTE(SUBSTITUTE(SUBSTITUTE(SUBSTITUTE(SUBSTITUTE(SUBSTITUTE(SUBSTITUTE(SUBSTITUTE(LEFT(MAIN!C926, FIND(",",MAIN!C926) -1), "0", ""), "1", ""), "2", ""), "3", ""), "4", ""), "5", ""), "6", ""), "7", ""), "8", ""), "9", "")), PROPER(SUBSTITUTE(SUBSTITUTE(SUBSTITUTE(SUBSTITUTE(SUBSTITUTE(SUBSTITUTE(SUBSTITUTE(SUBSTITUTE(SUBSTITUTE(SUBSTITUTE(MAIN!C926, "0", ""), "1", ""), "2", ""), "3", ""), "4", ""), "5", ""), "6", ""), "7", ""), "8", ""), "9", ""))))</f>
        <v>--</v>
      </c>
      <c r="D926" t="str">
        <f>IF(ISBLANK(MAIN!D926), "--", IF(ISNUMBER(MATCH(SUBSTITUTE(LEFT(MAIN!D926, IFERROR(FIND(",", MAIN!D926)-1, LEN(MAIN!D926))), " ", ""), lookup_values!$B$2:$B$51, 0)), UPPER(SUBSTITUTE(LEFT(MAIN!D926, IFERROR(FIND(",", MAIN!D926)-1, LEN(MAIN!D926))), " ", "")), IF(ISNA(VLOOKUP(SUBSTITUTE(LEFT(MAIN!D926, IFERROR(FIND(",", MAIN!D926)-1, LEN(MAIN!D926))), " ", ""), lookup_values!$A$2:$B$51, 2, FALSE)), "--", VLOOKUP(SUBSTITUTE(LEFT(MAIN!D926, IFERROR(FIND(",", MAIN!D926)-1, LEN(MAIN!D926))), " ", ""), lookup_values!$A$2:$B$51, 2, FALSE))))</f>
        <v>--</v>
      </c>
      <c r="E926" t="str">
        <f>IF(CLEAN_DATA!D926&lt;&gt;"--","US",IF(ISBLANK(MAIN!E926), "--", IF(ISNUMBER(MATCH(SUBSTITUTE(LEFT(MAIN!E926, IFERROR(FIND(",", MAIN!E926)-1, LEN(MAIN!E926))), " ", ""), lookup_values!$E$2:$E$197, 0)), UPPER(SUBSTITUTE(LEFT(MAIN!E926, IFERROR(FIND(",", MAIN!E926)-1, LEN(MAIN!E926))), " ", "")), IF(ISNA(VLOOKUP(SUBSTITUTE(LEFT(MAIN!E926, IFERROR(FIND(",", MAIN!E926)-1, LEN(MAIN!E926))), " ", ""), lookup_values!$D$2:$E$197, 2, FALSE)), "--", VLOOKUP(SUBSTITUTE(LEFT(MAIN!E926, IFERROR(FIND(",", MAIN!E926)-1, LEN(MAIN!E926))), " ", ""), lookup_values!$D$2:$E$197, 2, FALSE)))))</f>
        <v>--</v>
      </c>
      <c r="F926" t="str">
        <f>IF(ISBLANK(MAIN!F926), "", IF(AND(ISNUMBER(VALUE(TRIM(MAIN!F926))), LEN(TRIM(MAIN!F926))=4), VALUE(TRIM(MAIN!F926)), ""))</f>
        <v/>
      </c>
      <c r="G926">
        <f>IF(ISBLANK(MAIN!G926), 0, IF(ISNUMBER(VALUE(TRIM(MAIN!G926))), VALUE(TRIM(MAIN!G926)), 0))</f>
        <v>0</v>
      </c>
      <c r="H926">
        <f>IF(ISBLANK(MAIN!H926), 0, IF(ISNUMBER(VALUE(TRIM(MAIN!H926))), VALUE(TRIM(MAIN!H926)), 0))</f>
        <v>0</v>
      </c>
      <c r="I926">
        <f>IF(ISBLANK(MAIN!I926), 0, IF(ISNUMBER(VALUE(TRIM(MAIN!I926))), VALUE(TRIM(MAIN!I926)), 0))</f>
        <v>0</v>
      </c>
      <c r="J926">
        <f>IF(ISBLANK(MAIN!J926), 0, IF(ISNUMBER(VALUE(TRIM(MAIN!J926))), VALUE(TRIM(MAIN!J926)), 0))</f>
        <v>0</v>
      </c>
      <c r="K926" cm="1">
        <f t="array" ref="K926">IFERROR(
    VALUE(
        IFERROR(
            UPPER(
                IF(MAX(IFERROR(SEARCH("WD",MAIN!G926:J926), 0))&gt;0, "WD",
                IF(MAX(IFERROR(SEARCH("NS",MAIN!G926:J926), 0))&gt;0, "NS",
                IF(MAX(IFERROR(SEARCH("NC",MAIN!G926:J926), 0))&gt;0, "NC",
                IF(MAX(IFERROR(SEARCH("DQ",MAIN!G926:J926), 0))&gt;0, "DQ",
                IF(ISNUMBER(SEARCH("WD",MAIN!K926)), "WD",
                IF(ISNUMBER(SEARCH("NS",MAIN!K926)), "NS",
                IF(ISNUMBER(SEARCH("NC",MAIN!K926)), "NC",
                IF(ISNUMBER(SEARCH("DQ",MAIN!K926)), "DQ",
                IF(ISNUMBER(SEARCH("A",MAIN!K926)), 0,
                IF(OR(MAIN!K926=0,MAIN!K926=""), 0, --TRIM(MAIN!K926)))))))))))),
            0
        )
    ),
    IFERROR(
        UPPER(
            IF(MAX(IFERROR(SEARCH("WD",MAIN!G926:J926), 0))&gt;0, "WD",
            IF(MAX(IFERROR(SEARCH("NS",MAIN!G926:J926), 0))&gt;0, "NS",
            IF(MAX(IFERROR(SEARCH("NC",MAIN!G926:J926), 0))&gt;0, "NC",
            IF(MAX(IFERROR(SEARCH("DQ",MAIN!G926:J926), 0))&gt;0, "DQ",
            IF(ISNUMBER(SEARCH("WD",MAIN!K926)), "WD",
            IF(ISNUMBER(SEARCH("NS",MAIN!K926)), "NS",
            IF(ISNUMBER(SEARCH("NC",MAIN!K926)), "NC",
            IF(ISNUMBER(SEARCH("DQ",MAIN!K926)), "DQ",
            IF(ISNUMBER(SEARCH("A",MAIN!K926)), 0,
            IF(OR(MAIN!K926=0,MAIN!K926=""), 0, --TRIM(MAIN!K926)))))))))))),
        0
    )
)</f>
        <v>0</v>
      </c>
    </row>
    <row r="927" spans="1:11" x14ac:dyDescent="0.25">
      <c r="A927" t="str">
        <f>IF(ISBLANK(MAIN!A927), "--", IFERROR(PROPER(SUBSTITUTE(SUBSTITUTE(SUBSTITUTE(SUBSTITUTE(SUBSTITUTE(SUBSTITUTE(SUBSTITUTE(SUBSTITUTE(SUBSTITUTE(SUBSTITUTE(LEFT(MAIN!A927, FIND(",",MAIN!A927) -1), "0", ""), "1", ""), "2", ""), "3", ""), "4", ""), "5", ""), "6", ""), "7", ""), "8", ""), "9", "")), PROPER(SUBSTITUTE(SUBSTITUTE(SUBSTITUTE(SUBSTITUTE(SUBSTITUTE(SUBSTITUTE(SUBSTITUTE(SUBSTITUTE(SUBSTITUTE(SUBSTITUTE(MAIN!A927, "0", ""), "1", ""), "2", ""), "3", ""), "4", ""), "5", ""), "6", ""), "7", ""), "8", ""), "9", ""))))</f>
        <v>--</v>
      </c>
      <c r="B927" t="str">
        <f>IF(ISBLANK(MAIN!B927), "--", IFERROR(PROPER(SUBSTITUTE(SUBSTITUTE(SUBSTITUTE(SUBSTITUTE(SUBSTITUTE(SUBSTITUTE(SUBSTITUTE(SUBSTITUTE(SUBSTITUTE(SUBSTITUTE(LEFT(MAIN!B927, FIND(",",MAIN!B927) -1), "0", ""), "1", ""), "2", ""), "3", ""), "4", ""), "5", ""), "6", ""), "7", ""), "8", ""), "9", "")), PROPER(SUBSTITUTE(SUBSTITUTE(SUBSTITUTE(SUBSTITUTE(SUBSTITUTE(SUBSTITUTE(SUBSTITUTE(SUBSTITUTE(SUBSTITUTE(SUBSTITUTE(MAIN!B927, "0", ""), "1", ""), "2", ""), "3", ""), "4", ""), "5", ""), "6", ""), "7", ""), "8", ""), "9", ""))))</f>
        <v>--</v>
      </c>
      <c r="C927" t="str">
        <f>IF(ISBLANK(MAIN!C927), "--", IFERROR(PROPER(SUBSTITUTE(SUBSTITUTE(SUBSTITUTE(SUBSTITUTE(SUBSTITUTE(SUBSTITUTE(SUBSTITUTE(SUBSTITUTE(SUBSTITUTE(SUBSTITUTE(LEFT(MAIN!C927, FIND(",",MAIN!C927) -1), "0", ""), "1", ""), "2", ""), "3", ""), "4", ""), "5", ""), "6", ""), "7", ""), "8", ""), "9", "")), PROPER(SUBSTITUTE(SUBSTITUTE(SUBSTITUTE(SUBSTITUTE(SUBSTITUTE(SUBSTITUTE(SUBSTITUTE(SUBSTITUTE(SUBSTITUTE(SUBSTITUTE(MAIN!C927, "0", ""), "1", ""), "2", ""), "3", ""), "4", ""), "5", ""), "6", ""), "7", ""), "8", ""), "9", ""))))</f>
        <v>--</v>
      </c>
      <c r="D927" t="str">
        <f>IF(ISBLANK(MAIN!D927), "--", IF(ISNUMBER(MATCH(SUBSTITUTE(LEFT(MAIN!D927, IFERROR(FIND(",", MAIN!D927)-1, LEN(MAIN!D927))), " ", ""), lookup_values!$B$2:$B$51, 0)), UPPER(SUBSTITUTE(LEFT(MAIN!D927, IFERROR(FIND(",", MAIN!D927)-1, LEN(MAIN!D927))), " ", "")), IF(ISNA(VLOOKUP(SUBSTITUTE(LEFT(MAIN!D927, IFERROR(FIND(",", MAIN!D927)-1, LEN(MAIN!D927))), " ", ""), lookup_values!$A$2:$B$51, 2, FALSE)), "--", VLOOKUP(SUBSTITUTE(LEFT(MAIN!D927, IFERROR(FIND(",", MAIN!D927)-1, LEN(MAIN!D927))), " ", ""), lookup_values!$A$2:$B$51, 2, FALSE))))</f>
        <v>--</v>
      </c>
      <c r="E927" t="str">
        <f>IF(CLEAN_DATA!D927&lt;&gt;"--","US",IF(ISBLANK(MAIN!E927), "--", IF(ISNUMBER(MATCH(SUBSTITUTE(LEFT(MAIN!E927, IFERROR(FIND(",", MAIN!E927)-1, LEN(MAIN!E927))), " ", ""), lookup_values!$E$2:$E$197, 0)), UPPER(SUBSTITUTE(LEFT(MAIN!E927, IFERROR(FIND(",", MAIN!E927)-1, LEN(MAIN!E927))), " ", "")), IF(ISNA(VLOOKUP(SUBSTITUTE(LEFT(MAIN!E927, IFERROR(FIND(",", MAIN!E927)-1, LEN(MAIN!E927))), " ", ""), lookup_values!$D$2:$E$197, 2, FALSE)), "--", VLOOKUP(SUBSTITUTE(LEFT(MAIN!E927, IFERROR(FIND(",", MAIN!E927)-1, LEN(MAIN!E927))), " ", ""), lookup_values!$D$2:$E$197, 2, FALSE)))))</f>
        <v>--</v>
      </c>
      <c r="F927" t="str">
        <f>IF(ISBLANK(MAIN!F927), "", IF(AND(ISNUMBER(VALUE(TRIM(MAIN!F927))), LEN(TRIM(MAIN!F927))=4), VALUE(TRIM(MAIN!F927)), ""))</f>
        <v/>
      </c>
      <c r="G927">
        <f>IF(ISBLANK(MAIN!G927), 0, IF(ISNUMBER(VALUE(TRIM(MAIN!G927))), VALUE(TRIM(MAIN!G927)), 0))</f>
        <v>0</v>
      </c>
      <c r="H927">
        <f>IF(ISBLANK(MAIN!H927), 0, IF(ISNUMBER(VALUE(TRIM(MAIN!H927))), VALUE(TRIM(MAIN!H927)), 0))</f>
        <v>0</v>
      </c>
      <c r="I927">
        <f>IF(ISBLANK(MAIN!I927), 0, IF(ISNUMBER(VALUE(TRIM(MAIN!I927))), VALUE(TRIM(MAIN!I927)), 0))</f>
        <v>0</v>
      </c>
      <c r="J927">
        <f>IF(ISBLANK(MAIN!J927), 0, IF(ISNUMBER(VALUE(TRIM(MAIN!J927))), VALUE(TRIM(MAIN!J927)), 0))</f>
        <v>0</v>
      </c>
      <c r="K927" cm="1">
        <f t="array" ref="K927">IFERROR(
    VALUE(
        IFERROR(
            UPPER(
                IF(MAX(IFERROR(SEARCH("WD",MAIN!G927:J927), 0))&gt;0, "WD",
                IF(MAX(IFERROR(SEARCH("NS",MAIN!G927:J927), 0))&gt;0, "NS",
                IF(MAX(IFERROR(SEARCH("NC",MAIN!G927:J927), 0))&gt;0, "NC",
                IF(MAX(IFERROR(SEARCH("DQ",MAIN!G927:J927), 0))&gt;0, "DQ",
                IF(ISNUMBER(SEARCH("WD",MAIN!K927)), "WD",
                IF(ISNUMBER(SEARCH("NS",MAIN!K927)), "NS",
                IF(ISNUMBER(SEARCH("NC",MAIN!K927)), "NC",
                IF(ISNUMBER(SEARCH("DQ",MAIN!K927)), "DQ",
                IF(ISNUMBER(SEARCH("A",MAIN!K927)), 0,
                IF(OR(MAIN!K927=0,MAIN!K927=""), 0, --TRIM(MAIN!K927)))))))))))),
            0
        )
    ),
    IFERROR(
        UPPER(
            IF(MAX(IFERROR(SEARCH("WD",MAIN!G927:J927), 0))&gt;0, "WD",
            IF(MAX(IFERROR(SEARCH("NS",MAIN!G927:J927), 0))&gt;0, "NS",
            IF(MAX(IFERROR(SEARCH("NC",MAIN!G927:J927), 0))&gt;0, "NC",
            IF(MAX(IFERROR(SEARCH("DQ",MAIN!G927:J927), 0))&gt;0, "DQ",
            IF(ISNUMBER(SEARCH("WD",MAIN!K927)), "WD",
            IF(ISNUMBER(SEARCH("NS",MAIN!K927)), "NS",
            IF(ISNUMBER(SEARCH("NC",MAIN!K927)), "NC",
            IF(ISNUMBER(SEARCH("DQ",MAIN!K927)), "DQ",
            IF(ISNUMBER(SEARCH("A",MAIN!K927)), 0,
            IF(OR(MAIN!K927=0,MAIN!K927=""), 0, --TRIM(MAIN!K927)))))))))))),
        0
    )
)</f>
        <v>0</v>
      </c>
    </row>
    <row r="928" spans="1:11" x14ac:dyDescent="0.25">
      <c r="A928" t="str">
        <f>IF(ISBLANK(MAIN!A928), "--", IFERROR(PROPER(SUBSTITUTE(SUBSTITUTE(SUBSTITUTE(SUBSTITUTE(SUBSTITUTE(SUBSTITUTE(SUBSTITUTE(SUBSTITUTE(SUBSTITUTE(SUBSTITUTE(LEFT(MAIN!A928, FIND(",",MAIN!A928) -1), "0", ""), "1", ""), "2", ""), "3", ""), "4", ""), "5", ""), "6", ""), "7", ""), "8", ""), "9", "")), PROPER(SUBSTITUTE(SUBSTITUTE(SUBSTITUTE(SUBSTITUTE(SUBSTITUTE(SUBSTITUTE(SUBSTITUTE(SUBSTITUTE(SUBSTITUTE(SUBSTITUTE(MAIN!A928, "0", ""), "1", ""), "2", ""), "3", ""), "4", ""), "5", ""), "6", ""), "7", ""), "8", ""), "9", ""))))</f>
        <v>--</v>
      </c>
      <c r="B928" t="str">
        <f>IF(ISBLANK(MAIN!B928), "--", IFERROR(PROPER(SUBSTITUTE(SUBSTITUTE(SUBSTITUTE(SUBSTITUTE(SUBSTITUTE(SUBSTITUTE(SUBSTITUTE(SUBSTITUTE(SUBSTITUTE(SUBSTITUTE(LEFT(MAIN!B928, FIND(",",MAIN!B928) -1), "0", ""), "1", ""), "2", ""), "3", ""), "4", ""), "5", ""), "6", ""), "7", ""), "8", ""), "9", "")), PROPER(SUBSTITUTE(SUBSTITUTE(SUBSTITUTE(SUBSTITUTE(SUBSTITUTE(SUBSTITUTE(SUBSTITUTE(SUBSTITUTE(SUBSTITUTE(SUBSTITUTE(MAIN!B928, "0", ""), "1", ""), "2", ""), "3", ""), "4", ""), "5", ""), "6", ""), "7", ""), "8", ""), "9", ""))))</f>
        <v>--</v>
      </c>
      <c r="C928" t="str">
        <f>IF(ISBLANK(MAIN!C928), "--", IFERROR(PROPER(SUBSTITUTE(SUBSTITUTE(SUBSTITUTE(SUBSTITUTE(SUBSTITUTE(SUBSTITUTE(SUBSTITUTE(SUBSTITUTE(SUBSTITUTE(SUBSTITUTE(LEFT(MAIN!C928, FIND(",",MAIN!C928) -1), "0", ""), "1", ""), "2", ""), "3", ""), "4", ""), "5", ""), "6", ""), "7", ""), "8", ""), "9", "")), PROPER(SUBSTITUTE(SUBSTITUTE(SUBSTITUTE(SUBSTITUTE(SUBSTITUTE(SUBSTITUTE(SUBSTITUTE(SUBSTITUTE(SUBSTITUTE(SUBSTITUTE(MAIN!C928, "0", ""), "1", ""), "2", ""), "3", ""), "4", ""), "5", ""), "6", ""), "7", ""), "8", ""), "9", ""))))</f>
        <v>--</v>
      </c>
      <c r="D928" t="str">
        <f>IF(ISBLANK(MAIN!D928), "--", IF(ISNUMBER(MATCH(SUBSTITUTE(LEFT(MAIN!D928, IFERROR(FIND(",", MAIN!D928)-1, LEN(MAIN!D928))), " ", ""), lookup_values!$B$2:$B$51, 0)), UPPER(SUBSTITUTE(LEFT(MAIN!D928, IFERROR(FIND(",", MAIN!D928)-1, LEN(MAIN!D928))), " ", "")), IF(ISNA(VLOOKUP(SUBSTITUTE(LEFT(MAIN!D928, IFERROR(FIND(",", MAIN!D928)-1, LEN(MAIN!D928))), " ", ""), lookup_values!$A$2:$B$51, 2, FALSE)), "--", VLOOKUP(SUBSTITUTE(LEFT(MAIN!D928, IFERROR(FIND(",", MAIN!D928)-1, LEN(MAIN!D928))), " ", ""), lookup_values!$A$2:$B$51, 2, FALSE))))</f>
        <v>--</v>
      </c>
      <c r="E928" t="str">
        <f>IF(CLEAN_DATA!D928&lt;&gt;"--","US",IF(ISBLANK(MAIN!E928), "--", IF(ISNUMBER(MATCH(SUBSTITUTE(LEFT(MAIN!E928, IFERROR(FIND(",", MAIN!E928)-1, LEN(MAIN!E928))), " ", ""), lookup_values!$E$2:$E$197, 0)), UPPER(SUBSTITUTE(LEFT(MAIN!E928, IFERROR(FIND(",", MAIN!E928)-1, LEN(MAIN!E928))), " ", "")), IF(ISNA(VLOOKUP(SUBSTITUTE(LEFT(MAIN!E928, IFERROR(FIND(",", MAIN!E928)-1, LEN(MAIN!E928))), " ", ""), lookup_values!$D$2:$E$197, 2, FALSE)), "--", VLOOKUP(SUBSTITUTE(LEFT(MAIN!E928, IFERROR(FIND(",", MAIN!E928)-1, LEN(MAIN!E928))), " ", ""), lookup_values!$D$2:$E$197, 2, FALSE)))))</f>
        <v>--</v>
      </c>
      <c r="F928" t="str">
        <f>IF(ISBLANK(MAIN!F928), "", IF(AND(ISNUMBER(VALUE(TRIM(MAIN!F928))), LEN(TRIM(MAIN!F928))=4), VALUE(TRIM(MAIN!F928)), ""))</f>
        <v/>
      </c>
      <c r="G928">
        <f>IF(ISBLANK(MAIN!G928), 0, IF(ISNUMBER(VALUE(TRIM(MAIN!G928))), VALUE(TRIM(MAIN!G928)), 0))</f>
        <v>0</v>
      </c>
      <c r="H928">
        <f>IF(ISBLANK(MAIN!H928), 0, IF(ISNUMBER(VALUE(TRIM(MAIN!H928))), VALUE(TRIM(MAIN!H928)), 0))</f>
        <v>0</v>
      </c>
      <c r="I928">
        <f>IF(ISBLANK(MAIN!I928), 0, IF(ISNUMBER(VALUE(TRIM(MAIN!I928))), VALUE(TRIM(MAIN!I928)), 0))</f>
        <v>0</v>
      </c>
      <c r="J928">
        <f>IF(ISBLANK(MAIN!J928), 0, IF(ISNUMBER(VALUE(TRIM(MAIN!J928))), VALUE(TRIM(MAIN!J928)), 0))</f>
        <v>0</v>
      </c>
      <c r="K928" cm="1">
        <f t="array" ref="K928">IFERROR(
    VALUE(
        IFERROR(
            UPPER(
                IF(MAX(IFERROR(SEARCH("WD",MAIN!G928:J928), 0))&gt;0, "WD",
                IF(MAX(IFERROR(SEARCH("NS",MAIN!G928:J928), 0))&gt;0, "NS",
                IF(MAX(IFERROR(SEARCH("NC",MAIN!G928:J928), 0))&gt;0, "NC",
                IF(MAX(IFERROR(SEARCH("DQ",MAIN!G928:J928), 0))&gt;0, "DQ",
                IF(ISNUMBER(SEARCH("WD",MAIN!K928)), "WD",
                IF(ISNUMBER(SEARCH("NS",MAIN!K928)), "NS",
                IF(ISNUMBER(SEARCH("NC",MAIN!K928)), "NC",
                IF(ISNUMBER(SEARCH("DQ",MAIN!K928)), "DQ",
                IF(ISNUMBER(SEARCH("A",MAIN!K928)), 0,
                IF(OR(MAIN!K928=0,MAIN!K928=""), 0, --TRIM(MAIN!K928)))))))))))),
            0
        )
    ),
    IFERROR(
        UPPER(
            IF(MAX(IFERROR(SEARCH("WD",MAIN!G928:J928), 0))&gt;0, "WD",
            IF(MAX(IFERROR(SEARCH("NS",MAIN!G928:J928), 0))&gt;0, "NS",
            IF(MAX(IFERROR(SEARCH("NC",MAIN!G928:J928), 0))&gt;0, "NC",
            IF(MAX(IFERROR(SEARCH("DQ",MAIN!G928:J928), 0))&gt;0, "DQ",
            IF(ISNUMBER(SEARCH("WD",MAIN!K928)), "WD",
            IF(ISNUMBER(SEARCH("NS",MAIN!K928)), "NS",
            IF(ISNUMBER(SEARCH("NC",MAIN!K928)), "NC",
            IF(ISNUMBER(SEARCH("DQ",MAIN!K928)), "DQ",
            IF(ISNUMBER(SEARCH("A",MAIN!K928)), 0,
            IF(OR(MAIN!K928=0,MAIN!K928=""), 0, --TRIM(MAIN!K928)))))))))))),
        0
    )
)</f>
        <v>0</v>
      </c>
    </row>
    <row r="929" spans="1:11" x14ac:dyDescent="0.25">
      <c r="A929" t="str">
        <f>IF(ISBLANK(MAIN!A929), "--", IFERROR(PROPER(SUBSTITUTE(SUBSTITUTE(SUBSTITUTE(SUBSTITUTE(SUBSTITUTE(SUBSTITUTE(SUBSTITUTE(SUBSTITUTE(SUBSTITUTE(SUBSTITUTE(LEFT(MAIN!A929, FIND(",",MAIN!A929) -1), "0", ""), "1", ""), "2", ""), "3", ""), "4", ""), "5", ""), "6", ""), "7", ""), "8", ""), "9", "")), PROPER(SUBSTITUTE(SUBSTITUTE(SUBSTITUTE(SUBSTITUTE(SUBSTITUTE(SUBSTITUTE(SUBSTITUTE(SUBSTITUTE(SUBSTITUTE(SUBSTITUTE(MAIN!A929, "0", ""), "1", ""), "2", ""), "3", ""), "4", ""), "5", ""), "6", ""), "7", ""), "8", ""), "9", ""))))</f>
        <v>--</v>
      </c>
      <c r="B929" t="str">
        <f>IF(ISBLANK(MAIN!B929), "--", IFERROR(PROPER(SUBSTITUTE(SUBSTITUTE(SUBSTITUTE(SUBSTITUTE(SUBSTITUTE(SUBSTITUTE(SUBSTITUTE(SUBSTITUTE(SUBSTITUTE(SUBSTITUTE(LEFT(MAIN!B929, FIND(",",MAIN!B929) -1), "0", ""), "1", ""), "2", ""), "3", ""), "4", ""), "5", ""), "6", ""), "7", ""), "8", ""), "9", "")), PROPER(SUBSTITUTE(SUBSTITUTE(SUBSTITUTE(SUBSTITUTE(SUBSTITUTE(SUBSTITUTE(SUBSTITUTE(SUBSTITUTE(SUBSTITUTE(SUBSTITUTE(MAIN!B929, "0", ""), "1", ""), "2", ""), "3", ""), "4", ""), "5", ""), "6", ""), "7", ""), "8", ""), "9", ""))))</f>
        <v>--</v>
      </c>
      <c r="C929" t="str">
        <f>IF(ISBLANK(MAIN!C929), "--", IFERROR(PROPER(SUBSTITUTE(SUBSTITUTE(SUBSTITUTE(SUBSTITUTE(SUBSTITUTE(SUBSTITUTE(SUBSTITUTE(SUBSTITUTE(SUBSTITUTE(SUBSTITUTE(LEFT(MAIN!C929, FIND(",",MAIN!C929) -1), "0", ""), "1", ""), "2", ""), "3", ""), "4", ""), "5", ""), "6", ""), "7", ""), "8", ""), "9", "")), PROPER(SUBSTITUTE(SUBSTITUTE(SUBSTITUTE(SUBSTITUTE(SUBSTITUTE(SUBSTITUTE(SUBSTITUTE(SUBSTITUTE(SUBSTITUTE(SUBSTITUTE(MAIN!C929, "0", ""), "1", ""), "2", ""), "3", ""), "4", ""), "5", ""), "6", ""), "7", ""), "8", ""), "9", ""))))</f>
        <v>--</v>
      </c>
      <c r="D929" t="str">
        <f>IF(ISBLANK(MAIN!D929), "--", IF(ISNUMBER(MATCH(SUBSTITUTE(LEFT(MAIN!D929, IFERROR(FIND(",", MAIN!D929)-1, LEN(MAIN!D929))), " ", ""), lookup_values!$B$2:$B$51, 0)), UPPER(SUBSTITUTE(LEFT(MAIN!D929, IFERROR(FIND(",", MAIN!D929)-1, LEN(MAIN!D929))), " ", "")), IF(ISNA(VLOOKUP(SUBSTITUTE(LEFT(MAIN!D929, IFERROR(FIND(",", MAIN!D929)-1, LEN(MAIN!D929))), " ", ""), lookup_values!$A$2:$B$51, 2, FALSE)), "--", VLOOKUP(SUBSTITUTE(LEFT(MAIN!D929, IFERROR(FIND(",", MAIN!D929)-1, LEN(MAIN!D929))), " ", ""), lookup_values!$A$2:$B$51, 2, FALSE))))</f>
        <v>--</v>
      </c>
      <c r="E929" t="str">
        <f>IF(CLEAN_DATA!D929&lt;&gt;"--","US",IF(ISBLANK(MAIN!E929), "--", IF(ISNUMBER(MATCH(SUBSTITUTE(LEFT(MAIN!E929, IFERROR(FIND(",", MAIN!E929)-1, LEN(MAIN!E929))), " ", ""), lookup_values!$E$2:$E$197, 0)), UPPER(SUBSTITUTE(LEFT(MAIN!E929, IFERROR(FIND(",", MAIN!E929)-1, LEN(MAIN!E929))), " ", "")), IF(ISNA(VLOOKUP(SUBSTITUTE(LEFT(MAIN!E929, IFERROR(FIND(",", MAIN!E929)-1, LEN(MAIN!E929))), " ", ""), lookup_values!$D$2:$E$197, 2, FALSE)), "--", VLOOKUP(SUBSTITUTE(LEFT(MAIN!E929, IFERROR(FIND(",", MAIN!E929)-1, LEN(MAIN!E929))), " ", ""), lookup_values!$D$2:$E$197, 2, FALSE)))))</f>
        <v>--</v>
      </c>
      <c r="F929" t="str">
        <f>IF(ISBLANK(MAIN!F929), "", IF(AND(ISNUMBER(VALUE(TRIM(MAIN!F929))), LEN(TRIM(MAIN!F929))=4), VALUE(TRIM(MAIN!F929)), ""))</f>
        <v/>
      </c>
      <c r="G929">
        <f>IF(ISBLANK(MAIN!G929), 0, IF(ISNUMBER(VALUE(TRIM(MAIN!G929))), VALUE(TRIM(MAIN!G929)), 0))</f>
        <v>0</v>
      </c>
      <c r="H929">
        <f>IF(ISBLANK(MAIN!H929), 0, IF(ISNUMBER(VALUE(TRIM(MAIN!H929))), VALUE(TRIM(MAIN!H929)), 0))</f>
        <v>0</v>
      </c>
      <c r="I929">
        <f>IF(ISBLANK(MAIN!I929), 0, IF(ISNUMBER(VALUE(TRIM(MAIN!I929))), VALUE(TRIM(MAIN!I929)), 0))</f>
        <v>0</v>
      </c>
      <c r="J929">
        <f>IF(ISBLANK(MAIN!J929), 0, IF(ISNUMBER(VALUE(TRIM(MAIN!J929))), VALUE(TRIM(MAIN!J929)), 0))</f>
        <v>0</v>
      </c>
      <c r="K929" cm="1">
        <f t="array" ref="K929">IFERROR(
    VALUE(
        IFERROR(
            UPPER(
                IF(MAX(IFERROR(SEARCH("WD",MAIN!G929:J929), 0))&gt;0, "WD",
                IF(MAX(IFERROR(SEARCH("NS",MAIN!G929:J929), 0))&gt;0, "NS",
                IF(MAX(IFERROR(SEARCH("NC",MAIN!G929:J929), 0))&gt;0, "NC",
                IF(MAX(IFERROR(SEARCH("DQ",MAIN!G929:J929), 0))&gt;0, "DQ",
                IF(ISNUMBER(SEARCH("WD",MAIN!K929)), "WD",
                IF(ISNUMBER(SEARCH("NS",MAIN!K929)), "NS",
                IF(ISNUMBER(SEARCH("NC",MAIN!K929)), "NC",
                IF(ISNUMBER(SEARCH("DQ",MAIN!K929)), "DQ",
                IF(ISNUMBER(SEARCH("A",MAIN!K929)), 0,
                IF(OR(MAIN!K929=0,MAIN!K929=""), 0, --TRIM(MAIN!K929)))))))))))),
            0
        )
    ),
    IFERROR(
        UPPER(
            IF(MAX(IFERROR(SEARCH("WD",MAIN!G929:J929), 0))&gt;0, "WD",
            IF(MAX(IFERROR(SEARCH("NS",MAIN!G929:J929), 0))&gt;0, "NS",
            IF(MAX(IFERROR(SEARCH("NC",MAIN!G929:J929), 0))&gt;0, "NC",
            IF(MAX(IFERROR(SEARCH("DQ",MAIN!G929:J929), 0))&gt;0, "DQ",
            IF(ISNUMBER(SEARCH("WD",MAIN!K929)), "WD",
            IF(ISNUMBER(SEARCH("NS",MAIN!K929)), "NS",
            IF(ISNUMBER(SEARCH("NC",MAIN!K929)), "NC",
            IF(ISNUMBER(SEARCH("DQ",MAIN!K929)), "DQ",
            IF(ISNUMBER(SEARCH("A",MAIN!K929)), 0,
            IF(OR(MAIN!K929=0,MAIN!K929=""), 0, --TRIM(MAIN!K929)))))))))))),
        0
    )
)</f>
        <v>0</v>
      </c>
    </row>
    <row r="930" spans="1:11" x14ac:dyDescent="0.25">
      <c r="A930" t="str">
        <f>IF(ISBLANK(MAIN!A930), "--", IFERROR(PROPER(SUBSTITUTE(SUBSTITUTE(SUBSTITUTE(SUBSTITUTE(SUBSTITUTE(SUBSTITUTE(SUBSTITUTE(SUBSTITUTE(SUBSTITUTE(SUBSTITUTE(LEFT(MAIN!A930, FIND(",",MAIN!A930) -1), "0", ""), "1", ""), "2", ""), "3", ""), "4", ""), "5", ""), "6", ""), "7", ""), "8", ""), "9", "")), PROPER(SUBSTITUTE(SUBSTITUTE(SUBSTITUTE(SUBSTITUTE(SUBSTITUTE(SUBSTITUTE(SUBSTITUTE(SUBSTITUTE(SUBSTITUTE(SUBSTITUTE(MAIN!A930, "0", ""), "1", ""), "2", ""), "3", ""), "4", ""), "5", ""), "6", ""), "7", ""), "8", ""), "9", ""))))</f>
        <v>--</v>
      </c>
      <c r="B930" t="str">
        <f>IF(ISBLANK(MAIN!B930), "--", IFERROR(PROPER(SUBSTITUTE(SUBSTITUTE(SUBSTITUTE(SUBSTITUTE(SUBSTITUTE(SUBSTITUTE(SUBSTITUTE(SUBSTITUTE(SUBSTITUTE(SUBSTITUTE(LEFT(MAIN!B930, FIND(",",MAIN!B930) -1), "0", ""), "1", ""), "2", ""), "3", ""), "4", ""), "5", ""), "6", ""), "7", ""), "8", ""), "9", "")), PROPER(SUBSTITUTE(SUBSTITUTE(SUBSTITUTE(SUBSTITUTE(SUBSTITUTE(SUBSTITUTE(SUBSTITUTE(SUBSTITUTE(SUBSTITUTE(SUBSTITUTE(MAIN!B930, "0", ""), "1", ""), "2", ""), "3", ""), "4", ""), "5", ""), "6", ""), "7", ""), "8", ""), "9", ""))))</f>
        <v>--</v>
      </c>
      <c r="C930" t="str">
        <f>IF(ISBLANK(MAIN!C930), "--", IFERROR(PROPER(SUBSTITUTE(SUBSTITUTE(SUBSTITUTE(SUBSTITUTE(SUBSTITUTE(SUBSTITUTE(SUBSTITUTE(SUBSTITUTE(SUBSTITUTE(SUBSTITUTE(LEFT(MAIN!C930, FIND(",",MAIN!C930) -1), "0", ""), "1", ""), "2", ""), "3", ""), "4", ""), "5", ""), "6", ""), "7", ""), "8", ""), "9", "")), PROPER(SUBSTITUTE(SUBSTITUTE(SUBSTITUTE(SUBSTITUTE(SUBSTITUTE(SUBSTITUTE(SUBSTITUTE(SUBSTITUTE(SUBSTITUTE(SUBSTITUTE(MAIN!C930, "0", ""), "1", ""), "2", ""), "3", ""), "4", ""), "5", ""), "6", ""), "7", ""), "8", ""), "9", ""))))</f>
        <v>--</v>
      </c>
      <c r="D930" t="str">
        <f>IF(ISBLANK(MAIN!D930), "--", IF(ISNUMBER(MATCH(SUBSTITUTE(LEFT(MAIN!D930, IFERROR(FIND(",", MAIN!D930)-1, LEN(MAIN!D930))), " ", ""), lookup_values!$B$2:$B$51, 0)), UPPER(SUBSTITUTE(LEFT(MAIN!D930, IFERROR(FIND(",", MAIN!D930)-1, LEN(MAIN!D930))), " ", "")), IF(ISNA(VLOOKUP(SUBSTITUTE(LEFT(MAIN!D930, IFERROR(FIND(",", MAIN!D930)-1, LEN(MAIN!D930))), " ", ""), lookup_values!$A$2:$B$51, 2, FALSE)), "--", VLOOKUP(SUBSTITUTE(LEFT(MAIN!D930, IFERROR(FIND(",", MAIN!D930)-1, LEN(MAIN!D930))), " ", ""), lookup_values!$A$2:$B$51, 2, FALSE))))</f>
        <v>--</v>
      </c>
      <c r="E930" t="str">
        <f>IF(CLEAN_DATA!D930&lt;&gt;"--","US",IF(ISBLANK(MAIN!E930), "--", IF(ISNUMBER(MATCH(SUBSTITUTE(LEFT(MAIN!E930, IFERROR(FIND(",", MAIN!E930)-1, LEN(MAIN!E930))), " ", ""), lookup_values!$E$2:$E$197, 0)), UPPER(SUBSTITUTE(LEFT(MAIN!E930, IFERROR(FIND(",", MAIN!E930)-1, LEN(MAIN!E930))), " ", "")), IF(ISNA(VLOOKUP(SUBSTITUTE(LEFT(MAIN!E930, IFERROR(FIND(",", MAIN!E930)-1, LEN(MAIN!E930))), " ", ""), lookup_values!$D$2:$E$197, 2, FALSE)), "--", VLOOKUP(SUBSTITUTE(LEFT(MAIN!E930, IFERROR(FIND(",", MAIN!E930)-1, LEN(MAIN!E930))), " ", ""), lookup_values!$D$2:$E$197, 2, FALSE)))))</f>
        <v>--</v>
      </c>
      <c r="F930" t="str">
        <f>IF(ISBLANK(MAIN!F930), "", IF(AND(ISNUMBER(VALUE(TRIM(MAIN!F930))), LEN(TRIM(MAIN!F930))=4), VALUE(TRIM(MAIN!F930)), ""))</f>
        <v/>
      </c>
      <c r="G930">
        <f>IF(ISBLANK(MAIN!G930), 0, IF(ISNUMBER(VALUE(TRIM(MAIN!G930))), VALUE(TRIM(MAIN!G930)), 0))</f>
        <v>0</v>
      </c>
      <c r="H930">
        <f>IF(ISBLANK(MAIN!H930), 0, IF(ISNUMBER(VALUE(TRIM(MAIN!H930))), VALUE(TRIM(MAIN!H930)), 0))</f>
        <v>0</v>
      </c>
      <c r="I930">
        <f>IF(ISBLANK(MAIN!I930), 0, IF(ISNUMBER(VALUE(TRIM(MAIN!I930))), VALUE(TRIM(MAIN!I930)), 0))</f>
        <v>0</v>
      </c>
      <c r="J930">
        <f>IF(ISBLANK(MAIN!J930), 0, IF(ISNUMBER(VALUE(TRIM(MAIN!J930))), VALUE(TRIM(MAIN!J930)), 0))</f>
        <v>0</v>
      </c>
      <c r="K930" cm="1">
        <f t="array" ref="K930">IFERROR(
    VALUE(
        IFERROR(
            UPPER(
                IF(MAX(IFERROR(SEARCH("WD",MAIN!G930:J930), 0))&gt;0, "WD",
                IF(MAX(IFERROR(SEARCH("NS",MAIN!G930:J930), 0))&gt;0, "NS",
                IF(MAX(IFERROR(SEARCH("NC",MAIN!G930:J930), 0))&gt;0, "NC",
                IF(MAX(IFERROR(SEARCH("DQ",MAIN!G930:J930), 0))&gt;0, "DQ",
                IF(ISNUMBER(SEARCH("WD",MAIN!K930)), "WD",
                IF(ISNUMBER(SEARCH("NS",MAIN!K930)), "NS",
                IF(ISNUMBER(SEARCH("NC",MAIN!K930)), "NC",
                IF(ISNUMBER(SEARCH("DQ",MAIN!K930)), "DQ",
                IF(ISNUMBER(SEARCH("A",MAIN!K930)), 0,
                IF(OR(MAIN!K930=0,MAIN!K930=""), 0, --TRIM(MAIN!K930)))))))))))),
            0
        )
    ),
    IFERROR(
        UPPER(
            IF(MAX(IFERROR(SEARCH("WD",MAIN!G930:J930), 0))&gt;0, "WD",
            IF(MAX(IFERROR(SEARCH("NS",MAIN!G930:J930), 0))&gt;0, "NS",
            IF(MAX(IFERROR(SEARCH("NC",MAIN!G930:J930), 0))&gt;0, "NC",
            IF(MAX(IFERROR(SEARCH("DQ",MAIN!G930:J930), 0))&gt;0, "DQ",
            IF(ISNUMBER(SEARCH("WD",MAIN!K930)), "WD",
            IF(ISNUMBER(SEARCH("NS",MAIN!K930)), "NS",
            IF(ISNUMBER(SEARCH("NC",MAIN!K930)), "NC",
            IF(ISNUMBER(SEARCH("DQ",MAIN!K930)), "DQ",
            IF(ISNUMBER(SEARCH("A",MAIN!K930)), 0,
            IF(OR(MAIN!K930=0,MAIN!K930=""), 0, --TRIM(MAIN!K930)))))))))))),
        0
    )
)</f>
        <v>0</v>
      </c>
    </row>
    <row r="931" spans="1:11" x14ac:dyDescent="0.25">
      <c r="A931" t="str">
        <f>IF(ISBLANK(MAIN!A931), "--", IFERROR(PROPER(SUBSTITUTE(SUBSTITUTE(SUBSTITUTE(SUBSTITUTE(SUBSTITUTE(SUBSTITUTE(SUBSTITUTE(SUBSTITUTE(SUBSTITUTE(SUBSTITUTE(LEFT(MAIN!A931, FIND(",",MAIN!A931) -1), "0", ""), "1", ""), "2", ""), "3", ""), "4", ""), "5", ""), "6", ""), "7", ""), "8", ""), "9", "")), PROPER(SUBSTITUTE(SUBSTITUTE(SUBSTITUTE(SUBSTITUTE(SUBSTITUTE(SUBSTITUTE(SUBSTITUTE(SUBSTITUTE(SUBSTITUTE(SUBSTITUTE(MAIN!A931, "0", ""), "1", ""), "2", ""), "3", ""), "4", ""), "5", ""), "6", ""), "7", ""), "8", ""), "9", ""))))</f>
        <v>--</v>
      </c>
      <c r="B931" t="str">
        <f>IF(ISBLANK(MAIN!B931), "--", IFERROR(PROPER(SUBSTITUTE(SUBSTITUTE(SUBSTITUTE(SUBSTITUTE(SUBSTITUTE(SUBSTITUTE(SUBSTITUTE(SUBSTITUTE(SUBSTITUTE(SUBSTITUTE(LEFT(MAIN!B931, FIND(",",MAIN!B931) -1), "0", ""), "1", ""), "2", ""), "3", ""), "4", ""), "5", ""), "6", ""), "7", ""), "8", ""), "9", "")), PROPER(SUBSTITUTE(SUBSTITUTE(SUBSTITUTE(SUBSTITUTE(SUBSTITUTE(SUBSTITUTE(SUBSTITUTE(SUBSTITUTE(SUBSTITUTE(SUBSTITUTE(MAIN!B931, "0", ""), "1", ""), "2", ""), "3", ""), "4", ""), "5", ""), "6", ""), "7", ""), "8", ""), "9", ""))))</f>
        <v>--</v>
      </c>
      <c r="C931" t="str">
        <f>IF(ISBLANK(MAIN!C931), "--", IFERROR(PROPER(SUBSTITUTE(SUBSTITUTE(SUBSTITUTE(SUBSTITUTE(SUBSTITUTE(SUBSTITUTE(SUBSTITUTE(SUBSTITUTE(SUBSTITUTE(SUBSTITUTE(LEFT(MAIN!C931, FIND(",",MAIN!C931) -1), "0", ""), "1", ""), "2", ""), "3", ""), "4", ""), "5", ""), "6", ""), "7", ""), "8", ""), "9", "")), PROPER(SUBSTITUTE(SUBSTITUTE(SUBSTITUTE(SUBSTITUTE(SUBSTITUTE(SUBSTITUTE(SUBSTITUTE(SUBSTITUTE(SUBSTITUTE(SUBSTITUTE(MAIN!C931, "0", ""), "1", ""), "2", ""), "3", ""), "4", ""), "5", ""), "6", ""), "7", ""), "8", ""), "9", ""))))</f>
        <v>--</v>
      </c>
      <c r="D931" t="str">
        <f>IF(ISBLANK(MAIN!D931), "--", IF(ISNUMBER(MATCH(SUBSTITUTE(LEFT(MAIN!D931, IFERROR(FIND(",", MAIN!D931)-1, LEN(MAIN!D931))), " ", ""), lookup_values!$B$2:$B$51, 0)), UPPER(SUBSTITUTE(LEFT(MAIN!D931, IFERROR(FIND(",", MAIN!D931)-1, LEN(MAIN!D931))), " ", "")), IF(ISNA(VLOOKUP(SUBSTITUTE(LEFT(MAIN!D931, IFERROR(FIND(",", MAIN!D931)-1, LEN(MAIN!D931))), " ", ""), lookup_values!$A$2:$B$51, 2, FALSE)), "--", VLOOKUP(SUBSTITUTE(LEFT(MAIN!D931, IFERROR(FIND(",", MAIN!D931)-1, LEN(MAIN!D931))), " ", ""), lookup_values!$A$2:$B$51, 2, FALSE))))</f>
        <v>--</v>
      </c>
      <c r="E931" t="str">
        <f>IF(CLEAN_DATA!D931&lt;&gt;"--","US",IF(ISBLANK(MAIN!E931), "--", IF(ISNUMBER(MATCH(SUBSTITUTE(LEFT(MAIN!E931, IFERROR(FIND(",", MAIN!E931)-1, LEN(MAIN!E931))), " ", ""), lookup_values!$E$2:$E$197, 0)), UPPER(SUBSTITUTE(LEFT(MAIN!E931, IFERROR(FIND(",", MAIN!E931)-1, LEN(MAIN!E931))), " ", "")), IF(ISNA(VLOOKUP(SUBSTITUTE(LEFT(MAIN!E931, IFERROR(FIND(",", MAIN!E931)-1, LEN(MAIN!E931))), " ", ""), lookup_values!$D$2:$E$197, 2, FALSE)), "--", VLOOKUP(SUBSTITUTE(LEFT(MAIN!E931, IFERROR(FIND(",", MAIN!E931)-1, LEN(MAIN!E931))), " ", ""), lookup_values!$D$2:$E$197, 2, FALSE)))))</f>
        <v>--</v>
      </c>
      <c r="F931" t="str">
        <f>IF(ISBLANK(MAIN!F931), "", IF(AND(ISNUMBER(VALUE(TRIM(MAIN!F931))), LEN(TRIM(MAIN!F931))=4), VALUE(TRIM(MAIN!F931)), ""))</f>
        <v/>
      </c>
      <c r="G931">
        <f>IF(ISBLANK(MAIN!G931), 0, IF(ISNUMBER(VALUE(TRIM(MAIN!G931))), VALUE(TRIM(MAIN!G931)), 0))</f>
        <v>0</v>
      </c>
      <c r="H931">
        <f>IF(ISBLANK(MAIN!H931), 0, IF(ISNUMBER(VALUE(TRIM(MAIN!H931))), VALUE(TRIM(MAIN!H931)), 0))</f>
        <v>0</v>
      </c>
      <c r="I931">
        <f>IF(ISBLANK(MAIN!I931), 0, IF(ISNUMBER(VALUE(TRIM(MAIN!I931))), VALUE(TRIM(MAIN!I931)), 0))</f>
        <v>0</v>
      </c>
      <c r="J931">
        <f>IF(ISBLANK(MAIN!J931), 0, IF(ISNUMBER(VALUE(TRIM(MAIN!J931))), VALUE(TRIM(MAIN!J931)), 0))</f>
        <v>0</v>
      </c>
      <c r="K931" cm="1">
        <f t="array" ref="K931">IFERROR(
    VALUE(
        IFERROR(
            UPPER(
                IF(MAX(IFERROR(SEARCH("WD",MAIN!G931:J931), 0))&gt;0, "WD",
                IF(MAX(IFERROR(SEARCH("NS",MAIN!G931:J931), 0))&gt;0, "NS",
                IF(MAX(IFERROR(SEARCH("NC",MAIN!G931:J931), 0))&gt;0, "NC",
                IF(MAX(IFERROR(SEARCH("DQ",MAIN!G931:J931), 0))&gt;0, "DQ",
                IF(ISNUMBER(SEARCH("WD",MAIN!K931)), "WD",
                IF(ISNUMBER(SEARCH("NS",MAIN!K931)), "NS",
                IF(ISNUMBER(SEARCH("NC",MAIN!K931)), "NC",
                IF(ISNUMBER(SEARCH("DQ",MAIN!K931)), "DQ",
                IF(ISNUMBER(SEARCH("A",MAIN!K931)), 0,
                IF(OR(MAIN!K931=0,MAIN!K931=""), 0, --TRIM(MAIN!K931)))))))))))),
            0
        )
    ),
    IFERROR(
        UPPER(
            IF(MAX(IFERROR(SEARCH("WD",MAIN!G931:J931), 0))&gt;0, "WD",
            IF(MAX(IFERROR(SEARCH("NS",MAIN!G931:J931), 0))&gt;0, "NS",
            IF(MAX(IFERROR(SEARCH("NC",MAIN!G931:J931), 0))&gt;0, "NC",
            IF(MAX(IFERROR(SEARCH("DQ",MAIN!G931:J931), 0))&gt;0, "DQ",
            IF(ISNUMBER(SEARCH("WD",MAIN!K931)), "WD",
            IF(ISNUMBER(SEARCH("NS",MAIN!K931)), "NS",
            IF(ISNUMBER(SEARCH("NC",MAIN!K931)), "NC",
            IF(ISNUMBER(SEARCH("DQ",MAIN!K931)), "DQ",
            IF(ISNUMBER(SEARCH("A",MAIN!K931)), 0,
            IF(OR(MAIN!K931=0,MAIN!K931=""), 0, --TRIM(MAIN!K931)))))))))))),
        0
    )
)</f>
        <v>0</v>
      </c>
    </row>
    <row r="932" spans="1:11" x14ac:dyDescent="0.25">
      <c r="A932" t="str">
        <f>IF(ISBLANK(MAIN!A932), "--", IFERROR(PROPER(SUBSTITUTE(SUBSTITUTE(SUBSTITUTE(SUBSTITUTE(SUBSTITUTE(SUBSTITUTE(SUBSTITUTE(SUBSTITUTE(SUBSTITUTE(SUBSTITUTE(LEFT(MAIN!A932, FIND(",",MAIN!A932) -1), "0", ""), "1", ""), "2", ""), "3", ""), "4", ""), "5", ""), "6", ""), "7", ""), "8", ""), "9", "")), PROPER(SUBSTITUTE(SUBSTITUTE(SUBSTITUTE(SUBSTITUTE(SUBSTITUTE(SUBSTITUTE(SUBSTITUTE(SUBSTITUTE(SUBSTITUTE(SUBSTITUTE(MAIN!A932, "0", ""), "1", ""), "2", ""), "3", ""), "4", ""), "5", ""), "6", ""), "7", ""), "8", ""), "9", ""))))</f>
        <v>--</v>
      </c>
      <c r="B932" t="str">
        <f>IF(ISBLANK(MAIN!B932), "--", IFERROR(PROPER(SUBSTITUTE(SUBSTITUTE(SUBSTITUTE(SUBSTITUTE(SUBSTITUTE(SUBSTITUTE(SUBSTITUTE(SUBSTITUTE(SUBSTITUTE(SUBSTITUTE(LEFT(MAIN!B932, FIND(",",MAIN!B932) -1), "0", ""), "1", ""), "2", ""), "3", ""), "4", ""), "5", ""), "6", ""), "7", ""), "8", ""), "9", "")), PROPER(SUBSTITUTE(SUBSTITUTE(SUBSTITUTE(SUBSTITUTE(SUBSTITUTE(SUBSTITUTE(SUBSTITUTE(SUBSTITUTE(SUBSTITUTE(SUBSTITUTE(MAIN!B932, "0", ""), "1", ""), "2", ""), "3", ""), "4", ""), "5", ""), "6", ""), "7", ""), "8", ""), "9", ""))))</f>
        <v>--</v>
      </c>
      <c r="C932" t="str">
        <f>IF(ISBLANK(MAIN!C932), "--", IFERROR(PROPER(SUBSTITUTE(SUBSTITUTE(SUBSTITUTE(SUBSTITUTE(SUBSTITUTE(SUBSTITUTE(SUBSTITUTE(SUBSTITUTE(SUBSTITUTE(SUBSTITUTE(LEFT(MAIN!C932, FIND(",",MAIN!C932) -1), "0", ""), "1", ""), "2", ""), "3", ""), "4", ""), "5", ""), "6", ""), "7", ""), "8", ""), "9", "")), PROPER(SUBSTITUTE(SUBSTITUTE(SUBSTITUTE(SUBSTITUTE(SUBSTITUTE(SUBSTITUTE(SUBSTITUTE(SUBSTITUTE(SUBSTITUTE(SUBSTITUTE(MAIN!C932, "0", ""), "1", ""), "2", ""), "3", ""), "4", ""), "5", ""), "6", ""), "7", ""), "8", ""), "9", ""))))</f>
        <v>--</v>
      </c>
      <c r="D932" t="str">
        <f>IF(ISBLANK(MAIN!D932), "--", IF(ISNUMBER(MATCH(SUBSTITUTE(LEFT(MAIN!D932, IFERROR(FIND(",", MAIN!D932)-1, LEN(MAIN!D932))), " ", ""), lookup_values!$B$2:$B$51, 0)), UPPER(SUBSTITUTE(LEFT(MAIN!D932, IFERROR(FIND(",", MAIN!D932)-1, LEN(MAIN!D932))), " ", "")), IF(ISNA(VLOOKUP(SUBSTITUTE(LEFT(MAIN!D932, IFERROR(FIND(",", MAIN!D932)-1, LEN(MAIN!D932))), " ", ""), lookup_values!$A$2:$B$51, 2, FALSE)), "--", VLOOKUP(SUBSTITUTE(LEFT(MAIN!D932, IFERROR(FIND(",", MAIN!D932)-1, LEN(MAIN!D932))), " ", ""), lookup_values!$A$2:$B$51, 2, FALSE))))</f>
        <v>--</v>
      </c>
      <c r="E932" t="str">
        <f>IF(CLEAN_DATA!D932&lt;&gt;"--","US",IF(ISBLANK(MAIN!E932), "--", IF(ISNUMBER(MATCH(SUBSTITUTE(LEFT(MAIN!E932, IFERROR(FIND(",", MAIN!E932)-1, LEN(MAIN!E932))), " ", ""), lookup_values!$E$2:$E$197, 0)), UPPER(SUBSTITUTE(LEFT(MAIN!E932, IFERROR(FIND(",", MAIN!E932)-1, LEN(MAIN!E932))), " ", "")), IF(ISNA(VLOOKUP(SUBSTITUTE(LEFT(MAIN!E932, IFERROR(FIND(",", MAIN!E932)-1, LEN(MAIN!E932))), " ", ""), lookup_values!$D$2:$E$197, 2, FALSE)), "--", VLOOKUP(SUBSTITUTE(LEFT(MAIN!E932, IFERROR(FIND(",", MAIN!E932)-1, LEN(MAIN!E932))), " ", ""), lookup_values!$D$2:$E$197, 2, FALSE)))))</f>
        <v>--</v>
      </c>
      <c r="F932" t="str">
        <f>IF(ISBLANK(MAIN!F932), "", IF(AND(ISNUMBER(VALUE(TRIM(MAIN!F932))), LEN(TRIM(MAIN!F932))=4), VALUE(TRIM(MAIN!F932)), ""))</f>
        <v/>
      </c>
      <c r="G932">
        <f>IF(ISBLANK(MAIN!G932), 0, IF(ISNUMBER(VALUE(TRIM(MAIN!G932))), VALUE(TRIM(MAIN!G932)), 0))</f>
        <v>0</v>
      </c>
      <c r="H932">
        <f>IF(ISBLANK(MAIN!H932), 0, IF(ISNUMBER(VALUE(TRIM(MAIN!H932))), VALUE(TRIM(MAIN!H932)), 0))</f>
        <v>0</v>
      </c>
      <c r="I932">
        <f>IF(ISBLANK(MAIN!I932), 0, IF(ISNUMBER(VALUE(TRIM(MAIN!I932))), VALUE(TRIM(MAIN!I932)), 0))</f>
        <v>0</v>
      </c>
      <c r="J932">
        <f>IF(ISBLANK(MAIN!J932), 0, IF(ISNUMBER(VALUE(TRIM(MAIN!J932))), VALUE(TRIM(MAIN!J932)), 0))</f>
        <v>0</v>
      </c>
      <c r="K932" cm="1">
        <f t="array" ref="K932">IFERROR(
    VALUE(
        IFERROR(
            UPPER(
                IF(MAX(IFERROR(SEARCH("WD",MAIN!G932:J932), 0))&gt;0, "WD",
                IF(MAX(IFERROR(SEARCH("NS",MAIN!G932:J932), 0))&gt;0, "NS",
                IF(MAX(IFERROR(SEARCH("NC",MAIN!G932:J932), 0))&gt;0, "NC",
                IF(MAX(IFERROR(SEARCH("DQ",MAIN!G932:J932), 0))&gt;0, "DQ",
                IF(ISNUMBER(SEARCH("WD",MAIN!K932)), "WD",
                IF(ISNUMBER(SEARCH("NS",MAIN!K932)), "NS",
                IF(ISNUMBER(SEARCH("NC",MAIN!K932)), "NC",
                IF(ISNUMBER(SEARCH("DQ",MAIN!K932)), "DQ",
                IF(ISNUMBER(SEARCH("A",MAIN!K932)), 0,
                IF(OR(MAIN!K932=0,MAIN!K932=""), 0, --TRIM(MAIN!K932)))))))))))),
            0
        )
    ),
    IFERROR(
        UPPER(
            IF(MAX(IFERROR(SEARCH("WD",MAIN!G932:J932), 0))&gt;0, "WD",
            IF(MAX(IFERROR(SEARCH("NS",MAIN!G932:J932), 0))&gt;0, "NS",
            IF(MAX(IFERROR(SEARCH("NC",MAIN!G932:J932), 0))&gt;0, "NC",
            IF(MAX(IFERROR(SEARCH("DQ",MAIN!G932:J932), 0))&gt;0, "DQ",
            IF(ISNUMBER(SEARCH("WD",MAIN!K932)), "WD",
            IF(ISNUMBER(SEARCH("NS",MAIN!K932)), "NS",
            IF(ISNUMBER(SEARCH("NC",MAIN!K932)), "NC",
            IF(ISNUMBER(SEARCH("DQ",MAIN!K932)), "DQ",
            IF(ISNUMBER(SEARCH("A",MAIN!K932)), 0,
            IF(OR(MAIN!K932=0,MAIN!K932=""), 0, --TRIM(MAIN!K932)))))))))))),
        0
    )
)</f>
        <v>0</v>
      </c>
    </row>
    <row r="933" spans="1:11" x14ac:dyDescent="0.25">
      <c r="A933" t="str">
        <f>IF(ISBLANK(MAIN!A933), "--", IFERROR(PROPER(SUBSTITUTE(SUBSTITUTE(SUBSTITUTE(SUBSTITUTE(SUBSTITUTE(SUBSTITUTE(SUBSTITUTE(SUBSTITUTE(SUBSTITUTE(SUBSTITUTE(LEFT(MAIN!A933, FIND(",",MAIN!A933) -1), "0", ""), "1", ""), "2", ""), "3", ""), "4", ""), "5", ""), "6", ""), "7", ""), "8", ""), "9", "")), PROPER(SUBSTITUTE(SUBSTITUTE(SUBSTITUTE(SUBSTITUTE(SUBSTITUTE(SUBSTITUTE(SUBSTITUTE(SUBSTITUTE(SUBSTITUTE(SUBSTITUTE(MAIN!A933, "0", ""), "1", ""), "2", ""), "3", ""), "4", ""), "5", ""), "6", ""), "7", ""), "8", ""), "9", ""))))</f>
        <v>--</v>
      </c>
      <c r="B933" t="str">
        <f>IF(ISBLANK(MAIN!B933), "--", IFERROR(PROPER(SUBSTITUTE(SUBSTITUTE(SUBSTITUTE(SUBSTITUTE(SUBSTITUTE(SUBSTITUTE(SUBSTITUTE(SUBSTITUTE(SUBSTITUTE(SUBSTITUTE(LEFT(MAIN!B933, FIND(",",MAIN!B933) -1), "0", ""), "1", ""), "2", ""), "3", ""), "4", ""), "5", ""), "6", ""), "7", ""), "8", ""), "9", "")), PROPER(SUBSTITUTE(SUBSTITUTE(SUBSTITUTE(SUBSTITUTE(SUBSTITUTE(SUBSTITUTE(SUBSTITUTE(SUBSTITUTE(SUBSTITUTE(SUBSTITUTE(MAIN!B933, "0", ""), "1", ""), "2", ""), "3", ""), "4", ""), "5", ""), "6", ""), "7", ""), "8", ""), "9", ""))))</f>
        <v>--</v>
      </c>
      <c r="C933" t="str">
        <f>IF(ISBLANK(MAIN!C933), "--", IFERROR(PROPER(SUBSTITUTE(SUBSTITUTE(SUBSTITUTE(SUBSTITUTE(SUBSTITUTE(SUBSTITUTE(SUBSTITUTE(SUBSTITUTE(SUBSTITUTE(SUBSTITUTE(LEFT(MAIN!C933, FIND(",",MAIN!C933) -1), "0", ""), "1", ""), "2", ""), "3", ""), "4", ""), "5", ""), "6", ""), "7", ""), "8", ""), "9", "")), PROPER(SUBSTITUTE(SUBSTITUTE(SUBSTITUTE(SUBSTITUTE(SUBSTITUTE(SUBSTITUTE(SUBSTITUTE(SUBSTITUTE(SUBSTITUTE(SUBSTITUTE(MAIN!C933, "0", ""), "1", ""), "2", ""), "3", ""), "4", ""), "5", ""), "6", ""), "7", ""), "8", ""), "9", ""))))</f>
        <v>--</v>
      </c>
      <c r="D933" t="str">
        <f>IF(ISBLANK(MAIN!D933), "--", IF(ISNUMBER(MATCH(SUBSTITUTE(LEFT(MAIN!D933, IFERROR(FIND(",", MAIN!D933)-1, LEN(MAIN!D933))), " ", ""), lookup_values!$B$2:$B$51, 0)), UPPER(SUBSTITUTE(LEFT(MAIN!D933, IFERROR(FIND(",", MAIN!D933)-1, LEN(MAIN!D933))), " ", "")), IF(ISNA(VLOOKUP(SUBSTITUTE(LEFT(MAIN!D933, IFERROR(FIND(",", MAIN!D933)-1, LEN(MAIN!D933))), " ", ""), lookup_values!$A$2:$B$51, 2, FALSE)), "--", VLOOKUP(SUBSTITUTE(LEFT(MAIN!D933, IFERROR(FIND(",", MAIN!D933)-1, LEN(MAIN!D933))), " ", ""), lookup_values!$A$2:$B$51, 2, FALSE))))</f>
        <v>--</v>
      </c>
      <c r="E933" t="str">
        <f>IF(CLEAN_DATA!D933&lt;&gt;"--","US",IF(ISBLANK(MAIN!E933), "--", IF(ISNUMBER(MATCH(SUBSTITUTE(LEFT(MAIN!E933, IFERROR(FIND(",", MAIN!E933)-1, LEN(MAIN!E933))), " ", ""), lookup_values!$E$2:$E$197, 0)), UPPER(SUBSTITUTE(LEFT(MAIN!E933, IFERROR(FIND(",", MAIN!E933)-1, LEN(MAIN!E933))), " ", "")), IF(ISNA(VLOOKUP(SUBSTITUTE(LEFT(MAIN!E933, IFERROR(FIND(",", MAIN!E933)-1, LEN(MAIN!E933))), " ", ""), lookup_values!$D$2:$E$197, 2, FALSE)), "--", VLOOKUP(SUBSTITUTE(LEFT(MAIN!E933, IFERROR(FIND(",", MAIN!E933)-1, LEN(MAIN!E933))), " ", ""), lookup_values!$D$2:$E$197, 2, FALSE)))))</f>
        <v>--</v>
      </c>
      <c r="F933" t="str">
        <f>IF(ISBLANK(MAIN!F933), "", IF(AND(ISNUMBER(VALUE(TRIM(MAIN!F933))), LEN(TRIM(MAIN!F933))=4), VALUE(TRIM(MAIN!F933)), ""))</f>
        <v/>
      </c>
      <c r="G933">
        <f>IF(ISBLANK(MAIN!G933), 0, IF(ISNUMBER(VALUE(TRIM(MAIN!G933))), VALUE(TRIM(MAIN!G933)), 0))</f>
        <v>0</v>
      </c>
      <c r="H933">
        <f>IF(ISBLANK(MAIN!H933), 0, IF(ISNUMBER(VALUE(TRIM(MAIN!H933))), VALUE(TRIM(MAIN!H933)), 0))</f>
        <v>0</v>
      </c>
      <c r="I933">
        <f>IF(ISBLANK(MAIN!I933), 0, IF(ISNUMBER(VALUE(TRIM(MAIN!I933))), VALUE(TRIM(MAIN!I933)), 0))</f>
        <v>0</v>
      </c>
      <c r="J933">
        <f>IF(ISBLANK(MAIN!J933), 0, IF(ISNUMBER(VALUE(TRIM(MAIN!J933))), VALUE(TRIM(MAIN!J933)), 0))</f>
        <v>0</v>
      </c>
      <c r="K933" cm="1">
        <f t="array" ref="K933">IFERROR(
    VALUE(
        IFERROR(
            UPPER(
                IF(MAX(IFERROR(SEARCH("WD",MAIN!G933:J933), 0))&gt;0, "WD",
                IF(MAX(IFERROR(SEARCH("NS",MAIN!G933:J933), 0))&gt;0, "NS",
                IF(MAX(IFERROR(SEARCH("NC",MAIN!G933:J933), 0))&gt;0, "NC",
                IF(MAX(IFERROR(SEARCH("DQ",MAIN!G933:J933), 0))&gt;0, "DQ",
                IF(ISNUMBER(SEARCH("WD",MAIN!K933)), "WD",
                IF(ISNUMBER(SEARCH("NS",MAIN!K933)), "NS",
                IF(ISNUMBER(SEARCH("NC",MAIN!K933)), "NC",
                IF(ISNUMBER(SEARCH("DQ",MAIN!K933)), "DQ",
                IF(ISNUMBER(SEARCH("A",MAIN!K933)), 0,
                IF(OR(MAIN!K933=0,MAIN!K933=""), 0, --TRIM(MAIN!K933)))))))))))),
            0
        )
    ),
    IFERROR(
        UPPER(
            IF(MAX(IFERROR(SEARCH("WD",MAIN!G933:J933), 0))&gt;0, "WD",
            IF(MAX(IFERROR(SEARCH("NS",MAIN!G933:J933), 0))&gt;0, "NS",
            IF(MAX(IFERROR(SEARCH("NC",MAIN!G933:J933), 0))&gt;0, "NC",
            IF(MAX(IFERROR(SEARCH("DQ",MAIN!G933:J933), 0))&gt;0, "DQ",
            IF(ISNUMBER(SEARCH("WD",MAIN!K933)), "WD",
            IF(ISNUMBER(SEARCH("NS",MAIN!K933)), "NS",
            IF(ISNUMBER(SEARCH("NC",MAIN!K933)), "NC",
            IF(ISNUMBER(SEARCH("DQ",MAIN!K933)), "DQ",
            IF(ISNUMBER(SEARCH("A",MAIN!K933)), 0,
            IF(OR(MAIN!K933=0,MAIN!K933=""), 0, --TRIM(MAIN!K933)))))))))))),
        0
    )
)</f>
        <v>0</v>
      </c>
    </row>
    <row r="934" spans="1:11" x14ac:dyDescent="0.25">
      <c r="A934" t="str">
        <f>IF(ISBLANK(MAIN!A934), "--", IFERROR(PROPER(SUBSTITUTE(SUBSTITUTE(SUBSTITUTE(SUBSTITUTE(SUBSTITUTE(SUBSTITUTE(SUBSTITUTE(SUBSTITUTE(SUBSTITUTE(SUBSTITUTE(LEFT(MAIN!A934, FIND(",",MAIN!A934) -1), "0", ""), "1", ""), "2", ""), "3", ""), "4", ""), "5", ""), "6", ""), "7", ""), "8", ""), "9", "")), PROPER(SUBSTITUTE(SUBSTITUTE(SUBSTITUTE(SUBSTITUTE(SUBSTITUTE(SUBSTITUTE(SUBSTITUTE(SUBSTITUTE(SUBSTITUTE(SUBSTITUTE(MAIN!A934, "0", ""), "1", ""), "2", ""), "3", ""), "4", ""), "5", ""), "6", ""), "7", ""), "8", ""), "9", ""))))</f>
        <v>--</v>
      </c>
      <c r="B934" t="str">
        <f>IF(ISBLANK(MAIN!B934), "--", IFERROR(PROPER(SUBSTITUTE(SUBSTITUTE(SUBSTITUTE(SUBSTITUTE(SUBSTITUTE(SUBSTITUTE(SUBSTITUTE(SUBSTITUTE(SUBSTITUTE(SUBSTITUTE(LEFT(MAIN!B934, FIND(",",MAIN!B934) -1), "0", ""), "1", ""), "2", ""), "3", ""), "4", ""), "5", ""), "6", ""), "7", ""), "8", ""), "9", "")), PROPER(SUBSTITUTE(SUBSTITUTE(SUBSTITUTE(SUBSTITUTE(SUBSTITUTE(SUBSTITUTE(SUBSTITUTE(SUBSTITUTE(SUBSTITUTE(SUBSTITUTE(MAIN!B934, "0", ""), "1", ""), "2", ""), "3", ""), "4", ""), "5", ""), "6", ""), "7", ""), "8", ""), "9", ""))))</f>
        <v>--</v>
      </c>
      <c r="C934" t="str">
        <f>IF(ISBLANK(MAIN!C934), "--", IFERROR(PROPER(SUBSTITUTE(SUBSTITUTE(SUBSTITUTE(SUBSTITUTE(SUBSTITUTE(SUBSTITUTE(SUBSTITUTE(SUBSTITUTE(SUBSTITUTE(SUBSTITUTE(LEFT(MAIN!C934, FIND(",",MAIN!C934) -1), "0", ""), "1", ""), "2", ""), "3", ""), "4", ""), "5", ""), "6", ""), "7", ""), "8", ""), "9", "")), PROPER(SUBSTITUTE(SUBSTITUTE(SUBSTITUTE(SUBSTITUTE(SUBSTITUTE(SUBSTITUTE(SUBSTITUTE(SUBSTITUTE(SUBSTITUTE(SUBSTITUTE(MAIN!C934, "0", ""), "1", ""), "2", ""), "3", ""), "4", ""), "5", ""), "6", ""), "7", ""), "8", ""), "9", ""))))</f>
        <v>--</v>
      </c>
      <c r="D934" t="str">
        <f>IF(ISBLANK(MAIN!D934), "--", IF(ISNUMBER(MATCH(SUBSTITUTE(LEFT(MAIN!D934, IFERROR(FIND(",", MAIN!D934)-1, LEN(MAIN!D934))), " ", ""), lookup_values!$B$2:$B$51, 0)), UPPER(SUBSTITUTE(LEFT(MAIN!D934, IFERROR(FIND(",", MAIN!D934)-1, LEN(MAIN!D934))), " ", "")), IF(ISNA(VLOOKUP(SUBSTITUTE(LEFT(MAIN!D934, IFERROR(FIND(",", MAIN!D934)-1, LEN(MAIN!D934))), " ", ""), lookup_values!$A$2:$B$51, 2, FALSE)), "--", VLOOKUP(SUBSTITUTE(LEFT(MAIN!D934, IFERROR(FIND(",", MAIN!D934)-1, LEN(MAIN!D934))), " ", ""), lookup_values!$A$2:$B$51, 2, FALSE))))</f>
        <v>--</v>
      </c>
      <c r="E934" t="str">
        <f>IF(CLEAN_DATA!D934&lt;&gt;"--","US",IF(ISBLANK(MAIN!E934), "--", IF(ISNUMBER(MATCH(SUBSTITUTE(LEFT(MAIN!E934, IFERROR(FIND(",", MAIN!E934)-1, LEN(MAIN!E934))), " ", ""), lookup_values!$E$2:$E$197, 0)), UPPER(SUBSTITUTE(LEFT(MAIN!E934, IFERROR(FIND(",", MAIN!E934)-1, LEN(MAIN!E934))), " ", "")), IF(ISNA(VLOOKUP(SUBSTITUTE(LEFT(MAIN!E934, IFERROR(FIND(",", MAIN!E934)-1, LEN(MAIN!E934))), " ", ""), lookup_values!$D$2:$E$197, 2, FALSE)), "--", VLOOKUP(SUBSTITUTE(LEFT(MAIN!E934, IFERROR(FIND(",", MAIN!E934)-1, LEN(MAIN!E934))), " ", ""), lookup_values!$D$2:$E$197, 2, FALSE)))))</f>
        <v>--</v>
      </c>
      <c r="F934" t="str">
        <f>IF(ISBLANK(MAIN!F934), "", IF(AND(ISNUMBER(VALUE(TRIM(MAIN!F934))), LEN(TRIM(MAIN!F934))=4), VALUE(TRIM(MAIN!F934)), ""))</f>
        <v/>
      </c>
      <c r="G934">
        <f>IF(ISBLANK(MAIN!G934), 0, IF(ISNUMBER(VALUE(TRIM(MAIN!G934))), VALUE(TRIM(MAIN!G934)), 0))</f>
        <v>0</v>
      </c>
      <c r="H934">
        <f>IF(ISBLANK(MAIN!H934), 0, IF(ISNUMBER(VALUE(TRIM(MAIN!H934))), VALUE(TRIM(MAIN!H934)), 0))</f>
        <v>0</v>
      </c>
      <c r="I934">
        <f>IF(ISBLANK(MAIN!I934), 0, IF(ISNUMBER(VALUE(TRIM(MAIN!I934))), VALUE(TRIM(MAIN!I934)), 0))</f>
        <v>0</v>
      </c>
      <c r="J934">
        <f>IF(ISBLANK(MAIN!J934), 0, IF(ISNUMBER(VALUE(TRIM(MAIN!J934))), VALUE(TRIM(MAIN!J934)), 0))</f>
        <v>0</v>
      </c>
      <c r="K934" cm="1">
        <f t="array" ref="K934">IFERROR(
    VALUE(
        IFERROR(
            UPPER(
                IF(MAX(IFERROR(SEARCH("WD",MAIN!G934:J934), 0))&gt;0, "WD",
                IF(MAX(IFERROR(SEARCH("NS",MAIN!G934:J934), 0))&gt;0, "NS",
                IF(MAX(IFERROR(SEARCH("NC",MAIN!G934:J934), 0))&gt;0, "NC",
                IF(MAX(IFERROR(SEARCH("DQ",MAIN!G934:J934), 0))&gt;0, "DQ",
                IF(ISNUMBER(SEARCH("WD",MAIN!K934)), "WD",
                IF(ISNUMBER(SEARCH("NS",MAIN!K934)), "NS",
                IF(ISNUMBER(SEARCH("NC",MAIN!K934)), "NC",
                IF(ISNUMBER(SEARCH("DQ",MAIN!K934)), "DQ",
                IF(ISNUMBER(SEARCH("A",MAIN!K934)), 0,
                IF(OR(MAIN!K934=0,MAIN!K934=""), 0, --TRIM(MAIN!K934)))))))))))),
            0
        )
    ),
    IFERROR(
        UPPER(
            IF(MAX(IFERROR(SEARCH("WD",MAIN!G934:J934), 0))&gt;0, "WD",
            IF(MAX(IFERROR(SEARCH("NS",MAIN!G934:J934), 0))&gt;0, "NS",
            IF(MAX(IFERROR(SEARCH("NC",MAIN!G934:J934), 0))&gt;0, "NC",
            IF(MAX(IFERROR(SEARCH("DQ",MAIN!G934:J934), 0))&gt;0, "DQ",
            IF(ISNUMBER(SEARCH("WD",MAIN!K934)), "WD",
            IF(ISNUMBER(SEARCH("NS",MAIN!K934)), "NS",
            IF(ISNUMBER(SEARCH("NC",MAIN!K934)), "NC",
            IF(ISNUMBER(SEARCH("DQ",MAIN!K934)), "DQ",
            IF(ISNUMBER(SEARCH("A",MAIN!K934)), 0,
            IF(OR(MAIN!K934=0,MAIN!K934=""), 0, --TRIM(MAIN!K934)))))))))))),
        0
    )
)</f>
        <v>0</v>
      </c>
    </row>
    <row r="935" spans="1:11" x14ac:dyDescent="0.25">
      <c r="A935" t="str">
        <f>IF(ISBLANK(MAIN!A935), "--", IFERROR(PROPER(SUBSTITUTE(SUBSTITUTE(SUBSTITUTE(SUBSTITUTE(SUBSTITUTE(SUBSTITUTE(SUBSTITUTE(SUBSTITUTE(SUBSTITUTE(SUBSTITUTE(LEFT(MAIN!A935, FIND(",",MAIN!A935) -1), "0", ""), "1", ""), "2", ""), "3", ""), "4", ""), "5", ""), "6", ""), "7", ""), "8", ""), "9", "")), PROPER(SUBSTITUTE(SUBSTITUTE(SUBSTITUTE(SUBSTITUTE(SUBSTITUTE(SUBSTITUTE(SUBSTITUTE(SUBSTITUTE(SUBSTITUTE(SUBSTITUTE(MAIN!A935, "0", ""), "1", ""), "2", ""), "3", ""), "4", ""), "5", ""), "6", ""), "7", ""), "8", ""), "9", ""))))</f>
        <v>--</v>
      </c>
      <c r="B935" t="str">
        <f>IF(ISBLANK(MAIN!B935), "--", IFERROR(PROPER(SUBSTITUTE(SUBSTITUTE(SUBSTITUTE(SUBSTITUTE(SUBSTITUTE(SUBSTITUTE(SUBSTITUTE(SUBSTITUTE(SUBSTITUTE(SUBSTITUTE(LEFT(MAIN!B935, FIND(",",MAIN!B935) -1), "0", ""), "1", ""), "2", ""), "3", ""), "4", ""), "5", ""), "6", ""), "7", ""), "8", ""), "9", "")), PROPER(SUBSTITUTE(SUBSTITUTE(SUBSTITUTE(SUBSTITUTE(SUBSTITUTE(SUBSTITUTE(SUBSTITUTE(SUBSTITUTE(SUBSTITUTE(SUBSTITUTE(MAIN!B935, "0", ""), "1", ""), "2", ""), "3", ""), "4", ""), "5", ""), "6", ""), "7", ""), "8", ""), "9", ""))))</f>
        <v>--</v>
      </c>
      <c r="C935" t="str">
        <f>IF(ISBLANK(MAIN!C935), "--", IFERROR(PROPER(SUBSTITUTE(SUBSTITUTE(SUBSTITUTE(SUBSTITUTE(SUBSTITUTE(SUBSTITUTE(SUBSTITUTE(SUBSTITUTE(SUBSTITUTE(SUBSTITUTE(LEFT(MAIN!C935, FIND(",",MAIN!C935) -1), "0", ""), "1", ""), "2", ""), "3", ""), "4", ""), "5", ""), "6", ""), "7", ""), "8", ""), "9", "")), PROPER(SUBSTITUTE(SUBSTITUTE(SUBSTITUTE(SUBSTITUTE(SUBSTITUTE(SUBSTITUTE(SUBSTITUTE(SUBSTITUTE(SUBSTITUTE(SUBSTITUTE(MAIN!C935, "0", ""), "1", ""), "2", ""), "3", ""), "4", ""), "5", ""), "6", ""), "7", ""), "8", ""), "9", ""))))</f>
        <v>--</v>
      </c>
      <c r="D935" t="str">
        <f>IF(ISBLANK(MAIN!D935), "--", IF(ISNUMBER(MATCH(SUBSTITUTE(LEFT(MAIN!D935, IFERROR(FIND(",", MAIN!D935)-1, LEN(MAIN!D935))), " ", ""), lookup_values!$B$2:$B$51, 0)), UPPER(SUBSTITUTE(LEFT(MAIN!D935, IFERROR(FIND(",", MAIN!D935)-1, LEN(MAIN!D935))), " ", "")), IF(ISNA(VLOOKUP(SUBSTITUTE(LEFT(MAIN!D935, IFERROR(FIND(",", MAIN!D935)-1, LEN(MAIN!D935))), " ", ""), lookup_values!$A$2:$B$51, 2, FALSE)), "--", VLOOKUP(SUBSTITUTE(LEFT(MAIN!D935, IFERROR(FIND(",", MAIN!D935)-1, LEN(MAIN!D935))), " ", ""), lookup_values!$A$2:$B$51, 2, FALSE))))</f>
        <v>--</v>
      </c>
      <c r="E935" t="str">
        <f>IF(CLEAN_DATA!D935&lt;&gt;"--","US",IF(ISBLANK(MAIN!E935), "--", IF(ISNUMBER(MATCH(SUBSTITUTE(LEFT(MAIN!E935, IFERROR(FIND(",", MAIN!E935)-1, LEN(MAIN!E935))), " ", ""), lookup_values!$E$2:$E$197, 0)), UPPER(SUBSTITUTE(LEFT(MAIN!E935, IFERROR(FIND(",", MAIN!E935)-1, LEN(MAIN!E935))), " ", "")), IF(ISNA(VLOOKUP(SUBSTITUTE(LEFT(MAIN!E935, IFERROR(FIND(",", MAIN!E935)-1, LEN(MAIN!E935))), " ", ""), lookup_values!$D$2:$E$197, 2, FALSE)), "--", VLOOKUP(SUBSTITUTE(LEFT(MAIN!E935, IFERROR(FIND(",", MAIN!E935)-1, LEN(MAIN!E935))), " ", ""), lookup_values!$D$2:$E$197, 2, FALSE)))))</f>
        <v>--</v>
      </c>
      <c r="F935" t="str">
        <f>IF(ISBLANK(MAIN!F935), "", IF(AND(ISNUMBER(VALUE(TRIM(MAIN!F935))), LEN(TRIM(MAIN!F935))=4), VALUE(TRIM(MAIN!F935)), ""))</f>
        <v/>
      </c>
      <c r="G935">
        <f>IF(ISBLANK(MAIN!G935), 0, IF(ISNUMBER(VALUE(TRIM(MAIN!G935))), VALUE(TRIM(MAIN!G935)), 0))</f>
        <v>0</v>
      </c>
      <c r="H935">
        <f>IF(ISBLANK(MAIN!H935), 0, IF(ISNUMBER(VALUE(TRIM(MAIN!H935))), VALUE(TRIM(MAIN!H935)), 0))</f>
        <v>0</v>
      </c>
      <c r="I935">
        <f>IF(ISBLANK(MAIN!I935), 0, IF(ISNUMBER(VALUE(TRIM(MAIN!I935))), VALUE(TRIM(MAIN!I935)), 0))</f>
        <v>0</v>
      </c>
      <c r="J935">
        <f>IF(ISBLANK(MAIN!J935), 0, IF(ISNUMBER(VALUE(TRIM(MAIN!J935))), VALUE(TRIM(MAIN!J935)), 0))</f>
        <v>0</v>
      </c>
      <c r="K935" cm="1">
        <f t="array" ref="K935">IFERROR(
    VALUE(
        IFERROR(
            UPPER(
                IF(MAX(IFERROR(SEARCH("WD",MAIN!G935:J935), 0))&gt;0, "WD",
                IF(MAX(IFERROR(SEARCH("NS",MAIN!G935:J935), 0))&gt;0, "NS",
                IF(MAX(IFERROR(SEARCH("NC",MAIN!G935:J935), 0))&gt;0, "NC",
                IF(MAX(IFERROR(SEARCH("DQ",MAIN!G935:J935), 0))&gt;0, "DQ",
                IF(ISNUMBER(SEARCH("WD",MAIN!K935)), "WD",
                IF(ISNUMBER(SEARCH("NS",MAIN!K935)), "NS",
                IF(ISNUMBER(SEARCH("NC",MAIN!K935)), "NC",
                IF(ISNUMBER(SEARCH("DQ",MAIN!K935)), "DQ",
                IF(ISNUMBER(SEARCH("A",MAIN!K935)), 0,
                IF(OR(MAIN!K935=0,MAIN!K935=""), 0, --TRIM(MAIN!K935)))))))))))),
            0
        )
    ),
    IFERROR(
        UPPER(
            IF(MAX(IFERROR(SEARCH("WD",MAIN!G935:J935), 0))&gt;0, "WD",
            IF(MAX(IFERROR(SEARCH("NS",MAIN!G935:J935), 0))&gt;0, "NS",
            IF(MAX(IFERROR(SEARCH("NC",MAIN!G935:J935), 0))&gt;0, "NC",
            IF(MAX(IFERROR(SEARCH("DQ",MAIN!G935:J935), 0))&gt;0, "DQ",
            IF(ISNUMBER(SEARCH("WD",MAIN!K935)), "WD",
            IF(ISNUMBER(SEARCH("NS",MAIN!K935)), "NS",
            IF(ISNUMBER(SEARCH("NC",MAIN!K935)), "NC",
            IF(ISNUMBER(SEARCH("DQ",MAIN!K935)), "DQ",
            IF(ISNUMBER(SEARCH("A",MAIN!K935)), 0,
            IF(OR(MAIN!K935=0,MAIN!K935=""), 0, --TRIM(MAIN!K935)))))))))))),
        0
    )
)</f>
        <v>0</v>
      </c>
    </row>
    <row r="936" spans="1:11" x14ac:dyDescent="0.25">
      <c r="A936" t="str">
        <f>IF(ISBLANK(MAIN!A936), "--", IFERROR(PROPER(SUBSTITUTE(SUBSTITUTE(SUBSTITUTE(SUBSTITUTE(SUBSTITUTE(SUBSTITUTE(SUBSTITUTE(SUBSTITUTE(SUBSTITUTE(SUBSTITUTE(LEFT(MAIN!A936, FIND(",",MAIN!A936) -1), "0", ""), "1", ""), "2", ""), "3", ""), "4", ""), "5", ""), "6", ""), "7", ""), "8", ""), "9", "")), PROPER(SUBSTITUTE(SUBSTITUTE(SUBSTITUTE(SUBSTITUTE(SUBSTITUTE(SUBSTITUTE(SUBSTITUTE(SUBSTITUTE(SUBSTITUTE(SUBSTITUTE(MAIN!A936, "0", ""), "1", ""), "2", ""), "3", ""), "4", ""), "5", ""), "6", ""), "7", ""), "8", ""), "9", ""))))</f>
        <v>--</v>
      </c>
      <c r="B936" t="str">
        <f>IF(ISBLANK(MAIN!B936), "--", IFERROR(PROPER(SUBSTITUTE(SUBSTITUTE(SUBSTITUTE(SUBSTITUTE(SUBSTITUTE(SUBSTITUTE(SUBSTITUTE(SUBSTITUTE(SUBSTITUTE(SUBSTITUTE(LEFT(MAIN!B936, FIND(",",MAIN!B936) -1), "0", ""), "1", ""), "2", ""), "3", ""), "4", ""), "5", ""), "6", ""), "7", ""), "8", ""), "9", "")), PROPER(SUBSTITUTE(SUBSTITUTE(SUBSTITUTE(SUBSTITUTE(SUBSTITUTE(SUBSTITUTE(SUBSTITUTE(SUBSTITUTE(SUBSTITUTE(SUBSTITUTE(MAIN!B936, "0", ""), "1", ""), "2", ""), "3", ""), "4", ""), "5", ""), "6", ""), "7", ""), "8", ""), "9", ""))))</f>
        <v>--</v>
      </c>
      <c r="C936" t="str">
        <f>IF(ISBLANK(MAIN!C936), "--", IFERROR(PROPER(SUBSTITUTE(SUBSTITUTE(SUBSTITUTE(SUBSTITUTE(SUBSTITUTE(SUBSTITUTE(SUBSTITUTE(SUBSTITUTE(SUBSTITUTE(SUBSTITUTE(LEFT(MAIN!C936, FIND(",",MAIN!C936) -1), "0", ""), "1", ""), "2", ""), "3", ""), "4", ""), "5", ""), "6", ""), "7", ""), "8", ""), "9", "")), PROPER(SUBSTITUTE(SUBSTITUTE(SUBSTITUTE(SUBSTITUTE(SUBSTITUTE(SUBSTITUTE(SUBSTITUTE(SUBSTITUTE(SUBSTITUTE(SUBSTITUTE(MAIN!C936, "0", ""), "1", ""), "2", ""), "3", ""), "4", ""), "5", ""), "6", ""), "7", ""), "8", ""), "9", ""))))</f>
        <v>--</v>
      </c>
      <c r="D936" t="str">
        <f>IF(ISBLANK(MAIN!D936), "--", IF(ISNUMBER(MATCH(SUBSTITUTE(LEFT(MAIN!D936, IFERROR(FIND(",", MAIN!D936)-1, LEN(MAIN!D936))), " ", ""), lookup_values!$B$2:$B$51, 0)), UPPER(SUBSTITUTE(LEFT(MAIN!D936, IFERROR(FIND(",", MAIN!D936)-1, LEN(MAIN!D936))), " ", "")), IF(ISNA(VLOOKUP(SUBSTITUTE(LEFT(MAIN!D936, IFERROR(FIND(",", MAIN!D936)-1, LEN(MAIN!D936))), " ", ""), lookup_values!$A$2:$B$51, 2, FALSE)), "--", VLOOKUP(SUBSTITUTE(LEFT(MAIN!D936, IFERROR(FIND(",", MAIN!D936)-1, LEN(MAIN!D936))), " ", ""), lookup_values!$A$2:$B$51, 2, FALSE))))</f>
        <v>--</v>
      </c>
      <c r="E936" t="str">
        <f>IF(CLEAN_DATA!D936&lt;&gt;"--","US",IF(ISBLANK(MAIN!E936), "--", IF(ISNUMBER(MATCH(SUBSTITUTE(LEFT(MAIN!E936, IFERROR(FIND(",", MAIN!E936)-1, LEN(MAIN!E936))), " ", ""), lookup_values!$E$2:$E$197, 0)), UPPER(SUBSTITUTE(LEFT(MAIN!E936, IFERROR(FIND(",", MAIN!E936)-1, LEN(MAIN!E936))), " ", "")), IF(ISNA(VLOOKUP(SUBSTITUTE(LEFT(MAIN!E936, IFERROR(FIND(",", MAIN!E936)-1, LEN(MAIN!E936))), " ", ""), lookup_values!$D$2:$E$197, 2, FALSE)), "--", VLOOKUP(SUBSTITUTE(LEFT(MAIN!E936, IFERROR(FIND(",", MAIN!E936)-1, LEN(MAIN!E936))), " ", ""), lookup_values!$D$2:$E$197, 2, FALSE)))))</f>
        <v>--</v>
      </c>
      <c r="F936" t="str">
        <f>IF(ISBLANK(MAIN!F936), "", IF(AND(ISNUMBER(VALUE(TRIM(MAIN!F936))), LEN(TRIM(MAIN!F936))=4), VALUE(TRIM(MAIN!F936)), ""))</f>
        <v/>
      </c>
      <c r="G936">
        <f>IF(ISBLANK(MAIN!G936), 0, IF(ISNUMBER(VALUE(TRIM(MAIN!G936))), VALUE(TRIM(MAIN!G936)), 0))</f>
        <v>0</v>
      </c>
      <c r="H936">
        <f>IF(ISBLANK(MAIN!H936), 0, IF(ISNUMBER(VALUE(TRIM(MAIN!H936))), VALUE(TRIM(MAIN!H936)), 0))</f>
        <v>0</v>
      </c>
      <c r="I936">
        <f>IF(ISBLANK(MAIN!I936), 0, IF(ISNUMBER(VALUE(TRIM(MAIN!I936))), VALUE(TRIM(MAIN!I936)), 0))</f>
        <v>0</v>
      </c>
      <c r="J936">
        <f>IF(ISBLANK(MAIN!J936), 0, IF(ISNUMBER(VALUE(TRIM(MAIN!J936))), VALUE(TRIM(MAIN!J936)), 0))</f>
        <v>0</v>
      </c>
      <c r="K936" cm="1">
        <f t="array" ref="K936">IFERROR(
    VALUE(
        IFERROR(
            UPPER(
                IF(MAX(IFERROR(SEARCH("WD",MAIN!G936:J936), 0))&gt;0, "WD",
                IF(MAX(IFERROR(SEARCH("NS",MAIN!G936:J936), 0))&gt;0, "NS",
                IF(MAX(IFERROR(SEARCH("NC",MAIN!G936:J936), 0))&gt;0, "NC",
                IF(MAX(IFERROR(SEARCH("DQ",MAIN!G936:J936), 0))&gt;0, "DQ",
                IF(ISNUMBER(SEARCH("WD",MAIN!K936)), "WD",
                IF(ISNUMBER(SEARCH("NS",MAIN!K936)), "NS",
                IF(ISNUMBER(SEARCH("NC",MAIN!K936)), "NC",
                IF(ISNUMBER(SEARCH("DQ",MAIN!K936)), "DQ",
                IF(ISNUMBER(SEARCH("A",MAIN!K936)), 0,
                IF(OR(MAIN!K936=0,MAIN!K936=""), 0, --TRIM(MAIN!K936)))))))))))),
            0
        )
    ),
    IFERROR(
        UPPER(
            IF(MAX(IFERROR(SEARCH("WD",MAIN!G936:J936), 0))&gt;0, "WD",
            IF(MAX(IFERROR(SEARCH("NS",MAIN!G936:J936), 0))&gt;0, "NS",
            IF(MAX(IFERROR(SEARCH("NC",MAIN!G936:J936), 0))&gt;0, "NC",
            IF(MAX(IFERROR(SEARCH("DQ",MAIN!G936:J936), 0))&gt;0, "DQ",
            IF(ISNUMBER(SEARCH("WD",MAIN!K936)), "WD",
            IF(ISNUMBER(SEARCH("NS",MAIN!K936)), "NS",
            IF(ISNUMBER(SEARCH("NC",MAIN!K936)), "NC",
            IF(ISNUMBER(SEARCH("DQ",MAIN!K936)), "DQ",
            IF(ISNUMBER(SEARCH("A",MAIN!K936)), 0,
            IF(OR(MAIN!K936=0,MAIN!K936=""), 0, --TRIM(MAIN!K936)))))))))))),
        0
    )
)</f>
        <v>0</v>
      </c>
    </row>
    <row r="937" spans="1:11" x14ac:dyDescent="0.25">
      <c r="A937" t="str">
        <f>IF(ISBLANK(MAIN!A937), "--", IFERROR(PROPER(SUBSTITUTE(SUBSTITUTE(SUBSTITUTE(SUBSTITUTE(SUBSTITUTE(SUBSTITUTE(SUBSTITUTE(SUBSTITUTE(SUBSTITUTE(SUBSTITUTE(LEFT(MAIN!A937, FIND(",",MAIN!A937) -1), "0", ""), "1", ""), "2", ""), "3", ""), "4", ""), "5", ""), "6", ""), "7", ""), "8", ""), "9", "")), PROPER(SUBSTITUTE(SUBSTITUTE(SUBSTITUTE(SUBSTITUTE(SUBSTITUTE(SUBSTITUTE(SUBSTITUTE(SUBSTITUTE(SUBSTITUTE(SUBSTITUTE(MAIN!A937, "0", ""), "1", ""), "2", ""), "3", ""), "4", ""), "5", ""), "6", ""), "7", ""), "8", ""), "9", ""))))</f>
        <v>--</v>
      </c>
      <c r="B937" t="str">
        <f>IF(ISBLANK(MAIN!B937), "--", IFERROR(PROPER(SUBSTITUTE(SUBSTITUTE(SUBSTITUTE(SUBSTITUTE(SUBSTITUTE(SUBSTITUTE(SUBSTITUTE(SUBSTITUTE(SUBSTITUTE(SUBSTITUTE(LEFT(MAIN!B937, FIND(",",MAIN!B937) -1), "0", ""), "1", ""), "2", ""), "3", ""), "4", ""), "5", ""), "6", ""), "7", ""), "8", ""), "9", "")), PROPER(SUBSTITUTE(SUBSTITUTE(SUBSTITUTE(SUBSTITUTE(SUBSTITUTE(SUBSTITUTE(SUBSTITUTE(SUBSTITUTE(SUBSTITUTE(SUBSTITUTE(MAIN!B937, "0", ""), "1", ""), "2", ""), "3", ""), "4", ""), "5", ""), "6", ""), "7", ""), "8", ""), "9", ""))))</f>
        <v>--</v>
      </c>
      <c r="C937" t="str">
        <f>IF(ISBLANK(MAIN!C937), "--", IFERROR(PROPER(SUBSTITUTE(SUBSTITUTE(SUBSTITUTE(SUBSTITUTE(SUBSTITUTE(SUBSTITUTE(SUBSTITUTE(SUBSTITUTE(SUBSTITUTE(SUBSTITUTE(LEFT(MAIN!C937, FIND(",",MAIN!C937) -1), "0", ""), "1", ""), "2", ""), "3", ""), "4", ""), "5", ""), "6", ""), "7", ""), "8", ""), "9", "")), PROPER(SUBSTITUTE(SUBSTITUTE(SUBSTITUTE(SUBSTITUTE(SUBSTITUTE(SUBSTITUTE(SUBSTITUTE(SUBSTITUTE(SUBSTITUTE(SUBSTITUTE(MAIN!C937, "0", ""), "1", ""), "2", ""), "3", ""), "4", ""), "5", ""), "6", ""), "7", ""), "8", ""), "9", ""))))</f>
        <v>--</v>
      </c>
      <c r="D937" t="str">
        <f>IF(ISBLANK(MAIN!D937), "--", IF(ISNUMBER(MATCH(SUBSTITUTE(LEFT(MAIN!D937, IFERROR(FIND(",", MAIN!D937)-1, LEN(MAIN!D937))), " ", ""), lookup_values!$B$2:$B$51, 0)), UPPER(SUBSTITUTE(LEFT(MAIN!D937, IFERROR(FIND(",", MAIN!D937)-1, LEN(MAIN!D937))), " ", "")), IF(ISNA(VLOOKUP(SUBSTITUTE(LEFT(MAIN!D937, IFERROR(FIND(",", MAIN!D937)-1, LEN(MAIN!D937))), " ", ""), lookup_values!$A$2:$B$51, 2, FALSE)), "--", VLOOKUP(SUBSTITUTE(LEFT(MAIN!D937, IFERROR(FIND(",", MAIN!D937)-1, LEN(MAIN!D937))), " ", ""), lookup_values!$A$2:$B$51, 2, FALSE))))</f>
        <v>--</v>
      </c>
      <c r="E937" t="str">
        <f>IF(CLEAN_DATA!D937&lt;&gt;"--","US",IF(ISBLANK(MAIN!E937), "--", IF(ISNUMBER(MATCH(SUBSTITUTE(LEFT(MAIN!E937, IFERROR(FIND(",", MAIN!E937)-1, LEN(MAIN!E937))), " ", ""), lookup_values!$E$2:$E$197, 0)), UPPER(SUBSTITUTE(LEFT(MAIN!E937, IFERROR(FIND(",", MAIN!E937)-1, LEN(MAIN!E937))), " ", "")), IF(ISNA(VLOOKUP(SUBSTITUTE(LEFT(MAIN!E937, IFERROR(FIND(",", MAIN!E937)-1, LEN(MAIN!E937))), " ", ""), lookup_values!$D$2:$E$197, 2, FALSE)), "--", VLOOKUP(SUBSTITUTE(LEFT(MAIN!E937, IFERROR(FIND(",", MAIN!E937)-1, LEN(MAIN!E937))), " ", ""), lookup_values!$D$2:$E$197, 2, FALSE)))))</f>
        <v>--</v>
      </c>
      <c r="F937" t="str">
        <f>IF(ISBLANK(MAIN!F937), "", IF(AND(ISNUMBER(VALUE(TRIM(MAIN!F937))), LEN(TRIM(MAIN!F937))=4), VALUE(TRIM(MAIN!F937)), ""))</f>
        <v/>
      </c>
      <c r="G937">
        <f>IF(ISBLANK(MAIN!G937), 0, IF(ISNUMBER(VALUE(TRIM(MAIN!G937))), VALUE(TRIM(MAIN!G937)), 0))</f>
        <v>0</v>
      </c>
      <c r="H937">
        <f>IF(ISBLANK(MAIN!H937), 0, IF(ISNUMBER(VALUE(TRIM(MAIN!H937))), VALUE(TRIM(MAIN!H937)), 0))</f>
        <v>0</v>
      </c>
      <c r="I937">
        <f>IF(ISBLANK(MAIN!I937), 0, IF(ISNUMBER(VALUE(TRIM(MAIN!I937))), VALUE(TRIM(MAIN!I937)), 0))</f>
        <v>0</v>
      </c>
      <c r="J937">
        <f>IF(ISBLANK(MAIN!J937), 0, IF(ISNUMBER(VALUE(TRIM(MAIN!J937))), VALUE(TRIM(MAIN!J937)), 0))</f>
        <v>0</v>
      </c>
      <c r="K937" cm="1">
        <f t="array" ref="K937">IFERROR(
    VALUE(
        IFERROR(
            UPPER(
                IF(MAX(IFERROR(SEARCH("WD",MAIN!G937:J937), 0))&gt;0, "WD",
                IF(MAX(IFERROR(SEARCH("NS",MAIN!G937:J937), 0))&gt;0, "NS",
                IF(MAX(IFERROR(SEARCH("NC",MAIN!G937:J937), 0))&gt;0, "NC",
                IF(MAX(IFERROR(SEARCH("DQ",MAIN!G937:J937), 0))&gt;0, "DQ",
                IF(ISNUMBER(SEARCH("WD",MAIN!K937)), "WD",
                IF(ISNUMBER(SEARCH("NS",MAIN!K937)), "NS",
                IF(ISNUMBER(SEARCH("NC",MAIN!K937)), "NC",
                IF(ISNUMBER(SEARCH("DQ",MAIN!K937)), "DQ",
                IF(ISNUMBER(SEARCH("A",MAIN!K937)), 0,
                IF(OR(MAIN!K937=0,MAIN!K937=""), 0, --TRIM(MAIN!K937)))))))))))),
            0
        )
    ),
    IFERROR(
        UPPER(
            IF(MAX(IFERROR(SEARCH("WD",MAIN!G937:J937), 0))&gt;0, "WD",
            IF(MAX(IFERROR(SEARCH("NS",MAIN!G937:J937), 0))&gt;0, "NS",
            IF(MAX(IFERROR(SEARCH("NC",MAIN!G937:J937), 0))&gt;0, "NC",
            IF(MAX(IFERROR(SEARCH("DQ",MAIN!G937:J937), 0))&gt;0, "DQ",
            IF(ISNUMBER(SEARCH("WD",MAIN!K937)), "WD",
            IF(ISNUMBER(SEARCH("NS",MAIN!K937)), "NS",
            IF(ISNUMBER(SEARCH("NC",MAIN!K937)), "NC",
            IF(ISNUMBER(SEARCH("DQ",MAIN!K937)), "DQ",
            IF(ISNUMBER(SEARCH("A",MAIN!K937)), 0,
            IF(OR(MAIN!K937=0,MAIN!K937=""), 0, --TRIM(MAIN!K937)))))))))))),
        0
    )
)</f>
        <v>0</v>
      </c>
    </row>
    <row r="938" spans="1:11" x14ac:dyDescent="0.25">
      <c r="A938" t="str">
        <f>IF(ISBLANK(MAIN!A938), "--", IFERROR(PROPER(SUBSTITUTE(SUBSTITUTE(SUBSTITUTE(SUBSTITUTE(SUBSTITUTE(SUBSTITUTE(SUBSTITUTE(SUBSTITUTE(SUBSTITUTE(SUBSTITUTE(LEFT(MAIN!A938, FIND(",",MAIN!A938) -1), "0", ""), "1", ""), "2", ""), "3", ""), "4", ""), "5", ""), "6", ""), "7", ""), "8", ""), "9", "")), PROPER(SUBSTITUTE(SUBSTITUTE(SUBSTITUTE(SUBSTITUTE(SUBSTITUTE(SUBSTITUTE(SUBSTITUTE(SUBSTITUTE(SUBSTITUTE(SUBSTITUTE(MAIN!A938, "0", ""), "1", ""), "2", ""), "3", ""), "4", ""), "5", ""), "6", ""), "7", ""), "8", ""), "9", ""))))</f>
        <v>--</v>
      </c>
      <c r="B938" t="str">
        <f>IF(ISBLANK(MAIN!B938), "--", IFERROR(PROPER(SUBSTITUTE(SUBSTITUTE(SUBSTITUTE(SUBSTITUTE(SUBSTITUTE(SUBSTITUTE(SUBSTITUTE(SUBSTITUTE(SUBSTITUTE(SUBSTITUTE(LEFT(MAIN!B938, FIND(",",MAIN!B938) -1), "0", ""), "1", ""), "2", ""), "3", ""), "4", ""), "5", ""), "6", ""), "7", ""), "8", ""), "9", "")), PROPER(SUBSTITUTE(SUBSTITUTE(SUBSTITUTE(SUBSTITUTE(SUBSTITUTE(SUBSTITUTE(SUBSTITUTE(SUBSTITUTE(SUBSTITUTE(SUBSTITUTE(MAIN!B938, "0", ""), "1", ""), "2", ""), "3", ""), "4", ""), "5", ""), "6", ""), "7", ""), "8", ""), "9", ""))))</f>
        <v>--</v>
      </c>
      <c r="C938" t="str">
        <f>IF(ISBLANK(MAIN!C938), "--", IFERROR(PROPER(SUBSTITUTE(SUBSTITUTE(SUBSTITUTE(SUBSTITUTE(SUBSTITUTE(SUBSTITUTE(SUBSTITUTE(SUBSTITUTE(SUBSTITUTE(SUBSTITUTE(LEFT(MAIN!C938, FIND(",",MAIN!C938) -1), "0", ""), "1", ""), "2", ""), "3", ""), "4", ""), "5", ""), "6", ""), "7", ""), "8", ""), "9", "")), PROPER(SUBSTITUTE(SUBSTITUTE(SUBSTITUTE(SUBSTITUTE(SUBSTITUTE(SUBSTITUTE(SUBSTITUTE(SUBSTITUTE(SUBSTITUTE(SUBSTITUTE(MAIN!C938, "0", ""), "1", ""), "2", ""), "3", ""), "4", ""), "5", ""), "6", ""), "7", ""), "8", ""), "9", ""))))</f>
        <v>--</v>
      </c>
      <c r="D938" t="str">
        <f>IF(ISBLANK(MAIN!D938), "--", IF(ISNUMBER(MATCH(SUBSTITUTE(LEFT(MAIN!D938, IFERROR(FIND(",", MAIN!D938)-1, LEN(MAIN!D938))), " ", ""), lookup_values!$B$2:$B$51, 0)), UPPER(SUBSTITUTE(LEFT(MAIN!D938, IFERROR(FIND(",", MAIN!D938)-1, LEN(MAIN!D938))), " ", "")), IF(ISNA(VLOOKUP(SUBSTITUTE(LEFT(MAIN!D938, IFERROR(FIND(",", MAIN!D938)-1, LEN(MAIN!D938))), " ", ""), lookup_values!$A$2:$B$51, 2, FALSE)), "--", VLOOKUP(SUBSTITUTE(LEFT(MAIN!D938, IFERROR(FIND(",", MAIN!D938)-1, LEN(MAIN!D938))), " ", ""), lookup_values!$A$2:$B$51, 2, FALSE))))</f>
        <v>--</v>
      </c>
      <c r="E938" t="str">
        <f>IF(CLEAN_DATA!D938&lt;&gt;"--","US",IF(ISBLANK(MAIN!E938), "--", IF(ISNUMBER(MATCH(SUBSTITUTE(LEFT(MAIN!E938, IFERROR(FIND(",", MAIN!E938)-1, LEN(MAIN!E938))), " ", ""), lookup_values!$E$2:$E$197, 0)), UPPER(SUBSTITUTE(LEFT(MAIN!E938, IFERROR(FIND(",", MAIN!E938)-1, LEN(MAIN!E938))), " ", "")), IF(ISNA(VLOOKUP(SUBSTITUTE(LEFT(MAIN!E938, IFERROR(FIND(",", MAIN!E938)-1, LEN(MAIN!E938))), " ", ""), lookup_values!$D$2:$E$197, 2, FALSE)), "--", VLOOKUP(SUBSTITUTE(LEFT(MAIN!E938, IFERROR(FIND(",", MAIN!E938)-1, LEN(MAIN!E938))), " ", ""), lookup_values!$D$2:$E$197, 2, FALSE)))))</f>
        <v>--</v>
      </c>
      <c r="F938" t="str">
        <f>IF(ISBLANK(MAIN!F938), "", IF(AND(ISNUMBER(VALUE(TRIM(MAIN!F938))), LEN(TRIM(MAIN!F938))=4), VALUE(TRIM(MAIN!F938)), ""))</f>
        <v/>
      </c>
      <c r="G938">
        <f>IF(ISBLANK(MAIN!G938), 0, IF(ISNUMBER(VALUE(TRIM(MAIN!G938))), VALUE(TRIM(MAIN!G938)), 0))</f>
        <v>0</v>
      </c>
      <c r="H938">
        <f>IF(ISBLANK(MAIN!H938), 0, IF(ISNUMBER(VALUE(TRIM(MAIN!H938))), VALUE(TRIM(MAIN!H938)), 0))</f>
        <v>0</v>
      </c>
      <c r="I938">
        <f>IF(ISBLANK(MAIN!I938), 0, IF(ISNUMBER(VALUE(TRIM(MAIN!I938))), VALUE(TRIM(MAIN!I938)), 0))</f>
        <v>0</v>
      </c>
      <c r="J938">
        <f>IF(ISBLANK(MAIN!J938), 0, IF(ISNUMBER(VALUE(TRIM(MAIN!J938))), VALUE(TRIM(MAIN!J938)), 0))</f>
        <v>0</v>
      </c>
      <c r="K938" cm="1">
        <f t="array" ref="K938">IFERROR(
    VALUE(
        IFERROR(
            UPPER(
                IF(MAX(IFERROR(SEARCH("WD",MAIN!G938:J938), 0))&gt;0, "WD",
                IF(MAX(IFERROR(SEARCH("NS",MAIN!G938:J938), 0))&gt;0, "NS",
                IF(MAX(IFERROR(SEARCH("NC",MAIN!G938:J938), 0))&gt;0, "NC",
                IF(MAX(IFERROR(SEARCH("DQ",MAIN!G938:J938), 0))&gt;0, "DQ",
                IF(ISNUMBER(SEARCH("WD",MAIN!K938)), "WD",
                IF(ISNUMBER(SEARCH("NS",MAIN!K938)), "NS",
                IF(ISNUMBER(SEARCH("NC",MAIN!K938)), "NC",
                IF(ISNUMBER(SEARCH("DQ",MAIN!K938)), "DQ",
                IF(ISNUMBER(SEARCH("A",MAIN!K938)), 0,
                IF(OR(MAIN!K938=0,MAIN!K938=""), 0, --TRIM(MAIN!K938)))))))))))),
            0
        )
    ),
    IFERROR(
        UPPER(
            IF(MAX(IFERROR(SEARCH("WD",MAIN!G938:J938), 0))&gt;0, "WD",
            IF(MAX(IFERROR(SEARCH("NS",MAIN!G938:J938), 0))&gt;0, "NS",
            IF(MAX(IFERROR(SEARCH("NC",MAIN!G938:J938), 0))&gt;0, "NC",
            IF(MAX(IFERROR(SEARCH("DQ",MAIN!G938:J938), 0))&gt;0, "DQ",
            IF(ISNUMBER(SEARCH("WD",MAIN!K938)), "WD",
            IF(ISNUMBER(SEARCH("NS",MAIN!K938)), "NS",
            IF(ISNUMBER(SEARCH("NC",MAIN!K938)), "NC",
            IF(ISNUMBER(SEARCH("DQ",MAIN!K938)), "DQ",
            IF(ISNUMBER(SEARCH("A",MAIN!K938)), 0,
            IF(OR(MAIN!K938=0,MAIN!K938=""), 0, --TRIM(MAIN!K938)))))))))))),
        0
    )
)</f>
        <v>0</v>
      </c>
    </row>
    <row r="939" spans="1:11" x14ac:dyDescent="0.25">
      <c r="A939" t="str">
        <f>IF(ISBLANK(MAIN!A939), "--", IFERROR(PROPER(SUBSTITUTE(SUBSTITUTE(SUBSTITUTE(SUBSTITUTE(SUBSTITUTE(SUBSTITUTE(SUBSTITUTE(SUBSTITUTE(SUBSTITUTE(SUBSTITUTE(LEFT(MAIN!A939, FIND(",",MAIN!A939) -1), "0", ""), "1", ""), "2", ""), "3", ""), "4", ""), "5", ""), "6", ""), "7", ""), "8", ""), "9", "")), PROPER(SUBSTITUTE(SUBSTITUTE(SUBSTITUTE(SUBSTITUTE(SUBSTITUTE(SUBSTITUTE(SUBSTITUTE(SUBSTITUTE(SUBSTITUTE(SUBSTITUTE(MAIN!A939, "0", ""), "1", ""), "2", ""), "3", ""), "4", ""), "5", ""), "6", ""), "7", ""), "8", ""), "9", ""))))</f>
        <v>--</v>
      </c>
      <c r="B939" t="str">
        <f>IF(ISBLANK(MAIN!B939), "--", IFERROR(PROPER(SUBSTITUTE(SUBSTITUTE(SUBSTITUTE(SUBSTITUTE(SUBSTITUTE(SUBSTITUTE(SUBSTITUTE(SUBSTITUTE(SUBSTITUTE(SUBSTITUTE(LEFT(MAIN!B939, FIND(",",MAIN!B939) -1), "0", ""), "1", ""), "2", ""), "3", ""), "4", ""), "5", ""), "6", ""), "7", ""), "8", ""), "9", "")), PROPER(SUBSTITUTE(SUBSTITUTE(SUBSTITUTE(SUBSTITUTE(SUBSTITUTE(SUBSTITUTE(SUBSTITUTE(SUBSTITUTE(SUBSTITUTE(SUBSTITUTE(MAIN!B939, "0", ""), "1", ""), "2", ""), "3", ""), "4", ""), "5", ""), "6", ""), "7", ""), "8", ""), "9", ""))))</f>
        <v>--</v>
      </c>
      <c r="C939" t="str">
        <f>IF(ISBLANK(MAIN!C939), "--", IFERROR(PROPER(SUBSTITUTE(SUBSTITUTE(SUBSTITUTE(SUBSTITUTE(SUBSTITUTE(SUBSTITUTE(SUBSTITUTE(SUBSTITUTE(SUBSTITUTE(SUBSTITUTE(LEFT(MAIN!C939, FIND(",",MAIN!C939) -1), "0", ""), "1", ""), "2", ""), "3", ""), "4", ""), "5", ""), "6", ""), "7", ""), "8", ""), "9", "")), PROPER(SUBSTITUTE(SUBSTITUTE(SUBSTITUTE(SUBSTITUTE(SUBSTITUTE(SUBSTITUTE(SUBSTITUTE(SUBSTITUTE(SUBSTITUTE(SUBSTITUTE(MAIN!C939, "0", ""), "1", ""), "2", ""), "3", ""), "4", ""), "5", ""), "6", ""), "7", ""), "8", ""), "9", ""))))</f>
        <v>--</v>
      </c>
      <c r="D939" t="str">
        <f>IF(ISBLANK(MAIN!D939), "--", IF(ISNUMBER(MATCH(SUBSTITUTE(LEFT(MAIN!D939, IFERROR(FIND(",", MAIN!D939)-1, LEN(MAIN!D939))), " ", ""), lookup_values!$B$2:$B$51, 0)), UPPER(SUBSTITUTE(LEFT(MAIN!D939, IFERROR(FIND(",", MAIN!D939)-1, LEN(MAIN!D939))), " ", "")), IF(ISNA(VLOOKUP(SUBSTITUTE(LEFT(MAIN!D939, IFERROR(FIND(",", MAIN!D939)-1, LEN(MAIN!D939))), " ", ""), lookup_values!$A$2:$B$51, 2, FALSE)), "--", VLOOKUP(SUBSTITUTE(LEFT(MAIN!D939, IFERROR(FIND(",", MAIN!D939)-1, LEN(MAIN!D939))), " ", ""), lookup_values!$A$2:$B$51, 2, FALSE))))</f>
        <v>--</v>
      </c>
      <c r="E939" t="str">
        <f>IF(CLEAN_DATA!D939&lt;&gt;"--","US",IF(ISBLANK(MAIN!E939), "--", IF(ISNUMBER(MATCH(SUBSTITUTE(LEFT(MAIN!E939, IFERROR(FIND(",", MAIN!E939)-1, LEN(MAIN!E939))), " ", ""), lookup_values!$E$2:$E$197, 0)), UPPER(SUBSTITUTE(LEFT(MAIN!E939, IFERROR(FIND(",", MAIN!E939)-1, LEN(MAIN!E939))), " ", "")), IF(ISNA(VLOOKUP(SUBSTITUTE(LEFT(MAIN!E939, IFERROR(FIND(",", MAIN!E939)-1, LEN(MAIN!E939))), " ", ""), lookup_values!$D$2:$E$197, 2, FALSE)), "--", VLOOKUP(SUBSTITUTE(LEFT(MAIN!E939, IFERROR(FIND(",", MAIN!E939)-1, LEN(MAIN!E939))), " ", ""), lookup_values!$D$2:$E$197, 2, FALSE)))))</f>
        <v>--</v>
      </c>
      <c r="F939" t="str">
        <f>IF(ISBLANK(MAIN!F939), "", IF(AND(ISNUMBER(VALUE(TRIM(MAIN!F939))), LEN(TRIM(MAIN!F939))=4), VALUE(TRIM(MAIN!F939)), ""))</f>
        <v/>
      </c>
      <c r="G939">
        <f>IF(ISBLANK(MAIN!G939), 0, IF(ISNUMBER(VALUE(TRIM(MAIN!G939))), VALUE(TRIM(MAIN!G939)), 0))</f>
        <v>0</v>
      </c>
      <c r="H939">
        <f>IF(ISBLANK(MAIN!H939), 0, IF(ISNUMBER(VALUE(TRIM(MAIN!H939))), VALUE(TRIM(MAIN!H939)), 0))</f>
        <v>0</v>
      </c>
      <c r="I939">
        <f>IF(ISBLANK(MAIN!I939), 0, IF(ISNUMBER(VALUE(TRIM(MAIN!I939))), VALUE(TRIM(MAIN!I939)), 0))</f>
        <v>0</v>
      </c>
      <c r="J939">
        <f>IF(ISBLANK(MAIN!J939), 0, IF(ISNUMBER(VALUE(TRIM(MAIN!J939))), VALUE(TRIM(MAIN!J939)), 0))</f>
        <v>0</v>
      </c>
      <c r="K939" cm="1">
        <f t="array" ref="K939">IFERROR(
    VALUE(
        IFERROR(
            UPPER(
                IF(MAX(IFERROR(SEARCH("WD",MAIN!G939:J939), 0))&gt;0, "WD",
                IF(MAX(IFERROR(SEARCH("NS",MAIN!G939:J939), 0))&gt;0, "NS",
                IF(MAX(IFERROR(SEARCH("NC",MAIN!G939:J939), 0))&gt;0, "NC",
                IF(MAX(IFERROR(SEARCH("DQ",MAIN!G939:J939), 0))&gt;0, "DQ",
                IF(ISNUMBER(SEARCH("WD",MAIN!K939)), "WD",
                IF(ISNUMBER(SEARCH("NS",MAIN!K939)), "NS",
                IF(ISNUMBER(SEARCH("NC",MAIN!K939)), "NC",
                IF(ISNUMBER(SEARCH("DQ",MAIN!K939)), "DQ",
                IF(ISNUMBER(SEARCH("A",MAIN!K939)), 0,
                IF(OR(MAIN!K939=0,MAIN!K939=""), 0, --TRIM(MAIN!K939)))))))))))),
            0
        )
    ),
    IFERROR(
        UPPER(
            IF(MAX(IFERROR(SEARCH("WD",MAIN!G939:J939), 0))&gt;0, "WD",
            IF(MAX(IFERROR(SEARCH("NS",MAIN!G939:J939), 0))&gt;0, "NS",
            IF(MAX(IFERROR(SEARCH("NC",MAIN!G939:J939), 0))&gt;0, "NC",
            IF(MAX(IFERROR(SEARCH("DQ",MAIN!G939:J939), 0))&gt;0, "DQ",
            IF(ISNUMBER(SEARCH("WD",MAIN!K939)), "WD",
            IF(ISNUMBER(SEARCH("NS",MAIN!K939)), "NS",
            IF(ISNUMBER(SEARCH("NC",MAIN!K939)), "NC",
            IF(ISNUMBER(SEARCH("DQ",MAIN!K939)), "DQ",
            IF(ISNUMBER(SEARCH("A",MAIN!K939)), 0,
            IF(OR(MAIN!K939=0,MAIN!K939=""), 0, --TRIM(MAIN!K939)))))))))))),
        0
    )
)</f>
        <v>0</v>
      </c>
    </row>
    <row r="940" spans="1:11" x14ac:dyDescent="0.25">
      <c r="A940" t="str">
        <f>IF(ISBLANK(MAIN!A940), "--", IFERROR(PROPER(SUBSTITUTE(SUBSTITUTE(SUBSTITUTE(SUBSTITUTE(SUBSTITUTE(SUBSTITUTE(SUBSTITUTE(SUBSTITUTE(SUBSTITUTE(SUBSTITUTE(LEFT(MAIN!A940, FIND(",",MAIN!A940) -1), "0", ""), "1", ""), "2", ""), "3", ""), "4", ""), "5", ""), "6", ""), "7", ""), "8", ""), "9", "")), PROPER(SUBSTITUTE(SUBSTITUTE(SUBSTITUTE(SUBSTITUTE(SUBSTITUTE(SUBSTITUTE(SUBSTITUTE(SUBSTITUTE(SUBSTITUTE(SUBSTITUTE(MAIN!A940, "0", ""), "1", ""), "2", ""), "3", ""), "4", ""), "5", ""), "6", ""), "7", ""), "8", ""), "9", ""))))</f>
        <v>--</v>
      </c>
      <c r="B940" t="str">
        <f>IF(ISBLANK(MAIN!B940), "--", IFERROR(PROPER(SUBSTITUTE(SUBSTITUTE(SUBSTITUTE(SUBSTITUTE(SUBSTITUTE(SUBSTITUTE(SUBSTITUTE(SUBSTITUTE(SUBSTITUTE(SUBSTITUTE(LEFT(MAIN!B940, FIND(",",MAIN!B940) -1), "0", ""), "1", ""), "2", ""), "3", ""), "4", ""), "5", ""), "6", ""), "7", ""), "8", ""), "9", "")), PROPER(SUBSTITUTE(SUBSTITUTE(SUBSTITUTE(SUBSTITUTE(SUBSTITUTE(SUBSTITUTE(SUBSTITUTE(SUBSTITUTE(SUBSTITUTE(SUBSTITUTE(MAIN!B940, "0", ""), "1", ""), "2", ""), "3", ""), "4", ""), "5", ""), "6", ""), "7", ""), "8", ""), "9", ""))))</f>
        <v>--</v>
      </c>
      <c r="C940" t="str">
        <f>IF(ISBLANK(MAIN!C940), "--", IFERROR(PROPER(SUBSTITUTE(SUBSTITUTE(SUBSTITUTE(SUBSTITUTE(SUBSTITUTE(SUBSTITUTE(SUBSTITUTE(SUBSTITUTE(SUBSTITUTE(SUBSTITUTE(LEFT(MAIN!C940, FIND(",",MAIN!C940) -1), "0", ""), "1", ""), "2", ""), "3", ""), "4", ""), "5", ""), "6", ""), "7", ""), "8", ""), "9", "")), PROPER(SUBSTITUTE(SUBSTITUTE(SUBSTITUTE(SUBSTITUTE(SUBSTITUTE(SUBSTITUTE(SUBSTITUTE(SUBSTITUTE(SUBSTITUTE(SUBSTITUTE(MAIN!C940, "0", ""), "1", ""), "2", ""), "3", ""), "4", ""), "5", ""), "6", ""), "7", ""), "8", ""), "9", ""))))</f>
        <v>--</v>
      </c>
      <c r="D940" t="str">
        <f>IF(ISBLANK(MAIN!D940), "--", IF(ISNUMBER(MATCH(SUBSTITUTE(LEFT(MAIN!D940, IFERROR(FIND(",", MAIN!D940)-1, LEN(MAIN!D940))), " ", ""), lookup_values!$B$2:$B$51, 0)), UPPER(SUBSTITUTE(LEFT(MAIN!D940, IFERROR(FIND(",", MAIN!D940)-1, LEN(MAIN!D940))), " ", "")), IF(ISNA(VLOOKUP(SUBSTITUTE(LEFT(MAIN!D940, IFERROR(FIND(",", MAIN!D940)-1, LEN(MAIN!D940))), " ", ""), lookup_values!$A$2:$B$51, 2, FALSE)), "--", VLOOKUP(SUBSTITUTE(LEFT(MAIN!D940, IFERROR(FIND(",", MAIN!D940)-1, LEN(MAIN!D940))), " ", ""), lookup_values!$A$2:$B$51, 2, FALSE))))</f>
        <v>--</v>
      </c>
      <c r="E940" t="str">
        <f>IF(CLEAN_DATA!D940&lt;&gt;"--","US",IF(ISBLANK(MAIN!E940), "--", IF(ISNUMBER(MATCH(SUBSTITUTE(LEFT(MAIN!E940, IFERROR(FIND(",", MAIN!E940)-1, LEN(MAIN!E940))), " ", ""), lookup_values!$E$2:$E$197, 0)), UPPER(SUBSTITUTE(LEFT(MAIN!E940, IFERROR(FIND(",", MAIN!E940)-1, LEN(MAIN!E940))), " ", "")), IF(ISNA(VLOOKUP(SUBSTITUTE(LEFT(MAIN!E940, IFERROR(FIND(",", MAIN!E940)-1, LEN(MAIN!E940))), " ", ""), lookup_values!$D$2:$E$197, 2, FALSE)), "--", VLOOKUP(SUBSTITUTE(LEFT(MAIN!E940, IFERROR(FIND(",", MAIN!E940)-1, LEN(MAIN!E940))), " ", ""), lookup_values!$D$2:$E$197, 2, FALSE)))))</f>
        <v>--</v>
      </c>
      <c r="F940" t="str">
        <f>IF(ISBLANK(MAIN!F940), "", IF(AND(ISNUMBER(VALUE(TRIM(MAIN!F940))), LEN(TRIM(MAIN!F940))=4), VALUE(TRIM(MAIN!F940)), ""))</f>
        <v/>
      </c>
      <c r="G940">
        <f>IF(ISBLANK(MAIN!G940), 0, IF(ISNUMBER(VALUE(TRIM(MAIN!G940))), VALUE(TRIM(MAIN!G940)), 0))</f>
        <v>0</v>
      </c>
      <c r="H940">
        <f>IF(ISBLANK(MAIN!H940), 0, IF(ISNUMBER(VALUE(TRIM(MAIN!H940))), VALUE(TRIM(MAIN!H940)), 0))</f>
        <v>0</v>
      </c>
      <c r="I940">
        <f>IF(ISBLANK(MAIN!I940), 0, IF(ISNUMBER(VALUE(TRIM(MAIN!I940))), VALUE(TRIM(MAIN!I940)), 0))</f>
        <v>0</v>
      </c>
      <c r="J940">
        <f>IF(ISBLANK(MAIN!J940), 0, IF(ISNUMBER(VALUE(TRIM(MAIN!J940))), VALUE(TRIM(MAIN!J940)), 0))</f>
        <v>0</v>
      </c>
      <c r="K940" cm="1">
        <f t="array" ref="K940">IFERROR(
    VALUE(
        IFERROR(
            UPPER(
                IF(MAX(IFERROR(SEARCH("WD",MAIN!G940:J940), 0))&gt;0, "WD",
                IF(MAX(IFERROR(SEARCH("NS",MAIN!G940:J940), 0))&gt;0, "NS",
                IF(MAX(IFERROR(SEARCH("NC",MAIN!G940:J940), 0))&gt;0, "NC",
                IF(MAX(IFERROR(SEARCH("DQ",MAIN!G940:J940), 0))&gt;0, "DQ",
                IF(ISNUMBER(SEARCH("WD",MAIN!K940)), "WD",
                IF(ISNUMBER(SEARCH("NS",MAIN!K940)), "NS",
                IF(ISNUMBER(SEARCH("NC",MAIN!K940)), "NC",
                IF(ISNUMBER(SEARCH("DQ",MAIN!K940)), "DQ",
                IF(ISNUMBER(SEARCH("A",MAIN!K940)), 0,
                IF(OR(MAIN!K940=0,MAIN!K940=""), 0, --TRIM(MAIN!K940)))))))))))),
            0
        )
    ),
    IFERROR(
        UPPER(
            IF(MAX(IFERROR(SEARCH("WD",MAIN!G940:J940), 0))&gt;0, "WD",
            IF(MAX(IFERROR(SEARCH("NS",MAIN!G940:J940), 0))&gt;0, "NS",
            IF(MAX(IFERROR(SEARCH("NC",MAIN!G940:J940), 0))&gt;0, "NC",
            IF(MAX(IFERROR(SEARCH("DQ",MAIN!G940:J940), 0))&gt;0, "DQ",
            IF(ISNUMBER(SEARCH("WD",MAIN!K940)), "WD",
            IF(ISNUMBER(SEARCH("NS",MAIN!K940)), "NS",
            IF(ISNUMBER(SEARCH("NC",MAIN!K940)), "NC",
            IF(ISNUMBER(SEARCH("DQ",MAIN!K940)), "DQ",
            IF(ISNUMBER(SEARCH("A",MAIN!K940)), 0,
            IF(OR(MAIN!K940=0,MAIN!K940=""), 0, --TRIM(MAIN!K940)))))))))))),
        0
    )
)</f>
        <v>0</v>
      </c>
    </row>
    <row r="941" spans="1:11" x14ac:dyDescent="0.25">
      <c r="A941" t="str">
        <f>IF(ISBLANK(MAIN!A941), "--", IFERROR(PROPER(SUBSTITUTE(SUBSTITUTE(SUBSTITUTE(SUBSTITUTE(SUBSTITUTE(SUBSTITUTE(SUBSTITUTE(SUBSTITUTE(SUBSTITUTE(SUBSTITUTE(LEFT(MAIN!A941, FIND(",",MAIN!A941) -1), "0", ""), "1", ""), "2", ""), "3", ""), "4", ""), "5", ""), "6", ""), "7", ""), "8", ""), "9", "")), PROPER(SUBSTITUTE(SUBSTITUTE(SUBSTITUTE(SUBSTITUTE(SUBSTITUTE(SUBSTITUTE(SUBSTITUTE(SUBSTITUTE(SUBSTITUTE(SUBSTITUTE(MAIN!A941, "0", ""), "1", ""), "2", ""), "3", ""), "4", ""), "5", ""), "6", ""), "7", ""), "8", ""), "9", ""))))</f>
        <v>--</v>
      </c>
      <c r="B941" t="str">
        <f>IF(ISBLANK(MAIN!B941), "--", IFERROR(PROPER(SUBSTITUTE(SUBSTITUTE(SUBSTITUTE(SUBSTITUTE(SUBSTITUTE(SUBSTITUTE(SUBSTITUTE(SUBSTITUTE(SUBSTITUTE(SUBSTITUTE(LEFT(MAIN!B941, FIND(",",MAIN!B941) -1), "0", ""), "1", ""), "2", ""), "3", ""), "4", ""), "5", ""), "6", ""), "7", ""), "8", ""), "9", "")), PROPER(SUBSTITUTE(SUBSTITUTE(SUBSTITUTE(SUBSTITUTE(SUBSTITUTE(SUBSTITUTE(SUBSTITUTE(SUBSTITUTE(SUBSTITUTE(SUBSTITUTE(MAIN!B941, "0", ""), "1", ""), "2", ""), "3", ""), "4", ""), "5", ""), "6", ""), "7", ""), "8", ""), "9", ""))))</f>
        <v>--</v>
      </c>
      <c r="C941" t="str">
        <f>IF(ISBLANK(MAIN!C941), "--", IFERROR(PROPER(SUBSTITUTE(SUBSTITUTE(SUBSTITUTE(SUBSTITUTE(SUBSTITUTE(SUBSTITUTE(SUBSTITUTE(SUBSTITUTE(SUBSTITUTE(SUBSTITUTE(LEFT(MAIN!C941, FIND(",",MAIN!C941) -1), "0", ""), "1", ""), "2", ""), "3", ""), "4", ""), "5", ""), "6", ""), "7", ""), "8", ""), "9", "")), PROPER(SUBSTITUTE(SUBSTITUTE(SUBSTITUTE(SUBSTITUTE(SUBSTITUTE(SUBSTITUTE(SUBSTITUTE(SUBSTITUTE(SUBSTITUTE(SUBSTITUTE(MAIN!C941, "0", ""), "1", ""), "2", ""), "3", ""), "4", ""), "5", ""), "6", ""), "7", ""), "8", ""), "9", ""))))</f>
        <v>--</v>
      </c>
      <c r="D941" t="str">
        <f>IF(ISBLANK(MAIN!D941), "--", IF(ISNUMBER(MATCH(SUBSTITUTE(LEFT(MAIN!D941, IFERROR(FIND(",", MAIN!D941)-1, LEN(MAIN!D941))), " ", ""), lookup_values!$B$2:$B$51, 0)), UPPER(SUBSTITUTE(LEFT(MAIN!D941, IFERROR(FIND(",", MAIN!D941)-1, LEN(MAIN!D941))), " ", "")), IF(ISNA(VLOOKUP(SUBSTITUTE(LEFT(MAIN!D941, IFERROR(FIND(",", MAIN!D941)-1, LEN(MAIN!D941))), " ", ""), lookup_values!$A$2:$B$51, 2, FALSE)), "--", VLOOKUP(SUBSTITUTE(LEFT(MAIN!D941, IFERROR(FIND(",", MAIN!D941)-1, LEN(MAIN!D941))), " ", ""), lookup_values!$A$2:$B$51, 2, FALSE))))</f>
        <v>--</v>
      </c>
      <c r="E941" t="str">
        <f>IF(CLEAN_DATA!D941&lt;&gt;"--","US",IF(ISBLANK(MAIN!E941), "--", IF(ISNUMBER(MATCH(SUBSTITUTE(LEFT(MAIN!E941, IFERROR(FIND(",", MAIN!E941)-1, LEN(MAIN!E941))), " ", ""), lookup_values!$E$2:$E$197, 0)), UPPER(SUBSTITUTE(LEFT(MAIN!E941, IFERROR(FIND(",", MAIN!E941)-1, LEN(MAIN!E941))), " ", "")), IF(ISNA(VLOOKUP(SUBSTITUTE(LEFT(MAIN!E941, IFERROR(FIND(",", MAIN!E941)-1, LEN(MAIN!E941))), " ", ""), lookup_values!$D$2:$E$197, 2, FALSE)), "--", VLOOKUP(SUBSTITUTE(LEFT(MAIN!E941, IFERROR(FIND(",", MAIN!E941)-1, LEN(MAIN!E941))), " ", ""), lookup_values!$D$2:$E$197, 2, FALSE)))))</f>
        <v>--</v>
      </c>
      <c r="F941" t="str">
        <f>IF(ISBLANK(MAIN!F941), "", IF(AND(ISNUMBER(VALUE(TRIM(MAIN!F941))), LEN(TRIM(MAIN!F941))=4), VALUE(TRIM(MAIN!F941)), ""))</f>
        <v/>
      </c>
      <c r="G941">
        <f>IF(ISBLANK(MAIN!G941), 0, IF(ISNUMBER(VALUE(TRIM(MAIN!G941))), VALUE(TRIM(MAIN!G941)), 0))</f>
        <v>0</v>
      </c>
      <c r="H941">
        <f>IF(ISBLANK(MAIN!H941), 0, IF(ISNUMBER(VALUE(TRIM(MAIN!H941))), VALUE(TRIM(MAIN!H941)), 0))</f>
        <v>0</v>
      </c>
      <c r="I941">
        <f>IF(ISBLANK(MAIN!I941), 0, IF(ISNUMBER(VALUE(TRIM(MAIN!I941))), VALUE(TRIM(MAIN!I941)), 0))</f>
        <v>0</v>
      </c>
      <c r="J941">
        <f>IF(ISBLANK(MAIN!J941), 0, IF(ISNUMBER(VALUE(TRIM(MAIN!J941))), VALUE(TRIM(MAIN!J941)), 0))</f>
        <v>0</v>
      </c>
      <c r="K941" cm="1">
        <f t="array" ref="K941">IFERROR(
    VALUE(
        IFERROR(
            UPPER(
                IF(MAX(IFERROR(SEARCH("WD",MAIN!G941:J941), 0))&gt;0, "WD",
                IF(MAX(IFERROR(SEARCH("NS",MAIN!G941:J941), 0))&gt;0, "NS",
                IF(MAX(IFERROR(SEARCH("NC",MAIN!G941:J941), 0))&gt;0, "NC",
                IF(MAX(IFERROR(SEARCH("DQ",MAIN!G941:J941), 0))&gt;0, "DQ",
                IF(ISNUMBER(SEARCH("WD",MAIN!K941)), "WD",
                IF(ISNUMBER(SEARCH("NS",MAIN!K941)), "NS",
                IF(ISNUMBER(SEARCH("NC",MAIN!K941)), "NC",
                IF(ISNUMBER(SEARCH("DQ",MAIN!K941)), "DQ",
                IF(ISNUMBER(SEARCH("A",MAIN!K941)), 0,
                IF(OR(MAIN!K941=0,MAIN!K941=""), 0, --TRIM(MAIN!K941)))))))))))),
            0
        )
    ),
    IFERROR(
        UPPER(
            IF(MAX(IFERROR(SEARCH("WD",MAIN!G941:J941), 0))&gt;0, "WD",
            IF(MAX(IFERROR(SEARCH("NS",MAIN!G941:J941), 0))&gt;0, "NS",
            IF(MAX(IFERROR(SEARCH("NC",MAIN!G941:J941), 0))&gt;0, "NC",
            IF(MAX(IFERROR(SEARCH("DQ",MAIN!G941:J941), 0))&gt;0, "DQ",
            IF(ISNUMBER(SEARCH("WD",MAIN!K941)), "WD",
            IF(ISNUMBER(SEARCH("NS",MAIN!K941)), "NS",
            IF(ISNUMBER(SEARCH("NC",MAIN!K941)), "NC",
            IF(ISNUMBER(SEARCH("DQ",MAIN!K941)), "DQ",
            IF(ISNUMBER(SEARCH("A",MAIN!K941)), 0,
            IF(OR(MAIN!K941=0,MAIN!K941=""), 0, --TRIM(MAIN!K941)))))))))))),
        0
    )
)</f>
        <v>0</v>
      </c>
    </row>
    <row r="942" spans="1:11" x14ac:dyDescent="0.25">
      <c r="A942" t="str">
        <f>IF(ISBLANK(MAIN!A942), "--", IFERROR(PROPER(SUBSTITUTE(SUBSTITUTE(SUBSTITUTE(SUBSTITUTE(SUBSTITUTE(SUBSTITUTE(SUBSTITUTE(SUBSTITUTE(SUBSTITUTE(SUBSTITUTE(LEFT(MAIN!A942, FIND(",",MAIN!A942) -1), "0", ""), "1", ""), "2", ""), "3", ""), "4", ""), "5", ""), "6", ""), "7", ""), "8", ""), "9", "")), PROPER(SUBSTITUTE(SUBSTITUTE(SUBSTITUTE(SUBSTITUTE(SUBSTITUTE(SUBSTITUTE(SUBSTITUTE(SUBSTITUTE(SUBSTITUTE(SUBSTITUTE(MAIN!A942, "0", ""), "1", ""), "2", ""), "3", ""), "4", ""), "5", ""), "6", ""), "7", ""), "8", ""), "9", ""))))</f>
        <v>--</v>
      </c>
      <c r="B942" t="str">
        <f>IF(ISBLANK(MAIN!B942), "--", IFERROR(PROPER(SUBSTITUTE(SUBSTITUTE(SUBSTITUTE(SUBSTITUTE(SUBSTITUTE(SUBSTITUTE(SUBSTITUTE(SUBSTITUTE(SUBSTITUTE(SUBSTITUTE(LEFT(MAIN!B942, FIND(",",MAIN!B942) -1), "0", ""), "1", ""), "2", ""), "3", ""), "4", ""), "5", ""), "6", ""), "7", ""), "8", ""), "9", "")), PROPER(SUBSTITUTE(SUBSTITUTE(SUBSTITUTE(SUBSTITUTE(SUBSTITUTE(SUBSTITUTE(SUBSTITUTE(SUBSTITUTE(SUBSTITUTE(SUBSTITUTE(MAIN!B942, "0", ""), "1", ""), "2", ""), "3", ""), "4", ""), "5", ""), "6", ""), "7", ""), "8", ""), "9", ""))))</f>
        <v>--</v>
      </c>
      <c r="C942" t="str">
        <f>IF(ISBLANK(MAIN!C942), "--", IFERROR(PROPER(SUBSTITUTE(SUBSTITUTE(SUBSTITUTE(SUBSTITUTE(SUBSTITUTE(SUBSTITUTE(SUBSTITUTE(SUBSTITUTE(SUBSTITUTE(SUBSTITUTE(LEFT(MAIN!C942, FIND(",",MAIN!C942) -1), "0", ""), "1", ""), "2", ""), "3", ""), "4", ""), "5", ""), "6", ""), "7", ""), "8", ""), "9", "")), PROPER(SUBSTITUTE(SUBSTITUTE(SUBSTITUTE(SUBSTITUTE(SUBSTITUTE(SUBSTITUTE(SUBSTITUTE(SUBSTITUTE(SUBSTITUTE(SUBSTITUTE(MAIN!C942, "0", ""), "1", ""), "2", ""), "3", ""), "4", ""), "5", ""), "6", ""), "7", ""), "8", ""), "9", ""))))</f>
        <v>--</v>
      </c>
      <c r="D942" t="str">
        <f>IF(ISBLANK(MAIN!D942), "--", IF(ISNUMBER(MATCH(SUBSTITUTE(LEFT(MAIN!D942, IFERROR(FIND(",", MAIN!D942)-1, LEN(MAIN!D942))), " ", ""), lookup_values!$B$2:$B$51, 0)), UPPER(SUBSTITUTE(LEFT(MAIN!D942, IFERROR(FIND(",", MAIN!D942)-1, LEN(MAIN!D942))), " ", "")), IF(ISNA(VLOOKUP(SUBSTITUTE(LEFT(MAIN!D942, IFERROR(FIND(",", MAIN!D942)-1, LEN(MAIN!D942))), " ", ""), lookup_values!$A$2:$B$51, 2, FALSE)), "--", VLOOKUP(SUBSTITUTE(LEFT(MAIN!D942, IFERROR(FIND(",", MAIN!D942)-1, LEN(MAIN!D942))), " ", ""), lookup_values!$A$2:$B$51, 2, FALSE))))</f>
        <v>--</v>
      </c>
      <c r="E942" t="str">
        <f>IF(CLEAN_DATA!D942&lt;&gt;"--","US",IF(ISBLANK(MAIN!E942), "--", IF(ISNUMBER(MATCH(SUBSTITUTE(LEFT(MAIN!E942, IFERROR(FIND(",", MAIN!E942)-1, LEN(MAIN!E942))), " ", ""), lookup_values!$E$2:$E$197, 0)), UPPER(SUBSTITUTE(LEFT(MAIN!E942, IFERROR(FIND(",", MAIN!E942)-1, LEN(MAIN!E942))), " ", "")), IF(ISNA(VLOOKUP(SUBSTITUTE(LEFT(MAIN!E942, IFERROR(FIND(",", MAIN!E942)-1, LEN(MAIN!E942))), " ", ""), lookup_values!$D$2:$E$197, 2, FALSE)), "--", VLOOKUP(SUBSTITUTE(LEFT(MAIN!E942, IFERROR(FIND(",", MAIN!E942)-1, LEN(MAIN!E942))), " ", ""), lookup_values!$D$2:$E$197, 2, FALSE)))))</f>
        <v>--</v>
      </c>
      <c r="F942" t="str">
        <f>IF(ISBLANK(MAIN!F942), "", IF(AND(ISNUMBER(VALUE(TRIM(MAIN!F942))), LEN(TRIM(MAIN!F942))=4), VALUE(TRIM(MAIN!F942)), ""))</f>
        <v/>
      </c>
      <c r="G942">
        <f>IF(ISBLANK(MAIN!G942), 0, IF(ISNUMBER(VALUE(TRIM(MAIN!G942))), VALUE(TRIM(MAIN!G942)), 0))</f>
        <v>0</v>
      </c>
      <c r="H942">
        <f>IF(ISBLANK(MAIN!H942), 0, IF(ISNUMBER(VALUE(TRIM(MAIN!H942))), VALUE(TRIM(MAIN!H942)), 0))</f>
        <v>0</v>
      </c>
      <c r="I942">
        <f>IF(ISBLANK(MAIN!I942), 0, IF(ISNUMBER(VALUE(TRIM(MAIN!I942))), VALUE(TRIM(MAIN!I942)), 0))</f>
        <v>0</v>
      </c>
      <c r="J942">
        <f>IF(ISBLANK(MAIN!J942), 0, IF(ISNUMBER(VALUE(TRIM(MAIN!J942))), VALUE(TRIM(MAIN!J942)), 0))</f>
        <v>0</v>
      </c>
      <c r="K942" cm="1">
        <f t="array" ref="K942">IFERROR(
    VALUE(
        IFERROR(
            UPPER(
                IF(MAX(IFERROR(SEARCH("WD",MAIN!G942:J942), 0))&gt;0, "WD",
                IF(MAX(IFERROR(SEARCH("NS",MAIN!G942:J942), 0))&gt;0, "NS",
                IF(MAX(IFERROR(SEARCH("NC",MAIN!G942:J942), 0))&gt;0, "NC",
                IF(MAX(IFERROR(SEARCH("DQ",MAIN!G942:J942), 0))&gt;0, "DQ",
                IF(ISNUMBER(SEARCH("WD",MAIN!K942)), "WD",
                IF(ISNUMBER(SEARCH("NS",MAIN!K942)), "NS",
                IF(ISNUMBER(SEARCH("NC",MAIN!K942)), "NC",
                IF(ISNUMBER(SEARCH("DQ",MAIN!K942)), "DQ",
                IF(ISNUMBER(SEARCH("A",MAIN!K942)), 0,
                IF(OR(MAIN!K942=0,MAIN!K942=""), 0, --TRIM(MAIN!K942)))))))))))),
            0
        )
    ),
    IFERROR(
        UPPER(
            IF(MAX(IFERROR(SEARCH("WD",MAIN!G942:J942), 0))&gt;0, "WD",
            IF(MAX(IFERROR(SEARCH("NS",MAIN!G942:J942), 0))&gt;0, "NS",
            IF(MAX(IFERROR(SEARCH("NC",MAIN!G942:J942), 0))&gt;0, "NC",
            IF(MAX(IFERROR(SEARCH("DQ",MAIN!G942:J942), 0))&gt;0, "DQ",
            IF(ISNUMBER(SEARCH("WD",MAIN!K942)), "WD",
            IF(ISNUMBER(SEARCH("NS",MAIN!K942)), "NS",
            IF(ISNUMBER(SEARCH("NC",MAIN!K942)), "NC",
            IF(ISNUMBER(SEARCH("DQ",MAIN!K942)), "DQ",
            IF(ISNUMBER(SEARCH("A",MAIN!K942)), 0,
            IF(OR(MAIN!K942=0,MAIN!K942=""), 0, --TRIM(MAIN!K942)))))))))))),
        0
    )
)</f>
        <v>0</v>
      </c>
    </row>
    <row r="943" spans="1:11" x14ac:dyDescent="0.25">
      <c r="A943" t="str">
        <f>IF(ISBLANK(MAIN!A943), "--", IFERROR(PROPER(SUBSTITUTE(SUBSTITUTE(SUBSTITUTE(SUBSTITUTE(SUBSTITUTE(SUBSTITUTE(SUBSTITUTE(SUBSTITUTE(SUBSTITUTE(SUBSTITUTE(LEFT(MAIN!A943, FIND(",",MAIN!A943) -1), "0", ""), "1", ""), "2", ""), "3", ""), "4", ""), "5", ""), "6", ""), "7", ""), "8", ""), "9", "")), PROPER(SUBSTITUTE(SUBSTITUTE(SUBSTITUTE(SUBSTITUTE(SUBSTITUTE(SUBSTITUTE(SUBSTITUTE(SUBSTITUTE(SUBSTITUTE(SUBSTITUTE(MAIN!A943, "0", ""), "1", ""), "2", ""), "3", ""), "4", ""), "5", ""), "6", ""), "7", ""), "8", ""), "9", ""))))</f>
        <v>--</v>
      </c>
      <c r="B943" t="str">
        <f>IF(ISBLANK(MAIN!B943), "--", IFERROR(PROPER(SUBSTITUTE(SUBSTITUTE(SUBSTITUTE(SUBSTITUTE(SUBSTITUTE(SUBSTITUTE(SUBSTITUTE(SUBSTITUTE(SUBSTITUTE(SUBSTITUTE(LEFT(MAIN!B943, FIND(",",MAIN!B943) -1), "0", ""), "1", ""), "2", ""), "3", ""), "4", ""), "5", ""), "6", ""), "7", ""), "8", ""), "9", "")), PROPER(SUBSTITUTE(SUBSTITUTE(SUBSTITUTE(SUBSTITUTE(SUBSTITUTE(SUBSTITUTE(SUBSTITUTE(SUBSTITUTE(SUBSTITUTE(SUBSTITUTE(MAIN!B943, "0", ""), "1", ""), "2", ""), "3", ""), "4", ""), "5", ""), "6", ""), "7", ""), "8", ""), "9", ""))))</f>
        <v>--</v>
      </c>
      <c r="C943" t="str">
        <f>IF(ISBLANK(MAIN!C943), "--", IFERROR(PROPER(SUBSTITUTE(SUBSTITUTE(SUBSTITUTE(SUBSTITUTE(SUBSTITUTE(SUBSTITUTE(SUBSTITUTE(SUBSTITUTE(SUBSTITUTE(SUBSTITUTE(LEFT(MAIN!C943, FIND(",",MAIN!C943) -1), "0", ""), "1", ""), "2", ""), "3", ""), "4", ""), "5", ""), "6", ""), "7", ""), "8", ""), "9", "")), PROPER(SUBSTITUTE(SUBSTITUTE(SUBSTITUTE(SUBSTITUTE(SUBSTITUTE(SUBSTITUTE(SUBSTITUTE(SUBSTITUTE(SUBSTITUTE(SUBSTITUTE(MAIN!C943, "0", ""), "1", ""), "2", ""), "3", ""), "4", ""), "5", ""), "6", ""), "7", ""), "8", ""), "9", ""))))</f>
        <v>--</v>
      </c>
      <c r="D943" t="str">
        <f>IF(ISBLANK(MAIN!D943), "--", IF(ISNUMBER(MATCH(SUBSTITUTE(LEFT(MAIN!D943, IFERROR(FIND(",", MAIN!D943)-1, LEN(MAIN!D943))), " ", ""), lookup_values!$B$2:$B$51, 0)), UPPER(SUBSTITUTE(LEFT(MAIN!D943, IFERROR(FIND(",", MAIN!D943)-1, LEN(MAIN!D943))), " ", "")), IF(ISNA(VLOOKUP(SUBSTITUTE(LEFT(MAIN!D943, IFERROR(FIND(",", MAIN!D943)-1, LEN(MAIN!D943))), " ", ""), lookup_values!$A$2:$B$51, 2, FALSE)), "--", VLOOKUP(SUBSTITUTE(LEFT(MAIN!D943, IFERROR(FIND(",", MAIN!D943)-1, LEN(MAIN!D943))), " ", ""), lookup_values!$A$2:$B$51, 2, FALSE))))</f>
        <v>--</v>
      </c>
      <c r="E943" t="str">
        <f>IF(CLEAN_DATA!D943&lt;&gt;"--","US",IF(ISBLANK(MAIN!E943), "--", IF(ISNUMBER(MATCH(SUBSTITUTE(LEFT(MAIN!E943, IFERROR(FIND(",", MAIN!E943)-1, LEN(MAIN!E943))), " ", ""), lookup_values!$E$2:$E$197, 0)), UPPER(SUBSTITUTE(LEFT(MAIN!E943, IFERROR(FIND(",", MAIN!E943)-1, LEN(MAIN!E943))), " ", "")), IF(ISNA(VLOOKUP(SUBSTITUTE(LEFT(MAIN!E943, IFERROR(FIND(",", MAIN!E943)-1, LEN(MAIN!E943))), " ", ""), lookup_values!$D$2:$E$197, 2, FALSE)), "--", VLOOKUP(SUBSTITUTE(LEFT(MAIN!E943, IFERROR(FIND(",", MAIN!E943)-1, LEN(MAIN!E943))), " ", ""), lookup_values!$D$2:$E$197, 2, FALSE)))))</f>
        <v>--</v>
      </c>
      <c r="F943" t="str">
        <f>IF(ISBLANK(MAIN!F943), "", IF(AND(ISNUMBER(VALUE(TRIM(MAIN!F943))), LEN(TRIM(MAIN!F943))=4), VALUE(TRIM(MAIN!F943)), ""))</f>
        <v/>
      </c>
      <c r="G943">
        <f>IF(ISBLANK(MAIN!G943), 0, IF(ISNUMBER(VALUE(TRIM(MAIN!G943))), VALUE(TRIM(MAIN!G943)), 0))</f>
        <v>0</v>
      </c>
      <c r="H943">
        <f>IF(ISBLANK(MAIN!H943), 0, IF(ISNUMBER(VALUE(TRIM(MAIN!H943))), VALUE(TRIM(MAIN!H943)), 0))</f>
        <v>0</v>
      </c>
      <c r="I943">
        <f>IF(ISBLANK(MAIN!I943), 0, IF(ISNUMBER(VALUE(TRIM(MAIN!I943))), VALUE(TRIM(MAIN!I943)), 0))</f>
        <v>0</v>
      </c>
      <c r="J943">
        <f>IF(ISBLANK(MAIN!J943), 0, IF(ISNUMBER(VALUE(TRIM(MAIN!J943))), VALUE(TRIM(MAIN!J943)), 0))</f>
        <v>0</v>
      </c>
      <c r="K943" cm="1">
        <f t="array" ref="K943">IFERROR(
    VALUE(
        IFERROR(
            UPPER(
                IF(MAX(IFERROR(SEARCH("WD",MAIN!G943:J943), 0))&gt;0, "WD",
                IF(MAX(IFERROR(SEARCH("NS",MAIN!G943:J943), 0))&gt;0, "NS",
                IF(MAX(IFERROR(SEARCH("NC",MAIN!G943:J943), 0))&gt;0, "NC",
                IF(MAX(IFERROR(SEARCH("DQ",MAIN!G943:J943), 0))&gt;0, "DQ",
                IF(ISNUMBER(SEARCH("WD",MAIN!K943)), "WD",
                IF(ISNUMBER(SEARCH("NS",MAIN!K943)), "NS",
                IF(ISNUMBER(SEARCH("NC",MAIN!K943)), "NC",
                IF(ISNUMBER(SEARCH("DQ",MAIN!K943)), "DQ",
                IF(ISNUMBER(SEARCH("A",MAIN!K943)), 0,
                IF(OR(MAIN!K943=0,MAIN!K943=""), 0, --TRIM(MAIN!K943)))))))))))),
            0
        )
    ),
    IFERROR(
        UPPER(
            IF(MAX(IFERROR(SEARCH("WD",MAIN!G943:J943), 0))&gt;0, "WD",
            IF(MAX(IFERROR(SEARCH("NS",MAIN!G943:J943), 0))&gt;0, "NS",
            IF(MAX(IFERROR(SEARCH("NC",MAIN!G943:J943), 0))&gt;0, "NC",
            IF(MAX(IFERROR(SEARCH("DQ",MAIN!G943:J943), 0))&gt;0, "DQ",
            IF(ISNUMBER(SEARCH("WD",MAIN!K943)), "WD",
            IF(ISNUMBER(SEARCH("NS",MAIN!K943)), "NS",
            IF(ISNUMBER(SEARCH("NC",MAIN!K943)), "NC",
            IF(ISNUMBER(SEARCH("DQ",MAIN!K943)), "DQ",
            IF(ISNUMBER(SEARCH("A",MAIN!K943)), 0,
            IF(OR(MAIN!K943=0,MAIN!K943=""), 0, --TRIM(MAIN!K943)))))))))))),
        0
    )
)</f>
        <v>0</v>
      </c>
    </row>
    <row r="944" spans="1:11" x14ac:dyDescent="0.25">
      <c r="A944" t="str">
        <f>IF(ISBLANK(MAIN!A944), "--", IFERROR(PROPER(SUBSTITUTE(SUBSTITUTE(SUBSTITUTE(SUBSTITUTE(SUBSTITUTE(SUBSTITUTE(SUBSTITUTE(SUBSTITUTE(SUBSTITUTE(SUBSTITUTE(LEFT(MAIN!A944, FIND(",",MAIN!A944) -1), "0", ""), "1", ""), "2", ""), "3", ""), "4", ""), "5", ""), "6", ""), "7", ""), "8", ""), "9", "")), PROPER(SUBSTITUTE(SUBSTITUTE(SUBSTITUTE(SUBSTITUTE(SUBSTITUTE(SUBSTITUTE(SUBSTITUTE(SUBSTITUTE(SUBSTITUTE(SUBSTITUTE(MAIN!A944, "0", ""), "1", ""), "2", ""), "3", ""), "4", ""), "5", ""), "6", ""), "7", ""), "8", ""), "9", ""))))</f>
        <v>--</v>
      </c>
      <c r="B944" t="str">
        <f>IF(ISBLANK(MAIN!B944), "--", IFERROR(PROPER(SUBSTITUTE(SUBSTITUTE(SUBSTITUTE(SUBSTITUTE(SUBSTITUTE(SUBSTITUTE(SUBSTITUTE(SUBSTITUTE(SUBSTITUTE(SUBSTITUTE(LEFT(MAIN!B944, FIND(",",MAIN!B944) -1), "0", ""), "1", ""), "2", ""), "3", ""), "4", ""), "5", ""), "6", ""), "7", ""), "8", ""), "9", "")), PROPER(SUBSTITUTE(SUBSTITUTE(SUBSTITUTE(SUBSTITUTE(SUBSTITUTE(SUBSTITUTE(SUBSTITUTE(SUBSTITUTE(SUBSTITUTE(SUBSTITUTE(MAIN!B944, "0", ""), "1", ""), "2", ""), "3", ""), "4", ""), "5", ""), "6", ""), "7", ""), "8", ""), "9", ""))))</f>
        <v>--</v>
      </c>
      <c r="C944" t="str">
        <f>IF(ISBLANK(MAIN!C944), "--", IFERROR(PROPER(SUBSTITUTE(SUBSTITUTE(SUBSTITUTE(SUBSTITUTE(SUBSTITUTE(SUBSTITUTE(SUBSTITUTE(SUBSTITUTE(SUBSTITUTE(SUBSTITUTE(LEFT(MAIN!C944, FIND(",",MAIN!C944) -1), "0", ""), "1", ""), "2", ""), "3", ""), "4", ""), "5", ""), "6", ""), "7", ""), "8", ""), "9", "")), PROPER(SUBSTITUTE(SUBSTITUTE(SUBSTITUTE(SUBSTITUTE(SUBSTITUTE(SUBSTITUTE(SUBSTITUTE(SUBSTITUTE(SUBSTITUTE(SUBSTITUTE(MAIN!C944, "0", ""), "1", ""), "2", ""), "3", ""), "4", ""), "5", ""), "6", ""), "7", ""), "8", ""), "9", ""))))</f>
        <v>--</v>
      </c>
      <c r="D944" t="str">
        <f>IF(ISBLANK(MAIN!D944), "--", IF(ISNUMBER(MATCH(SUBSTITUTE(LEFT(MAIN!D944, IFERROR(FIND(",", MAIN!D944)-1, LEN(MAIN!D944))), " ", ""), lookup_values!$B$2:$B$51, 0)), UPPER(SUBSTITUTE(LEFT(MAIN!D944, IFERROR(FIND(",", MAIN!D944)-1, LEN(MAIN!D944))), " ", "")), IF(ISNA(VLOOKUP(SUBSTITUTE(LEFT(MAIN!D944, IFERROR(FIND(",", MAIN!D944)-1, LEN(MAIN!D944))), " ", ""), lookup_values!$A$2:$B$51, 2, FALSE)), "--", VLOOKUP(SUBSTITUTE(LEFT(MAIN!D944, IFERROR(FIND(",", MAIN!D944)-1, LEN(MAIN!D944))), " ", ""), lookup_values!$A$2:$B$51, 2, FALSE))))</f>
        <v>--</v>
      </c>
      <c r="E944" t="str">
        <f>IF(CLEAN_DATA!D944&lt;&gt;"--","US",IF(ISBLANK(MAIN!E944), "--", IF(ISNUMBER(MATCH(SUBSTITUTE(LEFT(MAIN!E944, IFERROR(FIND(",", MAIN!E944)-1, LEN(MAIN!E944))), " ", ""), lookup_values!$E$2:$E$197, 0)), UPPER(SUBSTITUTE(LEFT(MAIN!E944, IFERROR(FIND(",", MAIN!E944)-1, LEN(MAIN!E944))), " ", "")), IF(ISNA(VLOOKUP(SUBSTITUTE(LEFT(MAIN!E944, IFERROR(FIND(",", MAIN!E944)-1, LEN(MAIN!E944))), " ", ""), lookup_values!$D$2:$E$197, 2, FALSE)), "--", VLOOKUP(SUBSTITUTE(LEFT(MAIN!E944, IFERROR(FIND(",", MAIN!E944)-1, LEN(MAIN!E944))), " ", ""), lookup_values!$D$2:$E$197, 2, FALSE)))))</f>
        <v>--</v>
      </c>
      <c r="F944" t="str">
        <f>IF(ISBLANK(MAIN!F944), "", IF(AND(ISNUMBER(VALUE(TRIM(MAIN!F944))), LEN(TRIM(MAIN!F944))=4), VALUE(TRIM(MAIN!F944)), ""))</f>
        <v/>
      </c>
      <c r="G944">
        <f>IF(ISBLANK(MAIN!G944), 0, IF(ISNUMBER(VALUE(TRIM(MAIN!G944))), VALUE(TRIM(MAIN!G944)), 0))</f>
        <v>0</v>
      </c>
      <c r="H944">
        <f>IF(ISBLANK(MAIN!H944), 0, IF(ISNUMBER(VALUE(TRIM(MAIN!H944))), VALUE(TRIM(MAIN!H944)), 0))</f>
        <v>0</v>
      </c>
      <c r="I944">
        <f>IF(ISBLANK(MAIN!I944), 0, IF(ISNUMBER(VALUE(TRIM(MAIN!I944))), VALUE(TRIM(MAIN!I944)), 0))</f>
        <v>0</v>
      </c>
      <c r="J944">
        <f>IF(ISBLANK(MAIN!J944), 0, IF(ISNUMBER(VALUE(TRIM(MAIN!J944))), VALUE(TRIM(MAIN!J944)), 0))</f>
        <v>0</v>
      </c>
      <c r="K944" cm="1">
        <f t="array" ref="K944">IFERROR(
    VALUE(
        IFERROR(
            UPPER(
                IF(MAX(IFERROR(SEARCH("WD",MAIN!G944:J944), 0))&gt;0, "WD",
                IF(MAX(IFERROR(SEARCH("NS",MAIN!G944:J944), 0))&gt;0, "NS",
                IF(MAX(IFERROR(SEARCH("NC",MAIN!G944:J944), 0))&gt;0, "NC",
                IF(MAX(IFERROR(SEARCH("DQ",MAIN!G944:J944), 0))&gt;0, "DQ",
                IF(ISNUMBER(SEARCH("WD",MAIN!K944)), "WD",
                IF(ISNUMBER(SEARCH("NS",MAIN!K944)), "NS",
                IF(ISNUMBER(SEARCH("NC",MAIN!K944)), "NC",
                IF(ISNUMBER(SEARCH("DQ",MAIN!K944)), "DQ",
                IF(ISNUMBER(SEARCH("A",MAIN!K944)), 0,
                IF(OR(MAIN!K944=0,MAIN!K944=""), 0, --TRIM(MAIN!K944)))))))))))),
            0
        )
    ),
    IFERROR(
        UPPER(
            IF(MAX(IFERROR(SEARCH("WD",MAIN!G944:J944), 0))&gt;0, "WD",
            IF(MAX(IFERROR(SEARCH("NS",MAIN!G944:J944), 0))&gt;0, "NS",
            IF(MAX(IFERROR(SEARCH("NC",MAIN!G944:J944), 0))&gt;0, "NC",
            IF(MAX(IFERROR(SEARCH("DQ",MAIN!G944:J944), 0))&gt;0, "DQ",
            IF(ISNUMBER(SEARCH("WD",MAIN!K944)), "WD",
            IF(ISNUMBER(SEARCH("NS",MAIN!K944)), "NS",
            IF(ISNUMBER(SEARCH("NC",MAIN!K944)), "NC",
            IF(ISNUMBER(SEARCH("DQ",MAIN!K944)), "DQ",
            IF(ISNUMBER(SEARCH("A",MAIN!K944)), 0,
            IF(OR(MAIN!K944=0,MAIN!K944=""), 0, --TRIM(MAIN!K944)))))))))))),
        0
    )
)</f>
        <v>0</v>
      </c>
    </row>
    <row r="945" spans="1:11" x14ac:dyDescent="0.25">
      <c r="A945" t="str">
        <f>IF(ISBLANK(MAIN!A945), "--", IFERROR(PROPER(SUBSTITUTE(SUBSTITUTE(SUBSTITUTE(SUBSTITUTE(SUBSTITUTE(SUBSTITUTE(SUBSTITUTE(SUBSTITUTE(SUBSTITUTE(SUBSTITUTE(LEFT(MAIN!A945, FIND(",",MAIN!A945) -1), "0", ""), "1", ""), "2", ""), "3", ""), "4", ""), "5", ""), "6", ""), "7", ""), "8", ""), "9", "")), PROPER(SUBSTITUTE(SUBSTITUTE(SUBSTITUTE(SUBSTITUTE(SUBSTITUTE(SUBSTITUTE(SUBSTITUTE(SUBSTITUTE(SUBSTITUTE(SUBSTITUTE(MAIN!A945, "0", ""), "1", ""), "2", ""), "3", ""), "4", ""), "5", ""), "6", ""), "7", ""), "8", ""), "9", ""))))</f>
        <v>--</v>
      </c>
      <c r="B945" t="str">
        <f>IF(ISBLANK(MAIN!B945), "--", IFERROR(PROPER(SUBSTITUTE(SUBSTITUTE(SUBSTITUTE(SUBSTITUTE(SUBSTITUTE(SUBSTITUTE(SUBSTITUTE(SUBSTITUTE(SUBSTITUTE(SUBSTITUTE(LEFT(MAIN!B945, FIND(",",MAIN!B945) -1), "0", ""), "1", ""), "2", ""), "3", ""), "4", ""), "5", ""), "6", ""), "7", ""), "8", ""), "9", "")), PROPER(SUBSTITUTE(SUBSTITUTE(SUBSTITUTE(SUBSTITUTE(SUBSTITUTE(SUBSTITUTE(SUBSTITUTE(SUBSTITUTE(SUBSTITUTE(SUBSTITUTE(MAIN!B945, "0", ""), "1", ""), "2", ""), "3", ""), "4", ""), "5", ""), "6", ""), "7", ""), "8", ""), "9", ""))))</f>
        <v>--</v>
      </c>
      <c r="C945" t="str">
        <f>IF(ISBLANK(MAIN!C945), "--", IFERROR(PROPER(SUBSTITUTE(SUBSTITUTE(SUBSTITUTE(SUBSTITUTE(SUBSTITUTE(SUBSTITUTE(SUBSTITUTE(SUBSTITUTE(SUBSTITUTE(SUBSTITUTE(LEFT(MAIN!C945, FIND(",",MAIN!C945) -1), "0", ""), "1", ""), "2", ""), "3", ""), "4", ""), "5", ""), "6", ""), "7", ""), "8", ""), "9", "")), PROPER(SUBSTITUTE(SUBSTITUTE(SUBSTITUTE(SUBSTITUTE(SUBSTITUTE(SUBSTITUTE(SUBSTITUTE(SUBSTITUTE(SUBSTITUTE(SUBSTITUTE(MAIN!C945, "0", ""), "1", ""), "2", ""), "3", ""), "4", ""), "5", ""), "6", ""), "7", ""), "8", ""), "9", ""))))</f>
        <v>--</v>
      </c>
      <c r="D945" t="str">
        <f>IF(ISBLANK(MAIN!D945), "--", IF(ISNUMBER(MATCH(SUBSTITUTE(LEFT(MAIN!D945, IFERROR(FIND(",", MAIN!D945)-1, LEN(MAIN!D945))), " ", ""), lookup_values!$B$2:$B$51, 0)), UPPER(SUBSTITUTE(LEFT(MAIN!D945, IFERROR(FIND(",", MAIN!D945)-1, LEN(MAIN!D945))), " ", "")), IF(ISNA(VLOOKUP(SUBSTITUTE(LEFT(MAIN!D945, IFERROR(FIND(",", MAIN!D945)-1, LEN(MAIN!D945))), " ", ""), lookup_values!$A$2:$B$51, 2, FALSE)), "--", VLOOKUP(SUBSTITUTE(LEFT(MAIN!D945, IFERROR(FIND(",", MAIN!D945)-1, LEN(MAIN!D945))), " ", ""), lookup_values!$A$2:$B$51, 2, FALSE))))</f>
        <v>--</v>
      </c>
      <c r="E945" t="str">
        <f>IF(CLEAN_DATA!D945&lt;&gt;"--","US",IF(ISBLANK(MAIN!E945), "--", IF(ISNUMBER(MATCH(SUBSTITUTE(LEFT(MAIN!E945, IFERROR(FIND(",", MAIN!E945)-1, LEN(MAIN!E945))), " ", ""), lookup_values!$E$2:$E$197, 0)), UPPER(SUBSTITUTE(LEFT(MAIN!E945, IFERROR(FIND(",", MAIN!E945)-1, LEN(MAIN!E945))), " ", "")), IF(ISNA(VLOOKUP(SUBSTITUTE(LEFT(MAIN!E945, IFERROR(FIND(",", MAIN!E945)-1, LEN(MAIN!E945))), " ", ""), lookup_values!$D$2:$E$197, 2, FALSE)), "--", VLOOKUP(SUBSTITUTE(LEFT(MAIN!E945, IFERROR(FIND(",", MAIN!E945)-1, LEN(MAIN!E945))), " ", ""), lookup_values!$D$2:$E$197, 2, FALSE)))))</f>
        <v>--</v>
      </c>
      <c r="F945" t="str">
        <f>IF(ISBLANK(MAIN!F945), "", IF(AND(ISNUMBER(VALUE(TRIM(MAIN!F945))), LEN(TRIM(MAIN!F945))=4), VALUE(TRIM(MAIN!F945)), ""))</f>
        <v/>
      </c>
      <c r="G945">
        <f>IF(ISBLANK(MAIN!G945), 0, IF(ISNUMBER(VALUE(TRIM(MAIN!G945))), VALUE(TRIM(MAIN!G945)), 0))</f>
        <v>0</v>
      </c>
      <c r="H945">
        <f>IF(ISBLANK(MAIN!H945), 0, IF(ISNUMBER(VALUE(TRIM(MAIN!H945))), VALUE(TRIM(MAIN!H945)), 0))</f>
        <v>0</v>
      </c>
      <c r="I945">
        <f>IF(ISBLANK(MAIN!I945), 0, IF(ISNUMBER(VALUE(TRIM(MAIN!I945))), VALUE(TRIM(MAIN!I945)), 0))</f>
        <v>0</v>
      </c>
      <c r="J945">
        <f>IF(ISBLANK(MAIN!J945), 0, IF(ISNUMBER(VALUE(TRIM(MAIN!J945))), VALUE(TRIM(MAIN!J945)), 0))</f>
        <v>0</v>
      </c>
      <c r="K945" cm="1">
        <f t="array" ref="K945">IFERROR(
    VALUE(
        IFERROR(
            UPPER(
                IF(MAX(IFERROR(SEARCH("WD",MAIN!G945:J945), 0))&gt;0, "WD",
                IF(MAX(IFERROR(SEARCH("NS",MAIN!G945:J945), 0))&gt;0, "NS",
                IF(MAX(IFERROR(SEARCH("NC",MAIN!G945:J945), 0))&gt;0, "NC",
                IF(MAX(IFERROR(SEARCH("DQ",MAIN!G945:J945), 0))&gt;0, "DQ",
                IF(ISNUMBER(SEARCH("WD",MAIN!K945)), "WD",
                IF(ISNUMBER(SEARCH("NS",MAIN!K945)), "NS",
                IF(ISNUMBER(SEARCH("NC",MAIN!K945)), "NC",
                IF(ISNUMBER(SEARCH("DQ",MAIN!K945)), "DQ",
                IF(ISNUMBER(SEARCH("A",MAIN!K945)), 0,
                IF(OR(MAIN!K945=0,MAIN!K945=""), 0, --TRIM(MAIN!K945)))))))))))),
            0
        )
    ),
    IFERROR(
        UPPER(
            IF(MAX(IFERROR(SEARCH("WD",MAIN!G945:J945), 0))&gt;0, "WD",
            IF(MAX(IFERROR(SEARCH("NS",MAIN!G945:J945), 0))&gt;0, "NS",
            IF(MAX(IFERROR(SEARCH("NC",MAIN!G945:J945), 0))&gt;0, "NC",
            IF(MAX(IFERROR(SEARCH("DQ",MAIN!G945:J945), 0))&gt;0, "DQ",
            IF(ISNUMBER(SEARCH("WD",MAIN!K945)), "WD",
            IF(ISNUMBER(SEARCH("NS",MAIN!K945)), "NS",
            IF(ISNUMBER(SEARCH("NC",MAIN!K945)), "NC",
            IF(ISNUMBER(SEARCH("DQ",MAIN!K945)), "DQ",
            IF(ISNUMBER(SEARCH("A",MAIN!K945)), 0,
            IF(OR(MAIN!K945=0,MAIN!K945=""), 0, --TRIM(MAIN!K945)))))))))))),
        0
    )
)</f>
        <v>0</v>
      </c>
    </row>
    <row r="946" spans="1:11" x14ac:dyDescent="0.25">
      <c r="A946" t="str">
        <f>IF(ISBLANK(MAIN!A946), "--", IFERROR(PROPER(SUBSTITUTE(SUBSTITUTE(SUBSTITUTE(SUBSTITUTE(SUBSTITUTE(SUBSTITUTE(SUBSTITUTE(SUBSTITUTE(SUBSTITUTE(SUBSTITUTE(LEFT(MAIN!A946, FIND(",",MAIN!A946) -1), "0", ""), "1", ""), "2", ""), "3", ""), "4", ""), "5", ""), "6", ""), "7", ""), "8", ""), "9", "")), PROPER(SUBSTITUTE(SUBSTITUTE(SUBSTITUTE(SUBSTITUTE(SUBSTITUTE(SUBSTITUTE(SUBSTITUTE(SUBSTITUTE(SUBSTITUTE(SUBSTITUTE(MAIN!A946, "0", ""), "1", ""), "2", ""), "3", ""), "4", ""), "5", ""), "6", ""), "7", ""), "8", ""), "9", ""))))</f>
        <v>--</v>
      </c>
      <c r="B946" t="str">
        <f>IF(ISBLANK(MAIN!B946), "--", IFERROR(PROPER(SUBSTITUTE(SUBSTITUTE(SUBSTITUTE(SUBSTITUTE(SUBSTITUTE(SUBSTITUTE(SUBSTITUTE(SUBSTITUTE(SUBSTITUTE(SUBSTITUTE(LEFT(MAIN!B946, FIND(",",MAIN!B946) -1), "0", ""), "1", ""), "2", ""), "3", ""), "4", ""), "5", ""), "6", ""), "7", ""), "8", ""), "9", "")), PROPER(SUBSTITUTE(SUBSTITUTE(SUBSTITUTE(SUBSTITUTE(SUBSTITUTE(SUBSTITUTE(SUBSTITUTE(SUBSTITUTE(SUBSTITUTE(SUBSTITUTE(MAIN!B946, "0", ""), "1", ""), "2", ""), "3", ""), "4", ""), "5", ""), "6", ""), "7", ""), "8", ""), "9", ""))))</f>
        <v>--</v>
      </c>
      <c r="C946" t="str">
        <f>IF(ISBLANK(MAIN!C946), "--", IFERROR(PROPER(SUBSTITUTE(SUBSTITUTE(SUBSTITUTE(SUBSTITUTE(SUBSTITUTE(SUBSTITUTE(SUBSTITUTE(SUBSTITUTE(SUBSTITUTE(SUBSTITUTE(LEFT(MAIN!C946, FIND(",",MAIN!C946) -1), "0", ""), "1", ""), "2", ""), "3", ""), "4", ""), "5", ""), "6", ""), "7", ""), "8", ""), "9", "")), PROPER(SUBSTITUTE(SUBSTITUTE(SUBSTITUTE(SUBSTITUTE(SUBSTITUTE(SUBSTITUTE(SUBSTITUTE(SUBSTITUTE(SUBSTITUTE(SUBSTITUTE(MAIN!C946, "0", ""), "1", ""), "2", ""), "3", ""), "4", ""), "5", ""), "6", ""), "7", ""), "8", ""), "9", ""))))</f>
        <v>--</v>
      </c>
      <c r="D946" t="str">
        <f>IF(ISBLANK(MAIN!D946), "--", IF(ISNUMBER(MATCH(SUBSTITUTE(LEFT(MAIN!D946, IFERROR(FIND(",", MAIN!D946)-1, LEN(MAIN!D946))), " ", ""), lookup_values!$B$2:$B$51, 0)), UPPER(SUBSTITUTE(LEFT(MAIN!D946, IFERROR(FIND(",", MAIN!D946)-1, LEN(MAIN!D946))), " ", "")), IF(ISNA(VLOOKUP(SUBSTITUTE(LEFT(MAIN!D946, IFERROR(FIND(",", MAIN!D946)-1, LEN(MAIN!D946))), " ", ""), lookup_values!$A$2:$B$51, 2, FALSE)), "--", VLOOKUP(SUBSTITUTE(LEFT(MAIN!D946, IFERROR(FIND(",", MAIN!D946)-1, LEN(MAIN!D946))), " ", ""), lookup_values!$A$2:$B$51, 2, FALSE))))</f>
        <v>--</v>
      </c>
      <c r="E946" t="str">
        <f>IF(CLEAN_DATA!D946&lt;&gt;"--","US",IF(ISBLANK(MAIN!E946), "--", IF(ISNUMBER(MATCH(SUBSTITUTE(LEFT(MAIN!E946, IFERROR(FIND(",", MAIN!E946)-1, LEN(MAIN!E946))), " ", ""), lookup_values!$E$2:$E$197, 0)), UPPER(SUBSTITUTE(LEFT(MAIN!E946, IFERROR(FIND(",", MAIN!E946)-1, LEN(MAIN!E946))), " ", "")), IF(ISNA(VLOOKUP(SUBSTITUTE(LEFT(MAIN!E946, IFERROR(FIND(",", MAIN!E946)-1, LEN(MAIN!E946))), " ", ""), lookup_values!$D$2:$E$197, 2, FALSE)), "--", VLOOKUP(SUBSTITUTE(LEFT(MAIN!E946, IFERROR(FIND(",", MAIN!E946)-1, LEN(MAIN!E946))), " ", ""), lookup_values!$D$2:$E$197, 2, FALSE)))))</f>
        <v>--</v>
      </c>
      <c r="F946" t="str">
        <f>IF(ISBLANK(MAIN!F946), "", IF(AND(ISNUMBER(VALUE(TRIM(MAIN!F946))), LEN(TRIM(MAIN!F946))=4), VALUE(TRIM(MAIN!F946)), ""))</f>
        <v/>
      </c>
      <c r="G946">
        <f>IF(ISBLANK(MAIN!G946), 0, IF(ISNUMBER(VALUE(TRIM(MAIN!G946))), VALUE(TRIM(MAIN!G946)), 0))</f>
        <v>0</v>
      </c>
      <c r="H946">
        <f>IF(ISBLANK(MAIN!H946), 0, IF(ISNUMBER(VALUE(TRIM(MAIN!H946))), VALUE(TRIM(MAIN!H946)), 0))</f>
        <v>0</v>
      </c>
      <c r="I946">
        <f>IF(ISBLANK(MAIN!I946), 0, IF(ISNUMBER(VALUE(TRIM(MAIN!I946))), VALUE(TRIM(MAIN!I946)), 0))</f>
        <v>0</v>
      </c>
      <c r="J946">
        <f>IF(ISBLANK(MAIN!J946), 0, IF(ISNUMBER(VALUE(TRIM(MAIN!J946))), VALUE(TRIM(MAIN!J946)), 0))</f>
        <v>0</v>
      </c>
      <c r="K946" cm="1">
        <f t="array" ref="K946">IFERROR(
    VALUE(
        IFERROR(
            UPPER(
                IF(MAX(IFERROR(SEARCH("WD",MAIN!G946:J946), 0))&gt;0, "WD",
                IF(MAX(IFERROR(SEARCH("NS",MAIN!G946:J946), 0))&gt;0, "NS",
                IF(MAX(IFERROR(SEARCH("NC",MAIN!G946:J946), 0))&gt;0, "NC",
                IF(MAX(IFERROR(SEARCH("DQ",MAIN!G946:J946), 0))&gt;0, "DQ",
                IF(ISNUMBER(SEARCH("WD",MAIN!K946)), "WD",
                IF(ISNUMBER(SEARCH("NS",MAIN!K946)), "NS",
                IF(ISNUMBER(SEARCH("NC",MAIN!K946)), "NC",
                IF(ISNUMBER(SEARCH("DQ",MAIN!K946)), "DQ",
                IF(ISNUMBER(SEARCH("A",MAIN!K946)), 0,
                IF(OR(MAIN!K946=0,MAIN!K946=""), 0, --TRIM(MAIN!K946)))))))))))),
            0
        )
    ),
    IFERROR(
        UPPER(
            IF(MAX(IFERROR(SEARCH("WD",MAIN!G946:J946), 0))&gt;0, "WD",
            IF(MAX(IFERROR(SEARCH("NS",MAIN!G946:J946), 0))&gt;0, "NS",
            IF(MAX(IFERROR(SEARCH("NC",MAIN!G946:J946), 0))&gt;0, "NC",
            IF(MAX(IFERROR(SEARCH("DQ",MAIN!G946:J946), 0))&gt;0, "DQ",
            IF(ISNUMBER(SEARCH("WD",MAIN!K946)), "WD",
            IF(ISNUMBER(SEARCH("NS",MAIN!K946)), "NS",
            IF(ISNUMBER(SEARCH("NC",MAIN!K946)), "NC",
            IF(ISNUMBER(SEARCH("DQ",MAIN!K946)), "DQ",
            IF(ISNUMBER(SEARCH("A",MAIN!K946)), 0,
            IF(OR(MAIN!K946=0,MAIN!K946=""), 0, --TRIM(MAIN!K946)))))))))))),
        0
    )
)</f>
        <v>0</v>
      </c>
    </row>
    <row r="947" spans="1:11" x14ac:dyDescent="0.25">
      <c r="A947" t="str">
        <f>IF(ISBLANK(MAIN!A947), "--", IFERROR(PROPER(SUBSTITUTE(SUBSTITUTE(SUBSTITUTE(SUBSTITUTE(SUBSTITUTE(SUBSTITUTE(SUBSTITUTE(SUBSTITUTE(SUBSTITUTE(SUBSTITUTE(LEFT(MAIN!A947, FIND(",",MAIN!A947) -1), "0", ""), "1", ""), "2", ""), "3", ""), "4", ""), "5", ""), "6", ""), "7", ""), "8", ""), "9", "")), PROPER(SUBSTITUTE(SUBSTITUTE(SUBSTITUTE(SUBSTITUTE(SUBSTITUTE(SUBSTITUTE(SUBSTITUTE(SUBSTITUTE(SUBSTITUTE(SUBSTITUTE(MAIN!A947, "0", ""), "1", ""), "2", ""), "3", ""), "4", ""), "5", ""), "6", ""), "7", ""), "8", ""), "9", ""))))</f>
        <v>--</v>
      </c>
      <c r="B947" t="str">
        <f>IF(ISBLANK(MAIN!B947), "--", IFERROR(PROPER(SUBSTITUTE(SUBSTITUTE(SUBSTITUTE(SUBSTITUTE(SUBSTITUTE(SUBSTITUTE(SUBSTITUTE(SUBSTITUTE(SUBSTITUTE(SUBSTITUTE(LEFT(MAIN!B947, FIND(",",MAIN!B947) -1), "0", ""), "1", ""), "2", ""), "3", ""), "4", ""), "5", ""), "6", ""), "7", ""), "8", ""), "9", "")), PROPER(SUBSTITUTE(SUBSTITUTE(SUBSTITUTE(SUBSTITUTE(SUBSTITUTE(SUBSTITUTE(SUBSTITUTE(SUBSTITUTE(SUBSTITUTE(SUBSTITUTE(MAIN!B947, "0", ""), "1", ""), "2", ""), "3", ""), "4", ""), "5", ""), "6", ""), "7", ""), "8", ""), "9", ""))))</f>
        <v>--</v>
      </c>
      <c r="C947" t="str">
        <f>IF(ISBLANK(MAIN!C947), "--", IFERROR(PROPER(SUBSTITUTE(SUBSTITUTE(SUBSTITUTE(SUBSTITUTE(SUBSTITUTE(SUBSTITUTE(SUBSTITUTE(SUBSTITUTE(SUBSTITUTE(SUBSTITUTE(LEFT(MAIN!C947, FIND(",",MAIN!C947) -1), "0", ""), "1", ""), "2", ""), "3", ""), "4", ""), "5", ""), "6", ""), "7", ""), "8", ""), "9", "")), PROPER(SUBSTITUTE(SUBSTITUTE(SUBSTITUTE(SUBSTITUTE(SUBSTITUTE(SUBSTITUTE(SUBSTITUTE(SUBSTITUTE(SUBSTITUTE(SUBSTITUTE(MAIN!C947, "0", ""), "1", ""), "2", ""), "3", ""), "4", ""), "5", ""), "6", ""), "7", ""), "8", ""), "9", ""))))</f>
        <v>--</v>
      </c>
      <c r="D947" t="str">
        <f>IF(ISBLANK(MAIN!D947), "--", IF(ISNUMBER(MATCH(SUBSTITUTE(LEFT(MAIN!D947, IFERROR(FIND(",", MAIN!D947)-1, LEN(MAIN!D947))), " ", ""), lookup_values!$B$2:$B$51, 0)), UPPER(SUBSTITUTE(LEFT(MAIN!D947, IFERROR(FIND(",", MAIN!D947)-1, LEN(MAIN!D947))), " ", "")), IF(ISNA(VLOOKUP(SUBSTITUTE(LEFT(MAIN!D947, IFERROR(FIND(",", MAIN!D947)-1, LEN(MAIN!D947))), " ", ""), lookup_values!$A$2:$B$51, 2, FALSE)), "--", VLOOKUP(SUBSTITUTE(LEFT(MAIN!D947, IFERROR(FIND(",", MAIN!D947)-1, LEN(MAIN!D947))), " ", ""), lookup_values!$A$2:$B$51, 2, FALSE))))</f>
        <v>--</v>
      </c>
      <c r="E947" t="str">
        <f>IF(CLEAN_DATA!D947&lt;&gt;"--","US",IF(ISBLANK(MAIN!E947), "--", IF(ISNUMBER(MATCH(SUBSTITUTE(LEFT(MAIN!E947, IFERROR(FIND(",", MAIN!E947)-1, LEN(MAIN!E947))), " ", ""), lookup_values!$E$2:$E$197, 0)), UPPER(SUBSTITUTE(LEFT(MAIN!E947, IFERROR(FIND(",", MAIN!E947)-1, LEN(MAIN!E947))), " ", "")), IF(ISNA(VLOOKUP(SUBSTITUTE(LEFT(MAIN!E947, IFERROR(FIND(",", MAIN!E947)-1, LEN(MAIN!E947))), " ", ""), lookup_values!$D$2:$E$197, 2, FALSE)), "--", VLOOKUP(SUBSTITUTE(LEFT(MAIN!E947, IFERROR(FIND(",", MAIN!E947)-1, LEN(MAIN!E947))), " ", ""), lookup_values!$D$2:$E$197, 2, FALSE)))))</f>
        <v>--</v>
      </c>
      <c r="F947" t="str">
        <f>IF(ISBLANK(MAIN!F947), "", IF(AND(ISNUMBER(VALUE(TRIM(MAIN!F947))), LEN(TRIM(MAIN!F947))=4), VALUE(TRIM(MAIN!F947)), ""))</f>
        <v/>
      </c>
      <c r="G947">
        <f>IF(ISBLANK(MAIN!G947), 0, IF(ISNUMBER(VALUE(TRIM(MAIN!G947))), VALUE(TRIM(MAIN!G947)), 0))</f>
        <v>0</v>
      </c>
      <c r="H947">
        <f>IF(ISBLANK(MAIN!H947), 0, IF(ISNUMBER(VALUE(TRIM(MAIN!H947))), VALUE(TRIM(MAIN!H947)), 0))</f>
        <v>0</v>
      </c>
      <c r="I947">
        <f>IF(ISBLANK(MAIN!I947), 0, IF(ISNUMBER(VALUE(TRIM(MAIN!I947))), VALUE(TRIM(MAIN!I947)), 0))</f>
        <v>0</v>
      </c>
      <c r="J947">
        <f>IF(ISBLANK(MAIN!J947), 0, IF(ISNUMBER(VALUE(TRIM(MAIN!J947))), VALUE(TRIM(MAIN!J947)), 0))</f>
        <v>0</v>
      </c>
      <c r="K947" cm="1">
        <f t="array" ref="K947">IFERROR(
    VALUE(
        IFERROR(
            UPPER(
                IF(MAX(IFERROR(SEARCH("WD",MAIN!G947:J947), 0))&gt;0, "WD",
                IF(MAX(IFERROR(SEARCH("NS",MAIN!G947:J947), 0))&gt;0, "NS",
                IF(MAX(IFERROR(SEARCH("NC",MAIN!G947:J947), 0))&gt;0, "NC",
                IF(MAX(IFERROR(SEARCH("DQ",MAIN!G947:J947), 0))&gt;0, "DQ",
                IF(ISNUMBER(SEARCH("WD",MAIN!K947)), "WD",
                IF(ISNUMBER(SEARCH("NS",MAIN!K947)), "NS",
                IF(ISNUMBER(SEARCH("NC",MAIN!K947)), "NC",
                IF(ISNUMBER(SEARCH("DQ",MAIN!K947)), "DQ",
                IF(ISNUMBER(SEARCH("A",MAIN!K947)), 0,
                IF(OR(MAIN!K947=0,MAIN!K947=""), 0, --TRIM(MAIN!K947)))))))))))),
            0
        )
    ),
    IFERROR(
        UPPER(
            IF(MAX(IFERROR(SEARCH("WD",MAIN!G947:J947), 0))&gt;0, "WD",
            IF(MAX(IFERROR(SEARCH("NS",MAIN!G947:J947), 0))&gt;0, "NS",
            IF(MAX(IFERROR(SEARCH("NC",MAIN!G947:J947), 0))&gt;0, "NC",
            IF(MAX(IFERROR(SEARCH("DQ",MAIN!G947:J947), 0))&gt;0, "DQ",
            IF(ISNUMBER(SEARCH("WD",MAIN!K947)), "WD",
            IF(ISNUMBER(SEARCH("NS",MAIN!K947)), "NS",
            IF(ISNUMBER(SEARCH("NC",MAIN!K947)), "NC",
            IF(ISNUMBER(SEARCH("DQ",MAIN!K947)), "DQ",
            IF(ISNUMBER(SEARCH("A",MAIN!K947)), 0,
            IF(OR(MAIN!K947=0,MAIN!K947=""), 0, --TRIM(MAIN!K947)))))))))))),
        0
    )
)</f>
        <v>0</v>
      </c>
    </row>
    <row r="948" spans="1:11" x14ac:dyDescent="0.25">
      <c r="A948" t="str">
        <f>IF(ISBLANK(MAIN!A948), "--", IFERROR(PROPER(SUBSTITUTE(SUBSTITUTE(SUBSTITUTE(SUBSTITUTE(SUBSTITUTE(SUBSTITUTE(SUBSTITUTE(SUBSTITUTE(SUBSTITUTE(SUBSTITUTE(LEFT(MAIN!A948, FIND(",",MAIN!A948) -1), "0", ""), "1", ""), "2", ""), "3", ""), "4", ""), "5", ""), "6", ""), "7", ""), "8", ""), "9", "")), PROPER(SUBSTITUTE(SUBSTITUTE(SUBSTITUTE(SUBSTITUTE(SUBSTITUTE(SUBSTITUTE(SUBSTITUTE(SUBSTITUTE(SUBSTITUTE(SUBSTITUTE(MAIN!A948, "0", ""), "1", ""), "2", ""), "3", ""), "4", ""), "5", ""), "6", ""), "7", ""), "8", ""), "9", ""))))</f>
        <v>--</v>
      </c>
      <c r="B948" t="str">
        <f>IF(ISBLANK(MAIN!B948), "--", IFERROR(PROPER(SUBSTITUTE(SUBSTITUTE(SUBSTITUTE(SUBSTITUTE(SUBSTITUTE(SUBSTITUTE(SUBSTITUTE(SUBSTITUTE(SUBSTITUTE(SUBSTITUTE(LEFT(MAIN!B948, FIND(",",MAIN!B948) -1), "0", ""), "1", ""), "2", ""), "3", ""), "4", ""), "5", ""), "6", ""), "7", ""), "8", ""), "9", "")), PROPER(SUBSTITUTE(SUBSTITUTE(SUBSTITUTE(SUBSTITUTE(SUBSTITUTE(SUBSTITUTE(SUBSTITUTE(SUBSTITUTE(SUBSTITUTE(SUBSTITUTE(MAIN!B948, "0", ""), "1", ""), "2", ""), "3", ""), "4", ""), "5", ""), "6", ""), "7", ""), "8", ""), "9", ""))))</f>
        <v>--</v>
      </c>
      <c r="C948" t="str">
        <f>IF(ISBLANK(MAIN!C948), "--", IFERROR(PROPER(SUBSTITUTE(SUBSTITUTE(SUBSTITUTE(SUBSTITUTE(SUBSTITUTE(SUBSTITUTE(SUBSTITUTE(SUBSTITUTE(SUBSTITUTE(SUBSTITUTE(LEFT(MAIN!C948, FIND(",",MAIN!C948) -1), "0", ""), "1", ""), "2", ""), "3", ""), "4", ""), "5", ""), "6", ""), "7", ""), "8", ""), "9", "")), PROPER(SUBSTITUTE(SUBSTITUTE(SUBSTITUTE(SUBSTITUTE(SUBSTITUTE(SUBSTITUTE(SUBSTITUTE(SUBSTITUTE(SUBSTITUTE(SUBSTITUTE(MAIN!C948, "0", ""), "1", ""), "2", ""), "3", ""), "4", ""), "5", ""), "6", ""), "7", ""), "8", ""), "9", ""))))</f>
        <v>--</v>
      </c>
      <c r="D948" t="str">
        <f>IF(ISBLANK(MAIN!D948), "--", IF(ISNUMBER(MATCH(SUBSTITUTE(LEFT(MAIN!D948, IFERROR(FIND(",", MAIN!D948)-1, LEN(MAIN!D948))), " ", ""), lookup_values!$B$2:$B$51, 0)), UPPER(SUBSTITUTE(LEFT(MAIN!D948, IFERROR(FIND(",", MAIN!D948)-1, LEN(MAIN!D948))), " ", "")), IF(ISNA(VLOOKUP(SUBSTITUTE(LEFT(MAIN!D948, IFERROR(FIND(",", MAIN!D948)-1, LEN(MAIN!D948))), " ", ""), lookup_values!$A$2:$B$51, 2, FALSE)), "--", VLOOKUP(SUBSTITUTE(LEFT(MAIN!D948, IFERROR(FIND(",", MAIN!D948)-1, LEN(MAIN!D948))), " ", ""), lookup_values!$A$2:$B$51, 2, FALSE))))</f>
        <v>--</v>
      </c>
      <c r="E948" t="str">
        <f>IF(CLEAN_DATA!D948&lt;&gt;"--","US",IF(ISBLANK(MAIN!E948), "--", IF(ISNUMBER(MATCH(SUBSTITUTE(LEFT(MAIN!E948, IFERROR(FIND(",", MAIN!E948)-1, LEN(MAIN!E948))), " ", ""), lookup_values!$E$2:$E$197, 0)), UPPER(SUBSTITUTE(LEFT(MAIN!E948, IFERROR(FIND(",", MAIN!E948)-1, LEN(MAIN!E948))), " ", "")), IF(ISNA(VLOOKUP(SUBSTITUTE(LEFT(MAIN!E948, IFERROR(FIND(",", MAIN!E948)-1, LEN(MAIN!E948))), " ", ""), lookup_values!$D$2:$E$197, 2, FALSE)), "--", VLOOKUP(SUBSTITUTE(LEFT(MAIN!E948, IFERROR(FIND(",", MAIN!E948)-1, LEN(MAIN!E948))), " ", ""), lookup_values!$D$2:$E$197, 2, FALSE)))))</f>
        <v>--</v>
      </c>
      <c r="F948" t="str">
        <f>IF(ISBLANK(MAIN!F948), "", IF(AND(ISNUMBER(VALUE(TRIM(MAIN!F948))), LEN(TRIM(MAIN!F948))=4), VALUE(TRIM(MAIN!F948)), ""))</f>
        <v/>
      </c>
      <c r="G948">
        <f>IF(ISBLANK(MAIN!G948), 0, IF(ISNUMBER(VALUE(TRIM(MAIN!G948))), VALUE(TRIM(MAIN!G948)), 0))</f>
        <v>0</v>
      </c>
      <c r="H948">
        <f>IF(ISBLANK(MAIN!H948), 0, IF(ISNUMBER(VALUE(TRIM(MAIN!H948))), VALUE(TRIM(MAIN!H948)), 0))</f>
        <v>0</v>
      </c>
      <c r="I948">
        <f>IF(ISBLANK(MAIN!I948), 0, IF(ISNUMBER(VALUE(TRIM(MAIN!I948))), VALUE(TRIM(MAIN!I948)), 0))</f>
        <v>0</v>
      </c>
      <c r="J948">
        <f>IF(ISBLANK(MAIN!J948), 0, IF(ISNUMBER(VALUE(TRIM(MAIN!J948))), VALUE(TRIM(MAIN!J948)), 0))</f>
        <v>0</v>
      </c>
      <c r="K948" cm="1">
        <f t="array" ref="K948">IFERROR(
    VALUE(
        IFERROR(
            UPPER(
                IF(MAX(IFERROR(SEARCH("WD",MAIN!G948:J948), 0))&gt;0, "WD",
                IF(MAX(IFERROR(SEARCH("NS",MAIN!G948:J948), 0))&gt;0, "NS",
                IF(MAX(IFERROR(SEARCH("NC",MAIN!G948:J948), 0))&gt;0, "NC",
                IF(MAX(IFERROR(SEARCH("DQ",MAIN!G948:J948), 0))&gt;0, "DQ",
                IF(ISNUMBER(SEARCH("WD",MAIN!K948)), "WD",
                IF(ISNUMBER(SEARCH("NS",MAIN!K948)), "NS",
                IF(ISNUMBER(SEARCH("NC",MAIN!K948)), "NC",
                IF(ISNUMBER(SEARCH("DQ",MAIN!K948)), "DQ",
                IF(ISNUMBER(SEARCH("A",MAIN!K948)), 0,
                IF(OR(MAIN!K948=0,MAIN!K948=""), 0, --TRIM(MAIN!K948)))))))))))),
            0
        )
    ),
    IFERROR(
        UPPER(
            IF(MAX(IFERROR(SEARCH("WD",MAIN!G948:J948), 0))&gt;0, "WD",
            IF(MAX(IFERROR(SEARCH("NS",MAIN!G948:J948), 0))&gt;0, "NS",
            IF(MAX(IFERROR(SEARCH("NC",MAIN!G948:J948), 0))&gt;0, "NC",
            IF(MAX(IFERROR(SEARCH("DQ",MAIN!G948:J948), 0))&gt;0, "DQ",
            IF(ISNUMBER(SEARCH("WD",MAIN!K948)), "WD",
            IF(ISNUMBER(SEARCH("NS",MAIN!K948)), "NS",
            IF(ISNUMBER(SEARCH("NC",MAIN!K948)), "NC",
            IF(ISNUMBER(SEARCH("DQ",MAIN!K948)), "DQ",
            IF(ISNUMBER(SEARCH("A",MAIN!K948)), 0,
            IF(OR(MAIN!K948=0,MAIN!K948=""), 0, --TRIM(MAIN!K948)))))))))))),
        0
    )
)</f>
        <v>0</v>
      </c>
    </row>
    <row r="949" spans="1:11" x14ac:dyDescent="0.25">
      <c r="A949" t="str">
        <f>IF(ISBLANK(MAIN!A949), "--", IFERROR(PROPER(SUBSTITUTE(SUBSTITUTE(SUBSTITUTE(SUBSTITUTE(SUBSTITUTE(SUBSTITUTE(SUBSTITUTE(SUBSTITUTE(SUBSTITUTE(SUBSTITUTE(LEFT(MAIN!A949, FIND(",",MAIN!A949) -1), "0", ""), "1", ""), "2", ""), "3", ""), "4", ""), "5", ""), "6", ""), "7", ""), "8", ""), "9", "")), PROPER(SUBSTITUTE(SUBSTITUTE(SUBSTITUTE(SUBSTITUTE(SUBSTITUTE(SUBSTITUTE(SUBSTITUTE(SUBSTITUTE(SUBSTITUTE(SUBSTITUTE(MAIN!A949, "0", ""), "1", ""), "2", ""), "3", ""), "4", ""), "5", ""), "6", ""), "7", ""), "8", ""), "9", ""))))</f>
        <v>--</v>
      </c>
      <c r="B949" t="str">
        <f>IF(ISBLANK(MAIN!B949), "--", IFERROR(PROPER(SUBSTITUTE(SUBSTITUTE(SUBSTITUTE(SUBSTITUTE(SUBSTITUTE(SUBSTITUTE(SUBSTITUTE(SUBSTITUTE(SUBSTITUTE(SUBSTITUTE(LEFT(MAIN!B949, FIND(",",MAIN!B949) -1), "0", ""), "1", ""), "2", ""), "3", ""), "4", ""), "5", ""), "6", ""), "7", ""), "8", ""), "9", "")), PROPER(SUBSTITUTE(SUBSTITUTE(SUBSTITUTE(SUBSTITUTE(SUBSTITUTE(SUBSTITUTE(SUBSTITUTE(SUBSTITUTE(SUBSTITUTE(SUBSTITUTE(MAIN!B949, "0", ""), "1", ""), "2", ""), "3", ""), "4", ""), "5", ""), "6", ""), "7", ""), "8", ""), "9", ""))))</f>
        <v>--</v>
      </c>
      <c r="C949" t="str">
        <f>IF(ISBLANK(MAIN!C949), "--", IFERROR(PROPER(SUBSTITUTE(SUBSTITUTE(SUBSTITUTE(SUBSTITUTE(SUBSTITUTE(SUBSTITUTE(SUBSTITUTE(SUBSTITUTE(SUBSTITUTE(SUBSTITUTE(LEFT(MAIN!C949, FIND(",",MAIN!C949) -1), "0", ""), "1", ""), "2", ""), "3", ""), "4", ""), "5", ""), "6", ""), "7", ""), "8", ""), "9", "")), PROPER(SUBSTITUTE(SUBSTITUTE(SUBSTITUTE(SUBSTITUTE(SUBSTITUTE(SUBSTITUTE(SUBSTITUTE(SUBSTITUTE(SUBSTITUTE(SUBSTITUTE(MAIN!C949, "0", ""), "1", ""), "2", ""), "3", ""), "4", ""), "5", ""), "6", ""), "7", ""), "8", ""), "9", ""))))</f>
        <v>--</v>
      </c>
      <c r="D949" t="str">
        <f>IF(ISBLANK(MAIN!D949), "--", IF(ISNUMBER(MATCH(SUBSTITUTE(LEFT(MAIN!D949, IFERROR(FIND(",", MAIN!D949)-1, LEN(MAIN!D949))), " ", ""), lookup_values!$B$2:$B$51, 0)), UPPER(SUBSTITUTE(LEFT(MAIN!D949, IFERROR(FIND(",", MAIN!D949)-1, LEN(MAIN!D949))), " ", "")), IF(ISNA(VLOOKUP(SUBSTITUTE(LEFT(MAIN!D949, IFERROR(FIND(",", MAIN!D949)-1, LEN(MAIN!D949))), " ", ""), lookup_values!$A$2:$B$51, 2, FALSE)), "--", VLOOKUP(SUBSTITUTE(LEFT(MAIN!D949, IFERROR(FIND(",", MAIN!D949)-1, LEN(MAIN!D949))), " ", ""), lookup_values!$A$2:$B$51, 2, FALSE))))</f>
        <v>--</v>
      </c>
      <c r="E949" t="str">
        <f>IF(CLEAN_DATA!D949&lt;&gt;"--","US",IF(ISBLANK(MAIN!E949), "--", IF(ISNUMBER(MATCH(SUBSTITUTE(LEFT(MAIN!E949, IFERROR(FIND(",", MAIN!E949)-1, LEN(MAIN!E949))), " ", ""), lookup_values!$E$2:$E$197, 0)), UPPER(SUBSTITUTE(LEFT(MAIN!E949, IFERROR(FIND(",", MAIN!E949)-1, LEN(MAIN!E949))), " ", "")), IF(ISNA(VLOOKUP(SUBSTITUTE(LEFT(MAIN!E949, IFERROR(FIND(",", MAIN!E949)-1, LEN(MAIN!E949))), " ", ""), lookup_values!$D$2:$E$197, 2, FALSE)), "--", VLOOKUP(SUBSTITUTE(LEFT(MAIN!E949, IFERROR(FIND(",", MAIN!E949)-1, LEN(MAIN!E949))), " ", ""), lookup_values!$D$2:$E$197, 2, FALSE)))))</f>
        <v>--</v>
      </c>
      <c r="F949" t="str">
        <f>IF(ISBLANK(MAIN!F949), "", IF(AND(ISNUMBER(VALUE(TRIM(MAIN!F949))), LEN(TRIM(MAIN!F949))=4), VALUE(TRIM(MAIN!F949)), ""))</f>
        <v/>
      </c>
      <c r="G949">
        <f>IF(ISBLANK(MAIN!G949), 0, IF(ISNUMBER(VALUE(TRIM(MAIN!G949))), VALUE(TRIM(MAIN!G949)), 0))</f>
        <v>0</v>
      </c>
      <c r="H949">
        <f>IF(ISBLANK(MAIN!H949), 0, IF(ISNUMBER(VALUE(TRIM(MAIN!H949))), VALUE(TRIM(MAIN!H949)), 0))</f>
        <v>0</v>
      </c>
      <c r="I949">
        <f>IF(ISBLANK(MAIN!I949), 0, IF(ISNUMBER(VALUE(TRIM(MAIN!I949))), VALUE(TRIM(MAIN!I949)), 0))</f>
        <v>0</v>
      </c>
      <c r="J949">
        <f>IF(ISBLANK(MAIN!J949), 0, IF(ISNUMBER(VALUE(TRIM(MAIN!J949))), VALUE(TRIM(MAIN!J949)), 0))</f>
        <v>0</v>
      </c>
      <c r="K949" cm="1">
        <f t="array" ref="K949">IFERROR(
    VALUE(
        IFERROR(
            UPPER(
                IF(MAX(IFERROR(SEARCH("WD",MAIN!G949:J949), 0))&gt;0, "WD",
                IF(MAX(IFERROR(SEARCH("NS",MAIN!G949:J949), 0))&gt;0, "NS",
                IF(MAX(IFERROR(SEARCH("NC",MAIN!G949:J949), 0))&gt;0, "NC",
                IF(MAX(IFERROR(SEARCH("DQ",MAIN!G949:J949), 0))&gt;0, "DQ",
                IF(ISNUMBER(SEARCH("WD",MAIN!K949)), "WD",
                IF(ISNUMBER(SEARCH("NS",MAIN!K949)), "NS",
                IF(ISNUMBER(SEARCH("NC",MAIN!K949)), "NC",
                IF(ISNUMBER(SEARCH("DQ",MAIN!K949)), "DQ",
                IF(ISNUMBER(SEARCH("A",MAIN!K949)), 0,
                IF(OR(MAIN!K949=0,MAIN!K949=""), 0, --TRIM(MAIN!K949)))))))))))),
            0
        )
    ),
    IFERROR(
        UPPER(
            IF(MAX(IFERROR(SEARCH("WD",MAIN!G949:J949), 0))&gt;0, "WD",
            IF(MAX(IFERROR(SEARCH("NS",MAIN!G949:J949), 0))&gt;0, "NS",
            IF(MAX(IFERROR(SEARCH("NC",MAIN!G949:J949), 0))&gt;0, "NC",
            IF(MAX(IFERROR(SEARCH("DQ",MAIN!G949:J949), 0))&gt;0, "DQ",
            IF(ISNUMBER(SEARCH("WD",MAIN!K949)), "WD",
            IF(ISNUMBER(SEARCH("NS",MAIN!K949)), "NS",
            IF(ISNUMBER(SEARCH("NC",MAIN!K949)), "NC",
            IF(ISNUMBER(SEARCH("DQ",MAIN!K949)), "DQ",
            IF(ISNUMBER(SEARCH("A",MAIN!K949)), 0,
            IF(OR(MAIN!K949=0,MAIN!K949=""), 0, --TRIM(MAIN!K949)))))))))))),
        0
    )
)</f>
        <v>0</v>
      </c>
    </row>
    <row r="950" spans="1:11" x14ac:dyDescent="0.25">
      <c r="A950" t="str">
        <f>IF(ISBLANK(MAIN!A950), "--", IFERROR(PROPER(SUBSTITUTE(SUBSTITUTE(SUBSTITUTE(SUBSTITUTE(SUBSTITUTE(SUBSTITUTE(SUBSTITUTE(SUBSTITUTE(SUBSTITUTE(SUBSTITUTE(LEFT(MAIN!A950, FIND(",",MAIN!A950) -1), "0", ""), "1", ""), "2", ""), "3", ""), "4", ""), "5", ""), "6", ""), "7", ""), "8", ""), "9", "")), PROPER(SUBSTITUTE(SUBSTITUTE(SUBSTITUTE(SUBSTITUTE(SUBSTITUTE(SUBSTITUTE(SUBSTITUTE(SUBSTITUTE(SUBSTITUTE(SUBSTITUTE(MAIN!A950, "0", ""), "1", ""), "2", ""), "3", ""), "4", ""), "5", ""), "6", ""), "7", ""), "8", ""), "9", ""))))</f>
        <v>--</v>
      </c>
      <c r="B950" t="str">
        <f>IF(ISBLANK(MAIN!B950), "--", IFERROR(PROPER(SUBSTITUTE(SUBSTITUTE(SUBSTITUTE(SUBSTITUTE(SUBSTITUTE(SUBSTITUTE(SUBSTITUTE(SUBSTITUTE(SUBSTITUTE(SUBSTITUTE(LEFT(MAIN!B950, FIND(",",MAIN!B950) -1), "0", ""), "1", ""), "2", ""), "3", ""), "4", ""), "5", ""), "6", ""), "7", ""), "8", ""), "9", "")), PROPER(SUBSTITUTE(SUBSTITUTE(SUBSTITUTE(SUBSTITUTE(SUBSTITUTE(SUBSTITUTE(SUBSTITUTE(SUBSTITUTE(SUBSTITUTE(SUBSTITUTE(MAIN!B950, "0", ""), "1", ""), "2", ""), "3", ""), "4", ""), "5", ""), "6", ""), "7", ""), "8", ""), "9", ""))))</f>
        <v>--</v>
      </c>
      <c r="C950" t="str">
        <f>IF(ISBLANK(MAIN!C950), "--", IFERROR(PROPER(SUBSTITUTE(SUBSTITUTE(SUBSTITUTE(SUBSTITUTE(SUBSTITUTE(SUBSTITUTE(SUBSTITUTE(SUBSTITUTE(SUBSTITUTE(SUBSTITUTE(LEFT(MAIN!C950, FIND(",",MAIN!C950) -1), "0", ""), "1", ""), "2", ""), "3", ""), "4", ""), "5", ""), "6", ""), "7", ""), "8", ""), "9", "")), PROPER(SUBSTITUTE(SUBSTITUTE(SUBSTITUTE(SUBSTITUTE(SUBSTITUTE(SUBSTITUTE(SUBSTITUTE(SUBSTITUTE(SUBSTITUTE(SUBSTITUTE(MAIN!C950, "0", ""), "1", ""), "2", ""), "3", ""), "4", ""), "5", ""), "6", ""), "7", ""), "8", ""), "9", ""))))</f>
        <v>--</v>
      </c>
      <c r="D950" t="str">
        <f>IF(ISBLANK(MAIN!D950), "--", IF(ISNUMBER(MATCH(SUBSTITUTE(LEFT(MAIN!D950, IFERROR(FIND(",", MAIN!D950)-1, LEN(MAIN!D950))), " ", ""), lookup_values!$B$2:$B$51, 0)), UPPER(SUBSTITUTE(LEFT(MAIN!D950, IFERROR(FIND(",", MAIN!D950)-1, LEN(MAIN!D950))), " ", "")), IF(ISNA(VLOOKUP(SUBSTITUTE(LEFT(MAIN!D950, IFERROR(FIND(",", MAIN!D950)-1, LEN(MAIN!D950))), " ", ""), lookup_values!$A$2:$B$51, 2, FALSE)), "--", VLOOKUP(SUBSTITUTE(LEFT(MAIN!D950, IFERROR(FIND(",", MAIN!D950)-1, LEN(MAIN!D950))), " ", ""), lookup_values!$A$2:$B$51, 2, FALSE))))</f>
        <v>--</v>
      </c>
      <c r="E950" t="str">
        <f>IF(CLEAN_DATA!D950&lt;&gt;"--","US",IF(ISBLANK(MAIN!E950), "--", IF(ISNUMBER(MATCH(SUBSTITUTE(LEFT(MAIN!E950, IFERROR(FIND(",", MAIN!E950)-1, LEN(MAIN!E950))), " ", ""), lookup_values!$E$2:$E$197, 0)), UPPER(SUBSTITUTE(LEFT(MAIN!E950, IFERROR(FIND(",", MAIN!E950)-1, LEN(MAIN!E950))), " ", "")), IF(ISNA(VLOOKUP(SUBSTITUTE(LEFT(MAIN!E950, IFERROR(FIND(",", MAIN!E950)-1, LEN(MAIN!E950))), " ", ""), lookup_values!$D$2:$E$197, 2, FALSE)), "--", VLOOKUP(SUBSTITUTE(LEFT(MAIN!E950, IFERROR(FIND(",", MAIN!E950)-1, LEN(MAIN!E950))), " ", ""), lookup_values!$D$2:$E$197, 2, FALSE)))))</f>
        <v>--</v>
      </c>
      <c r="F950" t="str">
        <f>IF(ISBLANK(MAIN!F950), "", IF(AND(ISNUMBER(VALUE(TRIM(MAIN!F950))), LEN(TRIM(MAIN!F950))=4), VALUE(TRIM(MAIN!F950)), ""))</f>
        <v/>
      </c>
      <c r="G950">
        <f>IF(ISBLANK(MAIN!G950), 0, IF(ISNUMBER(VALUE(TRIM(MAIN!G950))), VALUE(TRIM(MAIN!G950)), 0))</f>
        <v>0</v>
      </c>
      <c r="H950">
        <f>IF(ISBLANK(MAIN!H950), 0, IF(ISNUMBER(VALUE(TRIM(MAIN!H950))), VALUE(TRIM(MAIN!H950)), 0))</f>
        <v>0</v>
      </c>
      <c r="I950">
        <f>IF(ISBLANK(MAIN!I950), 0, IF(ISNUMBER(VALUE(TRIM(MAIN!I950))), VALUE(TRIM(MAIN!I950)), 0))</f>
        <v>0</v>
      </c>
      <c r="J950">
        <f>IF(ISBLANK(MAIN!J950), 0, IF(ISNUMBER(VALUE(TRIM(MAIN!J950))), VALUE(TRIM(MAIN!J950)), 0))</f>
        <v>0</v>
      </c>
      <c r="K950" cm="1">
        <f t="array" ref="K950">IFERROR(
    VALUE(
        IFERROR(
            UPPER(
                IF(MAX(IFERROR(SEARCH("WD",MAIN!G950:J950), 0))&gt;0, "WD",
                IF(MAX(IFERROR(SEARCH("NS",MAIN!G950:J950), 0))&gt;0, "NS",
                IF(MAX(IFERROR(SEARCH("NC",MAIN!G950:J950), 0))&gt;0, "NC",
                IF(MAX(IFERROR(SEARCH("DQ",MAIN!G950:J950), 0))&gt;0, "DQ",
                IF(ISNUMBER(SEARCH("WD",MAIN!K950)), "WD",
                IF(ISNUMBER(SEARCH("NS",MAIN!K950)), "NS",
                IF(ISNUMBER(SEARCH("NC",MAIN!K950)), "NC",
                IF(ISNUMBER(SEARCH("DQ",MAIN!K950)), "DQ",
                IF(ISNUMBER(SEARCH("A",MAIN!K950)), 0,
                IF(OR(MAIN!K950=0,MAIN!K950=""), 0, --TRIM(MAIN!K950)))))))))))),
            0
        )
    ),
    IFERROR(
        UPPER(
            IF(MAX(IFERROR(SEARCH("WD",MAIN!G950:J950), 0))&gt;0, "WD",
            IF(MAX(IFERROR(SEARCH("NS",MAIN!G950:J950), 0))&gt;0, "NS",
            IF(MAX(IFERROR(SEARCH("NC",MAIN!G950:J950), 0))&gt;0, "NC",
            IF(MAX(IFERROR(SEARCH("DQ",MAIN!G950:J950), 0))&gt;0, "DQ",
            IF(ISNUMBER(SEARCH("WD",MAIN!K950)), "WD",
            IF(ISNUMBER(SEARCH("NS",MAIN!K950)), "NS",
            IF(ISNUMBER(SEARCH("NC",MAIN!K950)), "NC",
            IF(ISNUMBER(SEARCH("DQ",MAIN!K950)), "DQ",
            IF(ISNUMBER(SEARCH("A",MAIN!K950)), 0,
            IF(OR(MAIN!K950=0,MAIN!K950=""), 0, --TRIM(MAIN!K950)))))))))))),
        0
    )
)</f>
        <v>0</v>
      </c>
    </row>
    <row r="951" spans="1:11" x14ac:dyDescent="0.25">
      <c r="A951" t="str">
        <f>IF(ISBLANK(MAIN!A951), "--", IFERROR(PROPER(SUBSTITUTE(SUBSTITUTE(SUBSTITUTE(SUBSTITUTE(SUBSTITUTE(SUBSTITUTE(SUBSTITUTE(SUBSTITUTE(SUBSTITUTE(SUBSTITUTE(LEFT(MAIN!A951, FIND(",",MAIN!A951) -1), "0", ""), "1", ""), "2", ""), "3", ""), "4", ""), "5", ""), "6", ""), "7", ""), "8", ""), "9", "")), PROPER(SUBSTITUTE(SUBSTITUTE(SUBSTITUTE(SUBSTITUTE(SUBSTITUTE(SUBSTITUTE(SUBSTITUTE(SUBSTITUTE(SUBSTITUTE(SUBSTITUTE(MAIN!A951, "0", ""), "1", ""), "2", ""), "3", ""), "4", ""), "5", ""), "6", ""), "7", ""), "8", ""), "9", ""))))</f>
        <v>--</v>
      </c>
      <c r="B951" t="str">
        <f>IF(ISBLANK(MAIN!B951), "--", IFERROR(PROPER(SUBSTITUTE(SUBSTITUTE(SUBSTITUTE(SUBSTITUTE(SUBSTITUTE(SUBSTITUTE(SUBSTITUTE(SUBSTITUTE(SUBSTITUTE(SUBSTITUTE(LEFT(MAIN!B951, FIND(",",MAIN!B951) -1), "0", ""), "1", ""), "2", ""), "3", ""), "4", ""), "5", ""), "6", ""), "7", ""), "8", ""), "9", "")), PROPER(SUBSTITUTE(SUBSTITUTE(SUBSTITUTE(SUBSTITUTE(SUBSTITUTE(SUBSTITUTE(SUBSTITUTE(SUBSTITUTE(SUBSTITUTE(SUBSTITUTE(MAIN!B951, "0", ""), "1", ""), "2", ""), "3", ""), "4", ""), "5", ""), "6", ""), "7", ""), "8", ""), "9", ""))))</f>
        <v>--</v>
      </c>
      <c r="C951" t="str">
        <f>IF(ISBLANK(MAIN!C951), "--", IFERROR(PROPER(SUBSTITUTE(SUBSTITUTE(SUBSTITUTE(SUBSTITUTE(SUBSTITUTE(SUBSTITUTE(SUBSTITUTE(SUBSTITUTE(SUBSTITUTE(SUBSTITUTE(LEFT(MAIN!C951, FIND(",",MAIN!C951) -1), "0", ""), "1", ""), "2", ""), "3", ""), "4", ""), "5", ""), "6", ""), "7", ""), "8", ""), "9", "")), PROPER(SUBSTITUTE(SUBSTITUTE(SUBSTITUTE(SUBSTITUTE(SUBSTITUTE(SUBSTITUTE(SUBSTITUTE(SUBSTITUTE(SUBSTITUTE(SUBSTITUTE(MAIN!C951, "0", ""), "1", ""), "2", ""), "3", ""), "4", ""), "5", ""), "6", ""), "7", ""), "8", ""), "9", ""))))</f>
        <v>--</v>
      </c>
      <c r="D951" t="str">
        <f>IF(ISBLANK(MAIN!D951), "--", IF(ISNUMBER(MATCH(SUBSTITUTE(LEFT(MAIN!D951, IFERROR(FIND(",", MAIN!D951)-1, LEN(MAIN!D951))), " ", ""), lookup_values!$B$2:$B$51, 0)), UPPER(SUBSTITUTE(LEFT(MAIN!D951, IFERROR(FIND(",", MAIN!D951)-1, LEN(MAIN!D951))), " ", "")), IF(ISNA(VLOOKUP(SUBSTITUTE(LEFT(MAIN!D951, IFERROR(FIND(",", MAIN!D951)-1, LEN(MAIN!D951))), " ", ""), lookup_values!$A$2:$B$51, 2, FALSE)), "--", VLOOKUP(SUBSTITUTE(LEFT(MAIN!D951, IFERROR(FIND(",", MAIN!D951)-1, LEN(MAIN!D951))), " ", ""), lookup_values!$A$2:$B$51, 2, FALSE))))</f>
        <v>--</v>
      </c>
      <c r="E951" t="str">
        <f>IF(CLEAN_DATA!D951&lt;&gt;"--","US",IF(ISBLANK(MAIN!E951), "--", IF(ISNUMBER(MATCH(SUBSTITUTE(LEFT(MAIN!E951, IFERROR(FIND(",", MAIN!E951)-1, LEN(MAIN!E951))), " ", ""), lookup_values!$E$2:$E$197, 0)), UPPER(SUBSTITUTE(LEFT(MAIN!E951, IFERROR(FIND(",", MAIN!E951)-1, LEN(MAIN!E951))), " ", "")), IF(ISNA(VLOOKUP(SUBSTITUTE(LEFT(MAIN!E951, IFERROR(FIND(",", MAIN!E951)-1, LEN(MAIN!E951))), " ", ""), lookup_values!$D$2:$E$197, 2, FALSE)), "--", VLOOKUP(SUBSTITUTE(LEFT(MAIN!E951, IFERROR(FIND(",", MAIN!E951)-1, LEN(MAIN!E951))), " ", ""), lookup_values!$D$2:$E$197, 2, FALSE)))))</f>
        <v>--</v>
      </c>
      <c r="F951" t="str">
        <f>IF(ISBLANK(MAIN!F951), "", IF(AND(ISNUMBER(VALUE(TRIM(MAIN!F951))), LEN(TRIM(MAIN!F951))=4), VALUE(TRIM(MAIN!F951)), ""))</f>
        <v/>
      </c>
      <c r="G951">
        <f>IF(ISBLANK(MAIN!G951), 0, IF(ISNUMBER(VALUE(TRIM(MAIN!G951))), VALUE(TRIM(MAIN!G951)), 0))</f>
        <v>0</v>
      </c>
      <c r="H951">
        <f>IF(ISBLANK(MAIN!H951), 0, IF(ISNUMBER(VALUE(TRIM(MAIN!H951))), VALUE(TRIM(MAIN!H951)), 0))</f>
        <v>0</v>
      </c>
      <c r="I951">
        <f>IF(ISBLANK(MAIN!I951), 0, IF(ISNUMBER(VALUE(TRIM(MAIN!I951))), VALUE(TRIM(MAIN!I951)), 0))</f>
        <v>0</v>
      </c>
      <c r="J951">
        <f>IF(ISBLANK(MAIN!J951), 0, IF(ISNUMBER(VALUE(TRIM(MAIN!J951))), VALUE(TRIM(MAIN!J951)), 0))</f>
        <v>0</v>
      </c>
      <c r="K951" cm="1">
        <f t="array" ref="K951">IFERROR(
    VALUE(
        IFERROR(
            UPPER(
                IF(MAX(IFERROR(SEARCH("WD",MAIN!G951:J951), 0))&gt;0, "WD",
                IF(MAX(IFERROR(SEARCH("NS",MAIN!G951:J951), 0))&gt;0, "NS",
                IF(MAX(IFERROR(SEARCH("NC",MAIN!G951:J951), 0))&gt;0, "NC",
                IF(MAX(IFERROR(SEARCH("DQ",MAIN!G951:J951), 0))&gt;0, "DQ",
                IF(ISNUMBER(SEARCH("WD",MAIN!K951)), "WD",
                IF(ISNUMBER(SEARCH("NS",MAIN!K951)), "NS",
                IF(ISNUMBER(SEARCH("NC",MAIN!K951)), "NC",
                IF(ISNUMBER(SEARCH("DQ",MAIN!K951)), "DQ",
                IF(ISNUMBER(SEARCH("A",MAIN!K951)), 0,
                IF(OR(MAIN!K951=0,MAIN!K951=""), 0, --TRIM(MAIN!K951)))))))))))),
            0
        )
    ),
    IFERROR(
        UPPER(
            IF(MAX(IFERROR(SEARCH("WD",MAIN!G951:J951), 0))&gt;0, "WD",
            IF(MAX(IFERROR(SEARCH("NS",MAIN!G951:J951), 0))&gt;0, "NS",
            IF(MAX(IFERROR(SEARCH("NC",MAIN!G951:J951), 0))&gt;0, "NC",
            IF(MAX(IFERROR(SEARCH("DQ",MAIN!G951:J951), 0))&gt;0, "DQ",
            IF(ISNUMBER(SEARCH("WD",MAIN!K951)), "WD",
            IF(ISNUMBER(SEARCH("NS",MAIN!K951)), "NS",
            IF(ISNUMBER(SEARCH("NC",MAIN!K951)), "NC",
            IF(ISNUMBER(SEARCH("DQ",MAIN!K951)), "DQ",
            IF(ISNUMBER(SEARCH("A",MAIN!K951)), 0,
            IF(OR(MAIN!K951=0,MAIN!K951=""), 0, --TRIM(MAIN!K951)))))))))))),
        0
    )
)</f>
        <v>0</v>
      </c>
    </row>
    <row r="952" spans="1:11" x14ac:dyDescent="0.25">
      <c r="A952" t="str">
        <f>IF(ISBLANK(MAIN!A952), "--", IFERROR(PROPER(SUBSTITUTE(SUBSTITUTE(SUBSTITUTE(SUBSTITUTE(SUBSTITUTE(SUBSTITUTE(SUBSTITUTE(SUBSTITUTE(SUBSTITUTE(SUBSTITUTE(LEFT(MAIN!A952, FIND(",",MAIN!A952) -1), "0", ""), "1", ""), "2", ""), "3", ""), "4", ""), "5", ""), "6", ""), "7", ""), "8", ""), "9", "")), PROPER(SUBSTITUTE(SUBSTITUTE(SUBSTITUTE(SUBSTITUTE(SUBSTITUTE(SUBSTITUTE(SUBSTITUTE(SUBSTITUTE(SUBSTITUTE(SUBSTITUTE(MAIN!A952, "0", ""), "1", ""), "2", ""), "3", ""), "4", ""), "5", ""), "6", ""), "7", ""), "8", ""), "9", ""))))</f>
        <v>--</v>
      </c>
      <c r="B952" t="str">
        <f>IF(ISBLANK(MAIN!B952), "--", IFERROR(PROPER(SUBSTITUTE(SUBSTITUTE(SUBSTITUTE(SUBSTITUTE(SUBSTITUTE(SUBSTITUTE(SUBSTITUTE(SUBSTITUTE(SUBSTITUTE(SUBSTITUTE(LEFT(MAIN!B952, FIND(",",MAIN!B952) -1), "0", ""), "1", ""), "2", ""), "3", ""), "4", ""), "5", ""), "6", ""), "7", ""), "8", ""), "9", "")), PROPER(SUBSTITUTE(SUBSTITUTE(SUBSTITUTE(SUBSTITUTE(SUBSTITUTE(SUBSTITUTE(SUBSTITUTE(SUBSTITUTE(SUBSTITUTE(SUBSTITUTE(MAIN!B952, "0", ""), "1", ""), "2", ""), "3", ""), "4", ""), "5", ""), "6", ""), "7", ""), "8", ""), "9", ""))))</f>
        <v>--</v>
      </c>
      <c r="C952" t="str">
        <f>IF(ISBLANK(MAIN!C952), "--", IFERROR(PROPER(SUBSTITUTE(SUBSTITUTE(SUBSTITUTE(SUBSTITUTE(SUBSTITUTE(SUBSTITUTE(SUBSTITUTE(SUBSTITUTE(SUBSTITUTE(SUBSTITUTE(LEFT(MAIN!C952, FIND(",",MAIN!C952) -1), "0", ""), "1", ""), "2", ""), "3", ""), "4", ""), "5", ""), "6", ""), "7", ""), "8", ""), "9", "")), PROPER(SUBSTITUTE(SUBSTITUTE(SUBSTITUTE(SUBSTITUTE(SUBSTITUTE(SUBSTITUTE(SUBSTITUTE(SUBSTITUTE(SUBSTITUTE(SUBSTITUTE(MAIN!C952, "0", ""), "1", ""), "2", ""), "3", ""), "4", ""), "5", ""), "6", ""), "7", ""), "8", ""), "9", ""))))</f>
        <v>--</v>
      </c>
      <c r="D952" t="str">
        <f>IF(ISBLANK(MAIN!D952), "--", IF(ISNUMBER(MATCH(SUBSTITUTE(LEFT(MAIN!D952, IFERROR(FIND(",", MAIN!D952)-1, LEN(MAIN!D952))), " ", ""), lookup_values!$B$2:$B$51, 0)), UPPER(SUBSTITUTE(LEFT(MAIN!D952, IFERROR(FIND(",", MAIN!D952)-1, LEN(MAIN!D952))), " ", "")), IF(ISNA(VLOOKUP(SUBSTITUTE(LEFT(MAIN!D952, IFERROR(FIND(",", MAIN!D952)-1, LEN(MAIN!D952))), " ", ""), lookup_values!$A$2:$B$51, 2, FALSE)), "--", VLOOKUP(SUBSTITUTE(LEFT(MAIN!D952, IFERROR(FIND(",", MAIN!D952)-1, LEN(MAIN!D952))), " ", ""), lookup_values!$A$2:$B$51, 2, FALSE))))</f>
        <v>--</v>
      </c>
      <c r="E952" t="str">
        <f>IF(CLEAN_DATA!D952&lt;&gt;"--","US",IF(ISBLANK(MAIN!E952), "--", IF(ISNUMBER(MATCH(SUBSTITUTE(LEFT(MAIN!E952, IFERROR(FIND(",", MAIN!E952)-1, LEN(MAIN!E952))), " ", ""), lookup_values!$E$2:$E$197, 0)), UPPER(SUBSTITUTE(LEFT(MAIN!E952, IFERROR(FIND(",", MAIN!E952)-1, LEN(MAIN!E952))), " ", "")), IF(ISNA(VLOOKUP(SUBSTITUTE(LEFT(MAIN!E952, IFERROR(FIND(",", MAIN!E952)-1, LEN(MAIN!E952))), " ", ""), lookup_values!$D$2:$E$197, 2, FALSE)), "--", VLOOKUP(SUBSTITUTE(LEFT(MAIN!E952, IFERROR(FIND(",", MAIN!E952)-1, LEN(MAIN!E952))), " ", ""), lookup_values!$D$2:$E$197, 2, FALSE)))))</f>
        <v>--</v>
      </c>
      <c r="F952" t="str">
        <f>IF(ISBLANK(MAIN!F952), "", IF(AND(ISNUMBER(VALUE(TRIM(MAIN!F952))), LEN(TRIM(MAIN!F952))=4), VALUE(TRIM(MAIN!F952)), ""))</f>
        <v/>
      </c>
      <c r="G952">
        <f>IF(ISBLANK(MAIN!G952), 0, IF(ISNUMBER(VALUE(TRIM(MAIN!G952))), VALUE(TRIM(MAIN!G952)), 0))</f>
        <v>0</v>
      </c>
      <c r="H952">
        <f>IF(ISBLANK(MAIN!H952), 0, IF(ISNUMBER(VALUE(TRIM(MAIN!H952))), VALUE(TRIM(MAIN!H952)), 0))</f>
        <v>0</v>
      </c>
      <c r="I952">
        <f>IF(ISBLANK(MAIN!I952), 0, IF(ISNUMBER(VALUE(TRIM(MAIN!I952))), VALUE(TRIM(MAIN!I952)), 0))</f>
        <v>0</v>
      </c>
      <c r="J952">
        <f>IF(ISBLANK(MAIN!J952), 0, IF(ISNUMBER(VALUE(TRIM(MAIN!J952))), VALUE(TRIM(MAIN!J952)), 0))</f>
        <v>0</v>
      </c>
      <c r="K952" cm="1">
        <f t="array" ref="K952">IFERROR(
    VALUE(
        IFERROR(
            UPPER(
                IF(MAX(IFERROR(SEARCH("WD",MAIN!G952:J952), 0))&gt;0, "WD",
                IF(MAX(IFERROR(SEARCH("NS",MAIN!G952:J952), 0))&gt;0, "NS",
                IF(MAX(IFERROR(SEARCH("NC",MAIN!G952:J952), 0))&gt;0, "NC",
                IF(MAX(IFERROR(SEARCH("DQ",MAIN!G952:J952), 0))&gt;0, "DQ",
                IF(ISNUMBER(SEARCH("WD",MAIN!K952)), "WD",
                IF(ISNUMBER(SEARCH("NS",MAIN!K952)), "NS",
                IF(ISNUMBER(SEARCH("NC",MAIN!K952)), "NC",
                IF(ISNUMBER(SEARCH("DQ",MAIN!K952)), "DQ",
                IF(ISNUMBER(SEARCH("A",MAIN!K952)), 0,
                IF(OR(MAIN!K952=0,MAIN!K952=""), 0, --TRIM(MAIN!K952)))))))))))),
            0
        )
    ),
    IFERROR(
        UPPER(
            IF(MAX(IFERROR(SEARCH("WD",MAIN!G952:J952), 0))&gt;0, "WD",
            IF(MAX(IFERROR(SEARCH("NS",MAIN!G952:J952), 0))&gt;0, "NS",
            IF(MAX(IFERROR(SEARCH("NC",MAIN!G952:J952), 0))&gt;0, "NC",
            IF(MAX(IFERROR(SEARCH("DQ",MAIN!G952:J952), 0))&gt;0, "DQ",
            IF(ISNUMBER(SEARCH("WD",MAIN!K952)), "WD",
            IF(ISNUMBER(SEARCH("NS",MAIN!K952)), "NS",
            IF(ISNUMBER(SEARCH("NC",MAIN!K952)), "NC",
            IF(ISNUMBER(SEARCH("DQ",MAIN!K952)), "DQ",
            IF(ISNUMBER(SEARCH("A",MAIN!K952)), 0,
            IF(OR(MAIN!K952=0,MAIN!K952=""), 0, --TRIM(MAIN!K952)))))))))))),
        0
    )
)</f>
        <v>0</v>
      </c>
    </row>
    <row r="953" spans="1:11" x14ac:dyDescent="0.25">
      <c r="A953" t="str">
        <f>IF(ISBLANK(MAIN!A953), "--", IFERROR(PROPER(SUBSTITUTE(SUBSTITUTE(SUBSTITUTE(SUBSTITUTE(SUBSTITUTE(SUBSTITUTE(SUBSTITUTE(SUBSTITUTE(SUBSTITUTE(SUBSTITUTE(LEFT(MAIN!A953, FIND(",",MAIN!A953) -1), "0", ""), "1", ""), "2", ""), "3", ""), "4", ""), "5", ""), "6", ""), "7", ""), "8", ""), "9", "")), PROPER(SUBSTITUTE(SUBSTITUTE(SUBSTITUTE(SUBSTITUTE(SUBSTITUTE(SUBSTITUTE(SUBSTITUTE(SUBSTITUTE(SUBSTITUTE(SUBSTITUTE(MAIN!A953, "0", ""), "1", ""), "2", ""), "3", ""), "4", ""), "5", ""), "6", ""), "7", ""), "8", ""), "9", ""))))</f>
        <v>--</v>
      </c>
      <c r="B953" t="str">
        <f>IF(ISBLANK(MAIN!B953), "--", IFERROR(PROPER(SUBSTITUTE(SUBSTITUTE(SUBSTITUTE(SUBSTITUTE(SUBSTITUTE(SUBSTITUTE(SUBSTITUTE(SUBSTITUTE(SUBSTITUTE(SUBSTITUTE(LEFT(MAIN!B953, FIND(",",MAIN!B953) -1), "0", ""), "1", ""), "2", ""), "3", ""), "4", ""), "5", ""), "6", ""), "7", ""), "8", ""), "9", "")), PROPER(SUBSTITUTE(SUBSTITUTE(SUBSTITUTE(SUBSTITUTE(SUBSTITUTE(SUBSTITUTE(SUBSTITUTE(SUBSTITUTE(SUBSTITUTE(SUBSTITUTE(MAIN!B953, "0", ""), "1", ""), "2", ""), "3", ""), "4", ""), "5", ""), "6", ""), "7", ""), "8", ""), "9", ""))))</f>
        <v>--</v>
      </c>
      <c r="C953" t="str">
        <f>IF(ISBLANK(MAIN!C953), "--", IFERROR(PROPER(SUBSTITUTE(SUBSTITUTE(SUBSTITUTE(SUBSTITUTE(SUBSTITUTE(SUBSTITUTE(SUBSTITUTE(SUBSTITUTE(SUBSTITUTE(SUBSTITUTE(LEFT(MAIN!C953, FIND(",",MAIN!C953) -1), "0", ""), "1", ""), "2", ""), "3", ""), "4", ""), "5", ""), "6", ""), "7", ""), "8", ""), "9", "")), PROPER(SUBSTITUTE(SUBSTITUTE(SUBSTITUTE(SUBSTITUTE(SUBSTITUTE(SUBSTITUTE(SUBSTITUTE(SUBSTITUTE(SUBSTITUTE(SUBSTITUTE(MAIN!C953, "0", ""), "1", ""), "2", ""), "3", ""), "4", ""), "5", ""), "6", ""), "7", ""), "8", ""), "9", ""))))</f>
        <v>--</v>
      </c>
      <c r="D953" t="str">
        <f>IF(ISBLANK(MAIN!D953), "--", IF(ISNUMBER(MATCH(SUBSTITUTE(LEFT(MAIN!D953, IFERROR(FIND(",", MAIN!D953)-1, LEN(MAIN!D953))), " ", ""), lookup_values!$B$2:$B$51, 0)), UPPER(SUBSTITUTE(LEFT(MAIN!D953, IFERROR(FIND(",", MAIN!D953)-1, LEN(MAIN!D953))), " ", "")), IF(ISNA(VLOOKUP(SUBSTITUTE(LEFT(MAIN!D953, IFERROR(FIND(",", MAIN!D953)-1, LEN(MAIN!D953))), " ", ""), lookup_values!$A$2:$B$51, 2, FALSE)), "--", VLOOKUP(SUBSTITUTE(LEFT(MAIN!D953, IFERROR(FIND(",", MAIN!D953)-1, LEN(MAIN!D953))), " ", ""), lookup_values!$A$2:$B$51, 2, FALSE))))</f>
        <v>--</v>
      </c>
      <c r="E953" t="str">
        <f>IF(CLEAN_DATA!D953&lt;&gt;"--","US",IF(ISBLANK(MAIN!E953), "--", IF(ISNUMBER(MATCH(SUBSTITUTE(LEFT(MAIN!E953, IFERROR(FIND(",", MAIN!E953)-1, LEN(MAIN!E953))), " ", ""), lookup_values!$E$2:$E$197, 0)), UPPER(SUBSTITUTE(LEFT(MAIN!E953, IFERROR(FIND(",", MAIN!E953)-1, LEN(MAIN!E953))), " ", "")), IF(ISNA(VLOOKUP(SUBSTITUTE(LEFT(MAIN!E953, IFERROR(FIND(",", MAIN!E953)-1, LEN(MAIN!E953))), " ", ""), lookup_values!$D$2:$E$197, 2, FALSE)), "--", VLOOKUP(SUBSTITUTE(LEFT(MAIN!E953, IFERROR(FIND(",", MAIN!E953)-1, LEN(MAIN!E953))), " ", ""), lookup_values!$D$2:$E$197, 2, FALSE)))))</f>
        <v>--</v>
      </c>
      <c r="F953" t="str">
        <f>IF(ISBLANK(MAIN!F953), "", IF(AND(ISNUMBER(VALUE(TRIM(MAIN!F953))), LEN(TRIM(MAIN!F953))=4), VALUE(TRIM(MAIN!F953)), ""))</f>
        <v/>
      </c>
      <c r="G953">
        <f>IF(ISBLANK(MAIN!G953), 0, IF(ISNUMBER(VALUE(TRIM(MAIN!G953))), VALUE(TRIM(MAIN!G953)), 0))</f>
        <v>0</v>
      </c>
      <c r="H953">
        <f>IF(ISBLANK(MAIN!H953), 0, IF(ISNUMBER(VALUE(TRIM(MAIN!H953))), VALUE(TRIM(MAIN!H953)), 0))</f>
        <v>0</v>
      </c>
      <c r="I953">
        <f>IF(ISBLANK(MAIN!I953), 0, IF(ISNUMBER(VALUE(TRIM(MAIN!I953))), VALUE(TRIM(MAIN!I953)), 0))</f>
        <v>0</v>
      </c>
      <c r="J953">
        <f>IF(ISBLANK(MAIN!J953), 0, IF(ISNUMBER(VALUE(TRIM(MAIN!J953))), VALUE(TRIM(MAIN!J953)), 0))</f>
        <v>0</v>
      </c>
      <c r="K953" cm="1">
        <f t="array" ref="K953">IFERROR(
    VALUE(
        IFERROR(
            UPPER(
                IF(MAX(IFERROR(SEARCH("WD",MAIN!G953:J953), 0))&gt;0, "WD",
                IF(MAX(IFERROR(SEARCH("NS",MAIN!G953:J953), 0))&gt;0, "NS",
                IF(MAX(IFERROR(SEARCH("NC",MAIN!G953:J953), 0))&gt;0, "NC",
                IF(MAX(IFERROR(SEARCH("DQ",MAIN!G953:J953), 0))&gt;0, "DQ",
                IF(ISNUMBER(SEARCH("WD",MAIN!K953)), "WD",
                IF(ISNUMBER(SEARCH("NS",MAIN!K953)), "NS",
                IF(ISNUMBER(SEARCH("NC",MAIN!K953)), "NC",
                IF(ISNUMBER(SEARCH("DQ",MAIN!K953)), "DQ",
                IF(ISNUMBER(SEARCH("A",MAIN!K953)), 0,
                IF(OR(MAIN!K953=0,MAIN!K953=""), 0, --TRIM(MAIN!K953)))))))))))),
            0
        )
    ),
    IFERROR(
        UPPER(
            IF(MAX(IFERROR(SEARCH("WD",MAIN!G953:J953), 0))&gt;0, "WD",
            IF(MAX(IFERROR(SEARCH("NS",MAIN!G953:J953), 0))&gt;0, "NS",
            IF(MAX(IFERROR(SEARCH("NC",MAIN!G953:J953), 0))&gt;0, "NC",
            IF(MAX(IFERROR(SEARCH("DQ",MAIN!G953:J953), 0))&gt;0, "DQ",
            IF(ISNUMBER(SEARCH("WD",MAIN!K953)), "WD",
            IF(ISNUMBER(SEARCH("NS",MAIN!K953)), "NS",
            IF(ISNUMBER(SEARCH("NC",MAIN!K953)), "NC",
            IF(ISNUMBER(SEARCH("DQ",MAIN!K953)), "DQ",
            IF(ISNUMBER(SEARCH("A",MAIN!K953)), 0,
            IF(OR(MAIN!K953=0,MAIN!K953=""), 0, --TRIM(MAIN!K953)))))))))))),
        0
    )
)</f>
        <v>0</v>
      </c>
    </row>
    <row r="954" spans="1:11" x14ac:dyDescent="0.25">
      <c r="A954" t="str">
        <f>IF(ISBLANK(MAIN!A954), "--", IFERROR(PROPER(SUBSTITUTE(SUBSTITUTE(SUBSTITUTE(SUBSTITUTE(SUBSTITUTE(SUBSTITUTE(SUBSTITUTE(SUBSTITUTE(SUBSTITUTE(SUBSTITUTE(LEFT(MAIN!A954, FIND(",",MAIN!A954) -1), "0", ""), "1", ""), "2", ""), "3", ""), "4", ""), "5", ""), "6", ""), "7", ""), "8", ""), "9", "")), PROPER(SUBSTITUTE(SUBSTITUTE(SUBSTITUTE(SUBSTITUTE(SUBSTITUTE(SUBSTITUTE(SUBSTITUTE(SUBSTITUTE(SUBSTITUTE(SUBSTITUTE(MAIN!A954, "0", ""), "1", ""), "2", ""), "3", ""), "4", ""), "5", ""), "6", ""), "7", ""), "8", ""), "9", ""))))</f>
        <v>--</v>
      </c>
      <c r="B954" t="str">
        <f>IF(ISBLANK(MAIN!B954), "--", IFERROR(PROPER(SUBSTITUTE(SUBSTITUTE(SUBSTITUTE(SUBSTITUTE(SUBSTITUTE(SUBSTITUTE(SUBSTITUTE(SUBSTITUTE(SUBSTITUTE(SUBSTITUTE(LEFT(MAIN!B954, FIND(",",MAIN!B954) -1), "0", ""), "1", ""), "2", ""), "3", ""), "4", ""), "5", ""), "6", ""), "7", ""), "8", ""), "9", "")), PROPER(SUBSTITUTE(SUBSTITUTE(SUBSTITUTE(SUBSTITUTE(SUBSTITUTE(SUBSTITUTE(SUBSTITUTE(SUBSTITUTE(SUBSTITUTE(SUBSTITUTE(MAIN!B954, "0", ""), "1", ""), "2", ""), "3", ""), "4", ""), "5", ""), "6", ""), "7", ""), "8", ""), "9", ""))))</f>
        <v>--</v>
      </c>
      <c r="C954" t="str">
        <f>IF(ISBLANK(MAIN!C954), "--", IFERROR(PROPER(SUBSTITUTE(SUBSTITUTE(SUBSTITUTE(SUBSTITUTE(SUBSTITUTE(SUBSTITUTE(SUBSTITUTE(SUBSTITUTE(SUBSTITUTE(SUBSTITUTE(LEFT(MAIN!C954, FIND(",",MAIN!C954) -1), "0", ""), "1", ""), "2", ""), "3", ""), "4", ""), "5", ""), "6", ""), "7", ""), "8", ""), "9", "")), PROPER(SUBSTITUTE(SUBSTITUTE(SUBSTITUTE(SUBSTITUTE(SUBSTITUTE(SUBSTITUTE(SUBSTITUTE(SUBSTITUTE(SUBSTITUTE(SUBSTITUTE(MAIN!C954, "0", ""), "1", ""), "2", ""), "3", ""), "4", ""), "5", ""), "6", ""), "7", ""), "8", ""), "9", ""))))</f>
        <v>--</v>
      </c>
      <c r="D954" t="str">
        <f>IF(ISBLANK(MAIN!D954), "--", IF(ISNUMBER(MATCH(SUBSTITUTE(LEFT(MAIN!D954, IFERROR(FIND(",", MAIN!D954)-1, LEN(MAIN!D954))), " ", ""), lookup_values!$B$2:$B$51, 0)), UPPER(SUBSTITUTE(LEFT(MAIN!D954, IFERROR(FIND(",", MAIN!D954)-1, LEN(MAIN!D954))), " ", "")), IF(ISNA(VLOOKUP(SUBSTITUTE(LEFT(MAIN!D954, IFERROR(FIND(",", MAIN!D954)-1, LEN(MAIN!D954))), " ", ""), lookup_values!$A$2:$B$51, 2, FALSE)), "--", VLOOKUP(SUBSTITUTE(LEFT(MAIN!D954, IFERROR(FIND(",", MAIN!D954)-1, LEN(MAIN!D954))), " ", ""), lookup_values!$A$2:$B$51, 2, FALSE))))</f>
        <v>--</v>
      </c>
      <c r="E954" t="str">
        <f>IF(CLEAN_DATA!D954&lt;&gt;"--","US",IF(ISBLANK(MAIN!E954), "--", IF(ISNUMBER(MATCH(SUBSTITUTE(LEFT(MAIN!E954, IFERROR(FIND(",", MAIN!E954)-1, LEN(MAIN!E954))), " ", ""), lookup_values!$E$2:$E$197, 0)), UPPER(SUBSTITUTE(LEFT(MAIN!E954, IFERROR(FIND(",", MAIN!E954)-1, LEN(MAIN!E954))), " ", "")), IF(ISNA(VLOOKUP(SUBSTITUTE(LEFT(MAIN!E954, IFERROR(FIND(",", MAIN!E954)-1, LEN(MAIN!E954))), " ", ""), lookup_values!$D$2:$E$197, 2, FALSE)), "--", VLOOKUP(SUBSTITUTE(LEFT(MAIN!E954, IFERROR(FIND(",", MAIN!E954)-1, LEN(MAIN!E954))), " ", ""), lookup_values!$D$2:$E$197, 2, FALSE)))))</f>
        <v>--</v>
      </c>
      <c r="F954" t="str">
        <f>IF(ISBLANK(MAIN!F954), "", IF(AND(ISNUMBER(VALUE(TRIM(MAIN!F954))), LEN(TRIM(MAIN!F954))=4), VALUE(TRIM(MAIN!F954)), ""))</f>
        <v/>
      </c>
      <c r="G954">
        <f>IF(ISBLANK(MAIN!G954), 0, IF(ISNUMBER(VALUE(TRIM(MAIN!G954))), VALUE(TRIM(MAIN!G954)), 0))</f>
        <v>0</v>
      </c>
      <c r="H954">
        <f>IF(ISBLANK(MAIN!H954), 0, IF(ISNUMBER(VALUE(TRIM(MAIN!H954))), VALUE(TRIM(MAIN!H954)), 0))</f>
        <v>0</v>
      </c>
      <c r="I954">
        <f>IF(ISBLANK(MAIN!I954), 0, IF(ISNUMBER(VALUE(TRIM(MAIN!I954))), VALUE(TRIM(MAIN!I954)), 0))</f>
        <v>0</v>
      </c>
      <c r="J954">
        <f>IF(ISBLANK(MAIN!J954), 0, IF(ISNUMBER(VALUE(TRIM(MAIN!J954))), VALUE(TRIM(MAIN!J954)), 0))</f>
        <v>0</v>
      </c>
      <c r="K954" cm="1">
        <f t="array" ref="K954">IFERROR(
    VALUE(
        IFERROR(
            UPPER(
                IF(MAX(IFERROR(SEARCH("WD",MAIN!G954:J954), 0))&gt;0, "WD",
                IF(MAX(IFERROR(SEARCH("NS",MAIN!G954:J954), 0))&gt;0, "NS",
                IF(MAX(IFERROR(SEARCH("NC",MAIN!G954:J954), 0))&gt;0, "NC",
                IF(MAX(IFERROR(SEARCH("DQ",MAIN!G954:J954), 0))&gt;0, "DQ",
                IF(ISNUMBER(SEARCH("WD",MAIN!K954)), "WD",
                IF(ISNUMBER(SEARCH("NS",MAIN!K954)), "NS",
                IF(ISNUMBER(SEARCH("NC",MAIN!K954)), "NC",
                IF(ISNUMBER(SEARCH("DQ",MAIN!K954)), "DQ",
                IF(ISNUMBER(SEARCH("A",MAIN!K954)), 0,
                IF(OR(MAIN!K954=0,MAIN!K954=""), 0, --TRIM(MAIN!K954)))))))))))),
            0
        )
    ),
    IFERROR(
        UPPER(
            IF(MAX(IFERROR(SEARCH("WD",MAIN!G954:J954), 0))&gt;0, "WD",
            IF(MAX(IFERROR(SEARCH("NS",MAIN!G954:J954), 0))&gt;0, "NS",
            IF(MAX(IFERROR(SEARCH("NC",MAIN!G954:J954), 0))&gt;0, "NC",
            IF(MAX(IFERROR(SEARCH("DQ",MAIN!G954:J954), 0))&gt;0, "DQ",
            IF(ISNUMBER(SEARCH("WD",MAIN!K954)), "WD",
            IF(ISNUMBER(SEARCH("NS",MAIN!K954)), "NS",
            IF(ISNUMBER(SEARCH("NC",MAIN!K954)), "NC",
            IF(ISNUMBER(SEARCH("DQ",MAIN!K954)), "DQ",
            IF(ISNUMBER(SEARCH("A",MAIN!K954)), 0,
            IF(OR(MAIN!K954=0,MAIN!K954=""), 0, --TRIM(MAIN!K954)))))))))))),
        0
    )
)</f>
        <v>0</v>
      </c>
    </row>
    <row r="955" spans="1:11" x14ac:dyDescent="0.25">
      <c r="A955" t="str">
        <f>IF(ISBLANK(MAIN!A955), "--", IFERROR(PROPER(SUBSTITUTE(SUBSTITUTE(SUBSTITUTE(SUBSTITUTE(SUBSTITUTE(SUBSTITUTE(SUBSTITUTE(SUBSTITUTE(SUBSTITUTE(SUBSTITUTE(LEFT(MAIN!A955, FIND(",",MAIN!A955) -1), "0", ""), "1", ""), "2", ""), "3", ""), "4", ""), "5", ""), "6", ""), "7", ""), "8", ""), "9", "")), PROPER(SUBSTITUTE(SUBSTITUTE(SUBSTITUTE(SUBSTITUTE(SUBSTITUTE(SUBSTITUTE(SUBSTITUTE(SUBSTITUTE(SUBSTITUTE(SUBSTITUTE(MAIN!A955, "0", ""), "1", ""), "2", ""), "3", ""), "4", ""), "5", ""), "6", ""), "7", ""), "8", ""), "9", ""))))</f>
        <v>--</v>
      </c>
      <c r="B955" t="str">
        <f>IF(ISBLANK(MAIN!B955), "--", IFERROR(PROPER(SUBSTITUTE(SUBSTITUTE(SUBSTITUTE(SUBSTITUTE(SUBSTITUTE(SUBSTITUTE(SUBSTITUTE(SUBSTITUTE(SUBSTITUTE(SUBSTITUTE(LEFT(MAIN!B955, FIND(",",MAIN!B955) -1), "0", ""), "1", ""), "2", ""), "3", ""), "4", ""), "5", ""), "6", ""), "7", ""), "8", ""), "9", "")), PROPER(SUBSTITUTE(SUBSTITUTE(SUBSTITUTE(SUBSTITUTE(SUBSTITUTE(SUBSTITUTE(SUBSTITUTE(SUBSTITUTE(SUBSTITUTE(SUBSTITUTE(MAIN!B955, "0", ""), "1", ""), "2", ""), "3", ""), "4", ""), "5", ""), "6", ""), "7", ""), "8", ""), "9", ""))))</f>
        <v>--</v>
      </c>
      <c r="C955" t="str">
        <f>IF(ISBLANK(MAIN!C955), "--", IFERROR(PROPER(SUBSTITUTE(SUBSTITUTE(SUBSTITUTE(SUBSTITUTE(SUBSTITUTE(SUBSTITUTE(SUBSTITUTE(SUBSTITUTE(SUBSTITUTE(SUBSTITUTE(LEFT(MAIN!C955, FIND(",",MAIN!C955) -1), "0", ""), "1", ""), "2", ""), "3", ""), "4", ""), "5", ""), "6", ""), "7", ""), "8", ""), "9", "")), PROPER(SUBSTITUTE(SUBSTITUTE(SUBSTITUTE(SUBSTITUTE(SUBSTITUTE(SUBSTITUTE(SUBSTITUTE(SUBSTITUTE(SUBSTITUTE(SUBSTITUTE(MAIN!C955, "0", ""), "1", ""), "2", ""), "3", ""), "4", ""), "5", ""), "6", ""), "7", ""), "8", ""), "9", ""))))</f>
        <v>--</v>
      </c>
      <c r="D955" t="str">
        <f>IF(ISBLANK(MAIN!D955), "--", IF(ISNUMBER(MATCH(SUBSTITUTE(LEFT(MAIN!D955, IFERROR(FIND(",", MAIN!D955)-1, LEN(MAIN!D955))), " ", ""), lookup_values!$B$2:$B$51, 0)), UPPER(SUBSTITUTE(LEFT(MAIN!D955, IFERROR(FIND(",", MAIN!D955)-1, LEN(MAIN!D955))), " ", "")), IF(ISNA(VLOOKUP(SUBSTITUTE(LEFT(MAIN!D955, IFERROR(FIND(",", MAIN!D955)-1, LEN(MAIN!D955))), " ", ""), lookup_values!$A$2:$B$51, 2, FALSE)), "--", VLOOKUP(SUBSTITUTE(LEFT(MAIN!D955, IFERROR(FIND(",", MAIN!D955)-1, LEN(MAIN!D955))), " ", ""), lookup_values!$A$2:$B$51, 2, FALSE))))</f>
        <v>--</v>
      </c>
      <c r="E955" t="str">
        <f>IF(CLEAN_DATA!D955&lt;&gt;"--","US",IF(ISBLANK(MAIN!E955), "--", IF(ISNUMBER(MATCH(SUBSTITUTE(LEFT(MAIN!E955, IFERROR(FIND(",", MAIN!E955)-1, LEN(MAIN!E955))), " ", ""), lookup_values!$E$2:$E$197, 0)), UPPER(SUBSTITUTE(LEFT(MAIN!E955, IFERROR(FIND(",", MAIN!E955)-1, LEN(MAIN!E955))), " ", "")), IF(ISNA(VLOOKUP(SUBSTITUTE(LEFT(MAIN!E955, IFERROR(FIND(",", MAIN!E955)-1, LEN(MAIN!E955))), " ", ""), lookup_values!$D$2:$E$197, 2, FALSE)), "--", VLOOKUP(SUBSTITUTE(LEFT(MAIN!E955, IFERROR(FIND(",", MAIN!E955)-1, LEN(MAIN!E955))), " ", ""), lookup_values!$D$2:$E$197, 2, FALSE)))))</f>
        <v>--</v>
      </c>
      <c r="F955" t="str">
        <f>IF(ISBLANK(MAIN!F955), "", IF(AND(ISNUMBER(VALUE(TRIM(MAIN!F955))), LEN(TRIM(MAIN!F955))=4), VALUE(TRIM(MAIN!F955)), ""))</f>
        <v/>
      </c>
      <c r="G955">
        <f>IF(ISBLANK(MAIN!G955), 0, IF(ISNUMBER(VALUE(TRIM(MAIN!G955))), VALUE(TRIM(MAIN!G955)), 0))</f>
        <v>0</v>
      </c>
      <c r="H955">
        <f>IF(ISBLANK(MAIN!H955), 0, IF(ISNUMBER(VALUE(TRIM(MAIN!H955))), VALUE(TRIM(MAIN!H955)), 0))</f>
        <v>0</v>
      </c>
      <c r="I955">
        <f>IF(ISBLANK(MAIN!I955), 0, IF(ISNUMBER(VALUE(TRIM(MAIN!I955))), VALUE(TRIM(MAIN!I955)), 0))</f>
        <v>0</v>
      </c>
      <c r="J955">
        <f>IF(ISBLANK(MAIN!J955), 0, IF(ISNUMBER(VALUE(TRIM(MAIN!J955))), VALUE(TRIM(MAIN!J955)), 0))</f>
        <v>0</v>
      </c>
      <c r="K955" cm="1">
        <f t="array" ref="K955">IFERROR(
    VALUE(
        IFERROR(
            UPPER(
                IF(MAX(IFERROR(SEARCH("WD",MAIN!G955:J955), 0))&gt;0, "WD",
                IF(MAX(IFERROR(SEARCH("NS",MAIN!G955:J955), 0))&gt;0, "NS",
                IF(MAX(IFERROR(SEARCH("NC",MAIN!G955:J955), 0))&gt;0, "NC",
                IF(MAX(IFERROR(SEARCH("DQ",MAIN!G955:J955), 0))&gt;0, "DQ",
                IF(ISNUMBER(SEARCH("WD",MAIN!K955)), "WD",
                IF(ISNUMBER(SEARCH("NS",MAIN!K955)), "NS",
                IF(ISNUMBER(SEARCH("NC",MAIN!K955)), "NC",
                IF(ISNUMBER(SEARCH("DQ",MAIN!K955)), "DQ",
                IF(ISNUMBER(SEARCH("A",MAIN!K955)), 0,
                IF(OR(MAIN!K955=0,MAIN!K955=""), 0, --TRIM(MAIN!K955)))))))))))),
            0
        )
    ),
    IFERROR(
        UPPER(
            IF(MAX(IFERROR(SEARCH("WD",MAIN!G955:J955), 0))&gt;0, "WD",
            IF(MAX(IFERROR(SEARCH("NS",MAIN!G955:J955), 0))&gt;0, "NS",
            IF(MAX(IFERROR(SEARCH("NC",MAIN!G955:J955), 0))&gt;0, "NC",
            IF(MAX(IFERROR(SEARCH("DQ",MAIN!G955:J955), 0))&gt;0, "DQ",
            IF(ISNUMBER(SEARCH("WD",MAIN!K955)), "WD",
            IF(ISNUMBER(SEARCH("NS",MAIN!K955)), "NS",
            IF(ISNUMBER(SEARCH("NC",MAIN!K955)), "NC",
            IF(ISNUMBER(SEARCH("DQ",MAIN!K955)), "DQ",
            IF(ISNUMBER(SEARCH("A",MAIN!K955)), 0,
            IF(OR(MAIN!K955=0,MAIN!K955=""), 0, --TRIM(MAIN!K955)))))))))))),
        0
    )
)</f>
        <v>0</v>
      </c>
    </row>
    <row r="956" spans="1:11" x14ac:dyDescent="0.25">
      <c r="A956" t="str">
        <f>IF(ISBLANK(MAIN!A956), "--", IFERROR(PROPER(SUBSTITUTE(SUBSTITUTE(SUBSTITUTE(SUBSTITUTE(SUBSTITUTE(SUBSTITUTE(SUBSTITUTE(SUBSTITUTE(SUBSTITUTE(SUBSTITUTE(LEFT(MAIN!A956, FIND(",",MAIN!A956) -1), "0", ""), "1", ""), "2", ""), "3", ""), "4", ""), "5", ""), "6", ""), "7", ""), "8", ""), "9", "")), PROPER(SUBSTITUTE(SUBSTITUTE(SUBSTITUTE(SUBSTITUTE(SUBSTITUTE(SUBSTITUTE(SUBSTITUTE(SUBSTITUTE(SUBSTITUTE(SUBSTITUTE(MAIN!A956, "0", ""), "1", ""), "2", ""), "3", ""), "4", ""), "5", ""), "6", ""), "7", ""), "8", ""), "9", ""))))</f>
        <v>--</v>
      </c>
      <c r="B956" t="str">
        <f>IF(ISBLANK(MAIN!B956), "--", IFERROR(PROPER(SUBSTITUTE(SUBSTITUTE(SUBSTITUTE(SUBSTITUTE(SUBSTITUTE(SUBSTITUTE(SUBSTITUTE(SUBSTITUTE(SUBSTITUTE(SUBSTITUTE(LEFT(MAIN!B956, FIND(",",MAIN!B956) -1), "0", ""), "1", ""), "2", ""), "3", ""), "4", ""), "5", ""), "6", ""), "7", ""), "8", ""), "9", "")), PROPER(SUBSTITUTE(SUBSTITUTE(SUBSTITUTE(SUBSTITUTE(SUBSTITUTE(SUBSTITUTE(SUBSTITUTE(SUBSTITUTE(SUBSTITUTE(SUBSTITUTE(MAIN!B956, "0", ""), "1", ""), "2", ""), "3", ""), "4", ""), "5", ""), "6", ""), "7", ""), "8", ""), "9", ""))))</f>
        <v>--</v>
      </c>
      <c r="C956" t="str">
        <f>IF(ISBLANK(MAIN!C956), "--", IFERROR(PROPER(SUBSTITUTE(SUBSTITUTE(SUBSTITUTE(SUBSTITUTE(SUBSTITUTE(SUBSTITUTE(SUBSTITUTE(SUBSTITUTE(SUBSTITUTE(SUBSTITUTE(LEFT(MAIN!C956, FIND(",",MAIN!C956) -1), "0", ""), "1", ""), "2", ""), "3", ""), "4", ""), "5", ""), "6", ""), "7", ""), "8", ""), "9", "")), PROPER(SUBSTITUTE(SUBSTITUTE(SUBSTITUTE(SUBSTITUTE(SUBSTITUTE(SUBSTITUTE(SUBSTITUTE(SUBSTITUTE(SUBSTITUTE(SUBSTITUTE(MAIN!C956, "0", ""), "1", ""), "2", ""), "3", ""), "4", ""), "5", ""), "6", ""), "7", ""), "8", ""), "9", ""))))</f>
        <v>--</v>
      </c>
      <c r="D956" t="str">
        <f>IF(ISBLANK(MAIN!D956), "--", IF(ISNUMBER(MATCH(SUBSTITUTE(LEFT(MAIN!D956, IFERROR(FIND(",", MAIN!D956)-1, LEN(MAIN!D956))), " ", ""), lookup_values!$B$2:$B$51, 0)), UPPER(SUBSTITUTE(LEFT(MAIN!D956, IFERROR(FIND(",", MAIN!D956)-1, LEN(MAIN!D956))), " ", "")), IF(ISNA(VLOOKUP(SUBSTITUTE(LEFT(MAIN!D956, IFERROR(FIND(",", MAIN!D956)-1, LEN(MAIN!D956))), " ", ""), lookup_values!$A$2:$B$51, 2, FALSE)), "--", VLOOKUP(SUBSTITUTE(LEFT(MAIN!D956, IFERROR(FIND(",", MAIN!D956)-1, LEN(MAIN!D956))), " ", ""), lookup_values!$A$2:$B$51, 2, FALSE))))</f>
        <v>--</v>
      </c>
      <c r="E956" t="str">
        <f>IF(CLEAN_DATA!D956&lt;&gt;"--","US",IF(ISBLANK(MAIN!E956), "--", IF(ISNUMBER(MATCH(SUBSTITUTE(LEFT(MAIN!E956, IFERROR(FIND(",", MAIN!E956)-1, LEN(MAIN!E956))), " ", ""), lookup_values!$E$2:$E$197, 0)), UPPER(SUBSTITUTE(LEFT(MAIN!E956, IFERROR(FIND(",", MAIN!E956)-1, LEN(MAIN!E956))), " ", "")), IF(ISNA(VLOOKUP(SUBSTITUTE(LEFT(MAIN!E956, IFERROR(FIND(",", MAIN!E956)-1, LEN(MAIN!E956))), " ", ""), lookup_values!$D$2:$E$197, 2, FALSE)), "--", VLOOKUP(SUBSTITUTE(LEFT(MAIN!E956, IFERROR(FIND(",", MAIN!E956)-1, LEN(MAIN!E956))), " ", ""), lookup_values!$D$2:$E$197, 2, FALSE)))))</f>
        <v>--</v>
      </c>
      <c r="F956" t="str">
        <f>IF(ISBLANK(MAIN!F956), "", IF(AND(ISNUMBER(VALUE(TRIM(MAIN!F956))), LEN(TRIM(MAIN!F956))=4), VALUE(TRIM(MAIN!F956)), ""))</f>
        <v/>
      </c>
      <c r="G956">
        <f>IF(ISBLANK(MAIN!G956), 0, IF(ISNUMBER(VALUE(TRIM(MAIN!G956))), VALUE(TRIM(MAIN!G956)), 0))</f>
        <v>0</v>
      </c>
      <c r="H956">
        <f>IF(ISBLANK(MAIN!H956), 0, IF(ISNUMBER(VALUE(TRIM(MAIN!H956))), VALUE(TRIM(MAIN!H956)), 0))</f>
        <v>0</v>
      </c>
      <c r="I956">
        <f>IF(ISBLANK(MAIN!I956), 0, IF(ISNUMBER(VALUE(TRIM(MAIN!I956))), VALUE(TRIM(MAIN!I956)), 0))</f>
        <v>0</v>
      </c>
      <c r="J956">
        <f>IF(ISBLANK(MAIN!J956), 0, IF(ISNUMBER(VALUE(TRIM(MAIN!J956))), VALUE(TRIM(MAIN!J956)), 0))</f>
        <v>0</v>
      </c>
      <c r="K956" cm="1">
        <f t="array" ref="K956">IFERROR(
    VALUE(
        IFERROR(
            UPPER(
                IF(MAX(IFERROR(SEARCH("WD",MAIN!G956:J956), 0))&gt;0, "WD",
                IF(MAX(IFERROR(SEARCH("NS",MAIN!G956:J956), 0))&gt;0, "NS",
                IF(MAX(IFERROR(SEARCH("NC",MAIN!G956:J956), 0))&gt;0, "NC",
                IF(MAX(IFERROR(SEARCH("DQ",MAIN!G956:J956), 0))&gt;0, "DQ",
                IF(ISNUMBER(SEARCH("WD",MAIN!K956)), "WD",
                IF(ISNUMBER(SEARCH("NS",MAIN!K956)), "NS",
                IF(ISNUMBER(SEARCH("NC",MAIN!K956)), "NC",
                IF(ISNUMBER(SEARCH("DQ",MAIN!K956)), "DQ",
                IF(ISNUMBER(SEARCH("A",MAIN!K956)), 0,
                IF(OR(MAIN!K956=0,MAIN!K956=""), 0, --TRIM(MAIN!K956)))))))))))),
            0
        )
    ),
    IFERROR(
        UPPER(
            IF(MAX(IFERROR(SEARCH("WD",MAIN!G956:J956), 0))&gt;0, "WD",
            IF(MAX(IFERROR(SEARCH("NS",MAIN!G956:J956), 0))&gt;0, "NS",
            IF(MAX(IFERROR(SEARCH("NC",MAIN!G956:J956), 0))&gt;0, "NC",
            IF(MAX(IFERROR(SEARCH("DQ",MAIN!G956:J956), 0))&gt;0, "DQ",
            IF(ISNUMBER(SEARCH("WD",MAIN!K956)), "WD",
            IF(ISNUMBER(SEARCH("NS",MAIN!K956)), "NS",
            IF(ISNUMBER(SEARCH("NC",MAIN!K956)), "NC",
            IF(ISNUMBER(SEARCH("DQ",MAIN!K956)), "DQ",
            IF(ISNUMBER(SEARCH("A",MAIN!K956)), 0,
            IF(OR(MAIN!K956=0,MAIN!K956=""), 0, --TRIM(MAIN!K956)))))))))))),
        0
    )
)</f>
        <v>0</v>
      </c>
    </row>
    <row r="957" spans="1:11" x14ac:dyDescent="0.25">
      <c r="A957" t="str">
        <f>IF(ISBLANK(MAIN!A957), "--", IFERROR(PROPER(SUBSTITUTE(SUBSTITUTE(SUBSTITUTE(SUBSTITUTE(SUBSTITUTE(SUBSTITUTE(SUBSTITUTE(SUBSTITUTE(SUBSTITUTE(SUBSTITUTE(LEFT(MAIN!A957, FIND(",",MAIN!A957) -1), "0", ""), "1", ""), "2", ""), "3", ""), "4", ""), "5", ""), "6", ""), "7", ""), "8", ""), "9", "")), PROPER(SUBSTITUTE(SUBSTITUTE(SUBSTITUTE(SUBSTITUTE(SUBSTITUTE(SUBSTITUTE(SUBSTITUTE(SUBSTITUTE(SUBSTITUTE(SUBSTITUTE(MAIN!A957, "0", ""), "1", ""), "2", ""), "3", ""), "4", ""), "5", ""), "6", ""), "7", ""), "8", ""), "9", ""))))</f>
        <v>--</v>
      </c>
      <c r="B957" t="str">
        <f>IF(ISBLANK(MAIN!B957), "--", IFERROR(PROPER(SUBSTITUTE(SUBSTITUTE(SUBSTITUTE(SUBSTITUTE(SUBSTITUTE(SUBSTITUTE(SUBSTITUTE(SUBSTITUTE(SUBSTITUTE(SUBSTITUTE(LEFT(MAIN!B957, FIND(",",MAIN!B957) -1), "0", ""), "1", ""), "2", ""), "3", ""), "4", ""), "5", ""), "6", ""), "7", ""), "8", ""), "9", "")), PROPER(SUBSTITUTE(SUBSTITUTE(SUBSTITUTE(SUBSTITUTE(SUBSTITUTE(SUBSTITUTE(SUBSTITUTE(SUBSTITUTE(SUBSTITUTE(SUBSTITUTE(MAIN!B957, "0", ""), "1", ""), "2", ""), "3", ""), "4", ""), "5", ""), "6", ""), "7", ""), "8", ""), "9", ""))))</f>
        <v>--</v>
      </c>
      <c r="C957" t="str">
        <f>IF(ISBLANK(MAIN!C957), "--", IFERROR(PROPER(SUBSTITUTE(SUBSTITUTE(SUBSTITUTE(SUBSTITUTE(SUBSTITUTE(SUBSTITUTE(SUBSTITUTE(SUBSTITUTE(SUBSTITUTE(SUBSTITUTE(LEFT(MAIN!C957, FIND(",",MAIN!C957) -1), "0", ""), "1", ""), "2", ""), "3", ""), "4", ""), "5", ""), "6", ""), "7", ""), "8", ""), "9", "")), PROPER(SUBSTITUTE(SUBSTITUTE(SUBSTITUTE(SUBSTITUTE(SUBSTITUTE(SUBSTITUTE(SUBSTITUTE(SUBSTITUTE(SUBSTITUTE(SUBSTITUTE(MAIN!C957, "0", ""), "1", ""), "2", ""), "3", ""), "4", ""), "5", ""), "6", ""), "7", ""), "8", ""), "9", ""))))</f>
        <v>--</v>
      </c>
      <c r="D957" t="str">
        <f>IF(ISBLANK(MAIN!D957), "--", IF(ISNUMBER(MATCH(SUBSTITUTE(LEFT(MAIN!D957, IFERROR(FIND(",", MAIN!D957)-1, LEN(MAIN!D957))), " ", ""), lookup_values!$B$2:$B$51, 0)), UPPER(SUBSTITUTE(LEFT(MAIN!D957, IFERROR(FIND(",", MAIN!D957)-1, LEN(MAIN!D957))), " ", "")), IF(ISNA(VLOOKUP(SUBSTITUTE(LEFT(MAIN!D957, IFERROR(FIND(",", MAIN!D957)-1, LEN(MAIN!D957))), " ", ""), lookup_values!$A$2:$B$51, 2, FALSE)), "--", VLOOKUP(SUBSTITUTE(LEFT(MAIN!D957, IFERROR(FIND(",", MAIN!D957)-1, LEN(MAIN!D957))), " ", ""), lookup_values!$A$2:$B$51, 2, FALSE))))</f>
        <v>--</v>
      </c>
      <c r="E957" t="str">
        <f>IF(CLEAN_DATA!D957&lt;&gt;"--","US",IF(ISBLANK(MAIN!E957), "--", IF(ISNUMBER(MATCH(SUBSTITUTE(LEFT(MAIN!E957, IFERROR(FIND(",", MAIN!E957)-1, LEN(MAIN!E957))), " ", ""), lookup_values!$E$2:$E$197, 0)), UPPER(SUBSTITUTE(LEFT(MAIN!E957, IFERROR(FIND(",", MAIN!E957)-1, LEN(MAIN!E957))), " ", "")), IF(ISNA(VLOOKUP(SUBSTITUTE(LEFT(MAIN!E957, IFERROR(FIND(",", MAIN!E957)-1, LEN(MAIN!E957))), " ", ""), lookup_values!$D$2:$E$197, 2, FALSE)), "--", VLOOKUP(SUBSTITUTE(LEFT(MAIN!E957, IFERROR(FIND(",", MAIN!E957)-1, LEN(MAIN!E957))), " ", ""), lookup_values!$D$2:$E$197, 2, FALSE)))))</f>
        <v>--</v>
      </c>
      <c r="F957" t="str">
        <f>IF(ISBLANK(MAIN!F957), "", IF(AND(ISNUMBER(VALUE(TRIM(MAIN!F957))), LEN(TRIM(MAIN!F957))=4), VALUE(TRIM(MAIN!F957)), ""))</f>
        <v/>
      </c>
      <c r="G957">
        <f>IF(ISBLANK(MAIN!G957), 0, IF(ISNUMBER(VALUE(TRIM(MAIN!G957))), VALUE(TRIM(MAIN!G957)), 0))</f>
        <v>0</v>
      </c>
      <c r="H957">
        <f>IF(ISBLANK(MAIN!H957), 0, IF(ISNUMBER(VALUE(TRIM(MAIN!H957))), VALUE(TRIM(MAIN!H957)), 0))</f>
        <v>0</v>
      </c>
      <c r="I957">
        <f>IF(ISBLANK(MAIN!I957), 0, IF(ISNUMBER(VALUE(TRIM(MAIN!I957))), VALUE(TRIM(MAIN!I957)), 0))</f>
        <v>0</v>
      </c>
      <c r="J957">
        <f>IF(ISBLANK(MAIN!J957), 0, IF(ISNUMBER(VALUE(TRIM(MAIN!J957))), VALUE(TRIM(MAIN!J957)), 0))</f>
        <v>0</v>
      </c>
      <c r="K957" cm="1">
        <f t="array" ref="K957">IFERROR(
    VALUE(
        IFERROR(
            UPPER(
                IF(MAX(IFERROR(SEARCH("WD",MAIN!G957:J957), 0))&gt;0, "WD",
                IF(MAX(IFERROR(SEARCH("NS",MAIN!G957:J957), 0))&gt;0, "NS",
                IF(MAX(IFERROR(SEARCH("NC",MAIN!G957:J957), 0))&gt;0, "NC",
                IF(MAX(IFERROR(SEARCH("DQ",MAIN!G957:J957), 0))&gt;0, "DQ",
                IF(ISNUMBER(SEARCH("WD",MAIN!K957)), "WD",
                IF(ISNUMBER(SEARCH("NS",MAIN!K957)), "NS",
                IF(ISNUMBER(SEARCH("NC",MAIN!K957)), "NC",
                IF(ISNUMBER(SEARCH("DQ",MAIN!K957)), "DQ",
                IF(ISNUMBER(SEARCH("A",MAIN!K957)), 0,
                IF(OR(MAIN!K957=0,MAIN!K957=""), 0, --TRIM(MAIN!K957)))))))))))),
            0
        )
    ),
    IFERROR(
        UPPER(
            IF(MAX(IFERROR(SEARCH("WD",MAIN!G957:J957), 0))&gt;0, "WD",
            IF(MAX(IFERROR(SEARCH("NS",MAIN!G957:J957), 0))&gt;0, "NS",
            IF(MAX(IFERROR(SEARCH("NC",MAIN!G957:J957), 0))&gt;0, "NC",
            IF(MAX(IFERROR(SEARCH("DQ",MAIN!G957:J957), 0))&gt;0, "DQ",
            IF(ISNUMBER(SEARCH("WD",MAIN!K957)), "WD",
            IF(ISNUMBER(SEARCH("NS",MAIN!K957)), "NS",
            IF(ISNUMBER(SEARCH("NC",MAIN!K957)), "NC",
            IF(ISNUMBER(SEARCH("DQ",MAIN!K957)), "DQ",
            IF(ISNUMBER(SEARCH("A",MAIN!K957)), 0,
            IF(OR(MAIN!K957=0,MAIN!K957=""), 0, --TRIM(MAIN!K957)))))))))))),
        0
    )
)</f>
        <v>0</v>
      </c>
    </row>
    <row r="958" spans="1:11" x14ac:dyDescent="0.25">
      <c r="A958" t="str">
        <f>IF(ISBLANK(MAIN!A958), "--", IFERROR(PROPER(SUBSTITUTE(SUBSTITUTE(SUBSTITUTE(SUBSTITUTE(SUBSTITUTE(SUBSTITUTE(SUBSTITUTE(SUBSTITUTE(SUBSTITUTE(SUBSTITUTE(LEFT(MAIN!A958, FIND(",",MAIN!A958) -1), "0", ""), "1", ""), "2", ""), "3", ""), "4", ""), "5", ""), "6", ""), "7", ""), "8", ""), "9", "")), PROPER(SUBSTITUTE(SUBSTITUTE(SUBSTITUTE(SUBSTITUTE(SUBSTITUTE(SUBSTITUTE(SUBSTITUTE(SUBSTITUTE(SUBSTITUTE(SUBSTITUTE(MAIN!A958, "0", ""), "1", ""), "2", ""), "3", ""), "4", ""), "5", ""), "6", ""), "7", ""), "8", ""), "9", ""))))</f>
        <v>--</v>
      </c>
      <c r="B958" t="str">
        <f>IF(ISBLANK(MAIN!B958), "--", IFERROR(PROPER(SUBSTITUTE(SUBSTITUTE(SUBSTITUTE(SUBSTITUTE(SUBSTITUTE(SUBSTITUTE(SUBSTITUTE(SUBSTITUTE(SUBSTITUTE(SUBSTITUTE(LEFT(MAIN!B958, FIND(",",MAIN!B958) -1), "0", ""), "1", ""), "2", ""), "3", ""), "4", ""), "5", ""), "6", ""), "7", ""), "8", ""), "9", "")), PROPER(SUBSTITUTE(SUBSTITUTE(SUBSTITUTE(SUBSTITUTE(SUBSTITUTE(SUBSTITUTE(SUBSTITUTE(SUBSTITUTE(SUBSTITUTE(SUBSTITUTE(MAIN!B958, "0", ""), "1", ""), "2", ""), "3", ""), "4", ""), "5", ""), "6", ""), "7", ""), "8", ""), "9", ""))))</f>
        <v>--</v>
      </c>
      <c r="C958" t="str">
        <f>IF(ISBLANK(MAIN!C958), "--", IFERROR(PROPER(SUBSTITUTE(SUBSTITUTE(SUBSTITUTE(SUBSTITUTE(SUBSTITUTE(SUBSTITUTE(SUBSTITUTE(SUBSTITUTE(SUBSTITUTE(SUBSTITUTE(LEFT(MAIN!C958, FIND(",",MAIN!C958) -1), "0", ""), "1", ""), "2", ""), "3", ""), "4", ""), "5", ""), "6", ""), "7", ""), "8", ""), "9", "")), PROPER(SUBSTITUTE(SUBSTITUTE(SUBSTITUTE(SUBSTITUTE(SUBSTITUTE(SUBSTITUTE(SUBSTITUTE(SUBSTITUTE(SUBSTITUTE(SUBSTITUTE(MAIN!C958, "0", ""), "1", ""), "2", ""), "3", ""), "4", ""), "5", ""), "6", ""), "7", ""), "8", ""), "9", ""))))</f>
        <v>--</v>
      </c>
      <c r="D958" t="str">
        <f>IF(ISBLANK(MAIN!D958), "--", IF(ISNUMBER(MATCH(SUBSTITUTE(LEFT(MAIN!D958, IFERROR(FIND(",", MAIN!D958)-1, LEN(MAIN!D958))), " ", ""), lookup_values!$B$2:$B$51, 0)), UPPER(SUBSTITUTE(LEFT(MAIN!D958, IFERROR(FIND(",", MAIN!D958)-1, LEN(MAIN!D958))), " ", "")), IF(ISNA(VLOOKUP(SUBSTITUTE(LEFT(MAIN!D958, IFERROR(FIND(",", MAIN!D958)-1, LEN(MAIN!D958))), " ", ""), lookup_values!$A$2:$B$51, 2, FALSE)), "--", VLOOKUP(SUBSTITUTE(LEFT(MAIN!D958, IFERROR(FIND(",", MAIN!D958)-1, LEN(MAIN!D958))), " ", ""), lookup_values!$A$2:$B$51, 2, FALSE))))</f>
        <v>--</v>
      </c>
      <c r="E958" t="str">
        <f>IF(CLEAN_DATA!D958&lt;&gt;"--","US",IF(ISBLANK(MAIN!E958), "--", IF(ISNUMBER(MATCH(SUBSTITUTE(LEFT(MAIN!E958, IFERROR(FIND(",", MAIN!E958)-1, LEN(MAIN!E958))), " ", ""), lookup_values!$E$2:$E$197, 0)), UPPER(SUBSTITUTE(LEFT(MAIN!E958, IFERROR(FIND(",", MAIN!E958)-1, LEN(MAIN!E958))), " ", "")), IF(ISNA(VLOOKUP(SUBSTITUTE(LEFT(MAIN!E958, IFERROR(FIND(",", MAIN!E958)-1, LEN(MAIN!E958))), " ", ""), lookup_values!$D$2:$E$197, 2, FALSE)), "--", VLOOKUP(SUBSTITUTE(LEFT(MAIN!E958, IFERROR(FIND(",", MAIN!E958)-1, LEN(MAIN!E958))), " ", ""), lookup_values!$D$2:$E$197, 2, FALSE)))))</f>
        <v>--</v>
      </c>
      <c r="F958" t="str">
        <f>IF(ISBLANK(MAIN!F958), "", IF(AND(ISNUMBER(VALUE(TRIM(MAIN!F958))), LEN(TRIM(MAIN!F958))=4), VALUE(TRIM(MAIN!F958)), ""))</f>
        <v/>
      </c>
      <c r="G958">
        <f>IF(ISBLANK(MAIN!G958), 0, IF(ISNUMBER(VALUE(TRIM(MAIN!G958))), VALUE(TRIM(MAIN!G958)), 0))</f>
        <v>0</v>
      </c>
      <c r="H958">
        <f>IF(ISBLANK(MAIN!H958), 0, IF(ISNUMBER(VALUE(TRIM(MAIN!H958))), VALUE(TRIM(MAIN!H958)), 0))</f>
        <v>0</v>
      </c>
      <c r="I958">
        <f>IF(ISBLANK(MAIN!I958), 0, IF(ISNUMBER(VALUE(TRIM(MAIN!I958))), VALUE(TRIM(MAIN!I958)), 0))</f>
        <v>0</v>
      </c>
      <c r="J958">
        <f>IF(ISBLANK(MAIN!J958), 0, IF(ISNUMBER(VALUE(TRIM(MAIN!J958))), VALUE(TRIM(MAIN!J958)), 0))</f>
        <v>0</v>
      </c>
      <c r="K958" cm="1">
        <f t="array" ref="K958">IFERROR(
    VALUE(
        IFERROR(
            UPPER(
                IF(MAX(IFERROR(SEARCH("WD",MAIN!G958:J958), 0))&gt;0, "WD",
                IF(MAX(IFERROR(SEARCH("NS",MAIN!G958:J958), 0))&gt;0, "NS",
                IF(MAX(IFERROR(SEARCH("NC",MAIN!G958:J958), 0))&gt;0, "NC",
                IF(MAX(IFERROR(SEARCH("DQ",MAIN!G958:J958), 0))&gt;0, "DQ",
                IF(ISNUMBER(SEARCH("WD",MAIN!K958)), "WD",
                IF(ISNUMBER(SEARCH("NS",MAIN!K958)), "NS",
                IF(ISNUMBER(SEARCH("NC",MAIN!K958)), "NC",
                IF(ISNUMBER(SEARCH("DQ",MAIN!K958)), "DQ",
                IF(ISNUMBER(SEARCH("A",MAIN!K958)), 0,
                IF(OR(MAIN!K958=0,MAIN!K958=""), 0, --TRIM(MAIN!K958)))))))))))),
            0
        )
    ),
    IFERROR(
        UPPER(
            IF(MAX(IFERROR(SEARCH("WD",MAIN!G958:J958), 0))&gt;0, "WD",
            IF(MAX(IFERROR(SEARCH("NS",MAIN!G958:J958), 0))&gt;0, "NS",
            IF(MAX(IFERROR(SEARCH("NC",MAIN!G958:J958), 0))&gt;0, "NC",
            IF(MAX(IFERROR(SEARCH("DQ",MAIN!G958:J958), 0))&gt;0, "DQ",
            IF(ISNUMBER(SEARCH("WD",MAIN!K958)), "WD",
            IF(ISNUMBER(SEARCH("NS",MAIN!K958)), "NS",
            IF(ISNUMBER(SEARCH("NC",MAIN!K958)), "NC",
            IF(ISNUMBER(SEARCH("DQ",MAIN!K958)), "DQ",
            IF(ISNUMBER(SEARCH("A",MAIN!K958)), 0,
            IF(OR(MAIN!K958=0,MAIN!K958=""), 0, --TRIM(MAIN!K958)))))))))))),
        0
    )
)</f>
        <v>0</v>
      </c>
    </row>
    <row r="959" spans="1:11" x14ac:dyDescent="0.25">
      <c r="A959" t="str">
        <f>IF(ISBLANK(MAIN!A959), "--", IFERROR(PROPER(SUBSTITUTE(SUBSTITUTE(SUBSTITUTE(SUBSTITUTE(SUBSTITUTE(SUBSTITUTE(SUBSTITUTE(SUBSTITUTE(SUBSTITUTE(SUBSTITUTE(LEFT(MAIN!A959, FIND(",",MAIN!A959) -1), "0", ""), "1", ""), "2", ""), "3", ""), "4", ""), "5", ""), "6", ""), "7", ""), "8", ""), "9", "")), PROPER(SUBSTITUTE(SUBSTITUTE(SUBSTITUTE(SUBSTITUTE(SUBSTITUTE(SUBSTITUTE(SUBSTITUTE(SUBSTITUTE(SUBSTITUTE(SUBSTITUTE(MAIN!A959, "0", ""), "1", ""), "2", ""), "3", ""), "4", ""), "5", ""), "6", ""), "7", ""), "8", ""), "9", ""))))</f>
        <v>--</v>
      </c>
      <c r="B959" t="str">
        <f>IF(ISBLANK(MAIN!B959), "--", IFERROR(PROPER(SUBSTITUTE(SUBSTITUTE(SUBSTITUTE(SUBSTITUTE(SUBSTITUTE(SUBSTITUTE(SUBSTITUTE(SUBSTITUTE(SUBSTITUTE(SUBSTITUTE(LEFT(MAIN!B959, FIND(",",MAIN!B959) -1), "0", ""), "1", ""), "2", ""), "3", ""), "4", ""), "5", ""), "6", ""), "7", ""), "8", ""), "9", "")), PROPER(SUBSTITUTE(SUBSTITUTE(SUBSTITUTE(SUBSTITUTE(SUBSTITUTE(SUBSTITUTE(SUBSTITUTE(SUBSTITUTE(SUBSTITUTE(SUBSTITUTE(MAIN!B959, "0", ""), "1", ""), "2", ""), "3", ""), "4", ""), "5", ""), "6", ""), "7", ""), "8", ""), "9", ""))))</f>
        <v>--</v>
      </c>
      <c r="C959" t="str">
        <f>IF(ISBLANK(MAIN!C959), "--", IFERROR(PROPER(SUBSTITUTE(SUBSTITUTE(SUBSTITUTE(SUBSTITUTE(SUBSTITUTE(SUBSTITUTE(SUBSTITUTE(SUBSTITUTE(SUBSTITUTE(SUBSTITUTE(LEFT(MAIN!C959, FIND(",",MAIN!C959) -1), "0", ""), "1", ""), "2", ""), "3", ""), "4", ""), "5", ""), "6", ""), "7", ""), "8", ""), "9", "")), PROPER(SUBSTITUTE(SUBSTITUTE(SUBSTITUTE(SUBSTITUTE(SUBSTITUTE(SUBSTITUTE(SUBSTITUTE(SUBSTITUTE(SUBSTITUTE(SUBSTITUTE(MAIN!C959, "0", ""), "1", ""), "2", ""), "3", ""), "4", ""), "5", ""), "6", ""), "7", ""), "8", ""), "9", ""))))</f>
        <v>--</v>
      </c>
      <c r="D959" t="str">
        <f>IF(ISBLANK(MAIN!D959), "--", IF(ISNUMBER(MATCH(SUBSTITUTE(LEFT(MAIN!D959, IFERROR(FIND(",", MAIN!D959)-1, LEN(MAIN!D959))), " ", ""), lookup_values!$B$2:$B$51, 0)), UPPER(SUBSTITUTE(LEFT(MAIN!D959, IFERROR(FIND(",", MAIN!D959)-1, LEN(MAIN!D959))), " ", "")), IF(ISNA(VLOOKUP(SUBSTITUTE(LEFT(MAIN!D959, IFERROR(FIND(",", MAIN!D959)-1, LEN(MAIN!D959))), " ", ""), lookup_values!$A$2:$B$51, 2, FALSE)), "--", VLOOKUP(SUBSTITUTE(LEFT(MAIN!D959, IFERROR(FIND(",", MAIN!D959)-1, LEN(MAIN!D959))), " ", ""), lookup_values!$A$2:$B$51, 2, FALSE))))</f>
        <v>--</v>
      </c>
      <c r="E959" t="str">
        <f>IF(CLEAN_DATA!D959&lt;&gt;"--","US",IF(ISBLANK(MAIN!E959), "--", IF(ISNUMBER(MATCH(SUBSTITUTE(LEFT(MAIN!E959, IFERROR(FIND(",", MAIN!E959)-1, LEN(MAIN!E959))), " ", ""), lookup_values!$E$2:$E$197, 0)), UPPER(SUBSTITUTE(LEFT(MAIN!E959, IFERROR(FIND(",", MAIN!E959)-1, LEN(MAIN!E959))), " ", "")), IF(ISNA(VLOOKUP(SUBSTITUTE(LEFT(MAIN!E959, IFERROR(FIND(",", MAIN!E959)-1, LEN(MAIN!E959))), " ", ""), lookup_values!$D$2:$E$197, 2, FALSE)), "--", VLOOKUP(SUBSTITUTE(LEFT(MAIN!E959, IFERROR(FIND(",", MAIN!E959)-1, LEN(MAIN!E959))), " ", ""), lookup_values!$D$2:$E$197, 2, FALSE)))))</f>
        <v>--</v>
      </c>
      <c r="F959" t="str">
        <f>IF(ISBLANK(MAIN!F959), "", IF(AND(ISNUMBER(VALUE(TRIM(MAIN!F959))), LEN(TRIM(MAIN!F959))=4), VALUE(TRIM(MAIN!F959)), ""))</f>
        <v/>
      </c>
      <c r="G959">
        <f>IF(ISBLANK(MAIN!G959), 0, IF(ISNUMBER(VALUE(TRIM(MAIN!G959))), VALUE(TRIM(MAIN!G959)), 0))</f>
        <v>0</v>
      </c>
      <c r="H959">
        <f>IF(ISBLANK(MAIN!H959), 0, IF(ISNUMBER(VALUE(TRIM(MAIN!H959))), VALUE(TRIM(MAIN!H959)), 0))</f>
        <v>0</v>
      </c>
      <c r="I959">
        <f>IF(ISBLANK(MAIN!I959), 0, IF(ISNUMBER(VALUE(TRIM(MAIN!I959))), VALUE(TRIM(MAIN!I959)), 0))</f>
        <v>0</v>
      </c>
      <c r="J959">
        <f>IF(ISBLANK(MAIN!J959), 0, IF(ISNUMBER(VALUE(TRIM(MAIN!J959))), VALUE(TRIM(MAIN!J959)), 0))</f>
        <v>0</v>
      </c>
      <c r="K959" cm="1">
        <f t="array" ref="K959">IFERROR(
    VALUE(
        IFERROR(
            UPPER(
                IF(MAX(IFERROR(SEARCH("WD",MAIN!G959:J959), 0))&gt;0, "WD",
                IF(MAX(IFERROR(SEARCH("NS",MAIN!G959:J959), 0))&gt;0, "NS",
                IF(MAX(IFERROR(SEARCH("NC",MAIN!G959:J959), 0))&gt;0, "NC",
                IF(MAX(IFERROR(SEARCH("DQ",MAIN!G959:J959), 0))&gt;0, "DQ",
                IF(ISNUMBER(SEARCH("WD",MAIN!K959)), "WD",
                IF(ISNUMBER(SEARCH("NS",MAIN!K959)), "NS",
                IF(ISNUMBER(SEARCH("NC",MAIN!K959)), "NC",
                IF(ISNUMBER(SEARCH("DQ",MAIN!K959)), "DQ",
                IF(ISNUMBER(SEARCH("A",MAIN!K959)), 0,
                IF(OR(MAIN!K959=0,MAIN!K959=""), 0, --TRIM(MAIN!K959)))))))))))),
            0
        )
    ),
    IFERROR(
        UPPER(
            IF(MAX(IFERROR(SEARCH("WD",MAIN!G959:J959), 0))&gt;0, "WD",
            IF(MAX(IFERROR(SEARCH("NS",MAIN!G959:J959), 0))&gt;0, "NS",
            IF(MAX(IFERROR(SEARCH("NC",MAIN!G959:J959), 0))&gt;0, "NC",
            IF(MAX(IFERROR(SEARCH("DQ",MAIN!G959:J959), 0))&gt;0, "DQ",
            IF(ISNUMBER(SEARCH("WD",MAIN!K959)), "WD",
            IF(ISNUMBER(SEARCH("NS",MAIN!K959)), "NS",
            IF(ISNUMBER(SEARCH("NC",MAIN!K959)), "NC",
            IF(ISNUMBER(SEARCH("DQ",MAIN!K959)), "DQ",
            IF(ISNUMBER(SEARCH("A",MAIN!K959)), 0,
            IF(OR(MAIN!K959=0,MAIN!K959=""), 0, --TRIM(MAIN!K959)))))))))))),
        0
    )
)</f>
        <v>0</v>
      </c>
    </row>
    <row r="960" spans="1:11" x14ac:dyDescent="0.25">
      <c r="A960" t="str">
        <f>IF(ISBLANK(MAIN!A960), "--", IFERROR(PROPER(SUBSTITUTE(SUBSTITUTE(SUBSTITUTE(SUBSTITUTE(SUBSTITUTE(SUBSTITUTE(SUBSTITUTE(SUBSTITUTE(SUBSTITUTE(SUBSTITUTE(LEFT(MAIN!A960, FIND(",",MAIN!A960) -1), "0", ""), "1", ""), "2", ""), "3", ""), "4", ""), "5", ""), "6", ""), "7", ""), "8", ""), "9", "")), PROPER(SUBSTITUTE(SUBSTITUTE(SUBSTITUTE(SUBSTITUTE(SUBSTITUTE(SUBSTITUTE(SUBSTITUTE(SUBSTITUTE(SUBSTITUTE(SUBSTITUTE(MAIN!A960, "0", ""), "1", ""), "2", ""), "3", ""), "4", ""), "5", ""), "6", ""), "7", ""), "8", ""), "9", ""))))</f>
        <v>--</v>
      </c>
      <c r="B960" t="str">
        <f>IF(ISBLANK(MAIN!B960), "--", IFERROR(PROPER(SUBSTITUTE(SUBSTITUTE(SUBSTITUTE(SUBSTITUTE(SUBSTITUTE(SUBSTITUTE(SUBSTITUTE(SUBSTITUTE(SUBSTITUTE(SUBSTITUTE(LEFT(MAIN!B960, FIND(",",MAIN!B960) -1), "0", ""), "1", ""), "2", ""), "3", ""), "4", ""), "5", ""), "6", ""), "7", ""), "8", ""), "9", "")), PROPER(SUBSTITUTE(SUBSTITUTE(SUBSTITUTE(SUBSTITUTE(SUBSTITUTE(SUBSTITUTE(SUBSTITUTE(SUBSTITUTE(SUBSTITUTE(SUBSTITUTE(MAIN!B960, "0", ""), "1", ""), "2", ""), "3", ""), "4", ""), "5", ""), "6", ""), "7", ""), "8", ""), "9", ""))))</f>
        <v>--</v>
      </c>
      <c r="C960" t="str">
        <f>IF(ISBLANK(MAIN!C960), "--", IFERROR(PROPER(SUBSTITUTE(SUBSTITUTE(SUBSTITUTE(SUBSTITUTE(SUBSTITUTE(SUBSTITUTE(SUBSTITUTE(SUBSTITUTE(SUBSTITUTE(SUBSTITUTE(LEFT(MAIN!C960, FIND(",",MAIN!C960) -1), "0", ""), "1", ""), "2", ""), "3", ""), "4", ""), "5", ""), "6", ""), "7", ""), "8", ""), "9", "")), PROPER(SUBSTITUTE(SUBSTITUTE(SUBSTITUTE(SUBSTITUTE(SUBSTITUTE(SUBSTITUTE(SUBSTITUTE(SUBSTITUTE(SUBSTITUTE(SUBSTITUTE(MAIN!C960, "0", ""), "1", ""), "2", ""), "3", ""), "4", ""), "5", ""), "6", ""), "7", ""), "8", ""), "9", ""))))</f>
        <v>--</v>
      </c>
      <c r="D960" t="str">
        <f>IF(ISBLANK(MAIN!D960), "--", IF(ISNUMBER(MATCH(SUBSTITUTE(LEFT(MAIN!D960, IFERROR(FIND(",", MAIN!D960)-1, LEN(MAIN!D960))), " ", ""), lookup_values!$B$2:$B$51, 0)), UPPER(SUBSTITUTE(LEFT(MAIN!D960, IFERROR(FIND(",", MAIN!D960)-1, LEN(MAIN!D960))), " ", "")), IF(ISNA(VLOOKUP(SUBSTITUTE(LEFT(MAIN!D960, IFERROR(FIND(",", MAIN!D960)-1, LEN(MAIN!D960))), " ", ""), lookup_values!$A$2:$B$51, 2, FALSE)), "--", VLOOKUP(SUBSTITUTE(LEFT(MAIN!D960, IFERROR(FIND(",", MAIN!D960)-1, LEN(MAIN!D960))), " ", ""), lookup_values!$A$2:$B$51, 2, FALSE))))</f>
        <v>--</v>
      </c>
      <c r="E960" t="str">
        <f>IF(CLEAN_DATA!D960&lt;&gt;"--","US",IF(ISBLANK(MAIN!E960), "--", IF(ISNUMBER(MATCH(SUBSTITUTE(LEFT(MAIN!E960, IFERROR(FIND(",", MAIN!E960)-1, LEN(MAIN!E960))), " ", ""), lookup_values!$E$2:$E$197, 0)), UPPER(SUBSTITUTE(LEFT(MAIN!E960, IFERROR(FIND(",", MAIN!E960)-1, LEN(MAIN!E960))), " ", "")), IF(ISNA(VLOOKUP(SUBSTITUTE(LEFT(MAIN!E960, IFERROR(FIND(",", MAIN!E960)-1, LEN(MAIN!E960))), " ", ""), lookup_values!$D$2:$E$197, 2, FALSE)), "--", VLOOKUP(SUBSTITUTE(LEFT(MAIN!E960, IFERROR(FIND(",", MAIN!E960)-1, LEN(MAIN!E960))), " ", ""), lookup_values!$D$2:$E$197, 2, FALSE)))))</f>
        <v>--</v>
      </c>
      <c r="F960" t="str">
        <f>IF(ISBLANK(MAIN!F960), "", IF(AND(ISNUMBER(VALUE(TRIM(MAIN!F960))), LEN(TRIM(MAIN!F960))=4), VALUE(TRIM(MAIN!F960)), ""))</f>
        <v/>
      </c>
      <c r="G960">
        <f>IF(ISBLANK(MAIN!G960), 0, IF(ISNUMBER(VALUE(TRIM(MAIN!G960))), VALUE(TRIM(MAIN!G960)), 0))</f>
        <v>0</v>
      </c>
      <c r="H960">
        <f>IF(ISBLANK(MAIN!H960), 0, IF(ISNUMBER(VALUE(TRIM(MAIN!H960))), VALUE(TRIM(MAIN!H960)), 0))</f>
        <v>0</v>
      </c>
      <c r="I960">
        <f>IF(ISBLANK(MAIN!I960), 0, IF(ISNUMBER(VALUE(TRIM(MAIN!I960))), VALUE(TRIM(MAIN!I960)), 0))</f>
        <v>0</v>
      </c>
      <c r="J960">
        <f>IF(ISBLANK(MAIN!J960), 0, IF(ISNUMBER(VALUE(TRIM(MAIN!J960))), VALUE(TRIM(MAIN!J960)), 0))</f>
        <v>0</v>
      </c>
      <c r="K960" cm="1">
        <f t="array" ref="K960">IFERROR(
    VALUE(
        IFERROR(
            UPPER(
                IF(MAX(IFERROR(SEARCH("WD",MAIN!G960:J960), 0))&gt;0, "WD",
                IF(MAX(IFERROR(SEARCH("NS",MAIN!G960:J960), 0))&gt;0, "NS",
                IF(MAX(IFERROR(SEARCH("NC",MAIN!G960:J960), 0))&gt;0, "NC",
                IF(MAX(IFERROR(SEARCH("DQ",MAIN!G960:J960), 0))&gt;0, "DQ",
                IF(ISNUMBER(SEARCH("WD",MAIN!K960)), "WD",
                IF(ISNUMBER(SEARCH("NS",MAIN!K960)), "NS",
                IF(ISNUMBER(SEARCH("NC",MAIN!K960)), "NC",
                IF(ISNUMBER(SEARCH("DQ",MAIN!K960)), "DQ",
                IF(ISNUMBER(SEARCH("A",MAIN!K960)), 0,
                IF(OR(MAIN!K960=0,MAIN!K960=""), 0, --TRIM(MAIN!K960)))))))))))),
            0
        )
    ),
    IFERROR(
        UPPER(
            IF(MAX(IFERROR(SEARCH("WD",MAIN!G960:J960), 0))&gt;0, "WD",
            IF(MAX(IFERROR(SEARCH("NS",MAIN!G960:J960), 0))&gt;0, "NS",
            IF(MAX(IFERROR(SEARCH("NC",MAIN!G960:J960), 0))&gt;0, "NC",
            IF(MAX(IFERROR(SEARCH("DQ",MAIN!G960:J960), 0))&gt;0, "DQ",
            IF(ISNUMBER(SEARCH("WD",MAIN!K960)), "WD",
            IF(ISNUMBER(SEARCH("NS",MAIN!K960)), "NS",
            IF(ISNUMBER(SEARCH("NC",MAIN!K960)), "NC",
            IF(ISNUMBER(SEARCH("DQ",MAIN!K960)), "DQ",
            IF(ISNUMBER(SEARCH("A",MAIN!K960)), 0,
            IF(OR(MAIN!K960=0,MAIN!K960=""), 0, --TRIM(MAIN!K960)))))))))))),
        0
    )
)</f>
        <v>0</v>
      </c>
    </row>
    <row r="961" spans="1:11" x14ac:dyDescent="0.25">
      <c r="A961" t="str">
        <f>IF(ISBLANK(MAIN!A961), "--", IFERROR(PROPER(SUBSTITUTE(SUBSTITUTE(SUBSTITUTE(SUBSTITUTE(SUBSTITUTE(SUBSTITUTE(SUBSTITUTE(SUBSTITUTE(SUBSTITUTE(SUBSTITUTE(LEFT(MAIN!A961, FIND(",",MAIN!A961) -1), "0", ""), "1", ""), "2", ""), "3", ""), "4", ""), "5", ""), "6", ""), "7", ""), "8", ""), "9", "")), PROPER(SUBSTITUTE(SUBSTITUTE(SUBSTITUTE(SUBSTITUTE(SUBSTITUTE(SUBSTITUTE(SUBSTITUTE(SUBSTITUTE(SUBSTITUTE(SUBSTITUTE(MAIN!A961, "0", ""), "1", ""), "2", ""), "3", ""), "4", ""), "5", ""), "6", ""), "7", ""), "8", ""), "9", ""))))</f>
        <v>--</v>
      </c>
      <c r="B961" t="str">
        <f>IF(ISBLANK(MAIN!B961), "--", IFERROR(PROPER(SUBSTITUTE(SUBSTITUTE(SUBSTITUTE(SUBSTITUTE(SUBSTITUTE(SUBSTITUTE(SUBSTITUTE(SUBSTITUTE(SUBSTITUTE(SUBSTITUTE(LEFT(MAIN!B961, FIND(",",MAIN!B961) -1), "0", ""), "1", ""), "2", ""), "3", ""), "4", ""), "5", ""), "6", ""), "7", ""), "8", ""), "9", "")), PROPER(SUBSTITUTE(SUBSTITUTE(SUBSTITUTE(SUBSTITUTE(SUBSTITUTE(SUBSTITUTE(SUBSTITUTE(SUBSTITUTE(SUBSTITUTE(SUBSTITUTE(MAIN!B961, "0", ""), "1", ""), "2", ""), "3", ""), "4", ""), "5", ""), "6", ""), "7", ""), "8", ""), "9", ""))))</f>
        <v>--</v>
      </c>
      <c r="C961" t="str">
        <f>IF(ISBLANK(MAIN!C961), "--", IFERROR(PROPER(SUBSTITUTE(SUBSTITUTE(SUBSTITUTE(SUBSTITUTE(SUBSTITUTE(SUBSTITUTE(SUBSTITUTE(SUBSTITUTE(SUBSTITUTE(SUBSTITUTE(LEFT(MAIN!C961, FIND(",",MAIN!C961) -1), "0", ""), "1", ""), "2", ""), "3", ""), "4", ""), "5", ""), "6", ""), "7", ""), "8", ""), "9", "")), PROPER(SUBSTITUTE(SUBSTITUTE(SUBSTITUTE(SUBSTITUTE(SUBSTITUTE(SUBSTITUTE(SUBSTITUTE(SUBSTITUTE(SUBSTITUTE(SUBSTITUTE(MAIN!C961, "0", ""), "1", ""), "2", ""), "3", ""), "4", ""), "5", ""), "6", ""), "7", ""), "8", ""), "9", ""))))</f>
        <v>--</v>
      </c>
      <c r="D961" t="str">
        <f>IF(ISBLANK(MAIN!D961), "--", IF(ISNUMBER(MATCH(SUBSTITUTE(LEFT(MAIN!D961, IFERROR(FIND(",", MAIN!D961)-1, LEN(MAIN!D961))), " ", ""), lookup_values!$B$2:$B$51, 0)), UPPER(SUBSTITUTE(LEFT(MAIN!D961, IFERROR(FIND(",", MAIN!D961)-1, LEN(MAIN!D961))), " ", "")), IF(ISNA(VLOOKUP(SUBSTITUTE(LEFT(MAIN!D961, IFERROR(FIND(",", MAIN!D961)-1, LEN(MAIN!D961))), " ", ""), lookup_values!$A$2:$B$51, 2, FALSE)), "--", VLOOKUP(SUBSTITUTE(LEFT(MAIN!D961, IFERROR(FIND(",", MAIN!D961)-1, LEN(MAIN!D961))), " ", ""), lookup_values!$A$2:$B$51, 2, FALSE))))</f>
        <v>--</v>
      </c>
      <c r="E961" t="str">
        <f>IF(CLEAN_DATA!D961&lt;&gt;"--","US",IF(ISBLANK(MAIN!E961), "--", IF(ISNUMBER(MATCH(SUBSTITUTE(LEFT(MAIN!E961, IFERROR(FIND(",", MAIN!E961)-1, LEN(MAIN!E961))), " ", ""), lookup_values!$E$2:$E$197, 0)), UPPER(SUBSTITUTE(LEFT(MAIN!E961, IFERROR(FIND(",", MAIN!E961)-1, LEN(MAIN!E961))), " ", "")), IF(ISNA(VLOOKUP(SUBSTITUTE(LEFT(MAIN!E961, IFERROR(FIND(",", MAIN!E961)-1, LEN(MAIN!E961))), " ", ""), lookup_values!$D$2:$E$197, 2, FALSE)), "--", VLOOKUP(SUBSTITUTE(LEFT(MAIN!E961, IFERROR(FIND(",", MAIN!E961)-1, LEN(MAIN!E961))), " ", ""), lookup_values!$D$2:$E$197, 2, FALSE)))))</f>
        <v>--</v>
      </c>
      <c r="F961" t="str">
        <f>IF(ISBLANK(MAIN!F961), "", IF(AND(ISNUMBER(VALUE(TRIM(MAIN!F961))), LEN(TRIM(MAIN!F961))=4), VALUE(TRIM(MAIN!F961)), ""))</f>
        <v/>
      </c>
      <c r="G961">
        <f>IF(ISBLANK(MAIN!G961), 0, IF(ISNUMBER(VALUE(TRIM(MAIN!G961))), VALUE(TRIM(MAIN!G961)), 0))</f>
        <v>0</v>
      </c>
      <c r="H961">
        <f>IF(ISBLANK(MAIN!H961), 0, IF(ISNUMBER(VALUE(TRIM(MAIN!H961))), VALUE(TRIM(MAIN!H961)), 0))</f>
        <v>0</v>
      </c>
      <c r="I961">
        <f>IF(ISBLANK(MAIN!I961), 0, IF(ISNUMBER(VALUE(TRIM(MAIN!I961))), VALUE(TRIM(MAIN!I961)), 0))</f>
        <v>0</v>
      </c>
      <c r="J961">
        <f>IF(ISBLANK(MAIN!J961), 0, IF(ISNUMBER(VALUE(TRIM(MAIN!J961))), VALUE(TRIM(MAIN!J961)), 0))</f>
        <v>0</v>
      </c>
      <c r="K961" cm="1">
        <f t="array" ref="K961">IFERROR(
    VALUE(
        IFERROR(
            UPPER(
                IF(MAX(IFERROR(SEARCH("WD",MAIN!G961:J961), 0))&gt;0, "WD",
                IF(MAX(IFERROR(SEARCH("NS",MAIN!G961:J961), 0))&gt;0, "NS",
                IF(MAX(IFERROR(SEARCH("NC",MAIN!G961:J961), 0))&gt;0, "NC",
                IF(MAX(IFERROR(SEARCH("DQ",MAIN!G961:J961), 0))&gt;0, "DQ",
                IF(ISNUMBER(SEARCH("WD",MAIN!K961)), "WD",
                IF(ISNUMBER(SEARCH("NS",MAIN!K961)), "NS",
                IF(ISNUMBER(SEARCH("NC",MAIN!K961)), "NC",
                IF(ISNUMBER(SEARCH("DQ",MAIN!K961)), "DQ",
                IF(ISNUMBER(SEARCH("A",MAIN!K961)), 0,
                IF(OR(MAIN!K961=0,MAIN!K961=""), 0, --TRIM(MAIN!K961)))))))))))),
            0
        )
    ),
    IFERROR(
        UPPER(
            IF(MAX(IFERROR(SEARCH("WD",MAIN!G961:J961), 0))&gt;0, "WD",
            IF(MAX(IFERROR(SEARCH("NS",MAIN!G961:J961), 0))&gt;0, "NS",
            IF(MAX(IFERROR(SEARCH("NC",MAIN!G961:J961), 0))&gt;0, "NC",
            IF(MAX(IFERROR(SEARCH("DQ",MAIN!G961:J961), 0))&gt;0, "DQ",
            IF(ISNUMBER(SEARCH("WD",MAIN!K961)), "WD",
            IF(ISNUMBER(SEARCH("NS",MAIN!K961)), "NS",
            IF(ISNUMBER(SEARCH("NC",MAIN!K961)), "NC",
            IF(ISNUMBER(SEARCH("DQ",MAIN!K961)), "DQ",
            IF(ISNUMBER(SEARCH("A",MAIN!K961)), 0,
            IF(OR(MAIN!K961=0,MAIN!K961=""), 0, --TRIM(MAIN!K961)))))))))))),
        0
    )
)</f>
        <v>0</v>
      </c>
    </row>
    <row r="962" spans="1:11" x14ac:dyDescent="0.25">
      <c r="A962" t="str">
        <f>IF(ISBLANK(MAIN!A962), "--", IFERROR(PROPER(SUBSTITUTE(SUBSTITUTE(SUBSTITUTE(SUBSTITUTE(SUBSTITUTE(SUBSTITUTE(SUBSTITUTE(SUBSTITUTE(SUBSTITUTE(SUBSTITUTE(LEFT(MAIN!A962, FIND(",",MAIN!A962) -1), "0", ""), "1", ""), "2", ""), "3", ""), "4", ""), "5", ""), "6", ""), "7", ""), "8", ""), "9", "")), PROPER(SUBSTITUTE(SUBSTITUTE(SUBSTITUTE(SUBSTITUTE(SUBSTITUTE(SUBSTITUTE(SUBSTITUTE(SUBSTITUTE(SUBSTITUTE(SUBSTITUTE(MAIN!A962, "0", ""), "1", ""), "2", ""), "3", ""), "4", ""), "5", ""), "6", ""), "7", ""), "8", ""), "9", ""))))</f>
        <v>--</v>
      </c>
      <c r="B962" t="str">
        <f>IF(ISBLANK(MAIN!B962), "--", IFERROR(PROPER(SUBSTITUTE(SUBSTITUTE(SUBSTITUTE(SUBSTITUTE(SUBSTITUTE(SUBSTITUTE(SUBSTITUTE(SUBSTITUTE(SUBSTITUTE(SUBSTITUTE(LEFT(MAIN!B962, FIND(",",MAIN!B962) -1), "0", ""), "1", ""), "2", ""), "3", ""), "4", ""), "5", ""), "6", ""), "7", ""), "8", ""), "9", "")), PROPER(SUBSTITUTE(SUBSTITUTE(SUBSTITUTE(SUBSTITUTE(SUBSTITUTE(SUBSTITUTE(SUBSTITUTE(SUBSTITUTE(SUBSTITUTE(SUBSTITUTE(MAIN!B962, "0", ""), "1", ""), "2", ""), "3", ""), "4", ""), "5", ""), "6", ""), "7", ""), "8", ""), "9", ""))))</f>
        <v>--</v>
      </c>
      <c r="C962" t="str">
        <f>IF(ISBLANK(MAIN!C962), "--", IFERROR(PROPER(SUBSTITUTE(SUBSTITUTE(SUBSTITUTE(SUBSTITUTE(SUBSTITUTE(SUBSTITUTE(SUBSTITUTE(SUBSTITUTE(SUBSTITUTE(SUBSTITUTE(LEFT(MAIN!C962, FIND(",",MAIN!C962) -1), "0", ""), "1", ""), "2", ""), "3", ""), "4", ""), "5", ""), "6", ""), "7", ""), "8", ""), "9", "")), PROPER(SUBSTITUTE(SUBSTITUTE(SUBSTITUTE(SUBSTITUTE(SUBSTITUTE(SUBSTITUTE(SUBSTITUTE(SUBSTITUTE(SUBSTITUTE(SUBSTITUTE(MAIN!C962, "0", ""), "1", ""), "2", ""), "3", ""), "4", ""), "5", ""), "6", ""), "7", ""), "8", ""), "9", ""))))</f>
        <v>--</v>
      </c>
      <c r="D962" t="str">
        <f>IF(ISBLANK(MAIN!D962), "--", IF(ISNUMBER(MATCH(SUBSTITUTE(LEFT(MAIN!D962, IFERROR(FIND(",", MAIN!D962)-1, LEN(MAIN!D962))), " ", ""), lookup_values!$B$2:$B$51, 0)), UPPER(SUBSTITUTE(LEFT(MAIN!D962, IFERROR(FIND(",", MAIN!D962)-1, LEN(MAIN!D962))), " ", "")), IF(ISNA(VLOOKUP(SUBSTITUTE(LEFT(MAIN!D962, IFERROR(FIND(",", MAIN!D962)-1, LEN(MAIN!D962))), " ", ""), lookup_values!$A$2:$B$51, 2, FALSE)), "--", VLOOKUP(SUBSTITUTE(LEFT(MAIN!D962, IFERROR(FIND(",", MAIN!D962)-1, LEN(MAIN!D962))), " ", ""), lookup_values!$A$2:$B$51, 2, FALSE))))</f>
        <v>--</v>
      </c>
      <c r="E962" t="str">
        <f>IF(CLEAN_DATA!D962&lt;&gt;"--","US",IF(ISBLANK(MAIN!E962), "--", IF(ISNUMBER(MATCH(SUBSTITUTE(LEFT(MAIN!E962, IFERROR(FIND(",", MAIN!E962)-1, LEN(MAIN!E962))), " ", ""), lookup_values!$E$2:$E$197, 0)), UPPER(SUBSTITUTE(LEFT(MAIN!E962, IFERROR(FIND(",", MAIN!E962)-1, LEN(MAIN!E962))), " ", "")), IF(ISNA(VLOOKUP(SUBSTITUTE(LEFT(MAIN!E962, IFERROR(FIND(",", MAIN!E962)-1, LEN(MAIN!E962))), " ", ""), lookup_values!$D$2:$E$197, 2, FALSE)), "--", VLOOKUP(SUBSTITUTE(LEFT(MAIN!E962, IFERROR(FIND(",", MAIN!E962)-1, LEN(MAIN!E962))), " ", ""), lookup_values!$D$2:$E$197, 2, FALSE)))))</f>
        <v>--</v>
      </c>
      <c r="F962" t="str">
        <f>IF(ISBLANK(MAIN!F962), "", IF(AND(ISNUMBER(VALUE(TRIM(MAIN!F962))), LEN(TRIM(MAIN!F962))=4), VALUE(TRIM(MAIN!F962)), ""))</f>
        <v/>
      </c>
      <c r="G962">
        <f>IF(ISBLANK(MAIN!G962), 0, IF(ISNUMBER(VALUE(TRIM(MAIN!G962))), VALUE(TRIM(MAIN!G962)), 0))</f>
        <v>0</v>
      </c>
      <c r="H962">
        <f>IF(ISBLANK(MAIN!H962), 0, IF(ISNUMBER(VALUE(TRIM(MAIN!H962))), VALUE(TRIM(MAIN!H962)), 0))</f>
        <v>0</v>
      </c>
      <c r="I962">
        <f>IF(ISBLANK(MAIN!I962), 0, IF(ISNUMBER(VALUE(TRIM(MAIN!I962))), VALUE(TRIM(MAIN!I962)), 0))</f>
        <v>0</v>
      </c>
      <c r="J962">
        <f>IF(ISBLANK(MAIN!J962), 0, IF(ISNUMBER(VALUE(TRIM(MAIN!J962))), VALUE(TRIM(MAIN!J962)), 0))</f>
        <v>0</v>
      </c>
      <c r="K962" cm="1">
        <f t="array" ref="K962">IFERROR(
    VALUE(
        IFERROR(
            UPPER(
                IF(MAX(IFERROR(SEARCH("WD",MAIN!G962:J962), 0))&gt;0, "WD",
                IF(MAX(IFERROR(SEARCH("NS",MAIN!G962:J962), 0))&gt;0, "NS",
                IF(MAX(IFERROR(SEARCH("NC",MAIN!G962:J962), 0))&gt;0, "NC",
                IF(MAX(IFERROR(SEARCH("DQ",MAIN!G962:J962), 0))&gt;0, "DQ",
                IF(ISNUMBER(SEARCH("WD",MAIN!K962)), "WD",
                IF(ISNUMBER(SEARCH("NS",MAIN!K962)), "NS",
                IF(ISNUMBER(SEARCH("NC",MAIN!K962)), "NC",
                IF(ISNUMBER(SEARCH("DQ",MAIN!K962)), "DQ",
                IF(ISNUMBER(SEARCH("A",MAIN!K962)), 0,
                IF(OR(MAIN!K962=0,MAIN!K962=""), 0, --TRIM(MAIN!K962)))))))))))),
            0
        )
    ),
    IFERROR(
        UPPER(
            IF(MAX(IFERROR(SEARCH("WD",MAIN!G962:J962), 0))&gt;0, "WD",
            IF(MAX(IFERROR(SEARCH("NS",MAIN!G962:J962), 0))&gt;0, "NS",
            IF(MAX(IFERROR(SEARCH("NC",MAIN!G962:J962), 0))&gt;0, "NC",
            IF(MAX(IFERROR(SEARCH("DQ",MAIN!G962:J962), 0))&gt;0, "DQ",
            IF(ISNUMBER(SEARCH("WD",MAIN!K962)), "WD",
            IF(ISNUMBER(SEARCH("NS",MAIN!K962)), "NS",
            IF(ISNUMBER(SEARCH("NC",MAIN!K962)), "NC",
            IF(ISNUMBER(SEARCH("DQ",MAIN!K962)), "DQ",
            IF(ISNUMBER(SEARCH("A",MAIN!K962)), 0,
            IF(OR(MAIN!K962=0,MAIN!K962=""), 0, --TRIM(MAIN!K962)))))))))))),
        0
    )
)</f>
        <v>0</v>
      </c>
    </row>
    <row r="963" spans="1:11" x14ac:dyDescent="0.25">
      <c r="A963" t="str">
        <f>IF(ISBLANK(MAIN!A963), "--", IFERROR(PROPER(SUBSTITUTE(SUBSTITUTE(SUBSTITUTE(SUBSTITUTE(SUBSTITUTE(SUBSTITUTE(SUBSTITUTE(SUBSTITUTE(SUBSTITUTE(SUBSTITUTE(LEFT(MAIN!A963, FIND(",",MAIN!A963) -1), "0", ""), "1", ""), "2", ""), "3", ""), "4", ""), "5", ""), "6", ""), "7", ""), "8", ""), "9", "")), PROPER(SUBSTITUTE(SUBSTITUTE(SUBSTITUTE(SUBSTITUTE(SUBSTITUTE(SUBSTITUTE(SUBSTITUTE(SUBSTITUTE(SUBSTITUTE(SUBSTITUTE(MAIN!A963, "0", ""), "1", ""), "2", ""), "3", ""), "4", ""), "5", ""), "6", ""), "7", ""), "8", ""), "9", ""))))</f>
        <v>--</v>
      </c>
      <c r="B963" t="str">
        <f>IF(ISBLANK(MAIN!B963), "--", IFERROR(PROPER(SUBSTITUTE(SUBSTITUTE(SUBSTITUTE(SUBSTITUTE(SUBSTITUTE(SUBSTITUTE(SUBSTITUTE(SUBSTITUTE(SUBSTITUTE(SUBSTITUTE(LEFT(MAIN!B963, FIND(",",MAIN!B963) -1), "0", ""), "1", ""), "2", ""), "3", ""), "4", ""), "5", ""), "6", ""), "7", ""), "8", ""), "9", "")), PROPER(SUBSTITUTE(SUBSTITUTE(SUBSTITUTE(SUBSTITUTE(SUBSTITUTE(SUBSTITUTE(SUBSTITUTE(SUBSTITUTE(SUBSTITUTE(SUBSTITUTE(MAIN!B963, "0", ""), "1", ""), "2", ""), "3", ""), "4", ""), "5", ""), "6", ""), "7", ""), "8", ""), "9", ""))))</f>
        <v>--</v>
      </c>
      <c r="C963" t="str">
        <f>IF(ISBLANK(MAIN!C963), "--", IFERROR(PROPER(SUBSTITUTE(SUBSTITUTE(SUBSTITUTE(SUBSTITUTE(SUBSTITUTE(SUBSTITUTE(SUBSTITUTE(SUBSTITUTE(SUBSTITUTE(SUBSTITUTE(LEFT(MAIN!C963, FIND(",",MAIN!C963) -1), "0", ""), "1", ""), "2", ""), "3", ""), "4", ""), "5", ""), "6", ""), "7", ""), "8", ""), "9", "")), PROPER(SUBSTITUTE(SUBSTITUTE(SUBSTITUTE(SUBSTITUTE(SUBSTITUTE(SUBSTITUTE(SUBSTITUTE(SUBSTITUTE(SUBSTITUTE(SUBSTITUTE(MAIN!C963, "0", ""), "1", ""), "2", ""), "3", ""), "4", ""), "5", ""), "6", ""), "7", ""), "8", ""), "9", ""))))</f>
        <v>--</v>
      </c>
      <c r="D963" t="str">
        <f>IF(ISBLANK(MAIN!D963), "--", IF(ISNUMBER(MATCH(SUBSTITUTE(LEFT(MAIN!D963, IFERROR(FIND(",", MAIN!D963)-1, LEN(MAIN!D963))), " ", ""), lookup_values!$B$2:$B$51, 0)), UPPER(SUBSTITUTE(LEFT(MAIN!D963, IFERROR(FIND(",", MAIN!D963)-1, LEN(MAIN!D963))), " ", "")), IF(ISNA(VLOOKUP(SUBSTITUTE(LEFT(MAIN!D963, IFERROR(FIND(",", MAIN!D963)-1, LEN(MAIN!D963))), " ", ""), lookup_values!$A$2:$B$51, 2, FALSE)), "--", VLOOKUP(SUBSTITUTE(LEFT(MAIN!D963, IFERROR(FIND(",", MAIN!D963)-1, LEN(MAIN!D963))), " ", ""), lookup_values!$A$2:$B$51, 2, FALSE))))</f>
        <v>--</v>
      </c>
      <c r="E963" t="str">
        <f>IF(CLEAN_DATA!D963&lt;&gt;"--","US",IF(ISBLANK(MAIN!E963), "--", IF(ISNUMBER(MATCH(SUBSTITUTE(LEFT(MAIN!E963, IFERROR(FIND(",", MAIN!E963)-1, LEN(MAIN!E963))), " ", ""), lookup_values!$E$2:$E$197, 0)), UPPER(SUBSTITUTE(LEFT(MAIN!E963, IFERROR(FIND(",", MAIN!E963)-1, LEN(MAIN!E963))), " ", "")), IF(ISNA(VLOOKUP(SUBSTITUTE(LEFT(MAIN!E963, IFERROR(FIND(",", MAIN!E963)-1, LEN(MAIN!E963))), " ", ""), lookup_values!$D$2:$E$197, 2, FALSE)), "--", VLOOKUP(SUBSTITUTE(LEFT(MAIN!E963, IFERROR(FIND(",", MAIN!E963)-1, LEN(MAIN!E963))), " ", ""), lookup_values!$D$2:$E$197, 2, FALSE)))))</f>
        <v>--</v>
      </c>
      <c r="F963" t="str">
        <f>IF(ISBLANK(MAIN!F963), "", IF(AND(ISNUMBER(VALUE(TRIM(MAIN!F963))), LEN(TRIM(MAIN!F963))=4), VALUE(TRIM(MAIN!F963)), ""))</f>
        <v/>
      </c>
      <c r="G963">
        <f>IF(ISBLANK(MAIN!G963), 0, IF(ISNUMBER(VALUE(TRIM(MAIN!G963))), VALUE(TRIM(MAIN!G963)), 0))</f>
        <v>0</v>
      </c>
      <c r="H963">
        <f>IF(ISBLANK(MAIN!H963), 0, IF(ISNUMBER(VALUE(TRIM(MAIN!H963))), VALUE(TRIM(MAIN!H963)), 0))</f>
        <v>0</v>
      </c>
      <c r="I963">
        <f>IF(ISBLANK(MAIN!I963), 0, IF(ISNUMBER(VALUE(TRIM(MAIN!I963))), VALUE(TRIM(MAIN!I963)), 0))</f>
        <v>0</v>
      </c>
      <c r="J963">
        <f>IF(ISBLANK(MAIN!J963), 0, IF(ISNUMBER(VALUE(TRIM(MAIN!J963))), VALUE(TRIM(MAIN!J963)), 0))</f>
        <v>0</v>
      </c>
      <c r="K963" cm="1">
        <f t="array" ref="K963">IFERROR(
    VALUE(
        IFERROR(
            UPPER(
                IF(MAX(IFERROR(SEARCH("WD",MAIN!G963:J963), 0))&gt;0, "WD",
                IF(MAX(IFERROR(SEARCH("NS",MAIN!G963:J963), 0))&gt;0, "NS",
                IF(MAX(IFERROR(SEARCH("NC",MAIN!G963:J963), 0))&gt;0, "NC",
                IF(MAX(IFERROR(SEARCH("DQ",MAIN!G963:J963), 0))&gt;0, "DQ",
                IF(ISNUMBER(SEARCH("WD",MAIN!K963)), "WD",
                IF(ISNUMBER(SEARCH("NS",MAIN!K963)), "NS",
                IF(ISNUMBER(SEARCH("NC",MAIN!K963)), "NC",
                IF(ISNUMBER(SEARCH("DQ",MAIN!K963)), "DQ",
                IF(ISNUMBER(SEARCH("A",MAIN!K963)), 0,
                IF(OR(MAIN!K963=0,MAIN!K963=""), 0, --TRIM(MAIN!K963)))))))))))),
            0
        )
    ),
    IFERROR(
        UPPER(
            IF(MAX(IFERROR(SEARCH("WD",MAIN!G963:J963), 0))&gt;0, "WD",
            IF(MAX(IFERROR(SEARCH("NS",MAIN!G963:J963), 0))&gt;0, "NS",
            IF(MAX(IFERROR(SEARCH("NC",MAIN!G963:J963), 0))&gt;0, "NC",
            IF(MAX(IFERROR(SEARCH("DQ",MAIN!G963:J963), 0))&gt;0, "DQ",
            IF(ISNUMBER(SEARCH("WD",MAIN!K963)), "WD",
            IF(ISNUMBER(SEARCH("NS",MAIN!K963)), "NS",
            IF(ISNUMBER(SEARCH("NC",MAIN!K963)), "NC",
            IF(ISNUMBER(SEARCH("DQ",MAIN!K963)), "DQ",
            IF(ISNUMBER(SEARCH("A",MAIN!K963)), 0,
            IF(OR(MAIN!K963=0,MAIN!K963=""), 0, --TRIM(MAIN!K963)))))))))))),
        0
    )
)</f>
        <v>0</v>
      </c>
    </row>
    <row r="964" spans="1:11" x14ac:dyDescent="0.25">
      <c r="A964" t="str">
        <f>IF(ISBLANK(MAIN!A964), "--", IFERROR(PROPER(SUBSTITUTE(SUBSTITUTE(SUBSTITUTE(SUBSTITUTE(SUBSTITUTE(SUBSTITUTE(SUBSTITUTE(SUBSTITUTE(SUBSTITUTE(SUBSTITUTE(LEFT(MAIN!A964, FIND(",",MAIN!A964) -1), "0", ""), "1", ""), "2", ""), "3", ""), "4", ""), "5", ""), "6", ""), "7", ""), "8", ""), "9", "")), PROPER(SUBSTITUTE(SUBSTITUTE(SUBSTITUTE(SUBSTITUTE(SUBSTITUTE(SUBSTITUTE(SUBSTITUTE(SUBSTITUTE(SUBSTITUTE(SUBSTITUTE(MAIN!A964, "0", ""), "1", ""), "2", ""), "3", ""), "4", ""), "5", ""), "6", ""), "7", ""), "8", ""), "9", ""))))</f>
        <v>--</v>
      </c>
      <c r="B964" t="str">
        <f>IF(ISBLANK(MAIN!B964), "--", IFERROR(PROPER(SUBSTITUTE(SUBSTITUTE(SUBSTITUTE(SUBSTITUTE(SUBSTITUTE(SUBSTITUTE(SUBSTITUTE(SUBSTITUTE(SUBSTITUTE(SUBSTITUTE(LEFT(MAIN!B964, FIND(",",MAIN!B964) -1), "0", ""), "1", ""), "2", ""), "3", ""), "4", ""), "5", ""), "6", ""), "7", ""), "8", ""), "9", "")), PROPER(SUBSTITUTE(SUBSTITUTE(SUBSTITUTE(SUBSTITUTE(SUBSTITUTE(SUBSTITUTE(SUBSTITUTE(SUBSTITUTE(SUBSTITUTE(SUBSTITUTE(MAIN!B964, "0", ""), "1", ""), "2", ""), "3", ""), "4", ""), "5", ""), "6", ""), "7", ""), "8", ""), "9", ""))))</f>
        <v>--</v>
      </c>
      <c r="C964" t="str">
        <f>IF(ISBLANK(MAIN!C964), "--", IFERROR(PROPER(SUBSTITUTE(SUBSTITUTE(SUBSTITUTE(SUBSTITUTE(SUBSTITUTE(SUBSTITUTE(SUBSTITUTE(SUBSTITUTE(SUBSTITUTE(SUBSTITUTE(LEFT(MAIN!C964, FIND(",",MAIN!C964) -1), "0", ""), "1", ""), "2", ""), "3", ""), "4", ""), "5", ""), "6", ""), "7", ""), "8", ""), "9", "")), PROPER(SUBSTITUTE(SUBSTITUTE(SUBSTITUTE(SUBSTITUTE(SUBSTITUTE(SUBSTITUTE(SUBSTITUTE(SUBSTITUTE(SUBSTITUTE(SUBSTITUTE(MAIN!C964, "0", ""), "1", ""), "2", ""), "3", ""), "4", ""), "5", ""), "6", ""), "7", ""), "8", ""), "9", ""))))</f>
        <v>--</v>
      </c>
      <c r="D964" t="str">
        <f>IF(ISBLANK(MAIN!D964), "--", IF(ISNUMBER(MATCH(SUBSTITUTE(LEFT(MAIN!D964, IFERROR(FIND(",", MAIN!D964)-1, LEN(MAIN!D964))), " ", ""), lookup_values!$B$2:$B$51, 0)), UPPER(SUBSTITUTE(LEFT(MAIN!D964, IFERROR(FIND(",", MAIN!D964)-1, LEN(MAIN!D964))), " ", "")), IF(ISNA(VLOOKUP(SUBSTITUTE(LEFT(MAIN!D964, IFERROR(FIND(",", MAIN!D964)-1, LEN(MAIN!D964))), " ", ""), lookup_values!$A$2:$B$51, 2, FALSE)), "--", VLOOKUP(SUBSTITUTE(LEFT(MAIN!D964, IFERROR(FIND(",", MAIN!D964)-1, LEN(MAIN!D964))), " ", ""), lookup_values!$A$2:$B$51, 2, FALSE))))</f>
        <v>--</v>
      </c>
      <c r="E964" t="str">
        <f>IF(CLEAN_DATA!D964&lt;&gt;"--","US",IF(ISBLANK(MAIN!E964), "--", IF(ISNUMBER(MATCH(SUBSTITUTE(LEFT(MAIN!E964, IFERROR(FIND(",", MAIN!E964)-1, LEN(MAIN!E964))), " ", ""), lookup_values!$E$2:$E$197, 0)), UPPER(SUBSTITUTE(LEFT(MAIN!E964, IFERROR(FIND(",", MAIN!E964)-1, LEN(MAIN!E964))), " ", "")), IF(ISNA(VLOOKUP(SUBSTITUTE(LEFT(MAIN!E964, IFERROR(FIND(",", MAIN!E964)-1, LEN(MAIN!E964))), " ", ""), lookup_values!$D$2:$E$197, 2, FALSE)), "--", VLOOKUP(SUBSTITUTE(LEFT(MAIN!E964, IFERROR(FIND(",", MAIN!E964)-1, LEN(MAIN!E964))), " ", ""), lookup_values!$D$2:$E$197, 2, FALSE)))))</f>
        <v>--</v>
      </c>
      <c r="F964" t="str">
        <f>IF(ISBLANK(MAIN!F964), "", IF(AND(ISNUMBER(VALUE(TRIM(MAIN!F964))), LEN(TRIM(MAIN!F964))=4), VALUE(TRIM(MAIN!F964)), ""))</f>
        <v/>
      </c>
      <c r="G964">
        <f>IF(ISBLANK(MAIN!G964), 0, IF(ISNUMBER(VALUE(TRIM(MAIN!G964))), VALUE(TRIM(MAIN!G964)), 0))</f>
        <v>0</v>
      </c>
      <c r="H964">
        <f>IF(ISBLANK(MAIN!H964), 0, IF(ISNUMBER(VALUE(TRIM(MAIN!H964))), VALUE(TRIM(MAIN!H964)), 0))</f>
        <v>0</v>
      </c>
      <c r="I964">
        <f>IF(ISBLANK(MAIN!I964), 0, IF(ISNUMBER(VALUE(TRIM(MAIN!I964))), VALUE(TRIM(MAIN!I964)), 0))</f>
        <v>0</v>
      </c>
      <c r="J964">
        <f>IF(ISBLANK(MAIN!J964), 0, IF(ISNUMBER(VALUE(TRIM(MAIN!J964))), VALUE(TRIM(MAIN!J964)), 0))</f>
        <v>0</v>
      </c>
      <c r="K964" cm="1">
        <f t="array" ref="K964">IFERROR(
    VALUE(
        IFERROR(
            UPPER(
                IF(MAX(IFERROR(SEARCH("WD",MAIN!G964:J964), 0))&gt;0, "WD",
                IF(MAX(IFERROR(SEARCH("NS",MAIN!G964:J964), 0))&gt;0, "NS",
                IF(MAX(IFERROR(SEARCH("NC",MAIN!G964:J964), 0))&gt;0, "NC",
                IF(MAX(IFERROR(SEARCH("DQ",MAIN!G964:J964), 0))&gt;0, "DQ",
                IF(ISNUMBER(SEARCH("WD",MAIN!K964)), "WD",
                IF(ISNUMBER(SEARCH("NS",MAIN!K964)), "NS",
                IF(ISNUMBER(SEARCH("NC",MAIN!K964)), "NC",
                IF(ISNUMBER(SEARCH("DQ",MAIN!K964)), "DQ",
                IF(ISNUMBER(SEARCH("A",MAIN!K964)), 0,
                IF(OR(MAIN!K964=0,MAIN!K964=""), 0, --TRIM(MAIN!K964)))))))))))),
            0
        )
    ),
    IFERROR(
        UPPER(
            IF(MAX(IFERROR(SEARCH("WD",MAIN!G964:J964), 0))&gt;0, "WD",
            IF(MAX(IFERROR(SEARCH("NS",MAIN!G964:J964), 0))&gt;0, "NS",
            IF(MAX(IFERROR(SEARCH("NC",MAIN!G964:J964), 0))&gt;0, "NC",
            IF(MAX(IFERROR(SEARCH("DQ",MAIN!G964:J964), 0))&gt;0, "DQ",
            IF(ISNUMBER(SEARCH("WD",MAIN!K964)), "WD",
            IF(ISNUMBER(SEARCH("NS",MAIN!K964)), "NS",
            IF(ISNUMBER(SEARCH("NC",MAIN!K964)), "NC",
            IF(ISNUMBER(SEARCH("DQ",MAIN!K964)), "DQ",
            IF(ISNUMBER(SEARCH("A",MAIN!K964)), 0,
            IF(OR(MAIN!K964=0,MAIN!K964=""), 0, --TRIM(MAIN!K964)))))))))))),
        0
    )
)</f>
        <v>0</v>
      </c>
    </row>
    <row r="965" spans="1:11" x14ac:dyDescent="0.25">
      <c r="A965" t="str">
        <f>IF(ISBLANK(MAIN!A965), "--", IFERROR(PROPER(SUBSTITUTE(SUBSTITUTE(SUBSTITUTE(SUBSTITUTE(SUBSTITUTE(SUBSTITUTE(SUBSTITUTE(SUBSTITUTE(SUBSTITUTE(SUBSTITUTE(LEFT(MAIN!A965, FIND(",",MAIN!A965) -1), "0", ""), "1", ""), "2", ""), "3", ""), "4", ""), "5", ""), "6", ""), "7", ""), "8", ""), "9", "")), PROPER(SUBSTITUTE(SUBSTITUTE(SUBSTITUTE(SUBSTITUTE(SUBSTITUTE(SUBSTITUTE(SUBSTITUTE(SUBSTITUTE(SUBSTITUTE(SUBSTITUTE(MAIN!A965, "0", ""), "1", ""), "2", ""), "3", ""), "4", ""), "5", ""), "6", ""), "7", ""), "8", ""), "9", ""))))</f>
        <v>--</v>
      </c>
      <c r="B965" t="str">
        <f>IF(ISBLANK(MAIN!B965), "--", IFERROR(PROPER(SUBSTITUTE(SUBSTITUTE(SUBSTITUTE(SUBSTITUTE(SUBSTITUTE(SUBSTITUTE(SUBSTITUTE(SUBSTITUTE(SUBSTITUTE(SUBSTITUTE(LEFT(MAIN!B965, FIND(",",MAIN!B965) -1), "0", ""), "1", ""), "2", ""), "3", ""), "4", ""), "5", ""), "6", ""), "7", ""), "8", ""), "9", "")), PROPER(SUBSTITUTE(SUBSTITUTE(SUBSTITUTE(SUBSTITUTE(SUBSTITUTE(SUBSTITUTE(SUBSTITUTE(SUBSTITUTE(SUBSTITUTE(SUBSTITUTE(MAIN!B965, "0", ""), "1", ""), "2", ""), "3", ""), "4", ""), "5", ""), "6", ""), "7", ""), "8", ""), "9", ""))))</f>
        <v>--</v>
      </c>
      <c r="C965" t="str">
        <f>IF(ISBLANK(MAIN!C965), "--", IFERROR(PROPER(SUBSTITUTE(SUBSTITUTE(SUBSTITUTE(SUBSTITUTE(SUBSTITUTE(SUBSTITUTE(SUBSTITUTE(SUBSTITUTE(SUBSTITUTE(SUBSTITUTE(LEFT(MAIN!C965, FIND(",",MAIN!C965) -1), "0", ""), "1", ""), "2", ""), "3", ""), "4", ""), "5", ""), "6", ""), "7", ""), "8", ""), "9", "")), PROPER(SUBSTITUTE(SUBSTITUTE(SUBSTITUTE(SUBSTITUTE(SUBSTITUTE(SUBSTITUTE(SUBSTITUTE(SUBSTITUTE(SUBSTITUTE(SUBSTITUTE(MAIN!C965, "0", ""), "1", ""), "2", ""), "3", ""), "4", ""), "5", ""), "6", ""), "7", ""), "8", ""), "9", ""))))</f>
        <v>--</v>
      </c>
      <c r="D965" t="str">
        <f>IF(ISBLANK(MAIN!D965), "--", IF(ISNUMBER(MATCH(SUBSTITUTE(LEFT(MAIN!D965, IFERROR(FIND(",", MAIN!D965)-1, LEN(MAIN!D965))), " ", ""), lookup_values!$B$2:$B$51, 0)), UPPER(SUBSTITUTE(LEFT(MAIN!D965, IFERROR(FIND(",", MAIN!D965)-1, LEN(MAIN!D965))), " ", "")), IF(ISNA(VLOOKUP(SUBSTITUTE(LEFT(MAIN!D965, IFERROR(FIND(",", MAIN!D965)-1, LEN(MAIN!D965))), " ", ""), lookup_values!$A$2:$B$51, 2, FALSE)), "--", VLOOKUP(SUBSTITUTE(LEFT(MAIN!D965, IFERROR(FIND(",", MAIN!D965)-1, LEN(MAIN!D965))), " ", ""), lookup_values!$A$2:$B$51, 2, FALSE))))</f>
        <v>--</v>
      </c>
      <c r="E965" t="str">
        <f>IF(CLEAN_DATA!D965&lt;&gt;"--","US",IF(ISBLANK(MAIN!E965), "--", IF(ISNUMBER(MATCH(SUBSTITUTE(LEFT(MAIN!E965, IFERROR(FIND(",", MAIN!E965)-1, LEN(MAIN!E965))), " ", ""), lookup_values!$E$2:$E$197, 0)), UPPER(SUBSTITUTE(LEFT(MAIN!E965, IFERROR(FIND(",", MAIN!E965)-1, LEN(MAIN!E965))), " ", "")), IF(ISNA(VLOOKUP(SUBSTITUTE(LEFT(MAIN!E965, IFERROR(FIND(",", MAIN!E965)-1, LEN(MAIN!E965))), " ", ""), lookup_values!$D$2:$E$197, 2, FALSE)), "--", VLOOKUP(SUBSTITUTE(LEFT(MAIN!E965, IFERROR(FIND(",", MAIN!E965)-1, LEN(MAIN!E965))), " ", ""), lookup_values!$D$2:$E$197, 2, FALSE)))))</f>
        <v>--</v>
      </c>
      <c r="F965" t="str">
        <f>IF(ISBLANK(MAIN!F965), "", IF(AND(ISNUMBER(VALUE(TRIM(MAIN!F965))), LEN(TRIM(MAIN!F965))=4), VALUE(TRIM(MAIN!F965)), ""))</f>
        <v/>
      </c>
      <c r="G965">
        <f>IF(ISBLANK(MAIN!G965), 0, IF(ISNUMBER(VALUE(TRIM(MAIN!G965))), VALUE(TRIM(MAIN!G965)), 0))</f>
        <v>0</v>
      </c>
      <c r="H965">
        <f>IF(ISBLANK(MAIN!H965), 0, IF(ISNUMBER(VALUE(TRIM(MAIN!H965))), VALUE(TRIM(MAIN!H965)), 0))</f>
        <v>0</v>
      </c>
      <c r="I965">
        <f>IF(ISBLANK(MAIN!I965), 0, IF(ISNUMBER(VALUE(TRIM(MAIN!I965))), VALUE(TRIM(MAIN!I965)), 0))</f>
        <v>0</v>
      </c>
      <c r="J965">
        <f>IF(ISBLANK(MAIN!J965), 0, IF(ISNUMBER(VALUE(TRIM(MAIN!J965))), VALUE(TRIM(MAIN!J965)), 0))</f>
        <v>0</v>
      </c>
      <c r="K965" cm="1">
        <f t="array" ref="K965">IFERROR(
    VALUE(
        IFERROR(
            UPPER(
                IF(MAX(IFERROR(SEARCH("WD",MAIN!G965:J965), 0))&gt;0, "WD",
                IF(MAX(IFERROR(SEARCH("NS",MAIN!G965:J965), 0))&gt;0, "NS",
                IF(MAX(IFERROR(SEARCH("NC",MAIN!G965:J965), 0))&gt;0, "NC",
                IF(MAX(IFERROR(SEARCH("DQ",MAIN!G965:J965), 0))&gt;0, "DQ",
                IF(ISNUMBER(SEARCH("WD",MAIN!K965)), "WD",
                IF(ISNUMBER(SEARCH("NS",MAIN!K965)), "NS",
                IF(ISNUMBER(SEARCH("NC",MAIN!K965)), "NC",
                IF(ISNUMBER(SEARCH("DQ",MAIN!K965)), "DQ",
                IF(ISNUMBER(SEARCH("A",MAIN!K965)), 0,
                IF(OR(MAIN!K965=0,MAIN!K965=""), 0, --TRIM(MAIN!K965)))))))))))),
            0
        )
    ),
    IFERROR(
        UPPER(
            IF(MAX(IFERROR(SEARCH("WD",MAIN!G965:J965), 0))&gt;0, "WD",
            IF(MAX(IFERROR(SEARCH("NS",MAIN!G965:J965), 0))&gt;0, "NS",
            IF(MAX(IFERROR(SEARCH("NC",MAIN!G965:J965), 0))&gt;0, "NC",
            IF(MAX(IFERROR(SEARCH("DQ",MAIN!G965:J965), 0))&gt;0, "DQ",
            IF(ISNUMBER(SEARCH("WD",MAIN!K965)), "WD",
            IF(ISNUMBER(SEARCH("NS",MAIN!K965)), "NS",
            IF(ISNUMBER(SEARCH("NC",MAIN!K965)), "NC",
            IF(ISNUMBER(SEARCH("DQ",MAIN!K965)), "DQ",
            IF(ISNUMBER(SEARCH("A",MAIN!K965)), 0,
            IF(OR(MAIN!K965=0,MAIN!K965=""), 0, --TRIM(MAIN!K965)))))))))))),
        0
    )
)</f>
        <v>0</v>
      </c>
    </row>
    <row r="966" spans="1:11" x14ac:dyDescent="0.25">
      <c r="A966" t="str">
        <f>IF(ISBLANK(MAIN!A966), "--", IFERROR(PROPER(SUBSTITUTE(SUBSTITUTE(SUBSTITUTE(SUBSTITUTE(SUBSTITUTE(SUBSTITUTE(SUBSTITUTE(SUBSTITUTE(SUBSTITUTE(SUBSTITUTE(LEFT(MAIN!A966, FIND(",",MAIN!A966) -1), "0", ""), "1", ""), "2", ""), "3", ""), "4", ""), "5", ""), "6", ""), "7", ""), "8", ""), "9", "")), PROPER(SUBSTITUTE(SUBSTITUTE(SUBSTITUTE(SUBSTITUTE(SUBSTITUTE(SUBSTITUTE(SUBSTITUTE(SUBSTITUTE(SUBSTITUTE(SUBSTITUTE(MAIN!A966, "0", ""), "1", ""), "2", ""), "3", ""), "4", ""), "5", ""), "6", ""), "7", ""), "8", ""), "9", ""))))</f>
        <v>--</v>
      </c>
      <c r="B966" t="str">
        <f>IF(ISBLANK(MAIN!B966), "--", IFERROR(PROPER(SUBSTITUTE(SUBSTITUTE(SUBSTITUTE(SUBSTITUTE(SUBSTITUTE(SUBSTITUTE(SUBSTITUTE(SUBSTITUTE(SUBSTITUTE(SUBSTITUTE(LEFT(MAIN!B966, FIND(",",MAIN!B966) -1), "0", ""), "1", ""), "2", ""), "3", ""), "4", ""), "5", ""), "6", ""), "7", ""), "8", ""), "9", "")), PROPER(SUBSTITUTE(SUBSTITUTE(SUBSTITUTE(SUBSTITUTE(SUBSTITUTE(SUBSTITUTE(SUBSTITUTE(SUBSTITUTE(SUBSTITUTE(SUBSTITUTE(MAIN!B966, "0", ""), "1", ""), "2", ""), "3", ""), "4", ""), "5", ""), "6", ""), "7", ""), "8", ""), "9", ""))))</f>
        <v>--</v>
      </c>
      <c r="C966" t="str">
        <f>IF(ISBLANK(MAIN!C966), "--", IFERROR(PROPER(SUBSTITUTE(SUBSTITUTE(SUBSTITUTE(SUBSTITUTE(SUBSTITUTE(SUBSTITUTE(SUBSTITUTE(SUBSTITUTE(SUBSTITUTE(SUBSTITUTE(LEFT(MAIN!C966, FIND(",",MAIN!C966) -1), "0", ""), "1", ""), "2", ""), "3", ""), "4", ""), "5", ""), "6", ""), "7", ""), "8", ""), "9", "")), PROPER(SUBSTITUTE(SUBSTITUTE(SUBSTITUTE(SUBSTITUTE(SUBSTITUTE(SUBSTITUTE(SUBSTITUTE(SUBSTITUTE(SUBSTITUTE(SUBSTITUTE(MAIN!C966, "0", ""), "1", ""), "2", ""), "3", ""), "4", ""), "5", ""), "6", ""), "7", ""), "8", ""), "9", ""))))</f>
        <v>--</v>
      </c>
      <c r="D966" t="str">
        <f>IF(ISBLANK(MAIN!D966), "--", IF(ISNUMBER(MATCH(SUBSTITUTE(LEFT(MAIN!D966, IFERROR(FIND(",", MAIN!D966)-1, LEN(MAIN!D966))), " ", ""), lookup_values!$B$2:$B$51, 0)), UPPER(SUBSTITUTE(LEFT(MAIN!D966, IFERROR(FIND(",", MAIN!D966)-1, LEN(MAIN!D966))), " ", "")), IF(ISNA(VLOOKUP(SUBSTITUTE(LEFT(MAIN!D966, IFERROR(FIND(",", MAIN!D966)-1, LEN(MAIN!D966))), " ", ""), lookup_values!$A$2:$B$51, 2, FALSE)), "--", VLOOKUP(SUBSTITUTE(LEFT(MAIN!D966, IFERROR(FIND(",", MAIN!D966)-1, LEN(MAIN!D966))), " ", ""), lookup_values!$A$2:$B$51, 2, FALSE))))</f>
        <v>--</v>
      </c>
      <c r="E966" t="str">
        <f>IF(CLEAN_DATA!D966&lt;&gt;"--","US",IF(ISBLANK(MAIN!E966), "--", IF(ISNUMBER(MATCH(SUBSTITUTE(LEFT(MAIN!E966, IFERROR(FIND(",", MAIN!E966)-1, LEN(MAIN!E966))), " ", ""), lookup_values!$E$2:$E$197, 0)), UPPER(SUBSTITUTE(LEFT(MAIN!E966, IFERROR(FIND(",", MAIN!E966)-1, LEN(MAIN!E966))), " ", "")), IF(ISNA(VLOOKUP(SUBSTITUTE(LEFT(MAIN!E966, IFERROR(FIND(",", MAIN!E966)-1, LEN(MAIN!E966))), " ", ""), lookup_values!$D$2:$E$197, 2, FALSE)), "--", VLOOKUP(SUBSTITUTE(LEFT(MAIN!E966, IFERROR(FIND(",", MAIN!E966)-1, LEN(MAIN!E966))), " ", ""), lookup_values!$D$2:$E$197, 2, FALSE)))))</f>
        <v>--</v>
      </c>
      <c r="F966" t="str">
        <f>IF(ISBLANK(MAIN!F966), "", IF(AND(ISNUMBER(VALUE(TRIM(MAIN!F966))), LEN(TRIM(MAIN!F966))=4), VALUE(TRIM(MAIN!F966)), ""))</f>
        <v/>
      </c>
      <c r="G966">
        <f>IF(ISBLANK(MAIN!G966), 0, IF(ISNUMBER(VALUE(TRIM(MAIN!G966))), VALUE(TRIM(MAIN!G966)), 0))</f>
        <v>0</v>
      </c>
      <c r="H966">
        <f>IF(ISBLANK(MAIN!H966), 0, IF(ISNUMBER(VALUE(TRIM(MAIN!H966))), VALUE(TRIM(MAIN!H966)), 0))</f>
        <v>0</v>
      </c>
      <c r="I966">
        <f>IF(ISBLANK(MAIN!I966), 0, IF(ISNUMBER(VALUE(TRIM(MAIN!I966))), VALUE(TRIM(MAIN!I966)), 0))</f>
        <v>0</v>
      </c>
      <c r="J966">
        <f>IF(ISBLANK(MAIN!J966), 0, IF(ISNUMBER(VALUE(TRIM(MAIN!J966))), VALUE(TRIM(MAIN!J966)), 0))</f>
        <v>0</v>
      </c>
      <c r="K966" cm="1">
        <f t="array" ref="K966">IFERROR(
    VALUE(
        IFERROR(
            UPPER(
                IF(MAX(IFERROR(SEARCH("WD",MAIN!G966:J966), 0))&gt;0, "WD",
                IF(MAX(IFERROR(SEARCH("NS",MAIN!G966:J966), 0))&gt;0, "NS",
                IF(MAX(IFERROR(SEARCH("NC",MAIN!G966:J966), 0))&gt;0, "NC",
                IF(MAX(IFERROR(SEARCH("DQ",MAIN!G966:J966), 0))&gt;0, "DQ",
                IF(ISNUMBER(SEARCH("WD",MAIN!K966)), "WD",
                IF(ISNUMBER(SEARCH("NS",MAIN!K966)), "NS",
                IF(ISNUMBER(SEARCH("NC",MAIN!K966)), "NC",
                IF(ISNUMBER(SEARCH("DQ",MAIN!K966)), "DQ",
                IF(ISNUMBER(SEARCH("A",MAIN!K966)), 0,
                IF(OR(MAIN!K966=0,MAIN!K966=""), 0, --TRIM(MAIN!K966)))))))))))),
            0
        )
    ),
    IFERROR(
        UPPER(
            IF(MAX(IFERROR(SEARCH("WD",MAIN!G966:J966), 0))&gt;0, "WD",
            IF(MAX(IFERROR(SEARCH("NS",MAIN!G966:J966), 0))&gt;0, "NS",
            IF(MAX(IFERROR(SEARCH("NC",MAIN!G966:J966), 0))&gt;0, "NC",
            IF(MAX(IFERROR(SEARCH("DQ",MAIN!G966:J966), 0))&gt;0, "DQ",
            IF(ISNUMBER(SEARCH("WD",MAIN!K966)), "WD",
            IF(ISNUMBER(SEARCH("NS",MAIN!K966)), "NS",
            IF(ISNUMBER(SEARCH("NC",MAIN!K966)), "NC",
            IF(ISNUMBER(SEARCH("DQ",MAIN!K966)), "DQ",
            IF(ISNUMBER(SEARCH("A",MAIN!K966)), 0,
            IF(OR(MAIN!K966=0,MAIN!K966=""), 0, --TRIM(MAIN!K966)))))))))))),
        0
    )
)</f>
        <v>0</v>
      </c>
    </row>
    <row r="967" spans="1:11" x14ac:dyDescent="0.25">
      <c r="A967" t="str">
        <f>IF(ISBLANK(MAIN!A967), "--", IFERROR(PROPER(SUBSTITUTE(SUBSTITUTE(SUBSTITUTE(SUBSTITUTE(SUBSTITUTE(SUBSTITUTE(SUBSTITUTE(SUBSTITUTE(SUBSTITUTE(SUBSTITUTE(LEFT(MAIN!A967, FIND(",",MAIN!A967) -1), "0", ""), "1", ""), "2", ""), "3", ""), "4", ""), "5", ""), "6", ""), "7", ""), "8", ""), "9", "")), PROPER(SUBSTITUTE(SUBSTITUTE(SUBSTITUTE(SUBSTITUTE(SUBSTITUTE(SUBSTITUTE(SUBSTITUTE(SUBSTITUTE(SUBSTITUTE(SUBSTITUTE(MAIN!A967, "0", ""), "1", ""), "2", ""), "3", ""), "4", ""), "5", ""), "6", ""), "7", ""), "8", ""), "9", ""))))</f>
        <v>--</v>
      </c>
      <c r="B967" t="str">
        <f>IF(ISBLANK(MAIN!B967), "--", IFERROR(PROPER(SUBSTITUTE(SUBSTITUTE(SUBSTITUTE(SUBSTITUTE(SUBSTITUTE(SUBSTITUTE(SUBSTITUTE(SUBSTITUTE(SUBSTITUTE(SUBSTITUTE(LEFT(MAIN!B967, FIND(",",MAIN!B967) -1), "0", ""), "1", ""), "2", ""), "3", ""), "4", ""), "5", ""), "6", ""), "7", ""), "8", ""), "9", "")), PROPER(SUBSTITUTE(SUBSTITUTE(SUBSTITUTE(SUBSTITUTE(SUBSTITUTE(SUBSTITUTE(SUBSTITUTE(SUBSTITUTE(SUBSTITUTE(SUBSTITUTE(MAIN!B967, "0", ""), "1", ""), "2", ""), "3", ""), "4", ""), "5", ""), "6", ""), "7", ""), "8", ""), "9", ""))))</f>
        <v>--</v>
      </c>
      <c r="C967" t="str">
        <f>IF(ISBLANK(MAIN!C967), "--", IFERROR(PROPER(SUBSTITUTE(SUBSTITUTE(SUBSTITUTE(SUBSTITUTE(SUBSTITUTE(SUBSTITUTE(SUBSTITUTE(SUBSTITUTE(SUBSTITUTE(SUBSTITUTE(LEFT(MAIN!C967, FIND(",",MAIN!C967) -1), "0", ""), "1", ""), "2", ""), "3", ""), "4", ""), "5", ""), "6", ""), "7", ""), "8", ""), "9", "")), PROPER(SUBSTITUTE(SUBSTITUTE(SUBSTITUTE(SUBSTITUTE(SUBSTITUTE(SUBSTITUTE(SUBSTITUTE(SUBSTITUTE(SUBSTITUTE(SUBSTITUTE(MAIN!C967, "0", ""), "1", ""), "2", ""), "3", ""), "4", ""), "5", ""), "6", ""), "7", ""), "8", ""), "9", ""))))</f>
        <v>--</v>
      </c>
      <c r="D967" t="str">
        <f>IF(ISBLANK(MAIN!D967), "--", IF(ISNUMBER(MATCH(SUBSTITUTE(LEFT(MAIN!D967, IFERROR(FIND(",", MAIN!D967)-1, LEN(MAIN!D967))), " ", ""), lookup_values!$B$2:$B$51, 0)), UPPER(SUBSTITUTE(LEFT(MAIN!D967, IFERROR(FIND(",", MAIN!D967)-1, LEN(MAIN!D967))), " ", "")), IF(ISNA(VLOOKUP(SUBSTITUTE(LEFT(MAIN!D967, IFERROR(FIND(",", MAIN!D967)-1, LEN(MAIN!D967))), " ", ""), lookup_values!$A$2:$B$51, 2, FALSE)), "--", VLOOKUP(SUBSTITUTE(LEFT(MAIN!D967, IFERROR(FIND(",", MAIN!D967)-1, LEN(MAIN!D967))), " ", ""), lookup_values!$A$2:$B$51, 2, FALSE))))</f>
        <v>--</v>
      </c>
      <c r="E967" t="str">
        <f>IF(CLEAN_DATA!D967&lt;&gt;"--","US",IF(ISBLANK(MAIN!E967), "--", IF(ISNUMBER(MATCH(SUBSTITUTE(LEFT(MAIN!E967, IFERROR(FIND(",", MAIN!E967)-1, LEN(MAIN!E967))), " ", ""), lookup_values!$E$2:$E$197, 0)), UPPER(SUBSTITUTE(LEFT(MAIN!E967, IFERROR(FIND(",", MAIN!E967)-1, LEN(MAIN!E967))), " ", "")), IF(ISNA(VLOOKUP(SUBSTITUTE(LEFT(MAIN!E967, IFERROR(FIND(",", MAIN!E967)-1, LEN(MAIN!E967))), " ", ""), lookup_values!$D$2:$E$197, 2, FALSE)), "--", VLOOKUP(SUBSTITUTE(LEFT(MAIN!E967, IFERROR(FIND(",", MAIN!E967)-1, LEN(MAIN!E967))), " ", ""), lookup_values!$D$2:$E$197, 2, FALSE)))))</f>
        <v>--</v>
      </c>
      <c r="F967" t="str">
        <f>IF(ISBLANK(MAIN!F967), "", IF(AND(ISNUMBER(VALUE(TRIM(MAIN!F967))), LEN(TRIM(MAIN!F967))=4), VALUE(TRIM(MAIN!F967)), ""))</f>
        <v/>
      </c>
      <c r="G967">
        <f>IF(ISBLANK(MAIN!G967), 0, IF(ISNUMBER(VALUE(TRIM(MAIN!G967))), VALUE(TRIM(MAIN!G967)), 0))</f>
        <v>0</v>
      </c>
      <c r="H967">
        <f>IF(ISBLANK(MAIN!H967), 0, IF(ISNUMBER(VALUE(TRIM(MAIN!H967))), VALUE(TRIM(MAIN!H967)), 0))</f>
        <v>0</v>
      </c>
      <c r="I967">
        <f>IF(ISBLANK(MAIN!I967), 0, IF(ISNUMBER(VALUE(TRIM(MAIN!I967))), VALUE(TRIM(MAIN!I967)), 0))</f>
        <v>0</v>
      </c>
      <c r="J967">
        <f>IF(ISBLANK(MAIN!J967), 0, IF(ISNUMBER(VALUE(TRIM(MAIN!J967))), VALUE(TRIM(MAIN!J967)), 0))</f>
        <v>0</v>
      </c>
      <c r="K967" cm="1">
        <f t="array" ref="K967">IFERROR(
    VALUE(
        IFERROR(
            UPPER(
                IF(MAX(IFERROR(SEARCH("WD",MAIN!G967:J967), 0))&gt;0, "WD",
                IF(MAX(IFERROR(SEARCH("NS",MAIN!G967:J967), 0))&gt;0, "NS",
                IF(MAX(IFERROR(SEARCH("NC",MAIN!G967:J967), 0))&gt;0, "NC",
                IF(MAX(IFERROR(SEARCH("DQ",MAIN!G967:J967), 0))&gt;0, "DQ",
                IF(ISNUMBER(SEARCH("WD",MAIN!K967)), "WD",
                IF(ISNUMBER(SEARCH("NS",MAIN!K967)), "NS",
                IF(ISNUMBER(SEARCH("NC",MAIN!K967)), "NC",
                IF(ISNUMBER(SEARCH("DQ",MAIN!K967)), "DQ",
                IF(ISNUMBER(SEARCH("A",MAIN!K967)), 0,
                IF(OR(MAIN!K967=0,MAIN!K967=""), 0, --TRIM(MAIN!K967)))))))))))),
            0
        )
    ),
    IFERROR(
        UPPER(
            IF(MAX(IFERROR(SEARCH("WD",MAIN!G967:J967), 0))&gt;0, "WD",
            IF(MAX(IFERROR(SEARCH("NS",MAIN!G967:J967), 0))&gt;0, "NS",
            IF(MAX(IFERROR(SEARCH("NC",MAIN!G967:J967), 0))&gt;0, "NC",
            IF(MAX(IFERROR(SEARCH("DQ",MAIN!G967:J967), 0))&gt;0, "DQ",
            IF(ISNUMBER(SEARCH("WD",MAIN!K967)), "WD",
            IF(ISNUMBER(SEARCH("NS",MAIN!K967)), "NS",
            IF(ISNUMBER(SEARCH("NC",MAIN!K967)), "NC",
            IF(ISNUMBER(SEARCH("DQ",MAIN!K967)), "DQ",
            IF(ISNUMBER(SEARCH("A",MAIN!K967)), 0,
            IF(OR(MAIN!K967=0,MAIN!K967=""), 0, --TRIM(MAIN!K967)))))))))))),
        0
    )
)</f>
        <v>0</v>
      </c>
    </row>
    <row r="968" spans="1:11" x14ac:dyDescent="0.25">
      <c r="A968" t="str">
        <f>IF(ISBLANK(MAIN!A968), "--", IFERROR(PROPER(SUBSTITUTE(SUBSTITUTE(SUBSTITUTE(SUBSTITUTE(SUBSTITUTE(SUBSTITUTE(SUBSTITUTE(SUBSTITUTE(SUBSTITUTE(SUBSTITUTE(LEFT(MAIN!A968, FIND(",",MAIN!A968) -1), "0", ""), "1", ""), "2", ""), "3", ""), "4", ""), "5", ""), "6", ""), "7", ""), "8", ""), "9", "")), PROPER(SUBSTITUTE(SUBSTITUTE(SUBSTITUTE(SUBSTITUTE(SUBSTITUTE(SUBSTITUTE(SUBSTITUTE(SUBSTITUTE(SUBSTITUTE(SUBSTITUTE(MAIN!A968, "0", ""), "1", ""), "2", ""), "3", ""), "4", ""), "5", ""), "6", ""), "7", ""), "8", ""), "9", ""))))</f>
        <v>--</v>
      </c>
      <c r="B968" t="str">
        <f>IF(ISBLANK(MAIN!B968), "--", IFERROR(PROPER(SUBSTITUTE(SUBSTITUTE(SUBSTITUTE(SUBSTITUTE(SUBSTITUTE(SUBSTITUTE(SUBSTITUTE(SUBSTITUTE(SUBSTITUTE(SUBSTITUTE(LEFT(MAIN!B968, FIND(",",MAIN!B968) -1), "0", ""), "1", ""), "2", ""), "3", ""), "4", ""), "5", ""), "6", ""), "7", ""), "8", ""), "9", "")), PROPER(SUBSTITUTE(SUBSTITUTE(SUBSTITUTE(SUBSTITUTE(SUBSTITUTE(SUBSTITUTE(SUBSTITUTE(SUBSTITUTE(SUBSTITUTE(SUBSTITUTE(MAIN!B968, "0", ""), "1", ""), "2", ""), "3", ""), "4", ""), "5", ""), "6", ""), "7", ""), "8", ""), "9", ""))))</f>
        <v>--</v>
      </c>
      <c r="C968" t="str">
        <f>IF(ISBLANK(MAIN!C968), "--", IFERROR(PROPER(SUBSTITUTE(SUBSTITUTE(SUBSTITUTE(SUBSTITUTE(SUBSTITUTE(SUBSTITUTE(SUBSTITUTE(SUBSTITUTE(SUBSTITUTE(SUBSTITUTE(LEFT(MAIN!C968, FIND(",",MAIN!C968) -1), "0", ""), "1", ""), "2", ""), "3", ""), "4", ""), "5", ""), "6", ""), "7", ""), "8", ""), "9", "")), PROPER(SUBSTITUTE(SUBSTITUTE(SUBSTITUTE(SUBSTITUTE(SUBSTITUTE(SUBSTITUTE(SUBSTITUTE(SUBSTITUTE(SUBSTITUTE(SUBSTITUTE(MAIN!C968, "0", ""), "1", ""), "2", ""), "3", ""), "4", ""), "5", ""), "6", ""), "7", ""), "8", ""), "9", ""))))</f>
        <v>--</v>
      </c>
      <c r="D968" t="str">
        <f>IF(ISBLANK(MAIN!D968), "--", IF(ISNUMBER(MATCH(SUBSTITUTE(LEFT(MAIN!D968, IFERROR(FIND(",", MAIN!D968)-1, LEN(MAIN!D968))), " ", ""), lookup_values!$B$2:$B$51, 0)), UPPER(SUBSTITUTE(LEFT(MAIN!D968, IFERROR(FIND(",", MAIN!D968)-1, LEN(MAIN!D968))), " ", "")), IF(ISNA(VLOOKUP(SUBSTITUTE(LEFT(MAIN!D968, IFERROR(FIND(",", MAIN!D968)-1, LEN(MAIN!D968))), " ", ""), lookup_values!$A$2:$B$51, 2, FALSE)), "--", VLOOKUP(SUBSTITUTE(LEFT(MAIN!D968, IFERROR(FIND(",", MAIN!D968)-1, LEN(MAIN!D968))), " ", ""), lookup_values!$A$2:$B$51, 2, FALSE))))</f>
        <v>--</v>
      </c>
      <c r="E968" t="str">
        <f>IF(CLEAN_DATA!D968&lt;&gt;"--","US",IF(ISBLANK(MAIN!E968), "--", IF(ISNUMBER(MATCH(SUBSTITUTE(LEFT(MAIN!E968, IFERROR(FIND(",", MAIN!E968)-1, LEN(MAIN!E968))), " ", ""), lookup_values!$E$2:$E$197, 0)), UPPER(SUBSTITUTE(LEFT(MAIN!E968, IFERROR(FIND(",", MAIN!E968)-1, LEN(MAIN!E968))), " ", "")), IF(ISNA(VLOOKUP(SUBSTITUTE(LEFT(MAIN!E968, IFERROR(FIND(",", MAIN!E968)-1, LEN(MAIN!E968))), " ", ""), lookup_values!$D$2:$E$197, 2, FALSE)), "--", VLOOKUP(SUBSTITUTE(LEFT(MAIN!E968, IFERROR(FIND(",", MAIN!E968)-1, LEN(MAIN!E968))), " ", ""), lookup_values!$D$2:$E$197, 2, FALSE)))))</f>
        <v>--</v>
      </c>
      <c r="F968" t="str">
        <f>IF(ISBLANK(MAIN!F968), "", IF(AND(ISNUMBER(VALUE(TRIM(MAIN!F968))), LEN(TRIM(MAIN!F968))=4), VALUE(TRIM(MAIN!F968)), ""))</f>
        <v/>
      </c>
      <c r="G968">
        <f>IF(ISBLANK(MAIN!G968), 0, IF(ISNUMBER(VALUE(TRIM(MAIN!G968))), VALUE(TRIM(MAIN!G968)), 0))</f>
        <v>0</v>
      </c>
      <c r="H968">
        <f>IF(ISBLANK(MAIN!H968), 0, IF(ISNUMBER(VALUE(TRIM(MAIN!H968))), VALUE(TRIM(MAIN!H968)), 0))</f>
        <v>0</v>
      </c>
      <c r="I968">
        <f>IF(ISBLANK(MAIN!I968), 0, IF(ISNUMBER(VALUE(TRIM(MAIN!I968))), VALUE(TRIM(MAIN!I968)), 0))</f>
        <v>0</v>
      </c>
      <c r="J968">
        <f>IF(ISBLANK(MAIN!J968), 0, IF(ISNUMBER(VALUE(TRIM(MAIN!J968))), VALUE(TRIM(MAIN!J968)), 0))</f>
        <v>0</v>
      </c>
      <c r="K968" cm="1">
        <f t="array" ref="K968">IFERROR(
    VALUE(
        IFERROR(
            UPPER(
                IF(MAX(IFERROR(SEARCH("WD",MAIN!G968:J968), 0))&gt;0, "WD",
                IF(MAX(IFERROR(SEARCH("NS",MAIN!G968:J968), 0))&gt;0, "NS",
                IF(MAX(IFERROR(SEARCH("NC",MAIN!G968:J968), 0))&gt;0, "NC",
                IF(MAX(IFERROR(SEARCH("DQ",MAIN!G968:J968), 0))&gt;0, "DQ",
                IF(ISNUMBER(SEARCH("WD",MAIN!K968)), "WD",
                IF(ISNUMBER(SEARCH("NS",MAIN!K968)), "NS",
                IF(ISNUMBER(SEARCH("NC",MAIN!K968)), "NC",
                IF(ISNUMBER(SEARCH("DQ",MAIN!K968)), "DQ",
                IF(ISNUMBER(SEARCH("A",MAIN!K968)), 0,
                IF(OR(MAIN!K968=0,MAIN!K968=""), 0, --TRIM(MAIN!K968)))))))))))),
            0
        )
    ),
    IFERROR(
        UPPER(
            IF(MAX(IFERROR(SEARCH("WD",MAIN!G968:J968), 0))&gt;0, "WD",
            IF(MAX(IFERROR(SEARCH("NS",MAIN!G968:J968), 0))&gt;0, "NS",
            IF(MAX(IFERROR(SEARCH("NC",MAIN!G968:J968), 0))&gt;0, "NC",
            IF(MAX(IFERROR(SEARCH("DQ",MAIN!G968:J968), 0))&gt;0, "DQ",
            IF(ISNUMBER(SEARCH("WD",MAIN!K968)), "WD",
            IF(ISNUMBER(SEARCH("NS",MAIN!K968)), "NS",
            IF(ISNUMBER(SEARCH("NC",MAIN!K968)), "NC",
            IF(ISNUMBER(SEARCH("DQ",MAIN!K968)), "DQ",
            IF(ISNUMBER(SEARCH("A",MAIN!K968)), 0,
            IF(OR(MAIN!K968=0,MAIN!K968=""), 0, --TRIM(MAIN!K968)))))))))))),
        0
    )
)</f>
        <v>0</v>
      </c>
    </row>
    <row r="969" spans="1:11" x14ac:dyDescent="0.25">
      <c r="A969" t="str">
        <f>IF(ISBLANK(MAIN!A969), "--", IFERROR(PROPER(SUBSTITUTE(SUBSTITUTE(SUBSTITUTE(SUBSTITUTE(SUBSTITUTE(SUBSTITUTE(SUBSTITUTE(SUBSTITUTE(SUBSTITUTE(SUBSTITUTE(LEFT(MAIN!A969, FIND(",",MAIN!A969) -1), "0", ""), "1", ""), "2", ""), "3", ""), "4", ""), "5", ""), "6", ""), "7", ""), "8", ""), "9", "")), PROPER(SUBSTITUTE(SUBSTITUTE(SUBSTITUTE(SUBSTITUTE(SUBSTITUTE(SUBSTITUTE(SUBSTITUTE(SUBSTITUTE(SUBSTITUTE(SUBSTITUTE(MAIN!A969, "0", ""), "1", ""), "2", ""), "3", ""), "4", ""), "5", ""), "6", ""), "7", ""), "8", ""), "9", ""))))</f>
        <v>--</v>
      </c>
      <c r="B969" t="str">
        <f>IF(ISBLANK(MAIN!B969), "--", IFERROR(PROPER(SUBSTITUTE(SUBSTITUTE(SUBSTITUTE(SUBSTITUTE(SUBSTITUTE(SUBSTITUTE(SUBSTITUTE(SUBSTITUTE(SUBSTITUTE(SUBSTITUTE(LEFT(MAIN!B969, FIND(",",MAIN!B969) -1), "0", ""), "1", ""), "2", ""), "3", ""), "4", ""), "5", ""), "6", ""), "7", ""), "8", ""), "9", "")), PROPER(SUBSTITUTE(SUBSTITUTE(SUBSTITUTE(SUBSTITUTE(SUBSTITUTE(SUBSTITUTE(SUBSTITUTE(SUBSTITUTE(SUBSTITUTE(SUBSTITUTE(MAIN!B969, "0", ""), "1", ""), "2", ""), "3", ""), "4", ""), "5", ""), "6", ""), "7", ""), "8", ""), "9", ""))))</f>
        <v>--</v>
      </c>
      <c r="C969" t="str">
        <f>IF(ISBLANK(MAIN!C969), "--", IFERROR(PROPER(SUBSTITUTE(SUBSTITUTE(SUBSTITUTE(SUBSTITUTE(SUBSTITUTE(SUBSTITUTE(SUBSTITUTE(SUBSTITUTE(SUBSTITUTE(SUBSTITUTE(LEFT(MAIN!C969, FIND(",",MAIN!C969) -1), "0", ""), "1", ""), "2", ""), "3", ""), "4", ""), "5", ""), "6", ""), "7", ""), "8", ""), "9", "")), PROPER(SUBSTITUTE(SUBSTITUTE(SUBSTITUTE(SUBSTITUTE(SUBSTITUTE(SUBSTITUTE(SUBSTITUTE(SUBSTITUTE(SUBSTITUTE(SUBSTITUTE(MAIN!C969, "0", ""), "1", ""), "2", ""), "3", ""), "4", ""), "5", ""), "6", ""), "7", ""), "8", ""), "9", ""))))</f>
        <v>--</v>
      </c>
      <c r="D969" t="str">
        <f>IF(ISBLANK(MAIN!D969), "--", IF(ISNUMBER(MATCH(SUBSTITUTE(LEFT(MAIN!D969, IFERROR(FIND(",", MAIN!D969)-1, LEN(MAIN!D969))), " ", ""), lookup_values!$B$2:$B$51, 0)), UPPER(SUBSTITUTE(LEFT(MAIN!D969, IFERROR(FIND(",", MAIN!D969)-1, LEN(MAIN!D969))), " ", "")), IF(ISNA(VLOOKUP(SUBSTITUTE(LEFT(MAIN!D969, IFERROR(FIND(",", MAIN!D969)-1, LEN(MAIN!D969))), " ", ""), lookup_values!$A$2:$B$51, 2, FALSE)), "--", VLOOKUP(SUBSTITUTE(LEFT(MAIN!D969, IFERROR(FIND(",", MAIN!D969)-1, LEN(MAIN!D969))), " ", ""), lookup_values!$A$2:$B$51, 2, FALSE))))</f>
        <v>--</v>
      </c>
      <c r="E969" t="str">
        <f>IF(CLEAN_DATA!D969&lt;&gt;"--","US",IF(ISBLANK(MAIN!E969), "--", IF(ISNUMBER(MATCH(SUBSTITUTE(LEFT(MAIN!E969, IFERROR(FIND(",", MAIN!E969)-1, LEN(MAIN!E969))), " ", ""), lookup_values!$E$2:$E$197, 0)), UPPER(SUBSTITUTE(LEFT(MAIN!E969, IFERROR(FIND(",", MAIN!E969)-1, LEN(MAIN!E969))), " ", "")), IF(ISNA(VLOOKUP(SUBSTITUTE(LEFT(MAIN!E969, IFERROR(FIND(",", MAIN!E969)-1, LEN(MAIN!E969))), " ", ""), lookup_values!$D$2:$E$197, 2, FALSE)), "--", VLOOKUP(SUBSTITUTE(LEFT(MAIN!E969, IFERROR(FIND(",", MAIN!E969)-1, LEN(MAIN!E969))), " ", ""), lookup_values!$D$2:$E$197, 2, FALSE)))))</f>
        <v>--</v>
      </c>
      <c r="F969" t="str">
        <f>IF(ISBLANK(MAIN!F969), "", IF(AND(ISNUMBER(VALUE(TRIM(MAIN!F969))), LEN(TRIM(MAIN!F969))=4), VALUE(TRIM(MAIN!F969)), ""))</f>
        <v/>
      </c>
      <c r="G969">
        <f>IF(ISBLANK(MAIN!G969), 0, IF(ISNUMBER(VALUE(TRIM(MAIN!G969))), VALUE(TRIM(MAIN!G969)), 0))</f>
        <v>0</v>
      </c>
      <c r="H969">
        <f>IF(ISBLANK(MAIN!H969), 0, IF(ISNUMBER(VALUE(TRIM(MAIN!H969))), VALUE(TRIM(MAIN!H969)), 0))</f>
        <v>0</v>
      </c>
      <c r="I969">
        <f>IF(ISBLANK(MAIN!I969), 0, IF(ISNUMBER(VALUE(TRIM(MAIN!I969))), VALUE(TRIM(MAIN!I969)), 0))</f>
        <v>0</v>
      </c>
      <c r="J969">
        <f>IF(ISBLANK(MAIN!J969), 0, IF(ISNUMBER(VALUE(TRIM(MAIN!J969))), VALUE(TRIM(MAIN!J969)), 0))</f>
        <v>0</v>
      </c>
      <c r="K969" cm="1">
        <f t="array" ref="K969">IFERROR(
    VALUE(
        IFERROR(
            UPPER(
                IF(MAX(IFERROR(SEARCH("WD",MAIN!G969:J969), 0))&gt;0, "WD",
                IF(MAX(IFERROR(SEARCH("NS",MAIN!G969:J969), 0))&gt;0, "NS",
                IF(MAX(IFERROR(SEARCH("NC",MAIN!G969:J969), 0))&gt;0, "NC",
                IF(MAX(IFERROR(SEARCH("DQ",MAIN!G969:J969), 0))&gt;0, "DQ",
                IF(ISNUMBER(SEARCH("WD",MAIN!K969)), "WD",
                IF(ISNUMBER(SEARCH("NS",MAIN!K969)), "NS",
                IF(ISNUMBER(SEARCH("NC",MAIN!K969)), "NC",
                IF(ISNUMBER(SEARCH("DQ",MAIN!K969)), "DQ",
                IF(ISNUMBER(SEARCH("A",MAIN!K969)), 0,
                IF(OR(MAIN!K969=0,MAIN!K969=""), 0, --TRIM(MAIN!K969)))))))))))),
            0
        )
    ),
    IFERROR(
        UPPER(
            IF(MAX(IFERROR(SEARCH("WD",MAIN!G969:J969), 0))&gt;0, "WD",
            IF(MAX(IFERROR(SEARCH("NS",MAIN!G969:J969), 0))&gt;0, "NS",
            IF(MAX(IFERROR(SEARCH("NC",MAIN!G969:J969), 0))&gt;0, "NC",
            IF(MAX(IFERROR(SEARCH("DQ",MAIN!G969:J969), 0))&gt;0, "DQ",
            IF(ISNUMBER(SEARCH("WD",MAIN!K969)), "WD",
            IF(ISNUMBER(SEARCH("NS",MAIN!K969)), "NS",
            IF(ISNUMBER(SEARCH("NC",MAIN!K969)), "NC",
            IF(ISNUMBER(SEARCH("DQ",MAIN!K969)), "DQ",
            IF(ISNUMBER(SEARCH("A",MAIN!K969)), 0,
            IF(OR(MAIN!K969=0,MAIN!K969=""), 0, --TRIM(MAIN!K969)))))))))))),
        0
    )
)</f>
        <v>0</v>
      </c>
    </row>
    <row r="970" spans="1:11" x14ac:dyDescent="0.25">
      <c r="A970" t="str">
        <f>IF(ISBLANK(MAIN!A970), "--", IFERROR(PROPER(SUBSTITUTE(SUBSTITUTE(SUBSTITUTE(SUBSTITUTE(SUBSTITUTE(SUBSTITUTE(SUBSTITUTE(SUBSTITUTE(SUBSTITUTE(SUBSTITUTE(LEFT(MAIN!A970, FIND(",",MAIN!A970) -1), "0", ""), "1", ""), "2", ""), "3", ""), "4", ""), "5", ""), "6", ""), "7", ""), "8", ""), "9", "")), PROPER(SUBSTITUTE(SUBSTITUTE(SUBSTITUTE(SUBSTITUTE(SUBSTITUTE(SUBSTITUTE(SUBSTITUTE(SUBSTITUTE(SUBSTITUTE(SUBSTITUTE(MAIN!A970, "0", ""), "1", ""), "2", ""), "3", ""), "4", ""), "5", ""), "6", ""), "7", ""), "8", ""), "9", ""))))</f>
        <v>--</v>
      </c>
      <c r="B970" t="str">
        <f>IF(ISBLANK(MAIN!B970), "--", IFERROR(PROPER(SUBSTITUTE(SUBSTITUTE(SUBSTITUTE(SUBSTITUTE(SUBSTITUTE(SUBSTITUTE(SUBSTITUTE(SUBSTITUTE(SUBSTITUTE(SUBSTITUTE(LEFT(MAIN!B970, FIND(",",MAIN!B970) -1), "0", ""), "1", ""), "2", ""), "3", ""), "4", ""), "5", ""), "6", ""), "7", ""), "8", ""), "9", "")), PROPER(SUBSTITUTE(SUBSTITUTE(SUBSTITUTE(SUBSTITUTE(SUBSTITUTE(SUBSTITUTE(SUBSTITUTE(SUBSTITUTE(SUBSTITUTE(SUBSTITUTE(MAIN!B970, "0", ""), "1", ""), "2", ""), "3", ""), "4", ""), "5", ""), "6", ""), "7", ""), "8", ""), "9", ""))))</f>
        <v>--</v>
      </c>
      <c r="C970" t="str">
        <f>IF(ISBLANK(MAIN!C970), "--", IFERROR(PROPER(SUBSTITUTE(SUBSTITUTE(SUBSTITUTE(SUBSTITUTE(SUBSTITUTE(SUBSTITUTE(SUBSTITUTE(SUBSTITUTE(SUBSTITUTE(SUBSTITUTE(LEFT(MAIN!C970, FIND(",",MAIN!C970) -1), "0", ""), "1", ""), "2", ""), "3", ""), "4", ""), "5", ""), "6", ""), "7", ""), "8", ""), "9", "")), PROPER(SUBSTITUTE(SUBSTITUTE(SUBSTITUTE(SUBSTITUTE(SUBSTITUTE(SUBSTITUTE(SUBSTITUTE(SUBSTITUTE(SUBSTITUTE(SUBSTITUTE(MAIN!C970, "0", ""), "1", ""), "2", ""), "3", ""), "4", ""), "5", ""), "6", ""), "7", ""), "8", ""), "9", ""))))</f>
        <v>--</v>
      </c>
      <c r="D970" t="str">
        <f>IF(ISBLANK(MAIN!D970), "--", IF(ISNUMBER(MATCH(SUBSTITUTE(LEFT(MAIN!D970, IFERROR(FIND(",", MAIN!D970)-1, LEN(MAIN!D970))), " ", ""), lookup_values!$B$2:$B$51, 0)), UPPER(SUBSTITUTE(LEFT(MAIN!D970, IFERROR(FIND(",", MAIN!D970)-1, LEN(MAIN!D970))), " ", "")), IF(ISNA(VLOOKUP(SUBSTITUTE(LEFT(MAIN!D970, IFERROR(FIND(",", MAIN!D970)-1, LEN(MAIN!D970))), " ", ""), lookup_values!$A$2:$B$51, 2, FALSE)), "--", VLOOKUP(SUBSTITUTE(LEFT(MAIN!D970, IFERROR(FIND(",", MAIN!D970)-1, LEN(MAIN!D970))), " ", ""), lookup_values!$A$2:$B$51, 2, FALSE))))</f>
        <v>--</v>
      </c>
      <c r="E970" t="str">
        <f>IF(CLEAN_DATA!D970&lt;&gt;"--","US",IF(ISBLANK(MAIN!E970), "--", IF(ISNUMBER(MATCH(SUBSTITUTE(LEFT(MAIN!E970, IFERROR(FIND(",", MAIN!E970)-1, LEN(MAIN!E970))), " ", ""), lookup_values!$E$2:$E$197, 0)), UPPER(SUBSTITUTE(LEFT(MAIN!E970, IFERROR(FIND(",", MAIN!E970)-1, LEN(MAIN!E970))), " ", "")), IF(ISNA(VLOOKUP(SUBSTITUTE(LEFT(MAIN!E970, IFERROR(FIND(",", MAIN!E970)-1, LEN(MAIN!E970))), " ", ""), lookup_values!$D$2:$E$197, 2, FALSE)), "--", VLOOKUP(SUBSTITUTE(LEFT(MAIN!E970, IFERROR(FIND(",", MAIN!E970)-1, LEN(MAIN!E970))), " ", ""), lookup_values!$D$2:$E$197, 2, FALSE)))))</f>
        <v>--</v>
      </c>
      <c r="F970" t="str">
        <f>IF(ISBLANK(MAIN!F970), "", IF(AND(ISNUMBER(VALUE(TRIM(MAIN!F970))), LEN(TRIM(MAIN!F970))=4), VALUE(TRIM(MAIN!F970)), ""))</f>
        <v/>
      </c>
      <c r="G970">
        <f>IF(ISBLANK(MAIN!G970), 0, IF(ISNUMBER(VALUE(TRIM(MAIN!G970))), VALUE(TRIM(MAIN!G970)), 0))</f>
        <v>0</v>
      </c>
      <c r="H970">
        <f>IF(ISBLANK(MAIN!H970), 0, IF(ISNUMBER(VALUE(TRIM(MAIN!H970))), VALUE(TRIM(MAIN!H970)), 0))</f>
        <v>0</v>
      </c>
      <c r="I970">
        <f>IF(ISBLANK(MAIN!I970), 0, IF(ISNUMBER(VALUE(TRIM(MAIN!I970))), VALUE(TRIM(MAIN!I970)), 0))</f>
        <v>0</v>
      </c>
      <c r="J970">
        <f>IF(ISBLANK(MAIN!J970), 0, IF(ISNUMBER(VALUE(TRIM(MAIN!J970))), VALUE(TRIM(MAIN!J970)), 0))</f>
        <v>0</v>
      </c>
      <c r="K970" cm="1">
        <f t="array" ref="K970">IFERROR(
    VALUE(
        IFERROR(
            UPPER(
                IF(MAX(IFERROR(SEARCH("WD",MAIN!G970:J970), 0))&gt;0, "WD",
                IF(MAX(IFERROR(SEARCH("NS",MAIN!G970:J970), 0))&gt;0, "NS",
                IF(MAX(IFERROR(SEARCH("NC",MAIN!G970:J970), 0))&gt;0, "NC",
                IF(MAX(IFERROR(SEARCH("DQ",MAIN!G970:J970), 0))&gt;0, "DQ",
                IF(ISNUMBER(SEARCH("WD",MAIN!K970)), "WD",
                IF(ISNUMBER(SEARCH("NS",MAIN!K970)), "NS",
                IF(ISNUMBER(SEARCH("NC",MAIN!K970)), "NC",
                IF(ISNUMBER(SEARCH("DQ",MAIN!K970)), "DQ",
                IF(ISNUMBER(SEARCH("A",MAIN!K970)), 0,
                IF(OR(MAIN!K970=0,MAIN!K970=""), 0, --TRIM(MAIN!K970)))))))))))),
            0
        )
    ),
    IFERROR(
        UPPER(
            IF(MAX(IFERROR(SEARCH("WD",MAIN!G970:J970), 0))&gt;0, "WD",
            IF(MAX(IFERROR(SEARCH("NS",MAIN!G970:J970), 0))&gt;0, "NS",
            IF(MAX(IFERROR(SEARCH("NC",MAIN!G970:J970), 0))&gt;0, "NC",
            IF(MAX(IFERROR(SEARCH("DQ",MAIN!G970:J970), 0))&gt;0, "DQ",
            IF(ISNUMBER(SEARCH("WD",MAIN!K970)), "WD",
            IF(ISNUMBER(SEARCH("NS",MAIN!K970)), "NS",
            IF(ISNUMBER(SEARCH("NC",MAIN!K970)), "NC",
            IF(ISNUMBER(SEARCH("DQ",MAIN!K970)), "DQ",
            IF(ISNUMBER(SEARCH("A",MAIN!K970)), 0,
            IF(OR(MAIN!K970=0,MAIN!K970=""), 0, --TRIM(MAIN!K970)))))))))))),
        0
    )
)</f>
        <v>0</v>
      </c>
    </row>
    <row r="971" spans="1:11" x14ac:dyDescent="0.25">
      <c r="A971" t="str">
        <f>IF(ISBLANK(MAIN!A971), "--", IFERROR(PROPER(SUBSTITUTE(SUBSTITUTE(SUBSTITUTE(SUBSTITUTE(SUBSTITUTE(SUBSTITUTE(SUBSTITUTE(SUBSTITUTE(SUBSTITUTE(SUBSTITUTE(LEFT(MAIN!A971, FIND(",",MAIN!A971) -1), "0", ""), "1", ""), "2", ""), "3", ""), "4", ""), "5", ""), "6", ""), "7", ""), "8", ""), "9", "")), PROPER(SUBSTITUTE(SUBSTITUTE(SUBSTITUTE(SUBSTITUTE(SUBSTITUTE(SUBSTITUTE(SUBSTITUTE(SUBSTITUTE(SUBSTITUTE(SUBSTITUTE(MAIN!A971, "0", ""), "1", ""), "2", ""), "3", ""), "4", ""), "5", ""), "6", ""), "7", ""), "8", ""), "9", ""))))</f>
        <v>--</v>
      </c>
      <c r="B971" t="str">
        <f>IF(ISBLANK(MAIN!B971), "--", IFERROR(PROPER(SUBSTITUTE(SUBSTITUTE(SUBSTITUTE(SUBSTITUTE(SUBSTITUTE(SUBSTITUTE(SUBSTITUTE(SUBSTITUTE(SUBSTITUTE(SUBSTITUTE(LEFT(MAIN!B971, FIND(",",MAIN!B971) -1), "0", ""), "1", ""), "2", ""), "3", ""), "4", ""), "5", ""), "6", ""), "7", ""), "8", ""), "9", "")), PROPER(SUBSTITUTE(SUBSTITUTE(SUBSTITUTE(SUBSTITUTE(SUBSTITUTE(SUBSTITUTE(SUBSTITUTE(SUBSTITUTE(SUBSTITUTE(SUBSTITUTE(MAIN!B971, "0", ""), "1", ""), "2", ""), "3", ""), "4", ""), "5", ""), "6", ""), "7", ""), "8", ""), "9", ""))))</f>
        <v>--</v>
      </c>
      <c r="C971" t="str">
        <f>IF(ISBLANK(MAIN!C971), "--", IFERROR(PROPER(SUBSTITUTE(SUBSTITUTE(SUBSTITUTE(SUBSTITUTE(SUBSTITUTE(SUBSTITUTE(SUBSTITUTE(SUBSTITUTE(SUBSTITUTE(SUBSTITUTE(LEFT(MAIN!C971, FIND(",",MAIN!C971) -1), "0", ""), "1", ""), "2", ""), "3", ""), "4", ""), "5", ""), "6", ""), "7", ""), "8", ""), "9", "")), PROPER(SUBSTITUTE(SUBSTITUTE(SUBSTITUTE(SUBSTITUTE(SUBSTITUTE(SUBSTITUTE(SUBSTITUTE(SUBSTITUTE(SUBSTITUTE(SUBSTITUTE(MAIN!C971, "0", ""), "1", ""), "2", ""), "3", ""), "4", ""), "5", ""), "6", ""), "7", ""), "8", ""), "9", ""))))</f>
        <v>--</v>
      </c>
      <c r="D971" t="str">
        <f>IF(ISBLANK(MAIN!D971), "--", IF(ISNUMBER(MATCH(SUBSTITUTE(LEFT(MAIN!D971, IFERROR(FIND(",", MAIN!D971)-1, LEN(MAIN!D971))), " ", ""), lookup_values!$B$2:$B$51, 0)), UPPER(SUBSTITUTE(LEFT(MAIN!D971, IFERROR(FIND(",", MAIN!D971)-1, LEN(MAIN!D971))), " ", "")), IF(ISNA(VLOOKUP(SUBSTITUTE(LEFT(MAIN!D971, IFERROR(FIND(",", MAIN!D971)-1, LEN(MAIN!D971))), " ", ""), lookup_values!$A$2:$B$51, 2, FALSE)), "--", VLOOKUP(SUBSTITUTE(LEFT(MAIN!D971, IFERROR(FIND(",", MAIN!D971)-1, LEN(MAIN!D971))), " ", ""), lookup_values!$A$2:$B$51, 2, FALSE))))</f>
        <v>--</v>
      </c>
      <c r="E971" t="str">
        <f>IF(CLEAN_DATA!D971&lt;&gt;"--","US",IF(ISBLANK(MAIN!E971), "--", IF(ISNUMBER(MATCH(SUBSTITUTE(LEFT(MAIN!E971, IFERROR(FIND(",", MAIN!E971)-1, LEN(MAIN!E971))), " ", ""), lookup_values!$E$2:$E$197, 0)), UPPER(SUBSTITUTE(LEFT(MAIN!E971, IFERROR(FIND(",", MAIN!E971)-1, LEN(MAIN!E971))), " ", "")), IF(ISNA(VLOOKUP(SUBSTITUTE(LEFT(MAIN!E971, IFERROR(FIND(",", MAIN!E971)-1, LEN(MAIN!E971))), " ", ""), lookup_values!$D$2:$E$197, 2, FALSE)), "--", VLOOKUP(SUBSTITUTE(LEFT(MAIN!E971, IFERROR(FIND(",", MAIN!E971)-1, LEN(MAIN!E971))), " ", ""), lookup_values!$D$2:$E$197, 2, FALSE)))))</f>
        <v>--</v>
      </c>
      <c r="F971" t="str">
        <f>IF(ISBLANK(MAIN!F971), "", IF(AND(ISNUMBER(VALUE(TRIM(MAIN!F971))), LEN(TRIM(MAIN!F971))=4), VALUE(TRIM(MAIN!F971)), ""))</f>
        <v/>
      </c>
      <c r="G971">
        <f>IF(ISBLANK(MAIN!G971), 0, IF(ISNUMBER(VALUE(TRIM(MAIN!G971))), VALUE(TRIM(MAIN!G971)), 0))</f>
        <v>0</v>
      </c>
      <c r="H971">
        <f>IF(ISBLANK(MAIN!H971), 0, IF(ISNUMBER(VALUE(TRIM(MAIN!H971))), VALUE(TRIM(MAIN!H971)), 0))</f>
        <v>0</v>
      </c>
      <c r="I971">
        <f>IF(ISBLANK(MAIN!I971), 0, IF(ISNUMBER(VALUE(TRIM(MAIN!I971))), VALUE(TRIM(MAIN!I971)), 0))</f>
        <v>0</v>
      </c>
      <c r="J971">
        <f>IF(ISBLANK(MAIN!J971), 0, IF(ISNUMBER(VALUE(TRIM(MAIN!J971))), VALUE(TRIM(MAIN!J971)), 0))</f>
        <v>0</v>
      </c>
      <c r="K971" cm="1">
        <f t="array" ref="K971">IFERROR(
    VALUE(
        IFERROR(
            UPPER(
                IF(MAX(IFERROR(SEARCH("WD",MAIN!G971:J971), 0))&gt;0, "WD",
                IF(MAX(IFERROR(SEARCH("NS",MAIN!G971:J971), 0))&gt;0, "NS",
                IF(MAX(IFERROR(SEARCH("NC",MAIN!G971:J971), 0))&gt;0, "NC",
                IF(MAX(IFERROR(SEARCH("DQ",MAIN!G971:J971), 0))&gt;0, "DQ",
                IF(ISNUMBER(SEARCH("WD",MAIN!K971)), "WD",
                IF(ISNUMBER(SEARCH("NS",MAIN!K971)), "NS",
                IF(ISNUMBER(SEARCH("NC",MAIN!K971)), "NC",
                IF(ISNUMBER(SEARCH("DQ",MAIN!K971)), "DQ",
                IF(ISNUMBER(SEARCH("A",MAIN!K971)), 0,
                IF(OR(MAIN!K971=0,MAIN!K971=""), 0, --TRIM(MAIN!K971)))))))))))),
            0
        )
    ),
    IFERROR(
        UPPER(
            IF(MAX(IFERROR(SEARCH("WD",MAIN!G971:J971), 0))&gt;0, "WD",
            IF(MAX(IFERROR(SEARCH("NS",MAIN!G971:J971), 0))&gt;0, "NS",
            IF(MAX(IFERROR(SEARCH("NC",MAIN!G971:J971), 0))&gt;0, "NC",
            IF(MAX(IFERROR(SEARCH("DQ",MAIN!G971:J971), 0))&gt;0, "DQ",
            IF(ISNUMBER(SEARCH("WD",MAIN!K971)), "WD",
            IF(ISNUMBER(SEARCH("NS",MAIN!K971)), "NS",
            IF(ISNUMBER(SEARCH("NC",MAIN!K971)), "NC",
            IF(ISNUMBER(SEARCH("DQ",MAIN!K971)), "DQ",
            IF(ISNUMBER(SEARCH("A",MAIN!K971)), 0,
            IF(OR(MAIN!K971=0,MAIN!K971=""), 0, --TRIM(MAIN!K971)))))))))))),
        0
    )
)</f>
        <v>0</v>
      </c>
    </row>
    <row r="972" spans="1:11" x14ac:dyDescent="0.25">
      <c r="A972" t="str">
        <f>IF(ISBLANK(MAIN!A972), "--", IFERROR(PROPER(SUBSTITUTE(SUBSTITUTE(SUBSTITUTE(SUBSTITUTE(SUBSTITUTE(SUBSTITUTE(SUBSTITUTE(SUBSTITUTE(SUBSTITUTE(SUBSTITUTE(LEFT(MAIN!A972, FIND(",",MAIN!A972) -1), "0", ""), "1", ""), "2", ""), "3", ""), "4", ""), "5", ""), "6", ""), "7", ""), "8", ""), "9", "")), PROPER(SUBSTITUTE(SUBSTITUTE(SUBSTITUTE(SUBSTITUTE(SUBSTITUTE(SUBSTITUTE(SUBSTITUTE(SUBSTITUTE(SUBSTITUTE(SUBSTITUTE(MAIN!A972, "0", ""), "1", ""), "2", ""), "3", ""), "4", ""), "5", ""), "6", ""), "7", ""), "8", ""), "9", ""))))</f>
        <v>--</v>
      </c>
      <c r="B972" t="str">
        <f>IF(ISBLANK(MAIN!B972), "--", IFERROR(PROPER(SUBSTITUTE(SUBSTITUTE(SUBSTITUTE(SUBSTITUTE(SUBSTITUTE(SUBSTITUTE(SUBSTITUTE(SUBSTITUTE(SUBSTITUTE(SUBSTITUTE(LEFT(MAIN!B972, FIND(",",MAIN!B972) -1), "0", ""), "1", ""), "2", ""), "3", ""), "4", ""), "5", ""), "6", ""), "7", ""), "8", ""), "9", "")), PROPER(SUBSTITUTE(SUBSTITUTE(SUBSTITUTE(SUBSTITUTE(SUBSTITUTE(SUBSTITUTE(SUBSTITUTE(SUBSTITUTE(SUBSTITUTE(SUBSTITUTE(MAIN!B972, "0", ""), "1", ""), "2", ""), "3", ""), "4", ""), "5", ""), "6", ""), "7", ""), "8", ""), "9", ""))))</f>
        <v>--</v>
      </c>
      <c r="C972" t="str">
        <f>IF(ISBLANK(MAIN!C972), "--", IFERROR(PROPER(SUBSTITUTE(SUBSTITUTE(SUBSTITUTE(SUBSTITUTE(SUBSTITUTE(SUBSTITUTE(SUBSTITUTE(SUBSTITUTE(SUBSTITUTE(SUBSTITUTE(LEFT(MAIN!C972, FIND(",",MAIN!C972) -1), "0", ""), "1", ""), "2", ""), "3", ""), "4", ""), "5", ""), "6", ""), "7", ""), "8", ""), "9", "")), PROPER(SUBSTITUTE(SUBSTITUTE(SUBSTITUTE(SUBSTITUTE(SUBSTITUTE(SUBSTITUTE(SUBSTITUTE(SUBSTITUTE(SUBSTITUTE(SUBSTITUTE(MAIN!C972, "0", ""), "1", ""), "2", ""), "3", ""), "4", ""), "5", ""), "6", ""), "7", ""), "8", ""), "9", ""))))</f>
        <v>--</v>
      </c>
      <c r="D972" t="str">
        <f>IF(ISBLANK(MAIN!D972), "--", IF(ISNUMBER(MATCH(SUBSTITUTE(LEFT(MAIN!D972, IFERROR(FIND(",", MAIN!D972)-1, LEN(MAIN!D972))), " ", ""), lookup_values!$B$2:$B$51, 0)), UPPER(SUBSTITUTE(LEFT(MAIN!D972, IFERROR(FIND(",", MAIN!D972)-1, LEN(MAIN!D972))), " ", "")), IF(ISNA(VLOOKUP(SUBSTITUTE(LEFT(MAIN!D972, IFERROR(FIND(",", MAIN!D972)-1, LEN(MAIN!D972))), " ", ""), lookup_values!$A$2:$B$51, 2, FALSE)), "--", VLOOKUP(SUBSTITUTE(LEFT(MAIN!D972, IFERROR(FIND(",", MAIN!D972)-1, LEN(MAIN!D972))), " ", ""), lookup_values!$A$2:$B$51, 2, FALSE))))</f>
        <v>--</v>
      </c>
      <c r="E972" t="str">
        <f>IF(CLEAN_DATA!D972&lt;&gt;"--","US",IF(ISBLANK(MAIN!E972), "--", IF(ISNUMBER(MATCH(SUBSTITUTE(LEFT(MAIN!E972, IFERROR(FIND(",", MAIN!E972)-1, LEN(MAIN!E972))), " ", ""), lookup_values!$E$2:$E$197, 0)), UPPER(SUBSTITUTE(LEFT(MAIN!E972, IFERROR(FIND(",", MAIN!E972)-1, LEN(MAIN!E972))), " ", "")), IF(ISNA(VLOOKUP(SUBSTITUTE(LEFT(MAIN!E972, IFERROR(FIND(",", MAIN!E972)-1, LEN(MAIN!E972))), " ", ""), lookup_values!$D$2:$E$197, 2, FALSE)), "--", VLOOKUP(SUBSTITUTE(LEFT(MAIN!E972, IFERROR(FIND(",", MAIN!E972)-1, LEN(MAIN!E972))), " ", ""), lookup_values!$D$2:$E$197, 2, FALSE)))))</f>
        <v>--</v>
      </c>
      <c r="F972" t="str">
        <f>IF(ISBLANK(MAIN!F972), "", IF(AND(ISNUMBER(VALUE(TRIM(MAIN!F972))), LEN(TRIM(MAIN!F972))=4), VALUE(TRIM(MAIN!F972)), ""))</f>
        <v/>
      </c>
      <c r="G972">
        <f>IF(ISBLANK(MAIN!G972), 0, IF(ISNUMBER(VALUE(TRIM(MAIN!G972))), VALUE(TRIM(MAIN!G972)), 0))</f>
        <v>0</v>
      </c>
      <c r="H972">
        <f>IF(ISBLANK(MAIN!H972), 0, IF(ISNUMBER(VALUE(TRIM(MAIN!H972))), VALUE(TRIM(MAIN!H972)), 0))</f>
        <v>0</v>
      </c>
      <c r="I972">
        <f>IF(ISBLANK(MAIN!I972), 0, IF(ISNUMBER(VALUE(TRIM(MAIN!I972))), VALUE(TRIM(MAIN!I972)), 0))</f>
        <v>0</v>
      </c>
      <c r="J972">
        <f>IF(ISBLANK(MAIN!J972), 0, IF(ISNUMBER(VALUE(TRIM(MAIN!J972))), VALUE(TRIM(MAIN!J972)), 0))</f>
        <v>0</v>
      </c>
      <c r="K972" cm="1">
        <f t="array" ref="K972">IFERROR(
    VALUE(
        IFERROR(
            UPPER(
                IF(MAX(IFERROR(SEARCH("WD",MAIN!G972:J972), 0))&gt;0, "WD",
                IF(MAX(IFERROR(SEARCH("NS",MAIN!G972:J972), 0))&gt;0, "NS",
                IF(MAX(IFERROR(SEARCH("NC",MAIN!G972:J972), 0))&gt;0, "NC",
                IF(MAX(IFERROR(SEARCH("DQ",MAIN!G972:J972), 0))&gt;0, "DQ",
                IF(ISNUMBER(SEARCH("WD",MAIN!K972)), "WD",
                IF(ISNUMBER(SEARCH("NS",MAIN!K972)), "NS",
                IF(ISNUMBER(SEARCH("NC",MAIN!K972)), "NC",
                IF(ISNUMBER(SEARCH("DQ",MAIN!K972)), "DQ",
                IF(ISNUMBER(SEARCH("A",MAIN!K972)), 0,
                IF(OR(MAIN!K972=0,MAIN!K972=""), 0, --TRIM(MAIN!K972)))))))))))),
            0
        )
    ),
    IFERROR(
        UPPER(
            IF(MAX(IFERROR(SEARCH("WD",MAIN!G972:J972), 0))&gt;0, "WD",
            IF(MAX(IFERROR(SEARCH("NS",MAIN!G972:J972), 0))&gt;0, "NS",
            IF(MAX(IFERROR(SEARCH("NC",MAIN!G972:J972), 0))&gt;0, "NC",
            IF(MAX(IFERROR(SEARCH("DQ",MAIN!G972:J972), 0))&gt;0, "DQ",
            IF(ISNUMBER(SEARCH("WD",MAIN!K972)), "WD",
            IF(ISNUMBER(SEARCH("NS",MAIN!K972)), "NS",
            IF(ISNUMBER(SEARCH("NC",MAIN!K972)), "NC",
            IF(ISNUMBER(SEARCH("DQ",MAIN!K972)), "DQ",
            IF(ISNUMBER(SEARCH("A",MAIN!K972)), 0,
            IF(OR(MAIN!K972=0,MAIN!K972=""), 0, --TRIM(MAIN!K972)))))))))))),
        0
    )
)</f>
        <v>0</v>
      </c>
    </row>
    <row r="973" spans="1:11" x14ac:dyDescent="0.25">
      <c r="A973" t="str">
        <f>IF(ISBLANK(MAIN!A973), "--", IFERROR(PROPER(SUBSTITUTE(SUBSTITUTE(SUBSTITUTE(SUBSTITUTE(SUBSTITUTE(SUBSTITUTE(SUBSTITUTE(SUBSTITUTE(SUBSTITUTE(SUBSTITUTE(LEFT(MAIN!A973, FIND(",",MAIN!A973) -1), "0", ""), "1", ""), "2", ""), "3", ""), "4", ""), "5", ""), "6", ""), "7", ""), "8", ""), "9", "")), PROPER(SUBSTITUTE(SUBSTITUTE(SUBSTITUTE(SUBSTITUTE(SUBSTITUTE(SUBSTITUTE(SUBSTITUTE(SUBSTITUTE(SUBSTITUTE(SUBSTITUTE(MAIN!A973, "0", ""), "1", ""), "2", ""), "3", ""), "4", ""), "5", ""), "6", ""), "7", ""), "8", ""), "9", ""))))</f>
        <v>--</v>
      </c>
      <c r="B973" t="str">
        <f>IF(ISBLANK(MAIN!B973), "--", IFERROR(PROPER(SUBSTITUTE(SUBSTITUTE(SUBSTITUTE(SUBSTITUTE(SUBSTITUTE(SUBSTITUTE(SUBSTITUTE(SUBSTITUTE(SUBSTITUTE(SUBSTITUTE(LEFT(MAIN!B973, FIND(",",MAIN!B973) -1), "0", ""), "1", ""), "2", ""), "3", ""), "4", ""), "5", ""), "6", ""), "7", ""), "8", ""), "9", "")), PROPER(SUBSTITUTE(SUBSTITUTE(SUBSTITUTE(SUBSTITUTE(SUBSTITUTE(SUBSTITUTE(SUBSTITUTE(SUBSTITUTE(SUBSTITUTE(SUBSTITUTE(MAIN!B973, "0", ""), "1", ""), "2", ""), "3", ""), "4", ""), "5", ""), "6", ""), "7", ""), "8", ""), "9", ""))))</f>
        <v>--</v>
      </c>
      <c r="C973" t="str">
        <f>IF(ISBLANK(MAIN!C973), "--", IFERROR(PROPER(SUBSTITUTE(SUBSTITUTE(SUBSTITUTE(SUBSTITUTE(SUBSTITUTE(SUBSTITUTE(SUBSTITUTE(SUBSTITUTE(SUBSTITUTE(SUBSTITUTE(LEFT(MAIN!C973, FIND(",",MAIN!C973) -1), "0", ""), "1", ""), "2", ""), "3", ""), "4", ""), "5", ""), "6", ""), "7", ""), "8", ""), "9", "")), PROPER(SUBSTITUTE(SUBSTITUTE(SUBSTITUTE(SUBSTITUTE(SUBSTITUTE(SUBSTITUTE(SUBSTITUTE(SUBSTITUTE(SUBSTITUTE(SUBSTITUTE(MAIN!C973, "0", ""), "1", ""), "2", ""), "3", ""), "4", ""), "5", ""), "6", ""), "7", ""), "8", ""), "9", ""))))</f>
        <v>--</v>
      </c>
      <c r="D973" t="str">
        <f>IF(ISBLANK(MAIN!D973), "--", IF(ISNUMBER(MATCH(SUBSTITUTE(LEFT(MAIN!D973, IFERROR(FIND(",", MAIN!D973)-1, LEN(MAIN!D973))), " ", ""), lookup_values!$B$2:$B$51, 0)), UPPER(SUBSTITUTE(LEFT(MAIN!D973, IFERROR(FIND(",", MAIN!D973)-1, LEN(MAIN!D973))), " ", "")), IF(ISNA(VLOOKUP(SUBSTITUTE(LEFT(MAIN!D973, IFERROR(FIND(",", MAIN!D973)-1, LEN(MAIN!D973))), " ", ""), lookup_values!$A$2:$B$51, 2, FALSE)), "--", VLOOKUP(SUBSTITUTE(LEFT(MAIN!D973, IFERROR(FIND(",", MAIN!D973)-1, LEN(MAIN!D973))), " ", ""), lookup_values!$A$2:$B$51, 2, FALSE))))</f>
        <v>--</v>
      </c>
      <c r="E973" t="str">
        <f>IF(CLEAN_DATA!D973&lt;&gt;"--","US",IF(ISBLANK(MAIN!E973), "--", IF(ISNUMBER(MATCH(SUBSTITUTE(LEFT(MAIN!E973, IFERROR(FIND(",", MAIN!E973)-1, LEN(MAIN!E973))), " ", ""), lookup_values!$E$2:$E$197, 0)), UPPER(SUBSTITUTE(LEFT(MAIN!E973, IFERROR(FIND(",", MAIN!E973)-1, LEN(MAIN!E973))), " ", "")), IF(ISNA(VLOOKUP(SUBSTITUTE(LEFT(MAIN!E973, IFERROR(FIND(",", MAIN!E973)-1, LEN(MAIN!E973))), " ", ""), lookup_values!$D$2:$E$197, 2, FALSE)), "--", VLOOKUP(SUBSTITUTE(LEFT(MAIN!E973, IFERROR(FIND(",", MAIN!E973)-1, LEN(MAIN!E973))), " ", ""), lookup_values!$D$2:$E$197, 2, FALSE)))))</f>
        <v>--</v>
      </c>
      <c r="F973" t="str">
        <f>IF(ISBLANK(MAIN!F973), "", IF(AND(ISNUMBER(VALUE(TRIM(MAIN!F973))), LEN(TRIM(MAIN!F973))=4), VALUE(TRIM(MAIN!F973)), ""))</f>
        <v/>
      </c>
      <c r="G973">
        <f>IF(ISBLANK(MAIN!G973), 0, IF(ISNUMBER(VALUE(TRIM(MAIN!G973))), VALUE(TRIM(MAIN!G973)), 0))</f>
        <v>0</v>
      </c>
      <c r="H973">
        <f>IF(ISBLANK(MAIN!H973), 0, IF(ISNUMBER(VALUE(TRIM(MAIN!H973))), VALUE(TRIM(MAIN!H973)), 0))</f>
        <v>0</v>
      </c>
      <c r="I973">
        <f>IF(ISBLANK(MAIN!I973), 0, IF(ISNUMBER(VALUE(TRIM(MAIN!I973))), VALUE(TRIM(MAIN!I973)), 0))</f>
        <v>0</v>
      </c>
      <c r="J973">
        <f>IF(ISBLANK(MAIN!J973), 0, IF(ISNUMBER(VALUE(TRIM(MAIN!J973))), VALUE(TRIM(MAIN!J973)), 0))</f>
        <v>0</v>
      </c>
      <c r="K973" cm="1">
        <f t="array" ref="K973">IFERROR(
    VALUE(
        IFERROR(
            UPPER(
                IF(MAX(IFERROR(SEARCH("WD",MAIN!G973:J973), 0))&gt;0, "WD",
                IF(MAX(IFERROR(SEARCH("NS",MAIN!G973:J973), 0))&gt;0, "NS",
                IF(MAX(IFERROR(SEARCH("NC",MAIN!G973:J973), 0))&gt;0, "NC",
                IF(MAX(IFERROR(SEARCH("DQ",MAIN!G973:J973), 0))&gt;0, "DQ",
                IF(ISNUMBER(SEARCH("WD",MAIN!K973)), "WD",
                IF(ISNUMBER(SEARCH("NS",MAIN!K973)), "NS",
                IF(ISNUMBER(SEARCH("NC",MAIN!K973)), "NC",
                IF(ISNUMBER(SEARCH("DQ",MAIN!K973)), "DQ",
                IF(ISNUMBER(SEARCH("A",MAIN!K973)), 0,
                IF(OR(MAIN!K973=0,MAIN!K973=""), 0, --TRIM(MAIN!K973)))))))))))),
            0
        )
    ),
    IFERROR(
        UPPER(
            IF(MAX(IFERROR(SEARCH("WD",MAIN!G973:J973), 0))&gt;0, "WD",
            IF(MAX(IFERROR(SEARCH("NS",MAIN!G973:J973), 0))&gt;0, "NS",
            IF(MAX(IFERROR(SEARCH("NC",MAIN!G973:J973), 0))&gt;0, "NC",
            IF(MAX(IFERROR(SEARCH("DQ",MAIN!G973:J973), 0))&gt;0, "DQ",
            IF(ISNUMBER(SEARCH("WD",MAIN!K973)), "WD",
            IF(ISNUMBER(SEARCH("NS",MAIN!K973)), "NS",
            IF(ISNUMBER(SEARCH("NC",MAIN!K973)), "NC",
            IF(ISNUMBER(SEARCH("DQ",MAIN!K973)), "DQ",
            IF(ISNUMBER(SEARCH("A",MAIN!K973)), 0,
            IF(OR(MAIN!K973=0,MAIN!K973=""), 0, --TRIM(MAIN!K973)))))))))))),
        0
    )
)</f>
        <v>0</v>
      </c>
    </row>
    <row r="974" spans="1:11" x14ac:dyDescent="0.25">
      <c r="A974" t="str">
        <f>IF(ISBLANK(MAIN!A974), "--", IFERROR(PROPER(SUBSTITUTE(SUBSTITUTE(SUBSTITUTE(SUBSTITUTE(SUBSTITUTE(SUBSTITUTE(SUBSTITUTE(SUBSTITUTE(SUBSTITUTE(SUBSTITUTE(LEFT(MAIN!A974, FIND(",",MAIN!A974) -1), "0", ""), "1", ""), "2", ""), "3", ""), "4", ""), "5", ""), "6", ""), "7", ""), "8", ""), "9", "")), PROPER(SUBSTITUTE(SUBSTITUTE(SUBSTITUTE(SUBSTITUTE(SUBSTITUTE(SUBSTITUTE(SUBSTITUTE(SUBSTITUTE(SUBSTITUTE(SUBSTITUTE(MAIN!A974, "0", ""), "1", ""), "2", ""), "3", ""), "4", ""), "5", ""), "6", ""), "7", ""), "8", ""), "9", ""))))</f>
        <v>--</v>
      </c>
      <c r="B974" t="str">
        <f>IF(ISBLANK(MAIN!B974), "--", IFERROR(PROPER(SUBSTITUTE(SUBSTITUTE(SUBSTITUTE(SUBSTITUTE(SUBSTITUTE(SUBSTITUTE(SUBSTITUTE(SUBSTITUTE(SUBSTITUTE(SUBSTITUTE(LEFT(MAIN!B974, FIND(",",MAIN!B974) -1), "0", ""), "1", ""), "2", ""), "3", ""), "4", ""), "5", ""), "6", ""), "7", ""), "8", ""), "9", "")), PROPER(SUBSTITUTE(SUBSTITUTE(SUBSTITUTE(SUBSTITUTE(SUBSTITUTE(SUBSTITUTE(SUBSTITUTE(SUBSTITUTE(SUBSTITUTE(SUBSTITUTE(MAIN!B974, "0", ""), "1", ""), "2", ""), "3", ""), "4", ""), "5", ""), "6", ""), "7", ""), "8", ""), "9", ""))))</f>
        <v>--</v>
      </c>
      <c r="C974" t="str">
        <f>IF(ISBLANK(MAIN!C974), "--", IFERROR(PROPER(SUBSTITUTE(SUBSTITUTE(SUBSTITUTE(SUBSTITUTE(SUBSTITUTE(SUBSTITUTE(SUBSTITUTE(SUBSTITUTE(SUBSTITUTE(SUBSTITUTE(LEFT(MAIN!C974, FIND(",",MAIN!C974) -1), "0", ""), "1", ""), "2", ""), "3", ""), "4", ""), "5", ""), "6", ""), "7", ""), "8", ""), "9", "")), PROPER(SUBSTITUTE(SUBSTITUTE(SUBSTITUTE(SUBSTITUTE(SUBSTITUTE(SUBSTITUTE(SUBSTITUTE(SUBSTITUTE(SUBSTITUTE(SUBSTITUTE(MAIN!C974, "0", ""), "1", ""), "2", ""), "3", ""), "4", ""), "5", ""), "6", ""), "7", ""), "8", ""), "9", ""))))</f>
        <v>--</v>
      </c>
      <c r="D974" t="str">
        <f>IF(ISBLANK(MAIN!D974), "--", IF(ISNUMBER(MATCH(SUBSTITUTE(LEFT(MAIN!D974, IFERROR(FIND(",", MAIN!D974)-1, LEN(MAIN!D974))), " ", ""), lookup_values!$B$2:$B$51, 0)), UPPER(SUBSTITUTE(LEFT(MAIN!D974, IFERROR(FIND(",", MAIN!D974)-1, LEN(MAIN!D974))), " ", "")), IF(ISNA(VLOOKUP(SUBSTITUTE(LEFT(MAIN!D974, IFERROR(FIND(",", MAIN!D974)-1, LEN(MAIN!D974))), " ", ""), lookup_values!$A$2:$B$51, 2, FALSE)), "--", VLOOKUP(SUBSTITUTE(LEFT(MAIN!D974, IFERROR(FIND(",", MAIN!D974)-1, LEN(MAIN!D974))), " ", ""), lookup_values!$A$2:$B$51, 2, FALSE))))</f>
        <v>--</v>
      </c>
      <c r="E974" t="str">
        <f>IF(CLEAN_DATA!D974&lt;&gt;"--","US",IF(ISBLANK(MAIN!E974), "--", IF(ISNUMBER(MATCH(SUBSTITUTE(LEFT(MAIN!E974, IFERROR(FIND(",", MAIN!E974)-1, LEN(MAIN!E974))), " ", ""), lookup_values!$E$2:$E$197, 0)), UPPER(SUBSTITUTE(LEFT(MAIN!E974, IFERROR(FIND(",", MAIN!E974)-1, LEN(MAIN!E974))), " ", "")), IF(ISNA(VLOOKUP(SUBSTITUTE(LEFT(MAIN!E974, IFERROR(FIND(",", MAIN!E974)-1, LEN(MAIN!E974))), " ", ""), lookup_values!$D$2:$E$197, 2, FALSE)), "--", VLOOKUP(SUBSTITUTE(LEFT(MAIN!E974, IFERROR(FIND(",", MAIN!E974)-1, LEN(MAIN!E974))), " ", ""), lookup_values!$D$2:$E$197, 2, FALSE)))))</f>
        <v>--</v>
      </c>
      <c r="F974" t="str">
        <f>IF(ISBLANK(MAIN!F974), "", IF(AND(ISNUMBER(VALUE(TRIM(MAIN!F974))), LEN(TRIM(MAIN!F974))=4), VALUE(TRIM(MAIN!F974)), ""))</f>
        <v/>
      </c>
      <c r="G974">
        <f>IF(ISBLANK(MAIN!G974), 0, IF(ISNUMBER(VALUE(TRIM(MAIN!G974))), VALUE(TRIM(MAIN!G974)), 0))</f>
        <v>0</v>
      </c>
      <c r="H974">
        <f>IF(ISBLANK(MAIN!H974), 0, IF(ISNUMBER(VALUE(TRIM(MAIN!H974))), VALUE(TRIM(MAIN!H974)), 0))</f>
        <v>0</v>
      </c>
      <c r="I974">
        <f>IF(ISBLANK(MAIN!I974), 0, IF(ISNUMBER(VALUE(TRIM(MAIN!I974))), VALUE(TRIM(MAIN!I974)), 0))</f>
        <v>0</v>
      </c>
      <c r="J974">
        <f>IF(ISBLANK(MAIN!J974), 0, IF(ISNUMBER(VALUE(TRIM(MAIN!J974))), VALUE(TRIM(MAIN!J974)), 0))</f>
        <v>0</v>
      </c>
      <c r="K974" cm="1">
        <f t="array" ref="K974">IFERROR(
    VALUE(
        IFERROR(
            UPPER(
                IF(MAX(IFERROR(SEARCH("WD",MAIN!G974:J974), 0))&gt;0, "WD",
                IF(MAX(IFERROR(SEARCH("NS",MAIN!G974:J974), 0))&gt;0, "NS",
                IF(MAX(IFERROR(SEARCH("NC",MAIN!G974:J974), 0))&gt;0, "NC",
                IF(MAX(IFERROR(SEARCH("DQ",MAIN!G974:J974), 0))&gt;0, "DQ",
                IF(ISNUMBER(SEARCH("WD",MAIN!K974)), "WD",
                IF(ISNUMBER(SEARCH("NS",MAIN!K974)), "NS",
                IF(ISNUMBER(SEARCH("NC",MAIN!K974)), "NC",
                IF(ISNUMBER(SEARCH("DQ",MAIN!K974)), "DQ",
                IF(ISNUMBER(SEARCH("A",MAIN!K974)), 0,
                IF(OR(MAIN!K974=0,MAIN!K974=""), 0, --TRIM(MAIN!K974)))))))))))),
            0
        )
    ),
    IFERROR(
        UPPER(
            IF(MAX(IFERROR(SEARCH("WD",MAIN!G974:J974), 0))&gt;0, "WD",
            IF(MAX(IFERROR(SEARCH("NS",MAIN!G974:J974), 0))&gt;0, "NS",
            IF(MAX(IFERROR(SEARCH("NC",MAIN!G974:J974), 0))&gt;0, "NC",
            IF(MAX(IFERROR(SEARCH("DQ",MAIN!G974:J974), 0))&gt;0, "DQ",
            IF(ISNUMBER(SEARCH("WD",MAIN!K974)), "WD",
            IF(ISNUMBER(SEARCH("NS",MAIN!K974)), "NS",
            IF(ISNUMBER(SEARCH("NC",MAIN!K974)), "NC",
            IF(ISNUMBER(SEARCH("DQ",MAIN!K974)), "DQ",
            IF(ISNUMBER(SEARCH("A",MAIN!K974)), 0,
            IF(OR(MAIN!K974=0,MAIN!K974=""), 0, --TRIM(MAIN!K974)))))))))))),
        0
    )
)</f>
        <v>0</v>
      </c>
    </row>
    <row r="975" spans="1:11" x14ac:dyDescent="0.25">
      <c r="A975" t="str">
        <f>IF(ISBLANK(MAIN!A975), "--", IFERROR(PROPER(SUBSTITUTE(SUBSTITUTE(SUBSTITUTE(SUBSTITUTE(SUBSTITUTE(SUBSTITUTE(SUBSTITUTE(SUBSTITUTE(SUBSTITUTE(SUBSTITUTE(LEFT(MAIN!A975, FIND(",",MAIN!A975) -1), "0", ""), "1", ""), "2", ""), "3", ""), "4", ""), "5", ""), "6", ""), "7", ""), "8", ""), "9", "")), PROPER(SUBSTITUTE(SUBSTITUTE(SUBSTITUTE(SUBSTITUTE(SUBSTITUTE(SUBSTITUTE(SUBSTITUTE(SUBSTITUTE(SUBSTITUTE(SUBSTITUTE(MAIN!A975, "0", ""), "1", ""), "2", ""), "3", ""), "4", ""), "5", ""), "6", ""), "7", ""), "8", ""), "9", ""))))</f>
        <v>--</v>
      </c>
      <c r="B975" t="str">
        <f>IF(ISBLANK(MAIN!B975), "--", IFERROR(PROPER(SUBSTITUTE(SUBSTITUTE(SUBSTITUTE(SUBSTITUTE(SUBSTITUTE(SUBSTITUTE(SUBSTITUTE(SUBSTITUTE(SUBSTITUTE(SUBSTITUTE(LEFT(MAIN!B975, FIND(",",MAIN!B975) -1), "0", ""), "1", ""), "2", ""), "3", ""), "4", ""), "5", ""), "6", ""), "7", ""), "8", ""), "9", "")), PROPER(SUBSTITUTE(SUBSTITUTE(SUBSTITUTE(SUBSTITUTE(SUBSTITUTE(SUBSTITUTE(SUBSTITUTE(SUBSTITUTE(SUBSTITUTE(SUBSTITUTE(MAIN!B975, "0", ""), "1", ""), "2", ""), "3", ""), "4", ""), "5", ""), "6", ""), "7", ""), "8", ""), "9", ""))))</f>
        <v>--</v>
      </c>
      <c r="C975" t="str">
        <f>IF(ISBLANK(MAIN!C975), "--", IFERROR(PROPER(SUBSTITUTE(SUBSTITUTE(SUBSTITUTE(SUBSTITUTE(SUBSTITUTE(SUBSTITUTE(SUBSTITUTE(SUBSTITUTE(SUBSTITUTE(SUBSTITUTE(LEFT(MAIN!C975, FIND(",",MAIN!C975) -1), "0", ""), "1", ""), "2", ""), "3", ""), "4", ""), "5", ""), "6", ""), "7", ""), "8", ""), "9", "")), PROPER(SUBSTITUTE(SUBSTITUTE(SUBSTITUTE(SUBSTITUTE(SUBSTITUTE(SUBSTITUTE(SUBSTITUTE(SUBSTITUTE(SUBSTITUTE(SUBSTITUTE(MAIN!C975, "0", ""), "1", ""), "2", ""), "3", ""), "4", ""), "5", ""), "6", ""), "7", ""), "8", ""), "9", ""))))</f>
        <v>--</v>
      </c>
      <c r="D975" t="str">
        <f>IF(ISBLANK(MAIN!D975), "--", IF(ISNUMBER(MATCH(SUBSTITUTE(LEFT(MAIN!D975, IFERROR(FIND(",", MAIN!D975)-1, LEN(MAIN!D975))), " ", ""), lookup_values!$B$2:$B$51, 0)), UPPER(SUBSTITUTE(LEFT(MAIN!D975, IFERROR(FIND(",", MAIN!D975)-1, LEN(MAIN!D975))), " ", "")), IF(ISNA(VLOOKUP(SUBSTITUTE(LEFT(MAIN!D975, IFERROR(FIND(",", MAIN!D975)-1, LEN(MAIN!D975))), " ", ""), lookup_values!$A$2:$B$51, 2, FALSE)), "--", VLOOKUP(SUBSTITUTE(LEFT(MAIN!D975, IFERROR(FIND(",", MAIN!D975)-1, LEN(MAIN!D975))), " ", ""), lookup_values!$A$2:$B$51, 2, FALSE))))</f>
        <v>--</v>
      </c>
      <c r="E975" t="str">
        <f>IF(CLEAN_DATA!D975&lt;&gt;"--","US",IF(ISBLANK(MAIN!E975), "--", IF(ISNUMBER(MATCH(SUBSTITUTE(LEFT(MAIN!E975, IFERROR(FIND(",", MAIN!E975)-1, LEN(MAIN!E975))), " ", ""), lookup_values!$E$2:$E$197, 0)), UPPER(SUBSTITUTE(LEFT(MAIN!E975, IFERROR(FIND(",", MAIN!E975)-1, LEN(MAIN!E975))), " ", "")), IF(ISNA(VLOOKUP(SUBSTITUTE(LEFT(MAIN!E975, IFERROR(FIND(",", MAIN!E975)-1, LEN(MAIN!E975))), " ", ""), lookup_values!$D$2:$E$197, 2, FALSE)), "--", VLOOKUP(SUBSTITUTE(LEFT(MAIN!E975, IFERROR(FIND(",", MAIN!E975)-1, LEN(MAIN!E975))), " ", ""), lookup_values!$D$2:$E$197, 2, FALSE)))))</f>
        <v>--</v>
      </c>
      <c r="F975" t="str">
        <f>IF(ISBLANK(MAIN!F975), "", IF(AND(ISNUMBER(VALUE(TRIM(MAIN!F975))), LEN(TRIM(MAIN!F975))=4), VALUE(TRIM(MAIN!F975)), ""))</f>
        <v/>
      </c>
      <c r="G975">
        <f>IF(ISBLANK(MAIN!G975), 0, IF(ISNUMBER(VALUE(TRIM(MAIN!G975))), VALUE(TRIM(MAIN!G975)), 0))</f>
        <v>0</v>
      </c>
      <c r="H975">
        <f>IF(ISBLANK(MAIN!H975), 0, IF(ISNUMBER(VALUE(TRIM(MAIN!H975))), VALUE(TRIM(MAIN!H975)), 0))</f>
        <v>0</v>
      </c>
      <c r="I975">
        <f>IF(ISBLANK(MAIN!I975), 0, IF(ISNUMBER(VALUE(TRIM(MAIN!I975))), VALUE(TRIM(MAIN!I975)), 0))</f>
        <v>0</v>
      </c>
      <c r="J975">
        <f>IF(ISBLANK(MAIN!J975), 0, IF(ISNUMBER(VALUE(TRIM(MAIN!J975))), VALUE(TRIM(MAIN!J975)), 0))</f>
        <v>0</v>
      </c>
      <c r="K975" cm="1">
        <f t="array" ref="K975">IFERROR(
    VALUE(
        IFERROR(
            UPPER(
                IF(MAX(IFERROR(SEARCH("WD",MAIN!G975:J975), 0))&gt;0, "WD",
                IF(MAX(IFERROR(SEARCH("NS",MAIN!G975:J975), 0))&gt;0, "NS",
                IF(MAX(IFERROR(SEARCH("NC",MAIN!G975:J975), 0))&gt;0, "NC",
                IF(MAX(IFERROR(SEARCH("DQ",MAIN!G975:J975), 0))&gt;0, "DQ",
                IF(ISNUMBER(SEARCH("WD",MAIN!K975)), "WD",
                IF(ISNUMBER(SEARCH("NS",MAIN!K975)), "NS",
                IF(ISNUMBER(SEARCH("NC",MAIN!K975)), "NC",
                IF(ISNUMBER(SEARCH("DQ",MAIN!K975)), "DQ",
                IF(ISNUMBER(SEARCH("A",MAIN!K975)), 0,
                IF(OR(MAIN!K975=0,MAIN!K975=""), 0, --TRIM(MAIN!K975)))))))))))),
            0
        )
    ),
    IFERROR(
        UPPER(
            IF(MAX(IFERROR(SEARCH("WD",MAIN!G975:J975), 0))&gt;0, "WD",
            IF(MAX(IFERROR(SEARCH("NS",MAIN!G975:J975), 0))&gt;0, "NS",
            IF(MAX(IFERROR(SEARCH("NC",MAIN!G975:J975), 0))&gt;0, "NC",
            IF(MAX(IFERROR(SEARCH("DQ",MAIN!G975:J975), 0))&gt;0, "DQ",
            IF(ISNUMBER(SEARCH("WD",MAIN!K975)), "WD",
            IF(ISNUMBER(SEARCH("NS",MAIN!K975)), "NS",
            IF(ISNUMBER(SEARCH("NC",MAIN!K975)), "NC",
            IF(ISNUMBER(SEARCH("DQ",MAIN!K975)), "DQ",
            IF(ISNUMBER(SEARCH("A",MAIN!K975)), 0,
            IF(OR(MAIN!K975=0,MAIN!K975=""), 0, --TRIM(MAIN!K975)))))))))))),
        0
    )
)</f>
        <v>0</v>
      </c>
    </row>
    <row r="976" spans="1:11" x14ac:dyDescent="0.25">
      <c r="A976" t="str">
        <f>IF(ISBLANK(MAIN!A976), "--", IFERROR(PROPER(SUBSTITUTE(SUBSTITUTE(SUBSTITUTE(SUBSTITUTE(SUBSTITUTE(SUBSTITUTE(SUBSTITUTE(SUBSTITUTE(SUBSTITUTE(SUBSTITUTE(LEFT(MAIN!A976, FIND(",",MAIN!A976) -1), "0", ""), "1", ""), "2", ""), "3", ""), "4", ""), "5", ""), "6", ""), "7", ""), "8", ""), "9", "")), PROPER(SUBSTITUTE(SUBSTITUTE(SUBSTITUTE(SUBSTITUTE(SUBSTITUTE(SUBSTITUTE(SUBSTITUTE(SUBSTITUTE(SUBSTITUTE(SUBSTITUTE(MAIN!A976, "0", ""), "1", ""), "2", ""), "3", ""), "4", ""), "5", ""), "6", ""), "7", ""), "8", ""), "9", ""))))</f>
        <v>--</v>
      </c>
      <c r="B976" t="str">
        <f>IF(ISBLANK(MAIN!B976), "--", IFERROR(PROPER(SUBSTITUTE(SUBSTITUTE(SUBSTITUTE(SUBSTITUTE(SUBSTITUTE(SUBSTITUTE(SUBSTITUTE(SUBSTITUTE(SUBSTITUTE(SUBSTITUTE(LEFT(MAIN!B976, FIND(",",MAIN!B976) -1), "0", ""), "1", ""), "2", ""), "3", ""), "4", ""), "5", ""), "6", ""), "7", ""), "8", ""), "9", "")), PROPER(SUBSTITUTE(SUBSTITUTE(SUBSTITUTE(SUBSTITUTE(SUBSTITUTE(SUBSTITUTE(SUBSTITUTE(SUBSTITUTE(SUBSTITUTE(SUBSTITUTE(MAIN!B976, "0", ""), "1", ""), "2", ""), "3", ""), "4", ""), "5", ""), "6", ""), "7", ""), "8", ""), "9", ""))))</f>
        <v>--</v>
      </c>
      <c r="C976" t="str">
        <f>IF(ISBLANK(MAIN!C976), "--", IFERROR(PROPER(SUBSTITUTE(SUBSTITUTE(SUBSTITUTE(SUBSTITUTE(SUBSTITUTE(SUBSTITUTE(SUBSTITUTE(SUBSTITUTE(SUBSTITUTE(SUBSTITUTE(LEFT(MAIN!C976, FIND(",",MAIN!C976) -1), "0", ""), "1", ""), "2", ""), "3", ""), "4", ""), "5", ""), "6", ""), "7", ""), "8", ""), "9", "")), PROPER(SUBSTITUTE(SUBSTITUTE(SUBSTITUTE(SUBSTITUTE(SUBSTITUTE(SUBSTITUTE(SUBSTITUTE(SUBSTITUTE(SUBSTITUTE(SUBSTITUTE(MAIN!C976, "0", ""), "1", ""), "2", ""), "3", ""), "4", ""), "5", ""), "6", ""), "7", ""), "8", ""), "9", ""))))</f>
        <v>--</v>
      </c>
      <c r="D976" t="str">
        <f>IF(ISBLANK(MAIN!D976), "--", IF(ISNUMBER(MATCH(SUBSTITUTE(LEFT(MAIN!D976, IFERROR(FIND(",", MAIN!D976)-1, LEN(MAIN!D976))), " ", ""), lookup_values!$B$2:$B$51, 0)), UPPER(SUBSTITUTE(LEFT(MAIN!D976, IFERROR(FIND(",", MAIN!D976)-1, LEN(MAIN!D976))), " ", "")), IF(ISNA(VLOOKUP(SUBSTITUTE(LEFT(MAIN!D976, IFERROR(FIND(",", MAIN!D976)-1, LEN(MAIN!D976))), " ", ""), lookup_values!$A$2:$B$51, 2, FALSE)), "--", VLOOKUP(SUBSTITUTE(LEFT(MAIN!D976, IFERROR(FIND(",", MAIN!D976)-1, LEN(MAIN!D976))), " ", ""), lookup_values!$A$2:$B$51, 2, FALSE))))</f>
        <v>--</v>
      </c>
      <c r="E976" t="str">
        <f>IF(CLEAN_DATA!D976&lt;&gt;"--","US",IF(ISBLANK(MAIN!E976), "--", IF(ISNUMBER(MATCH(SUBSTITUTE(LEFT(MAIN!E976, IFERROR(FIND(",", MAIN!E976)-1, LEN(MAIN!E976))), " ", ""), lookup_values!$E$2:$E$197, 0)), UPPER(SUBSTITUTE(LEFT(MAIN!E976, IFERROR(FIND(",", MAIN!E976)-1, LEN(MAIN!E976))), " ", "")), IF(ISNA(VLOOKUP(SUBSTITUTE(LEFT(MAIN!E976, IFERROR(FIND(",", MAIN!E976)-1, LEN(MAIN!E976))), " ", ""), lookup_values!$D$2:$E$197, 2, FALSE)), "--", VLOOKUP(SUBSTITUTE(LEFT(MAIN!E976, IFERROR(FIND(",", MAIN!E976)-1, LEN(MAIN!E976))), " ", ""), lookup_values!$D$2:$E$197, 2, FALSE)))))</f>
        <v>--</v>
      </c>
      <c r="F976" t="str">
        <f>IF(ISBLANK(MAIN!F976), "", IF(AND(ISNUMBER(VALUE(TRIM(MAIN!F976))), LEN(TRIM(MAIN!F976))=4), VALUE(TRIM(MAIN!F976)), ""))</f>
        <v/>
      </c>
      <c r="G976">
        <f>IF(ISBLANK(MAIN!G976), 0, IF(ISNUMBER(VALUE(TRIM(MAIN!G976))), VALUE(TRIM(MAIN!G976)), 0))</f>
        <v>0</v>
      </c>
      <c r="H976">
        <f>IF(ISBLANK(MAIN!H976), 0, IF(ISNUMBER(VALUE(TRIM(MAIN!H976))), VALUE(TRIM(MAIN!H976)), 0))</f>
        <v>0</v>
      </c>
      <c r="I976">
        <f>IF(ISBLANK(MAIN!I976), 0, IF(ISNUMBER(VALUE(TRIM(MAIN!I976))), VALUE(TRIM(MAIN!I976)), 0))</f>
        <v>0</v>
      </c>
      <c r="J976">
        <f>IF(ISBLANK(MAIN!J976), 0, IF(ISNUMBER(VALUE(TRIM(MAIN!J976))), VALUE(TRIM(MAIN!J976)), 0))</f>
        <v>0</v>
      </c>
      <c r="K976" cm="1">
        <f t="array" ref="K976">IFERROR(
    VALUE(
        IFERROR(
            UPPER(
                IF(MAX(IFERROR(SEARCH("WD",MAIN!G976:J976), 0))&gt;0, "WD",
                IF(MAX(IFERROR(SEARCH("NS",MAIN!G976:J976), 0))&gt;0, "NS",
                IF(MAX(IFERROR(SEARCH("NC",MAIN!G976:J976), 0))&gt;0, "NC",
                IF(MAX(IFERROR(SEARCH("DQ",MAIN!G976:J976), 0))&gt;0, "DQ",
                IF(ISNUMBER(SEARCH("WD",MAIN!K976)), "WD",
                IF(ISNUMBER(SEARCH("NS",MAIN!K976)), "NS",
                IF(ISNUMBER(SEARCH("NC",MAIN!K976)), "NC",
                IF(ISNUMBER(SEARCH("DQ",MAIN!K976)), "DQ",
                IF(ISNUMBER(SEARCH("A",MAIN!K976)), 0,
                IF(OR(MAIN!K976=0,MAIN!K976=""), 0, --TRIM(MAIN!K976)))))))))))),
            0
        )
    ),
    IFERROR(
        UPPER(
            IF(MAX(IFERROR(SEARCH("WD",MAIN!G976:J976), 0))&gt;0, "WD",
            IF(MAX(IFERROR(SEARCH("NS",MAIN!G976:J976), 0))&gt;0, "NS",
            IF(MAX(IFERROR(SEARCH("NC",MAIN!G976:J976), 0))&gt;0, "NC",
            IF(MAX(IFERROR(SEARCH("DQ",MAIN!G976:J976), 0))&gt;0, "DQ",
            IF(ISNUMBER(SEARCH("WD",MAIN!K976)), "WD",
            IF(ISNUMBER(SEARCH("NS",MAIN!K976)), "NS",
            IF(ISNUMBER(SEARCH("NC",MAIN!K976)), "NC",
            IF(ISNUMBER(SEARCH("DQ",MAIN!K976)), "DQ",
            IF(ISNUMBER(SEARCH("A",MAIN!K976)), 0,
            IF(OR(MAIN!K976=0,MAIN!K976=""), 0, --TRIM(MAIN!K976)))))))))))),
        0
    )
)</f>
        <v>0</v>
      </c>
    </row>
    <row r="977" spans="1:11" x14ac:dyDescent="0.25">
      <c r="A977" t="str">
        <f>IF(ISBLANK(MAIN!A977), "--", IFERROR(PROPER(SUBSTITUTE(SUBSTITUTE(SUBSTITUTE(SUBSTITUTE(SUBSTITUTE(SUBSTITUTE(SUBSTITUTE(SUBSTITUTE(SUBSTITUTE(SUBSTITUTE(LEFT(MAIN!A977, FIND(",",MAIN!A977) -1), "0", ""), "1", ""), "2", ""), "3", ""), "4", ""), "5", ""), "6", ""), "7", ""), "8", ""), "9", "")), PROPER(SUBSTITUTE(SUBSTITUTE(SUBSTITUTE(SUBSTITUTE(SUBSTITUTE(SUBSTITUTE(SUBSTITUTE(SUBSTITUTE(SUBSTITUTE(SUBSTITUTE(MAIN!A977, "0", ""), "1", ""), "2", ""), "3", ""), "4", ""), "5", ""), "6", ""), "7", ""), "8", ""), "9", ""))))</f>
        <v>--</v>
      </c>
      <c r="B977" t="str">
        <f>IF(ISBLANK(MAIN!B977), "--", IFERROR(PROPER(SUBSTITUTE(SUBSTITUTE(SUBSTITUTE(SUBSTITUTE(SUBSTITUTE(SUBSTITUTE(SUBSTITUTE(SUBSTITUTE(SUBSTITUTE(SUBSTITUTE(LEFT(MAIN!B977, FIND(",",MAIN!B977) -1), "0", ""), "1", ""), "2", ""), "3", ""), "4", ""), "5", ""), "6", ""), "7", ""), "8", ""), "9", "")), PROPER(SUBSTITUTE(SUBSTITUTE(SUBSTITUTE(SUBSTITUTE(SUBSTITUTE(SUBSTITUTE(SUBSTITUTE(SUBSTITUTE(SUBSTITUTE(SUBSTITUTE(MAIN!B977, "0", ""), "1", ""), "2", ""), "3", ""), "4", ""), "5", ""), "6", ""), "7", ""), "8", ""), "9", ""))))</f>
        <v>--</v>
      </c>
      <c r="C977" t="str">
        <f>IF(ISBLANK(MAIN!C977), "--", IFERROR(PROPER(SUBSTITUTE(SUBSTITUTE(SUBSTITUTE(SUBSTITUTE(SUBSTITUTE(SUBSTITUTE(SUBSTITUTE(SUBSTITUTE(SUBSTITUTE(SUBSTITUTE(LEFT(MAIN!C977, FIND(",",MAIN!C977) -1), "0", ""), "1", ""), "2", ""), "3", ""), "4", ""), "5", ""), "6", ""), "7", ""), "8", ""), "9", "")), PROPER(SUBSTITUTE(SUBSTITUTE(SUBSTITUTE(SUBSTITUTE(SUBSTITUTE(SUBSTITUTE(SUBSTITUTE(SUBSTITUTE(SUBSTITUTE(SUBSTITUTE(MAIN!C977, "0", ""), "1", ""), "2", ""), "3", ""), "4", ""), "5", ""), "6", ""), "7", ""), "8", ""), "9", ""))))</f>
        <v>--</v>
      </c>
      <c r="D977" t="str">
        <f>IF(ISBLANK(MAIN!D977), "--", IF(ISNUMBER(MATCH(SUBSTITUTE(LEFT(MAIN!D977, IFERROR(FIND(",", MAIN!D977)-1, LEN(MAIN!D977))), " ", ""), lookup_values!$B$2:$B$51, 0)), UPPER(SUBSTITUTE(LEFT(MAIN!D977, IFERROR(FIND(",", MAIN!D977)-1, LEN(MAIN!D977))), " ", "")), IF(ISNA(VLOOKUP(SUBSTITUTE(LEFT(MAIN!D977, IFERROR(FIND(",", MAIN!D977)-1, LEN(MAIN!D977))), " ", ""), lookup_values!$A$2:$B$51, 2, FALSE)), "--", VLOOKUP(SUBSTITUTE(LEFT(MAIN!D977, IFERROR(FIND(",", MAIN!D977)-1, LEN(MAIN!D977))), " ", ""), lookup_values!$A$2:$B$51, 2, FALSE))))</f>
        <v>--</v>
      </c>
      <c r="E977" t="str">
        <f>IF(CLEAN_DATA!D977&lt;&gt;"--","US",IF(ISBLANK(MAIN!E977), "--", IF(ISNUMBER(MATCH(SUBSTITUTE(LEFT(MAIN!E977, IFERROR(FIND(",", MAIN!E977)-1, LEN(MAIN!E977))), " ", ""), lookup_values!$E$2:$E$197, 0)), UPPER(SUBSTITUTE(LEFT(MAIN!E977, IFERROR(FIND(",", MAIN!E977)-1, LEN(MAIN!E977))), " ", "")), IF(ISNA(VLOOKUP(SUBSTITUTE(LEFT(MAIN!E977, IFERROR(FIND(",", MAIN!E977)-1, LEN(MAIN!E977))), " ", ""), lookup_values!$D$2:$E$197, 2, FALSE)), "--", VLOOKUP(SUBSTITUTE(LEFT(MAIN!E977, IFERROR(FIND(",", MAIN!E977)-1, LEN(MAIN!E977))), " ", ""), lookup_values!$D$2:$E$197, 2, FALSE)))))</f>
        <v>--</v>
      </c>
      <c r="F977" t="str">
        <f>IF(ISBLANK(MAIN!F977), "", IF(AND(ISNUMBER(VALUE(TRIM(MAIN!F977))), LEN(TRIM(MAIN!F977))=4), VALUE(TRIM(MAIN!F977)), ""))</f>
        <v/>
      </c>
      <c r="G977">
        <f>IF(ISBLANK(MAIN!G977), 0, IF(ISNUMBER(VALUE(TRIM(MAIN!G977))), VALUE(TRIM(MAIN!G977)), 0))</f>
        <v>0</v>
      </c>
      <c r="H977">
        <f>IF(ISBLANK(MAIN!H977), 0, IF(ISNUMBER(VALUE(TRIM(MAIN!H977))), VALUE(TRIM(MAIN!H977)), 0))</f>
        <v>0</v>
      </c>
      <c r="I977">
        <f>IF(ISBLANK(MAIN!I977), 0, IF(ISNUMBER(VALUE(TRIM(MAIN!I977))), VALUE(TRIM(MAIN!I977)), 0))</f>
        <v>0</v>
      </c>
      <c r="J977">
        <f>IF(ISBLANK(MAIN!J977), 0, IF(ISNUMBER(VALUE(TRIM(MAIN!J977))), VALUE(TRIM(MAIN!J977)), 0))</f>
        <v>0</v>
      </c>
      <c r="K977" cm="1">
        <f t="array" ref="K977">IFERROR(
    VALUE(
        IFERROR(
            UPPER(
                IF(MAX(IFERROR(SEARCH("WD",MAIN!G977:J977), 0))&gt;0, "WD",
                IF(MAX(IFERROR(SEARCH("NS",MAIN!G977:J977), 0))&gt;0, "NS",
                IF(MAX(IFERROR(SEARCH("NC",MAIN!G977:J977), 0))&gt;0, "NC",
                IF(MAX(IFERROR(SEARCH("DQ",MAIN!G977:J977), 0))&gt;0, "DQ",
                IF(ISNUMBER(SEARCH("WD",MAIN!K977)), "WD",
                IF(ISNUMBER(SEARCH("NS",MAIN!K977)), "NS",
                IF(ISNUMBER(SEARCH("NC",MAIN!K977)), "NC",
                IF(ISNUMBER(SEARCH("DQ",MAIN!K977)), "DQ",
                IF(ISNUMBER(SEARCH("A",MAIN!K977)), 0,
                IF(OR(MAIN!K977=0,MAIN!K977=""), 0, --TRIM(MAIN!K977)))))))))))),
            0
        )
    ),
    IFERROR(
        UPPER(
            IF(MAX(IFERROR(SEARCH("WD",MAIN!G977:J977), 0))&gt;0, "WD",
            IF(MAX(IFERROR(SEARCH("NS",MAIN!G977:J977), 0))&gt;0, "NS",
            IF(MAX(IFERROR(SEARCH("NC",MAIN!G977:J977), 0))&gt;0, "NC",
            IF(MAX(IFERROR(SEARCH("DQ",MAIN!G977:J977), 0))&gt;0, "DQ",
            IF(ISNUMBER(SEARCH("WD",MAIN!K977)), "WD",
            IF(ISNUMBER(SEARCH("NS",MAIN!K977)), "NS",
            IF(ISNUMBER(SEARCH("NC",MAIN!K977)), "NC",
            IF(ISNUMBER(SEARCH("DQ",MAIN!K977)), "DQ",
            IF(ISNUMBER(SEARCH("A",MAIN!K977)), 0,
            IF(OR(MAIN!K977=0,MAIN!K977=""), 0, --TRIM(MAIN!K977)))))))))))),
        0
    )
)</f>
        <v>0</v>
      </c>
    </row>
    <row r="978" spans="1:11" x14ac:dyDescent="0.25">
      <c r="A978" t="str">
        <f>IF(ISBLANK(MAIN!A978), "--", IFERROR(PROPER(SUBSTITUTE(SUBSTITUTE(SUBSTITUTE(SUBSTITUTE(SUBSTITUTE(SUBSTITUTE(SUBSTITUTE(SUBSTITUTE(SUBSTITUTE(SUBSTITUTE(LEFT(MAIN!A978, FIND(",",MAIN!A978) -1), "0", ""), "1", ""), "2", ""), "3", ""), "4", ""), "5", ""), "6", ""), "7", ""), "8", ""), "9", "")), PROPER(SUBSTITUTE(SUBSTITUTE(SUBSTITUTE(SUBSTITUTE(SUBSTITUTE(SUBSTITUTE(SUBSTITUTE(SUBSTITUTE(SUBSTITUTE(SUBSTITUTE(MAIN!A978, "0", ""), "1", ""), "2", ""), "3", ""), "4", ""), "5", ""), "6", ""), "7", ""), "8", ""), "9", ""))))</f>
        <v>--</v>
      </c>
      <c r="B978" t="str">
        <f>IF(ISBLANK(MAIN!B978), "--", IFERROR(PROPER(SUBSTITUTE(SUBSTITUTE(SUBSTITUTE(SUBSTITUTE(SUBSTITUTE(SUBSTITUTE(SUBSTITUTE(SUBSTITUTE(SUBSTITUTE(SUBSTITUTE(LEFT(MAIN!B978, FIND(",",MAIN!B978) -1), "0", ""), "1", ""), "2", ""), "3", ""), "4", ""), "5", ""), "6", ""), "7", ""), "8", ""), "9", "")), PROPER(SUBSTITUTE(SUBSTITUTE(SUBSTITUTE(SUBSTITUTE(SUBSTITUTE(SUBSTITUTE(SUBSTITUTE(SUBSTITUTE(SUBSTITUTE(SUBSTITUTE(MAIN!B978, "0", ""), "1", ""), "2", ""), "3", ""), "4", ""), "5", ""), "6", ""), "7", ""), "8", ""), "9", ""))))</f>
        <v>--</v>
      </c>
      <c r="C978" t="str">
        <f>IF(ISBLANK(MAIN!C978), "--", IFERROR(PROPER(SUBSTITUTE(SUBSTITUTE(SUBSTITUTE(SUBSTITUTE(SUBSTITUTE(SUBSTITUTE(SUBSTITUTE(SUBSTITUTE(SUBSTITUTE(SUBSTITUTE(LEFT(MAIN!C978, FIND(",",MAIN!C978) -1), "0", ""), "1", ""), "2", ""), "3", ""), "4", ""), "5", ""), "6", ""), "7", ""), "8", ""), "9", "")), PROPER(SUBSTITUTE(SUBSTITUTE(SUBSTITUTE(SUBSTITUTE(SUBSTITUTE(SUBSTITUTE(SUBSTITUTE(SUBSTITUTE(SUBSTITUTE(SUBSTITUTE(MAIN!C978, "0", ""), "1", ""), "2", ""), "3", ""), "4", ""), "5", ""), "6", ""), "7", ""), "8", ""), "9", ""))))</f>
        <v>--</v>
      </c>
      <c r="D978" t="str">
        <f>IF(ISBLANK(MAIN!D978), "--", IF(ISNUMBER(MATCH(SUBSTITUTE(LEFT(MAIN!D978, IFERROR(FIND(",", MAIN!D978)-1, LEN(MAIN!D978))), " ", ""), lookup_values!$B$2:$B$51, 0)), UPPER(SUBSTITUTE(LEFT(MAIN!D978, IFERROR(FIND(",", MAIN!D978)-1, LEN(MAIN!D978))), " ", "")), IF(ISNA(VLOOKUP(SUBSTITUTE(LEFT(MAIN!D978, IFERROR(FIND(",", MAIN!D978)-1, LEN(MAIN!D978))), " ", ""), lookup_values!$A$2:$B$51, 2, FALSE)), "--", VLOOKUP(SUBSTITUTE(LEFT(MAIN!D978, IFERROR(FIND(",", MAIN!D978)-1, LEN(MAIN!D978))), " ", ""), lookup_values!$A$2:$B$51, 2, FALSE))))</f>
        <v>--</v>
      </c>
      <c r="E978" t="str">
        <f>IF(CLEAN_DATA!D978&lt;&gt;"--","US",IF(ISBLANK(MAIN!E978), "--", IF(ISNUMBER(MATCH(SUBSTITUTE(LEFT(MAIN!E978, IFERROR(FIND(",", MAIN!E978)-1, LEN(MAIN!E978))), " ", ""), lookup_values!$E$2:$E$197, 0)), UPPER(SUBSTITUTE(LEFT(MAIN!E978, IFERROR(FIND(",", MAIN!E978)-1, LEN(MAIN!E978))), " ", "")), IF(ISNA(VLOOKUP(SUBSTITUTE(LEFT(MAIN!E978, IFERROR(FIND(",", MAIN!E978)-1, LEN(MAIN!E978))), " ", ""), lookup_values!$D$2:$E$197, 2, FALSE)), "--", VLOOKUP(SUBSTITUTE(LEFT(MAIN!E978, IFERROR(FIND(",", MAIN!E978)-1, LEN(MAIN!E978))), " ", ""), lookup_values!$D$2:$E$197, 2, FALSE)))))</f>
        <v>--</v>
      </c>
      <c r="F978" t="str">
        <f>IF(ISBLANK(MAIN!F978), "", IF(AND(ISNUMBER(VALUE(TRIM(MAIN!F978))), LEN(TRIM(MAIN!F978))=4), VALUE(TRIM(MAIN!F978)), ""))</f>
        <v/>
      </c>
      <c r="G978">
        <f>IF(ISBLANK(MAIN!G978), 0, IF(ISNUMBER(VALUE(TRIM(MAIN!G978))), VALUE(TRIM(MAIN!G978)), 0))</f>
        <v>0</v>
      </c>
      <c r="H978">
        <f>IF(ISBLANK(MAIN!H978), 0, IF(ISNUMBER(VALUE(TRIM(MAIN!H978))), VALUE(TRIM(MAIN!H978)), 0))</f>
        <v>0</v>
      </c>
      <c r="I978">
        <f>IF(ISBLANK(MAIN!I978), 0, IF(ISNUMBER(VALUE(TRIM(MAIN!I978))), VALUE(TRIM(MAIN!I978)), 0))</f>
        <v>0</v>
      </c>
      <c r="J978">
        <f>IF(ISBLANK(MAIN!J978), 0, IF(ISNUMBER(VALUE(TRIM(MAIN!J978))), VALUE(TRIM(MAIN!J978)), 0))</f>
        <v>0</v>
      </c>
      <c r="K978" cm="1">
        <f t="array" ref="K978">IFERROR(
    VALUE(
        IFERROR(
            UPPER(
                IF(MAX(IFERROR(SEARCH("WD",MAIN!G978:J978), 0))&gt;0, "WD",
                IF(MAX(IFERROR(SEARCH("NS",MAIN!G978:J978), 0))&gt;0, "NS",
                IF(MAX(IFERROR(SEARCH("NC",MAIN!G978:J978), 0))&gt;0, "NC",
                IF(MAX(IFERROR(SEARCH("DQ",MAIN!G978:J978), 0))&gt;0, "DQ",
                IF(ISNUMBER(SEARCH("WD",MAIN!K978)), "WD",
                IF(ISNUMBER(SEARCH("NS",MAIN!K978)), "NS",
                IF(ISNUMBER(SEARCH("NC",MAIN!K978)), "NC",
                IF(ISNUMBER(SEARCH("DQ",MAIN!K978)), "DQ",
                IF(ISNUMBER(SEARCH("A",MAIN!K978)), 0,
                IF(OR(MAIN!K978=0,MAIN!K978=""), 0, --TRIM(MAIN!K978)))))))))))),
            0
        )
    ),
    IFERROR(
        UPPER(
            IF(MAX(IFERROR(SEARCH("WD",MAIN!G978:J978), 0))&gt;0, "WD",
            IF(MAX(IFERROR(SEARCH("NS",MAIN!G978:J978), 0))&gt;0, "NS",
            IF(MAX(IFERROR(SEARCH("NC",MAIN!G978:J978), 0))&gt;0, "NC",
            IF(MAX(IFERROR(SEARCH("DQ",MAIN!G978:J978), 0))&gt;0, "DQ",
            IF(ISNUMBER(SEARCH("WD",MAIN!K978)), "WD",
            IF(ISNUMBER(SEARCH("NS",MAIN!K978)), "NS",
            IF(ISNUMBER(SEARCH("NC",MAIN!K978)), "NC",
            IF(ISNUMBER(SEARCH("DQ",MAIN!K978)), "DQ",
            IF(ISNUMBER(SEARCH("A",MAIN!K978)), 0,
            IF(OR(MAIN!K978=0,MAIN!K978=""), 0, --TRIM(MAIN!K978)))))))))))),
        0
    )
)</f>
        <v>0</v>
      </c>
    </row>
    <row r="979" spans="1:11" x14ac:dyDescent="0.25">
      <c r="A979" t="str">
        <f>IF(ISBLANK(MAIN!A979), "--", IFERROR(PROPER(SUBSTITUTE(SUBSTITUTE(SUBSTITUTE(SUBSTITUTE(SUBSTITUTE(SUBSTITUTE(SUBSTITUTE(SUBSTITUTE(SUBSTITUTE(SUBSTITUTE(LEFT(MAIN!A979, FIND(",",MAIN!A979) -1), "0", ""), "1", ""), "2", ""), "3", ""), "4", ""), "5", ""), "6", ""), "7", ""), "8", ""), "9", "")), PROPER(SUBSTITUTE(SUBSTITUTE(SUBSTITUTE(SUBSTITUTE(SUBSTITUTE(SUBSTITUTE(SUBSTITUTE(SUBSTITUTE(SUBSTITUTE(SUBSTITUTE(MAIN!A979, "0", ""), "1", ""), "2", ""), "3", ""), "4", ""), "5", ""), "6", ""), "7", ""), "8", ""), "9", ""))))</f>
        <v>--</v>
      </c>
      <c r="B979" t="str">
        <f>IF(ISBLANK(MAIN!B979), "--", IFERROR(PROPER(SUBSTITUTE(SUBSTITUTE(SUBSTITUTE(SUBSTITUTE(SUBSTITUTE(SUBSTITUTE(SUBSTITUTE(SUBSTITUTE(SUBSTITUTE(SUBSTITUTE(LEFT(MAIN!B979, FIND(",",MAIN!B979) -1), "0", ""), "1", ""), "2", ""), "3", ""), "4", ""), "5", ""), "6", ""), "7", ""), "8", ""), "9", "")), PROPER(SUBSTITUTE(SUBSTITUTE(SUBSTITUTE(SUBSTITUTE(SUBSTITUTE(SUBSTITUTE(SUBSTITUTE(SUBSTITUTE(SUBSTITUTE(SUBSTITUTE(MAIN!B979, "0", ""), "1", ""), "2", ""), "3", ""), "4", ""), "5", ""), "6", ""), "7", ""), "8", ""), "9", ""))))</f>
        <v>--</v>
      </c>
      <c r="C979" t="str">
        <f>IF(ISBLANK(MAIN!C979), "--", IFERROR(PROPER(SUBSTITUTE(SUBSTITUTE(SUBSTITUTE(SUBSTITUTE(SUBSTITUTE(SUBSTITUTE(SUBSTITUTE(SUBSTITUTE(SUBSTITUTE(SUBSTITUTE(LEFT(MAIN!C979, FIND(",",MAIN!C979) -1), "0", ""), "1", ""), "2", ""), "3", ""), "4", ""), "5", ""), "6", ""), "7", ""), "8", ""), "9", "")), PROPER(SUBSTITUTE(SUBSTITUTE(SUBSTITUTE(SUBSTITUTE(SUBSTITUTE(SUBSTITUTE(SUBSTITUTE(SUBSTITUTE(SUBSTITUTE(SUBSTITUTE(MAIN!C979, "0", ""), "1", ""), "2", ""), "3", ""), "4", ""), "5", ""), "6", ""), "7", ""), "8", ""), "9", ""))))</f>
        <v>--</v>
      </c>
      <c r="D979" t="str">
        <f>IF(ISBLANK(MAIN!D979), "--", IF(ISNUMBER(MATCH(SUBSTITUTE(LEFT(MAIN!D979, IFERROR(FIND(",", MAIN!D979)-1, LEN(MAIN!D979))), " ", ""), lookup_values!$B$2:$B$51, 0)), UPPER(SUBSTITUTE(LEFT(MAIN!D979, IFERROR(FIND(",", MAIN!D979)-1, LEN(MAIN!D979))), " ", "")), IF(ISNA(VLOOKUP(SUBSTITUTE(LEFT(MAIN!D979, IFERROR(FIND(",", MAIN!D979)-1, LEN(MAIN!D979))), " ", ""), lookup_values!$A$2:$B$51, 2, FALSE)), "--", VLOOKUP(SUBSTITUTE(LEFT(MAIN!D979, IFERROR(FIND(",", MAIN!D979)-1, LEN(MAIN!D979))), " ", ""), lookup_values!$A$2:$B$51, 2, FALSE))))</f>
        <v>--</v>
      </c>
      <c r="E979" t="str">
        <f>IF(CLEAN_DATA!D979&lt;&gt;"--","US",IF(ISBLANK(MAIN!E979), "--", IF(ISNUMBER(MATCH(SUBSTITUTE(LEFT(MAIN!E979, IFERROR(FIND(",", MAIN!E979)-1, LEN(MAIN!E979))), " ", ""), lookup_values!$E$2:$E$197, 0)), UPPER(SUBSTITUTE(LEFT(MAIN!E979, IFERROR(FIND(",", MAIN!E979)-1, LEN(MAIN!E979))), " ", "")), IF(ISNA(VLOOKUP(SUBSTITUTE(LEFT(MAIN!E979, IFERROR(FIND(",", MAIN!E979)-1, LEN(MAIN!E979))), " ", ""), lookup_values!$D$2:$E$197, 2, FALSE)), "--", VLOOKUP(SUBSTITUTE(LEFT(MAIN!E979, IFERROR(FIND(",", MAIN!E979)-1, LEN(MAIN!E979))), " ", ""), lookup_values!$D$2:$E$197, 2, FALSE)))))</f>
        <v>--</v>
      </c>
      <c r="F979" t="str">
        <f>IF(ISBLANK(MAIN!F979), "", IF(AND(ISNUMBER(VALUE(TRIM(MAIN!F979))), LEN(TRIM(MAIN!F979))=4), VALUE(TRIM(MAIN!F979)), ""))</f>
        <v/>
      </c>
      <c r="G979">
        <f>IF(ISBLANK(MAIN!G979), 0, IF(ISNUMBER(VALUE(TRIM(MAIN!G979))), VALUE(TRIM(MAIN!G979)), 0))</f>
        <v>0</v>
      </c>
      <c r="H979">
        <f>IF(ISBLANK(MAIN!H979), 0, IF(ISNUMBER(VALUE(TRIM(MAIN!H979))), VALUE(TRIM(MAIN!H979)), 0))</f>
        <v>0</v>
      </c>
      <c r="I979">
        <f>IF(ISBLANK(MAIN!I979), 0, IF(ISNUMBER(VALUE(TRIM(MAIN!I979))), VALUE(TRIM(MAIN!I979)), 0))</f>
        <v>0</v>
      </c>
      <c r="J979">
        <f>IF(ISBLANK(MAIN!J979), 0, IF(ISNUMBER(VALUE(TRIM(MAIN!J979))), VALUE(TRIM(MAIN!J979)), 0))</f>
        <v>0</v>
      </c>
      <c r="K979" cm="1">
        <f t="array" ref="K979">IFERROR(
    VALUE(
        IFERROR(
            UPPER(
                IF(MAX(IFERROR(SEARCH("WD",MAIN!G979:J979), 0))&gt;0, "WD",
                IF(MAX(IFERROR(SEARCH("NS",MAIN!G979:J979), 0))&gt;0, "NS",
                IF(MAX(IFERROR(SEARCH("NC",MAIN!G979:J979), 0))&gt;0, "NC",
                IF(MAX(IFERROR(SEARCH("DQ",MAIN!G979:J979), 0))&gt;0, "DQ",
                IF(ISNUMBER(SEARCH("WD",MAIN!K979)), "WD",
                IF(ISNUMBER(SEARCH("NS",MAIN!K979)), "NS",
                IF(ISNUMBER(SEARCH("NC",MAIN!K979)), "NC",
                IF(ISNUMBER(SEARCH("DQ",MAIN!K979)), "DQ",
                IF(ISNUMBER(SEARCH("A",MAIN!K979)), 0,
                IF(OR(MAIN!K979=0,MAIN!K979=""), 0, --TRIM(MAIN!K979)))))))))))),
            0
        )
    ),
    IFERROR(
        UPPER(
            IF(MAX(IFERROR(SEARCH("WD",MAIN!G979:J979), 0))&gt;0, "WD",
            IF(MAX(IFERROR(SEARCH("NS",MAIN!G979:J979), 0))&gt;0, "NS",
            IF(MAX(IFERROR(SEARCH("NC",MAIN!G979:J979), 0))&gt;0, "NC",
            IF(MAX(IFERROR(SEARCH("DQ",MAIN!G979:J979), 0))&gt;0, "DQ",
            IF(ISNUMBER(SEARCH("WD",MAIN!K979)), "WD",
            IF(ISNUMBER(SEARCH("NS",MAIN!K979)), "NS",
            IF(ISNUMBER(SEARCH("NC",MAIN!K979)), "NC",
            IF(ISNUMBER(SEARCH("DQ",MAIN!K979)), "DQ",
            IF(ISNUMBER(SEARCH("A",MAIN!K979)), 0,
            IF(OR(MAIN!K979=0,MAIN!K979=""), 0, --TRIM(MAIN!K979)))))))))))),
        0
    )
)</f>
        <v>0</v>
      </c>
    </row>
    <row r="980" spans="1:11" x14ac:dyDescent="0.25">
      <c r="A980" t="str">
        <f>IF(ISBLANK(MAIN!A980), "--", IFERROR(PROPER(SUBSTITUTE(SUBSTITUTE(SUBSTITUTE(SUBSTITUTE(SUBSTITUTE(SUBSTITUTE(SUBSTITUTE(SUBSTITUTE(SUBSTITUTE(SUBSTITUTE(LEFT(MAIN!A980, FIND(",",MAIN!A980) -1), "0", ""), "1", ""), "2", ""), "3", ""), "4", ""), "5", ""), "6", ""), "7", ""), "8", ""), "9", "")), PROPER(SUBSTITUTE(SUBSTITUTE(SUBSTITUTE(SUBSTITUTE(SUBSTITUTE(SUBSTITUTE(SUBSTITUTE(SUBSTITUTE(SUBSTITUTE(SUBSTITUTE(MAIN!A980, "0", ""), "1", ""), "2", ""), "3", ""), "4", ""), "5", ""), "6", ""), "7", ""), "8", ""), "9", ""))))</f>
        <v>--</v>
      </c>
      <c r="B980" t="str">
        <f>IF(ISBLANK(MAIN!B980), "--", IFERROR(PROPER(SUBSTITUTE(SUBSTITUTE(SUBSTITUTE(SUBSTITUTE(SUBSTITUTE(SUBSTITUTE(SUBSTITUTE(SUBSTITUTE(SUBSTITUTE(SUBSTITUTE(LEFT(MAIN!B980, FIND(",",MAIN!B980) -1), "0", ""), "1", ""), "2", ""), "3", ""), "4", ""), "5", ""), "6", ""), "7", ""), "8", ""), "9", "")), PROPER(SUBSTITUTE(SUBSTITUTE(SUBSTITUTE(SUBSTITUTE(SUBSTITUTE(SUBSTITUTE(SUBSTITUTE(SUBSTITUTE(SUBSTITUTE(SUBSTITUTE(MAIN!B980, "0", ""), "1", ""), "2", ""), "3", ""), "4", ""), "5", ""), "6", ""), "7", ""), "8", ""), "9", ""))))</f>
        <v>--</v>
      </c>
      <c r="C980" t="str">
        <f>IF(ISBLANK(MAIN!C980), "--", IFERROR(PROPER(SUBSTITUTE(SUBSTITUTE(SUBSTITUTE(SUBSTITUTE(SUBSTITUTE(SUBSTITUTE(SUBSTITUTE(SUBSTITUTE(SUBSTITUTE(SUBSTITUTE(LEFT(MAIN!C980, FIND(",",MAIN!C980) -1), "0", ""), "1", ""), "2", ""), "3", ""), "4", ""), "5", ""), "6", ""), "7", ""), "8", ""), "9", "")), PROPER(SUBSTITUTE(SUBSTITUTE(SUBSTITUTE(SUBSTITUTE(SUBSTITUTE(SUBSTITUTE(SUBSTITUTE(SUBSTITUTE(SUBSTITUTE(SUBSTITUTE(MAIN!C980, "0", ""), "1", ""), "2", ""), "3", ""), "4", ""), "5", ""), "6", ""), "7", ""), "8", ""), "9", ""))))</f>
        <v>--</v>
      </c>
      <c r="D980" t="str">
        <f>IF(ISBLANK(MAIN!D980), "--", IF(ISNUMBER(MATCH(SUBSTITUTE(LEFT(MAIN!D980, IFERROR(FIND(",", MAIN!D980)-1, LEN(MAIN!D980))), " ", ""), lookup_values!$B$2:$B$51, 0)), UPPER(SUBSTITUTE(LEFT(MAIN!D980, IFERROR(FIND(",", MAIN!D980)-1, LEN(MAIN!D980))), " ", "")), IF(ISNA(VLOOKUP(SUBSTITUTE(LEFT(MAIN!D980, IFERROR(FIND(",", MAIN!D980)-1, LEN(MAIN!D980))), " ", ""), lookup_values!$A$2:$B$51, 2, FALSE)), "--", VLOOKUP(SUBSTITUTE(LEFT(MAIN!D980, IFERROR(FIND(",", MAIN!D980)-1, LEN(MAIN!D980))), " ", ""), lookup_values!$A$2:$B$51, 2, FALSE))))</f>
        <v>--</v>
      </c>
      <c r="E980" t="str">
        <f>IF(CLEAN_DATA!D980&lt;&gt;"--","US",IF(ISBLANK(MAIN!E980), "--", IF(ISNUMBER(MATCH(SUBSTITUTE(LEFT(MAIN!E980, IFERROR(FIND(",", MAIN!E980)-1, LEN(MAIN!E980))), " ", ""), lookup_values!$E$2:$E$197, 0)), UPPER(SUBSTITUTE(LEFT(MAIN!E980, IFERROR(FIND(",", MAIN!E980)-1, LEN(MAIN!E980))), " ", "")), IF(ISNA(VLOOKUP(SUBSTITUTE(LEFT(MAIN!E980, IFERROR(FIND(",", MAIN!E980)-1, LEN(MAIN!E980))), " ", ""), lookup_values!$D$2:$E$197, 2, FALSE)), "--", VLOOKUP(SUBSTITUTE(LEFT(MAIN!E980, IFERROR(FIND(",", MAIN!E980)-1, LEN(MAIN!E980))), " ", ""), lookup_values!$D$2:$E$197, 2, FALSE)))))</f>
        <v>--</v>
      </c>
      <c r="F980" t="str">
        <f>IF(ISBLANK(MAIN!F980), "", IF(AND(ISNUMBER(VALUE(TRIM(MAIN!F980))), LEN(TRIM(MAIN!F980))=4), VALUE(TRIM(MAIN!F980)), ""))</f>
        <v/>
      </c>
      <c r="G980">
        <f>IF(ISBLANK(MAIN!G980), 0, IF(ISNUMBER(VALUE(TRIM(MAIN!G980))), VALUE(TRIM(MAIN!G980)), 0))</f>
        <v>0</v>
      </c>
      <c r="H980">
        <f>IF(ISBLANK(MAIN!H980), 0, IF(ISNUMBER(VALUE(TRIM(MAIN!H980))), VALUE(TRIM(MAIN!H980)), 0))</f>
        <v>0</v>
      </c>
      <c r="I980">
        <f>IF(ISBLANK(MAIN!I980), 0, IF(ISNUMBER(VALUE(TRIM(MAIN!I980))), VALUE(TRIM(MAIN!I980)), 0))</f>
        <v>0</v>
      </c>
      <c r="J980">
        <f>IF(ISBLANK(MAIN!J980), 0, IF(ISNUMBER(VALUE(TRIM(MAIN!J980))), VALUE(TRIM(MAIN!J980)), 0))</f>
        <v>0</v>
      </c>
      <c r="K980" cm="1">
        <f t="array" ref="K980">IFERROR(
    VALUE(
        IFERROR(
            UPPER(
                IF(MAX(IFERROR(SEARCH("WD",MAIN!G980:J980), 0))&gt;0, "WD",
                IF(MAX(IFERROR(SEARCH("NS",MAIN!G980:J980), 0))&gt;0, "NS",
                IF(MAX(IFERROR(SEARCH("NC",MAIN!G980:J980), 0))&gt;0, "NC",
                IF(MAX(IFERROR(SEARCH("DQ",MAIN!G980:J980), 0))&gt;0, "DQ",
                IF(ISNUMBER(SEARCH("WD",MAIN!K980)), "WD",
                IF(ISNUMBER(SEARCH("NS",MAIN!K980)), "NS",
                IF(ISNUMBER(SEARCH("NC",MAIN!K980)), "NC",
                IF(ISNUMBER(SEARCH("DQ",MAIN!K980)), "DQ",
                IF(ISNUMBER(SEARCH("A",MAIN!K980)), 0,
                IF(OR(MAIN!K980=0,MAIN!K980=""), 0, --TRIM(MAIN!K980)))))))))))),
            0
        )
    ),
    IFERROR(
        UPPER(
            IF(MAX(IFERROR(SEARCH("WD",MAIN!G980:J980), 0))&gt;0, "WD",
            IF(MAX(IFERROR(SEARCH("NS",MAIN!G980:J980), 0))&gt;0, "NS",
            IF(MAX(IFERROR(SEARCH("NC",MAIN!G980:J980), 0))&gt;0, "NC",
            IF(MAX(IFERROR(SEARCH("DQ",MAIN!G980:J980), 0))&gt;0, "DQ",
            IF(ISNUMBER(SEARCH("WD",MAIN!K980)), "WD",
            IF(ISNUMBER(SEARCH("NS",MAIN!K980)), "NS",
            IF(ISNUMBER(SEARCH("NC",MAIN!K980)), "NC",
            IF(ISNUMBER(SEARCH("DQ",MAIN!K980)), "DQ",
            IF(ISNUMBER(SEARCH("A",MAIN!K980)), 0,
            IF(OR(MAIN!K980=0,MAIN!K980=""), 0, --TRIM(MAIN!K980)))))))))))),
        0
    )
)</f>
        <v>0</v>
      </c>
    </row>
    <row r="981" spans="1:11" x14ac:dyDescent="0.25">
      <c r="A981" t="str">
        <f>IF(ISBLANK(MAIN!A981), "--", IFERROR(PROPER(SUBSTITUTE(SUBSTITUTE(SUBSTITUTE(SUBSTITUTE(SUBSTITUTE(SUBSTITUTE(SUBSTITUTE(SUBSTITUTE(SUBSTITUTE(SUBSTITUTE(LEFT(MAIN!A981, FIND(",",MAIN!A981) -1), "0", ""), "1", ""), "2", ""), "3", ""), "4", ""), "5", ""), "6", ""), "7", ""), "8", ""), "9", "")), PROPER(SUBSTITUTE(SUBSTITUTE(SUBSTITUTE(SUBSTITUTE(SUBSTITUTE(SUBSTITUTE(SUBSTITUTE(SUBSTITUTE(SUBSTITUTE(SUBSTITUTE(MAIN!A981, "0", ""), "1", ""), "2", ""), "3", ""), "4", ""), "5", ""), "6", ""), "7", ""), "8", ""), "9", ""))))</f>
        <v>--</v>
      </c>
      <c r="B981" t="str">
        <f>IF(ISBLANK(MAIN!B981), "--", IFERROR(PROPER(SUBSTITUTE(SUBSTITUTE(SUBSTITUTE(SUBSTITUTE(SUBSTITUTE(SUBSTITUTE(SUBSTITUTE(SUBSTITUTE(SUBSTITUTE(SUBSTITUTE(LEFT(MAIN!B981, FIND(",",MAIN!B981) -1), "0", ""), "1", ""), "2", ""), "3", ""), "4", ""), "5", ""), "6", ""), "7", ""), "8", ""), "9", "")), PROPER(SUBSTITUTE(SUBSTITUTE(SUBSTITUTE(SUBSTITUTE(SUBSTITUTE(SUBSTITUTE(SUBSTITUTE(SUBSTITUTE(SUBSTITUTE(SUBSTITUTE(MAIN!B981, "0", ""), "1", ""), "2", ""), "3", ""), "4", ""), "5", ""), "6", ""), "7", ""), "8", ""), "9", ""))))</f>
        <v>--</v>
      </c>
      <c r="C981" t="str">
        <f>IF(ISBLANK(MAIN!C981), "--", IFERROR(PROPER(SUBSTITUTE(SUBSTITUTE(SUBSTITUTE(SUBSTITUTE(SUBSTITUTE(SUBSTITUTE(SUBSTITUTE(SUBSTITUTE(SUBSTITUTE(SUBSTITUTE(LEFT(MAIN!C981, FIND(",",MAIN!C981) -1), "0", ""), "1", ""), "2", ""), "3", ""), "4", ""), "5", ""), "6", ""), "7", ""), "8", ""), "9", "")), PROPER(SUBSTITUTE(SUBSTITUTE(SUBSTITUTE(SUBSTITUTE(SUBSTITUTE(SUBSTITUTE(SUBSTITUTE(SUBSTITUTE(SUBSTITUTE(SUBSTITUTE(MAIN!C981, "0", ""), "1", ""), "2", ""), "3", ""), "4", ""), "5", ""), "6", ""), "7", ""), "8", ""), "9", ""))))</f>
        <v>--</v>
      </c>
      <c r="D981" t="str">
        <f>IF(ISBLANK(MAIN!D981), "--", IF(ISNUMBER(MATCH(SUBSTITUTE(LEFT(MAIN!D981, IFERROR(FIND(",", MAIN!D981)-1, LEN(MAIN!D981))), " ", ""), lookup_values!$B$2:$B$51, 0)), UPPER(SUBSTITUTE(LEFT(MAIN!D981, IFERROR(FIND(",", MAIN!D981)-1, LEN(MAIN!D981))), " ", "")), IF(ISNA(VLOOKUP(SUBSTITUTE(LEFT(MAIN!D981, IFERROR(FIND(",", MAIN!D981)-1, LEN(MAIN!D981))), " ", ""), lookup_values!$A$2:$B$51, 2, FALSE)), "--", VLOOKUP(SUBSTITUTE(LEFT(MAIN!D981, IFERROR(FIND(",", MAIN!D981)-1, LEN(MAIN!D981))), " ", ""), lookup_values!$A$2:$B$51, 2, FALSE))))</f>
        <v>--</v>
      </c>
      <c r="E981" t="str">
        <f>IF(CLEAN_DATA!D981&lt;&gt;"--","US",IF(ISBLANK(MAIN!E981), "--", IF(ISNUMBER(MATCH(SUBSTITUTE(LEFT(MAIN!E981, IFERROR(FIND(",", MAIN!E981)-1, LEN(MAIN!E981))), " ", ""), lookup_values!$E$2:$E$197, 0)), UPPER(SUBSTITUTE(LEFT(MAIN!E981, IFERROR(FIND(",", MAIN!E981)-1, LEN(MAIN!E981))), " ", "")), IF(ISNA(VLOOKUP(SUBSTITUTE(LEFT(MAIN!E981, IFERROR(FIND(",", MAIN!E981)-1, LEN(MAIN!E981))), " ", ""), lookup_values!$D$2:$E$197, 2, FALSE)), "--", VLOOKUP(SUBSTITUTE(LEFT(MAIN!E981, IFERROR(FIND(",", MAIN!E981)-1, LEN(MAIN!E981))), " ", ""), lookup_values!$D$2:$E$197, 2, FALSE)))))</f>
        <v>--</v>
      </c>
      <c r="F981" t="str">
        <f>IF(ISBLANK(MAIN!F981), "", IF(AND(ISNUMBER(VALUE(TRIM(MAIN!F981))), LEN(TRIM(MAIN!F981))=4), VALUE(TRIM(MAIN!F981)), ""))</f>
        <v/>
      </c>
      <c r="G981">
        <f>IF(ISBLANK(MAIN!G981), 0, IF(ISNUMBER(VALUE(TRIM(MAIN!G981))), VALUE(TRIM(MAIN!G981)), 0))</f>
        <v>0</v>
      </c>
      <c r="H981">
        <f>IF(ISBLANK(MAIN!H981), 0, IF(ISNUMBER(VALUE(TRIM(MAIN!H981))), VALUE(TRIM(MAIN!H981)), 0))</f>
        <v>0</v>
      </c>
      <c r="I981">
        <f>IF(ISBLANK(MAIN!I981), 0, IF(ISNUMBER(VALUE(TRIM(MAIN!I981))), VALUE(TRIM(MAIN!I981)), 0))</f>
        <v>0</v>
      </c>
      <c r="J981">
        <f>IF(ISBLANK(MAIN!J981), 0, IF(ISNUMBER(VALUE(TRIM(MAIN!J981))), VALUE(TRIM(MAIN!J981)), 0))</f>
        <v>0</v>
      </c>
      <c r="K981" cm="1">
        <f t="array" ref="K981">IFERROR(
    VALUE(
        IFERROR(
            UPPER(
                IF(MAX(IFERROR(SEARCH("WD",MAIN!G981:J981), 0))&gt;0, "WD",
                IF(MAX(IFERROR(SEARCH("NS",MAIN!G981:J981), 0))&gt;0, "NS",
                IF(MAX(IFERROR(SEARCH("NC",MAIN!G981:J981), 0))&gt;0, "NC",
                IF(MAX(IFERROR(SEARCH("DQ",MAIN!G981:J981), 0))&gt;0, "DQ",
                IF(ISNUMBER(SEARCH("WD",MAIN!K981)), "WD",
                IF(ISNUMBER(SEARCH("NS",MAIN!K981)), "NS",
                IF(ISNUMBER(SEARCH("NC",MAIN!K981)), "NC",
                IF(ISNUMBER(SEARCH("DQ",MAIN!K981)), "DQ",
                IF(ISNUMBER(SEARCH("A",MAIN!K981)), 0,
                IF(OR(MAIN!K981=0,MAIN!K981=""), 0, --TRIM(MAIN!K981)))))))))))),
            0
        )
    ),
    IFERROR(
        UPPER(
            IF(MAX(IFERROR(SEARCH("WD",MAIN!G981:J981), 0))&gt;0, "WD",
            IF(MAX(IFERROR(SEARCH("NS",MAIN!G981:J981), 0))&gt;0, "NS",
            IF(MAX(IFERROR(SEARCH("NC",MAIN!G981:J981), 0))&gt;0, "NC",
            IF(MAX(IFERROR(SEARCH("DQ",MAIN!G981:J981), 0))&gt;0, "DQ",
            IF(ISNUMBER(SEARCH("WD",MAIN!K981)), "WD",
            IF(ISNUMBER(SEARCH("NS",MAIN!K981)), "NS",
            IF(ISNUMBER(SEARCH("NC",MAIN!K981)), "NC",
            IF(ISNUMBER(SEARCH("DQ",MAIN!K981)), "DQ",
            IF(ISNUMBER(SEARCH("A",MAIN!K981)), 0,
            IF(OR(MAIN!K981=0,MAIN!K981=""), 0, --TRIM(MAIN!K981)))))))))))),
        0
    )
)</f>
        <v>0</v>
      </c>
    </row>
    <row r="982" spans="1:11" x14ac:dyDescent="0.25">
      <c r="A982" t="str">
        <f>IF(ISBLANK(MAIN!A982), "--", IFERROR(PROPER(SUBSTITUTE(SUBSTITUTE(SUBSTITUTE(SUBSTITUTE(SUBSTITUTE(SUBSTITUTE(SUBSTITUTE(SUBSTITUTE(SUBSTITUTE(SUBSTITUTE(LEFT(MAIN!A982, FIND(",",MAIN!A982) -1), "0", ""), "1", ""), "2", ""), "3", ""), "4", ""), "5", ""), "6", ""), "7", ""), "8", ""), "9", "")), PROPER(SUBSTITUTE(SUBSTITUTE(SUBSTITUTE(SUBSTITUTE(SUBSTITUTE(SUBSTITUTE(SUBSTITUTE(SUBSTITUTE(SUBSTITUTE(SUBSTITUTE(MAIN!A982, "0", ""), "1", ""), "2", ""), "3", ""), "4", ""), "5", ""), "6", ""), "7", ""), "8", ""), "9", ""))))</f>
        <v>--</v>
      </c>
      <c r="B982" t="str">
        <f>IF(ISBLANK(MAIN!B982), "--", IFERROR(PROPER(SUBSTITUTE(SUBSTITUTE(SUBSTITUTE(SUBSTITUTE(SUBSTITUTE(SUBSTITUTE(SUBSTITUTE(SUBSTITUTE(SUBSTITUTE(SUBSTITUTE(LEFT(MAIN!B982, FIND(",",MAIN!B982) -1), "0", ""), "1", ""), "2", ""), "3", ""), "4", ""), "5", ""), "6", ""), "7", ""), "8", ""), "9", "")), PROPER(SUBSTITUTE(SUBSTITUTE(SUBSTITUTE(SUBSTITUTE(SUBSTITUTE(SUBSTITUTE(SUBSTITUTE(SUBSTITUTE(SUBSTITUTE(SUBSTITUTE(MAIN!B982, "0", ""), "1", ""), "2", ""), "3", ""), "4", ""), "5", ""), "6", ""), "7", ""), "8", ""), "9", ""))))</f>
        <v>--</v>
      </c>
      <c r="C982" t="str">
        <f>IF(ISBLANK(MAIN!C982), "--", IFERROR(PROPER(SUBSTITUTE(SUBSTITUTE(SUBSTITUTE(SUBSTITUTE(SUBSTITUTE(SUBSTITUTE(SUBSTITUTE(SUBSTITUTE(SUBSTITUTE(SUBSTITUTE(LEFT(MAIN!C982, FIND(",",MAIN!C982) -1), "0", ""), "1", ""), "2", ""), "3", ""), "4", ""), "5", ""), "6", ""), "7", ""), "8", ""), "9", "")), PROPER(SUBSTITUTE(SUBSTITUTE(SUBSTITUTE(SUBSTITUTE(SUBSTITUTE(SUBSTITUTE(SUBSTITUTE(SUBSTITUTE(SUBSTITUTE(SUBSTITUTE(MAIN!C982, "0", ""), "1", ""), "2", ""), "3", ""), "4", ""), "5", ""), "6", ""), "7", ""), "8", ""), "9", ""))))</f>
        <v>--</v>
      </c>
      <c r="D982" t="str">
        <f>IF(ISBLANK(MAIN!D982), "--", IF(ISNUMBER(MATCH(SUBSTITUTE(LEFT(MAIN!D982, IFERROR(FIND(",", MAIN!D982)-1, LEN(MAIN!D982))), " ", ""), lookup_values!$B$2:$B$51, 0)), UPPER(SUBSTITUTE(LEFT(MAIN!D982, IFERROR(FIND(",", MAIN!D982)-1, LEN(MAIN!D982))), " ", "")), IF(ISNA(VLOOKUP(SUBSTITUTE(LEFT(MAIN!D982, IFERROR(FIND(",", MAIN!D982)-1, LEN(MAIN!D982))), " ", ""), lookup_values!$A$2:$B$51, 2, FALSE)), "--", VLOOKUP(SUBSTITUTE(LEFT(MAIN!D982, IFERROR(FIND(",", MAIN!D982)-1, LEN(MAIN!D982))), " ", ""), lookup_values!$A$2:$B$51, 2, FALSE))))</f>
        <v>--</v>
      </c>
      <c r="E982" t="str">
        <f>IF(CLEAN_DATA!D982&lt;&gt;"--","US",IF(ISBLANK(MAIN!E982), "--", IF(ISNUMBER(MATCH(SUBSTITUTE(LEFT(MAIN!E982, IFERROR(FIND(",", MAIN!E982)-1, LEN(MAIN!E982))), " ", ""), lookup_values!$E$2:$E$197, 0)), UPPER(SUBSTITUTE(LEFT(MAIN!E982, IFERROR(FIND(",", MAIN!E982)-1, LEN(MAIN!E982))), " ", "")), IF(ISNA(VLOOKUP(SUBSTITUTE(LEFT(MAIN!E982, IFERROR(FIND(",", MAIN!E982)-1, LEN(MAIN!E982))), " ", ""), lookup_values!$D$2:$E$197, 2, FALSE)), "--", VLOOKUP(SUBSTITUTE(LEFT(MAIN!E982, IFERROR(FIND(",", MAIN!E982)-1, LEN(MAIN!E982))), " ", ""), lookup_values!$D$2:$E$197, 2, FALSE)))))</f>
        <v>--</v>
      </c>
      <c r="F982" t="str">
        <f>IF(ISBLANK(MAIN!F982), "", IF(AND(ISNUMBER(VALUE(TRIM(MAIN!F982))), LEN(TRIM(MAIN!F982))=4), VALUE(TRIM(MAIN!F982)), ""))</f>
        <v/>
      </c>
      <c r="G982">
        <f>IF(ISBLANK(MAIN!G982), 0, IF(ISNUMBER(VALUE(TRIM(MAIN!G982))), VALUE(TRIM(MAIN!G982)), 0))</f>
        <v>0</v>
      </c>
      <c r="H982">
        <f>IF(ISBLANK(MAIN!H982), 0, IF(ISNUMBER(VALUE(TRIM(MAIN!H982))), VALUE(TRIM(MAIN!H982)), 0))</f>
        <v>0</v>
      </c>
      <c r="I982">
        <f>IF(ISBLANK(MAIN!I982), 0, IF(ISNUMBER(VALUE(TRIM(MAIN!I982))), VALUE(TRIM(MAIN!I982)), 0))</f>
        <v>0</v>
      </c>
      <c r="J982">
        <f>IF(ISBLANK(MAIN!J982), 0, IF(ISNUMBER(VALUE(TRIM(MAIN!J982))), VALUE(TRIM(MAIN!J982)), 0))</f>
        <v>0</v>
      </c>
      <c r="K982" cm="1">
        <f t="array" ref="K982">IFERROR(
    VALUE(
        IFERROR(
            UPPER(
                IF(MAX(IFERROR(SEARCH("WD",MAIN!G982:J982), 0))&gt;0, "WD",
                IF(MAX(IFERROR(SEARCH("NS",MAIN!G982:J982), 0))&gt;0, "NS",
                IF(MAX(IFERROR(SEARCH("NC",MAIN!G982:J982), 0))&gt;0, "NC",
                IF(MAX(IFERROR(SEARCH("DQ",MAIN!G982:J982), 0))&gt;0, "DQ",
                IF(ISNUMBER(SEARCH("WD",MAIN!K982)), "WD",
                IF(ISNUMBER(SEARCH("NS",MAIN!K982)), "NS",
                IF(ISNUMBER(SEARCH("NC",MAIN!K982)), "NC",
                IF(ISNUMBER(SEARCH("DQ",MAIN!K982)), "DQ",
                IF(ISNUMBER(SEARCH("A",MAIN!K982)), 0,
                IF(OR(MAIN!K982=0,MAIN!K982=""), 0, --TRIM(MAIN!K982)))))))))))),
            0
        )
    ),
    IFERROR(
        UPPER(
            IF(MAX(IFERROR(SEARCH("WD",MAIN!G982:J982), 0))&gt;0, "WD",
            IF(MAX(IFERROR(SEARCH("NS",MAIN!G982:J982), 0))&gt;0, "NS",
            IF(MAX(IFERROR(SEARCH("NC",MAIN!G982:J982), 0))&gt;0, "NC",
            IF(MAX(IFERROR(SEARCH("DQ",MAIN!G982:J982), 0))&gt;0, "DQ",
            IF(ISNUMBER(SEARCH("WD",MAIN!K982)), "WD",
            IF(ISNUMBER(SEARCH("NS",MAIN!K982)), "NS",
            IF(ISNUMBER(SEARCH("NC",MAIN!K982)), "NC",
            IF(ISNUMBER(SEARCH("DQ",MAIN!K982)), "DQ",
            IF(ISNUMBER(SEARCH("A",MAIN!K982)), 0,
            IF(OR(MAIN!K982=0,MAIN!K982=""), 0, --TRIM(MAIN!K982)))))))))))),
        0
    )
)</f>
        <v>0</v>
      </c>
    </row>
    <row r="983" spans="1:11" x14ac:dyDescent="0.25">
      <c r="A983" t="str">
        <f>IF(ISBLANK(MAIN!A983), "--", IFERROR(PROPER(SUBSTITUTE(SUBSTITUTE(SUBSTITUTE(SUBSTITUTE(SUBSTITUTE(SUBSTITUTE(SUBSTITUTE(SUBSTITUTE(SUBSTITUTE(SUBSTITUTE(LEFT(MAIN!A983, FIND(",",MAIN!A983) -1), "0", ""), "1", ""), "2", ""), "3", ""), "4", ""), "5", ""), "6", ""), "7", ""), "8", ""), "9", "")), PROPER(SUBSTITUTE(SUBSTITUTE(SUBSTITUTE(SUBSTITUTE(SUBSTITUTE(SUBSTITUTE(SUBSTITUTE(SUBSTITUTE(SUBSTITUTE(SUBSTITUTE(MAIN!A983, "0", ""), "1", ""), "2", ""), "3", ""), "4", ""), "5", ""), "6", ""), "7", ""), "8", ""), "9", ""))))</f>
        <v>--</v>
      </c>
      <c r="B983" t="str">
        <f>IF(ISBLANK(MAIN!B983), "--", IFERROR(PROPER(SUBSTITUTE(SUBSTITUTE(SUBSTITUTE(SUBSTITUTE(SUBSTITUTE(SUBSTITUTE(SUBSTITUTE(SUBSTITUTE(SUBSTITUTE(SUBSTITUTE(LEFT(MAIN!B983, FIND(",",MAIN!B983) -1), "0", ""), "1", ""), "2", ""), "3", ""), "4", ""), "5", ""), "6", ""), "7", ""), "8", ""), "9", "")), PROPER(SUBSTITUTE(SUBSTITUTE(SUBSTITUTE(SUBSTITUTE(SUBSTITUTE(SUBSTITUTE(SUBSTITUTE(SUBSTITUTE(SUBSTITUTE(SUBSTITUTE(MAIN!B983, "0", ""), "1", ""), "2", ""), "3", ""), "4", ""), "5", ""), "6", ""), "7", ""), "8", ""), "9", ""))))</f>
        <v>--</v>
      </c>
      <c r="C983" t="str">
        <f>IF(ISBLANK(MAIN!C983), "--", IFERROR(PROPER(SUBSTITUTE(SUBSTITUTE(SUBSTITUTE(SUBSTITUTE(SUBSTITUTE(SUBSTITUTE(SUBSTITUTE(SUBSTITUTE(SUBSTITUTE(SUBSTITUTE(LEFT(MAIN!C983, FIND(",",MAIN!C983) -1), "0", ""), "1", ""), "2", ""), "3", ""), "4", ""), "5", ""), "6", ""), "7", ""), "8", ""), "9", "")), PROPER(SUBSTITUTE(SUBSTITUTE(SUBSTITUTE(SUBSTITUTE(SUBSTITUTE(SUBSTITUTE(SUBSTITUTE(SUBSTITUTE(SUBSTITUTE(SUBSTITUTE(MAIN!C983, "0", ""), "1", ""), "2", ""), "3", ""), "4", ""), "5", ""), "6", ""), "7", ""), "8", ""), "9", ""))))</f>
        <v>--</v>
      </c>
      <c r="D983" t="str">
        <f>IF(ISBLANK(MAIN!D983), "--", IF(ISNUMBER(MATCH(SUBSTITUTE(LEFT(MAIN!D983, IFERROR(FIND(",", MAIN!D983)-1, LEN(MAIN!D983))), " ", ""), lookup_values!$B$2:$B$51, 0)), UPPER(SUBSTITUTE(LEFT(MAIN!D983, IFERROR(FIND(",", MAIN!D983)-1, LEN(MAIN!D983))), " ", "")), IF(ISNA(VLOOKUP(SUBSTITUTE(LEFT(MAIN!D983, IFERROR(FIND(",", MAIN!D983)-1, LEN(MAIN!D983))), " ", ""), lookup_values!$A$2:$B$51, 2, FALSE)), "--", VLOOKUP(SUBSTITUTE(LEFT(MAIN!D983, IFERROR(FIND(",", MAIN!D983)-1, LEN(MAIN!D983))), " ", ""), lookup_values!$A$2:$B$51, 2, FALSE))))</f>
        <v>--</v>
      </c>
      <c r="E983" t="str">
        <f>IF(CLEAN_DATA!D983&lt;&gt;"--","US",IF(ISBLANK(MAIN!E983), "--", IF(ISNUMBER(MATCH(SUBSTITUTE(LEFT(MAIN!E983, IFERROR(FIND(",", MAIN!E983)-1, LEN(MAIN!E983))), " ", ""), lookup_values!$E$2:$E$197, 0)), UPPER(SUBSTITUTE(LEFT(MAIN!E983, IFERROR(FIND(",", MAIN!E983)-1, LEN(MAIN!E983))), " ", "")), IF(ISNA(VLOOKUP(SUBSTITUTE(LEFT(MAIN!E983, IFERROR(FIND(",", MAIN!E983)-1, LEN(MAIN!E983))), " ", ""), lookup_values!$D$2:$E$197, 2, FALSE)), "--", VLOOKUP(SUBSTITUTE(LEFT(MAIN!E983, IFERROR(FIND(",", MAIN!E983)-1, LEN(MAIN!E983))), " ", ""), lookup_values!$D$2:$E$197, 2, FALSE)))))</f>
        <v>--</v>
      </c>
      <c r="F983" t="str">
        <f>IF(ISBLANK(MAIN!F983), "", IF(AND(ISNUMBER(VALUE(TRIM(MAIN!F983))), LEN(TRIM(MAIN!F983))=4), VALUE(TRIM(MAIN!F983)), ""))</f>
        <v/>
      </c>
      <c r="G983">
        <f>IF(ISBLANK(MAIN!G983), 0, IF(ISNUMBER(VALUE(TRIM(MAIN!G983))), VALUE(TRIM(MAIN!G983)), 0))</f>
        <v>0</v>
      </c>
      <c r="H983">
        <f>IF(ISBLANK(MAIN!H983), 0, IF(ISNUMBER(VALUE(TRIM(MAIN!H983))), VALUE(TRIM(MAIN!H983)), 0))</f>
        <v>0</v>
      </c>
      <c r="I983">
        <f>IF(ISBLANK(MAIN!I983), 0, IF(ISNUMBER(VALUE(TRIM(MAIN!I983))), VALUE(TRIM(MAIN!I983)), 0))</f>
        <v>0</v>
      </c>
      <c r="J983">
        <f>IF(ISBLANK(MAIN!J983), 0, IF(ISNUMBER(VALUE(TRIM(MAIN!J983))), VALUE(TRIM(MAIN!J983)), 0))</f>
        <v>0</v>
      </c>
      <c r="K983" cm="1">
        <f t="array" ref="K983">IFERROR(
    VALUE(
        IFERROR(
            UPPER(
                IF(MAX(IFERROR(SEARCH("WD",MAIN!G983:J983), 0))&gt;0, "WD",
                IF(MAX(IFERROR(SEARCH("NS",MAIN!G983:J983), 0))&gt;0, "NS",
                IF(MAX(IFERROR(SEARCH("NC",MAIN!G983:J983), 0))&gt;0, "NC",
                IF(MAX(IFERROR(SEARCH("DQ",MAIN!G983:J983), 0))&gt;0, "DQ",
                IF(ISNUMBER(SEARCH("WD",MAIN!K983)), "WD",
                IF(ISNUMBER(SEARCH("NS",MAIN!K983)), "NS",
                IF(ISNUMBER(SEARCH("NC",MAIN!K983)), "NC",
                IF(ISNUMBER(SEARCH("DQ",MAIN!K983)), "DQ",
                IF(ISNUMBER(SEARCH("A",MAIN!K983)), 0,
                IF(OR(MAIN!K983=0,MAIN!K983=""), 0, --TRIM(MAIN!K983)))))))))))),
            0
        )
    ),
    IFERROR(
        UPPER(
            IF(MAX(IFERROR(SEARCH("WD",MAIN!G983:J983), 0))&gt;0, "WD",
            IF(MAX(IFERROR(SEARCH("NS",MAIN!G983:J983), 0))&gt;0, "NS",
            IF(MAX(IFERROR(SEARCH("NC",MAIN!G983:J983), 0))&gt;0, "NC",
            IF(MAX(IFERROR(SEARCH("DQ",MAIN!G983:J983), 0))&gt;0, "DQ",
            IF(ISNUMBER(SEARCH("WD",MAIN!K983)), "WD",
            IF(ISNUMBER(SEARCH("NS",MAIN!K983)), "NS",
            IF(ISNUMBER(SEARCH("NC",MAIN!K983)), "NC",
            IF(ISNUMBER(SEARCH("DQ",MAIN!K983)), "DQ",
            IF(ISNUMBER(SEARCH("A",MAIN!K983)), 0,
            IF(OR(MAIN!K983=0,MAIN!K983=""), 0, --TRIM(MAIN!K983)))))))))))),
        0
    )
)</f>
        <v>0</v>
      </c>
    </row>
    <row r="984" spans="1:11" x14ac:dyDescent="0.25">
      <c r="A984" t="str">
        <f>IF(ISBLANK(MAIN!A984), "--", IFERROR(PROPER(SUBSTITUTE(SUBSTITUTE(SUBSTITUTE(SUBSTITUTE(SUBSTITUTE(SUBSTITUTE(SUBSTITUTE(SUBSTITUTE(SUBSTITUTE(SUBSTITUTE(LEFT(MAIN!A984, FIND(",",MAIN!A984) -1), "0", ""), "1", ""), "2", ""), "3", ""), "4", ""), "5", ""), "6", ""), "7", ""), "8", ""), "9", "")), PROPER(SUBSTITUTE(SUBSTITUTE(SUBSTITUTE(SUBSTITUTE(SUBSTITUTE(SUBSTITUTE(SUBSTITUTE(SUBSTITUTE(SUBSTITUTE(SUBSTITUTE(MAIN!A984, "0", ""), "1", ""), "2", ""), "3", ""), "4", ""), "5", ""), "6", ""), "7", ""), "8", ""), "9", ""))))</f>
        <v>--</v>
      </c>
      <c r="B984" t="str">
        <f>IF(ISBLANK(MAIN!B984), "--", IFERROR(PROPER(SUBSTITUTE(SUBSTITUTE(SUBSTITUTE(SUBSTITUTE(SUBSTITUTE(SUBSTITUTE(SUBSTITUTE(SUBSTITUTE(SUBSTITUTE(SUBSTITUTE(LEFT(MAIN!B984, FIND(",",MAIN!B984) -1), "0", ""), "1", ""), "2", ""), "3", ""), "4", ""), "5", ""), "6", ""), "7", ""), "8", ""), "9", "")), PROPER(SUBSTITUTE(SUBSTITUTE(SUBSTITUTE(SUBSTITUTE(SUBSTITUTE(SUBSTITUTE(SUBSTITUTE(SUBSTITUTE(SUBSTITUTE(SUBSTITUTE(MAIN!B984, "0", ""), "1", ""), "2", ""), "3", ""), "4", ""), "5", ""), "6", ""), "7", ""), "8", ""), "9", ""))))</f>
        <v>--</v>
      </c>
      <c r="C984" t="str">
        <f>IF(ISBLANK(MAIN!C984), "--", IFERROR(PROPER(SUBSTITUTE(SUBSTITUTE(SUBSTITUTE(SUBSTITUTE(SUBSTITUTE(SUBSTITUTE(SUBSTITUTE(SUBSTITUTE(SUBSTITUTE(SUBSTITUTE(LEFT(MAIN!C984, FIND(",",MAIN!C984) -1), "0", ""), "1", ""), "2", ""), "3", ""), "4", ""), "5", ""), "6", ""), "7", ""), "8", ""), "9", "")), PROPER(SUBSTITUTE(SUBSTITUTE(SUBSTITUTE(SUBSTITUTE(SUBSTITUTE(SUBSTITUTE(SUBSTITUTE(SUBSTITUTE(SUBSTITUTE(SUBSTITUTE(MAIN!C984, "0", ""), "1", ""), "2", ""), "3", ""), "4", ""), "5", ""), "6", ""), "7", ""), "8", ""), "9", ""))))</f>
        <v>--</v>
      </c>
      <c r="D984" t="str">
        <f>IF(ISBLANK(MAIN!D984), "--", IF(ISNUMBER(MATCH(SUBSTITUTE(LEFT(MAIN!D984, IFERROR(FIND(",", MAIN!D984)-1, LEN(MAIN!D984))), " ", ""), lookup_values!$B$2:$B$51, 0)), UPPER(SUBSTITUTE(LEFT(MAIN!D984, IFERROR(FIND(",", MAIN!D984)-1, LEN(MAIN!D984))), " ", "")), IF(ISNA(VLOOKUP(SUBSTITUTE(LEFT(MAIN!D984, IFERROR(FIND(",", MAIN!D984)-1, LEN(MAIN!D984))), " ", ""), lookup_values!$A$2:$B$51, 2, FALSE)), "--", VLOOKUP(SUBSTITUTE(LEFT(MAIN!D984, IFERROR(FIND(",", MAIN!D984)-1, LEN(MAIN!D984))), " ", ""), lookup_values!$A$2:$B$51, 2, FALSE))))</f>
        <v>--</v>
      </c>
      <c r="E984" t="str">
        <f>IF(CLEAN_DATA!D984&lt;&gt;"--","US",IF(ISBLANK(MAIN!E984), "--", IF(ISNUMBER(MATCH(SUBSTITUTE(LEFT(MAIN!E984, IFERROR(FIND(",", MAIN!E984)-1, LEN(MAIN!E984))), " ", ""), lookup_values!$E$2:$E$197, 0)), UPPER(SUBSTITUTE(LEFT(MAIN!E984, IFERROR(FIND(",", MAIN!E984)-1, LEN(MAIN!E984))), " ", "")), IF(ISNA(VLOOKUP(SUBSTITUTE(LEFT(MAIN!E984, IFERROR(FIND(",", MAIN!E984)-1, LEN(MAIN!E984))), " ", ""), lookup_values!$D$2:$E$197, 2, FALSE)), "--", VLOOKUP(SUBSTITUTE(LEFT(MAIN!E984, IFERROR(FIND(",", MAIN!E984)-1, LEN(MAIN!E984))), " ", ""), lookup_values!$D$2:$E$197, 2, FALSE)))))</f>
        <v>--</v>
      </c>
      <c r="F984" t="str">
        <f>IF(ISBLANK(MAIN!F984), "", IF(AND(ISNUMBER(VALUE(TRIM(MAIN!F984))), LEN(TRIM(MAIN!F984))=4), VALUE(TRIM(MAIN!F984)), ""))</f>
        <v/>
      </c>
      <c r="G984">
        <f>IF(ISBLANK(MAIN!G984), 0, IF(ISNUMBER(VALUE(TRIM(MAIN!G984))), VALUE(TRIM(MAIN!G984)), 0))</f>
        <v>0</v>
      </c>
      <c r="H984">
        <f>IF(ISBLANK(MAIN!H984), 0, IF(ISNUMBER(VALUE(TRIM(MAIN!H984))), VALUE(TRIM(MAIN!H984)), 0))</f>
        <v>0</v>
      </c>
      <c r="I984">
        <f>IF(ISBLANK(MAIN!I984), 0, IF(ISNUMBER(VALUE(TRIM(MAIN!I984))), VALUE(TRIM(MAIN!I984)), 0))</f>
        <v>0</v>
      </c>
      <c r="J984">
        <f>IF(ISBLANK(MAIN!J984), 0, IF(ISNUMBER(VALUE(TRIM(MAIN!J984))), VALUE(TRIM(MAIN!J984)), 0))</f>
        <v>0</v>
      </c>
      <c r="K984" cm="1">
        <f t="array" ref="K984">IFERROR(
    VALUE(
        IFERROR(
            UPPER(
                IF(MAX(IFERROR(SEARCH("WD",MAIN!G984:J984), 0))&gt;0, "WD",
                IF(MAX(IFERROR(SEARCH("NS",MAIN!G984:J984), 0))&gt;0, "NS",
                IF(MAX(IFERROR(SEARCH("NC",MAIN!G984:J984), 0))&gt;0, "NC",
                IF(MAX(IFERROR(SEARCH("DQ",MAIN!G984:J984), 0))&gt;0, "DQ",
                IF(ISNUMBER(SEARCH("WD",MAIN!K984)), "WD",
                IF(ISNUMBER(SEARCH("NS",MAIN!K984)), "NS",
                IF(ISNUMBER(SEARCH("NC",MAIN!K984)), "NC",
                IF(ISNUMBER(SEARCH("DQ",MAIN!K984)), "DQ",
                IF(ISNUMBER(SEARCH("A",MAIN!K984)), 0,
                IF(OR(MAIN!K984=0,MAIN!K984=""), 0, --TRIM(MAIN!K984)))))))))))),
            0
        )
    ),
    IFERROR(
        UPPER(
            IF(MAX(IFERROR(SEARCH("WD",MAIN!G984:J984), 0))&gt;0, "WD",
            IF(MAX(IFERROR(SEARCH("NS",MAIN!G984:J984), 0))&gt;0, "NS",
            IF(MAX(IFERROR(SEARCH("NC",MAIN!G984:J984), 0))&gt;0, "NC",
            IF(MAX(IFERROR(SEARCH("DQ",MAIN!G984:J984), 0))&gt;0, "DQ",
            IF(ISNUMBER(SEARCH("WD",MAIN!K984)), "WD",
            IF(ISNUMBER(SEARCH("NS",MAIN!K984)), "NS",
            IF(ISNUMBER(SEARCH("NC",MAIN!K984)), "NC",
            IF(ISNUMBER(SEARCH("DQ",MAIN!K984)), "DQ",
            IF(ISNUMBER(SEARCH("A",MAIN!K984)), 0,
            IF(OR(MAIN!K984=0,MAIN!K984=""), 0, --TRIM(MAIN!K984)))))))))))),
        0
    )
)</f>
        <v>0</v>
      </c>
    </row>
    <row r="985" spans="1:11" x14ac:dyDescent="0.25">
      <c r="A985" t="str">
        <f>IF(ISBLANK(MAIN!A985), "--", IFERROR(PROPER(SUBSTITUTE(SUBSTITUTE(SUBSTITUTE(SUBSTITUTE(SUBSTITUTE(SUBSTITUTE(SUBSTITUTE(SUBSTITUTE(SUBSTITUTE(SUBSTITUTE(LEFT(MAIN!A985, FIND(",",MAIN!A985) -1), "0", ""), "1", ""), "2", ""), "3", ""), "4", ""), "5", ""), "6", ""), "7", ""), "8", ""), "9", "")), PROPER(SUBSTITUTE(SUBSTITUTE(SUBSTITUTE(SUBSTITUTE(SUBSTITUTE(SUBSTITUTE(SUBSTITUTE(SUBSTITUTE(SUBSTITUTE(SUBSTITUTE(MAIN!A985, "0", ""), "1", ""), "2", ""), "3", ""), "4", ""), "5", ""), "6", ""), "7", ""), "8", ""), "9", ""))))</f>
        <v>--</v>
      </c>
      <c r="B985" t="str">
        <f>IF(ISBLANK(MAIN!B985), "--", IFERROR(PROPER(SUBSTITUTE(SUBSTITUTE(SUBSTITUTE(SUBSTITUTE(SUBSTITUTE(SUBSTITUTE(SUBSTITUTE(SUBSTITUTE(SUBSTITUTE(SUBSTITUTE(LEFT(MAIN!B985, FIND(",",MAIN!B985) -1), "0", ""), "1", ""), "2", ""), "3", ""), "4", ""), "5", ""), "6", ""), "7", ""), "8", ""), "9", "")), PROPER(SUBSTITUTE(SUBSTITUTE(SUBSTITUTE(SUBSTITUTE(SUBSTITUTE(SUBSTITUTE(SUBSTITUTE(SUBSTITUTE(SUBSTITUTE(SUBSTITUTE(MAIN!B985, "0", ""), "1", ""), "2", ""), "3", ""), "4", ""), "5", ""), "6", ""), "7", ""), "8", ""), "9", ""))))</f>
        <v>--</v>
      </c>
      <c r="C985" t="str">
        <f>IF(ISBLANK(MAIN!C985), "--", IFERROR(PROPER(SUBSTITUTE(SUBSTITUTE(SUBSTITUTE(SUBSTITUTE(SUBSTITUTE(SUBSTITUTE(SUBSTITUTE(SUBSTITUTE(SUBSTITUTE(SUBSTITUTE(LEFT(MAIN!C985, FIND(",",MAIN!C985) -1), "0", ""), "1", ""), "2", ""), "3", ""), "4", ""), "5", ""), "6", ""), "7", ""), "8", ""), "9", "")), PROPER(SUBSTITUTE(SUBSTITUTE(SUBSTITUTE(SUBSTITUTE(SUBSTITUTE(SUBSTITUTE(SUBSTITUTE(SUBSTITUTE(SUBSTITUTE(SUBSTITUTE(MAIN!C985, "0", ""), "1", ""), "2", ""), "3", ""), "4", ""), "5", ""), "6", ""), "7", ""), "8", ""), "9", ""))))</f>
        <v>--</v>
      </c>
      <c r="D985" t="str">
        <f>IF(ISBLANK(MAIN!D985), "--", IF(ISNUMBER(MATCH(SUBSTITUTE(LEFT(MAIN!D985, IFERROR(FIND(",", MAIN!D985)-1, LEN(MAIN!D985))), " ", ""), lookup_values!$B$2:$B$51, 0)), UPPER(SUBSTITUTE(LEFT(MAIN!D985, IFERROR(FIND(",", MAIN!D985)-1, LEN(MAIN!D985))), " ", "")), IF(ISNA(VLOOKUP(SUBSTITUTE(LEFT(MAIN!D985, IFERROR(FIND(",", MAIN!D985)-1, LEN(MAIN!D985))), " ", ""), lookup_values!$A$2:$B$51, 2, FALSE)), "--", VLOOKUP(SUBSTITUTE(LEFT(MAIN!D985, IFERROR(FIND(",", MAIN!D985)-1, LEN(MAIN!D985))), " ", ""), lookup_values!$A$2:$B$51, 2, FALSE))))</f>
        <v>--</v>
      </c>
      <c r="E985" t="str">
        <f>IF(CLEAN_DATA!D985&lt;&gt;"--","US",IF(ISBLANK(MAIN!E985), "--", IF(ISNUMBER(MATCH(SUBSTITUTE(LEFT(MAIN!E985, IFERROR(FIND(",", MAIN!E985)-1, LEN(MAIN!E985))), " ", ""), lookup_values!$E$2:$E$197, 0)), UPPER(SUBSTITUTE(LEFT(MAIN!E985, IFERROR(FIND(",", MAIN!E985)-1, LEN(MAIN!E985))), " ", "")), IF(ISNA(VLOOKUP(SUBSTITUTE(LEFT(MAIN!E985, IFERROR(FIND(",", MAIN!E985)-1, LEN(MAIN!E985))), " ", ""), lookup_values!$D$2:$E$197, 2, FALSE)), "--", VLOOKUP(SUBSTITUTE(LEFT(MAIN!E985, IFERROR(FIND(",", MAIN!E985)-1, LEN(MAIN!E985))), " ", ""), lookup_values!$D$2:$E$197, 2, FALSE)))))</f>
        <v>--</v>
      </c>
      <c r="F985" t="str">
        <f>IF(ISBLANK(MAIN!F985), "", IF(AND(ISNUMBER(VALUE(TRIM(MAIN!F985))), LEN(TRIM(MAIN!F985))=4), VALUE(TRIM(MAIN!F985)), ""))</f>
        <v/>
      </c>
      <c r="G985">
        <f>IF(ISBLANK(MAIN!G985), 0, IF(ISNUMBER(VALUE(TRIM(MAIN!G985))), VALUE(TRIM(MAIN!G985)), 0))</f>
        <v>0</v>
      </c>
      <c r="H985">
        <f>IF(ISBLANK(MAIN!H985), 0, IF(ISNUMBER(VALUE(TRIM(MAIN!H985))), VALUE(TRIM(MAIN!H985)), 0))</f>
        <v>0</v>
      </c>
      <c r="I985">
        <f>IF(ISBLANK(MAIN!I985), 0, IF(ISNUMBER(VALUE(TRIM(MAIN!I985))), VALUE(TRIM(MAIN!I985)), 0))</f>
        <v>0</v>
      </c>
      <c r="J985">
        <f>IF(ISBLANK(MAIN!J985), 0, IF(ISNUMBER(VALUE(TRIM(MAIN!J985))), VALUE(TRIM(MAIN!J985)), 0))</f>
        <v>0</v>
      </c>
      <c r="K985" cm="1">
        <f t="array" ref="K985">IFERROR(
    VALUE(
        IFERROR(
            UPPER(
                IF(MAX(IFERROR(SEARCH("WD",MAIN!G985:J985), 0))&gt;0, "WD",
                IF(MAX(IFERROR(SEARCH("NS",MAIN!G985:J985), 0))&gt;0, "NS",
                IF(MAX(IFERROR(SEARCH("NC",MAIN!G985:J985), 0))&gt;0, "NC",
                IF(MAX(IFERROR(SEARCH("DQ",MAIN!G985:J985), 0))&gt;0, "DQ",
                IF(ISNUMBER(SEARCH("WD",MAIN!K985)), "WD",
                IF(ISNUMBER(SEARCH("NS",MAIN!K985)), "NS",
                IF(ISNUMBER(SEARCH("NC",MAIN!K985)), "NC",
                IF(ISNUMBER(SEARCH("DQ",MAIN!K985)), "DQ",
                IF(ISNUMBER(SEARCH("A",MAIN!K985)), 0,
                IF(OR(MAIN!K985=0,MAIN!K985=""), 0, --TRIM(MAIN!K985)))))))))))),
            0
        )
    ),
    IFERROR(
        UPPER(
            IF(MAX(IFERROR(SEARCH("WD",MAIN!G985:J985), 0))&gt;0, "WD",
            IF(MAX(IFERROR(SEARCH("NS",MAIN!G985:J985), 0))&gt;0, "NS",
            IF(MAX(IFERROR(SEARCH("NC",MAIN!G985:J985), 0))&gt;0, "NC",
            IF(MAX(IFERROR(SEARCH("DQ",MAIN!G985:J985), 0))&gt;0, "DQ",
            IF(ISNUMBER(SEARCH("WD",MAIN!K985)), "WD",
            IF(ISNUMBER(SEARCH("NS",MAIN!K985)), "NS",
            IF(ISNUMBER(SEARCH("NC",MAIN!K985)), "NC",
            IF(ISNUMBER(SEARCH("DQ",MAIN!K985)), "DQ",
            IF(ISNUMBER(SEARCH("A",MAIN!K985)), 0,
            IF(OR(MAIN!K985=0,MAIN!K985=""), 0, --TRIM(MAIN!K985)))))))))))),
        0
    )
)</f>
        <v>0</v>
      </c>
    </row>
    <row r="986" spans="1:11" x14ac:dyDescent="0.25">
      <c r="A986" t="str">
        <f>IF(ISBLANK(MAIN!A986), "--", IFERROR(PROPER(SUBSTITUTE(SUBSTITUTE(SUBSTITUTE(SUBSTITUTE(SUBSTITUTE(SUBSTITUTE(SUBSTITUTE(SUBSTITUTE(SUBSTITUTE(SUBSTITUTE(LEFT(MAIN!A986, FIND(",",MAIN!A986) -1), "0", ""), "1", ""), "2", ""), "3", ""), "4", ""), "5", ""), "6", ""), "7", ""), "8", ""), "9", "")), PROPER(SUBSTITUTE(SUBSTITUTE(SUBSTITUTE(SUBSTITUTE(SUBSTITUTE(SUBSTITUTE(SUBSTITUTE(SUBSTITUTE(SUBSTITUTE(SUBSTITUTE(MAIN!A986, "0", ""), "1", ""), "2", ""), "3", ""), "4", ""), "5", ""), "6", ""), "7", ""), "8", ""), "9", ""))))</f>
        <v>--</v>
      </c>
      <c r="B986" t="str">
        <f>IF(ISBLANK(MAIN!B986), "--", IFERROR(PROPER(SUBSTITUTE(SUBSTITUTE(SUBSTITUTE(SUBSTITUTE(SUBSTITUTE(SUBSTITUTE(SUBSTITUTE(SUBSTITUTE(SUBSTITUTE(SUBSTITUTE(LEFT(MAIN!B986, FIND(",",MAIN!B986) -1), "0", ""), "1", ""), "2", ""), "3", ""), "4", ""), "5", ""), "6", ""), "7", ""), "8", ""), "9", "")), PROPER(SUBSTITUTE(SUBSTITUTE(SUBSTITUTE(SUBSTITUTE(SUBSTITUTE(SUBSTITUTE(SUBSTITUTE(SUBSTITUTE(SUBSTITUTE(SUBSTITUTE(MAIN!B986, "0", ""), "1", ""), "2", ""), "3", ""), "4", ""), "5", ""), "6", ""), "7", ""), "8", ""), "9", ""))))</f>
        <v>--</v>
      </c>
      <c r="C986" t="str">
        <f>IF(ISBLANK(MAIN!C986), "--", IFERROR(PROPER(SUBSTITUTE(SUBSTITUTE(SUBSTITUTE(SUBSTITUTE(SUBSTITUTE(SUBSTITUTE(SUBSTITUTE(SUBSTITUTE(SUBSTITUTE(SUBSTITUTE(LEFT(MAIN!C986, FIND(",",MAIN!C986) -1), "0", ""), "1", ""), "2", ""), "3", ""), "4", ""), "5", ""), "6", ""), "7", ""), "8", ""), "9", "")), PROPER(SUBSTITUTE(SUBSTITUTE(SUBSTITUTE(SUBSTITUTE(SUBSTITUTE(SUBSTITUTE(SUBSTITUTE(SUBSTITUTE(SUBSTITUTE(SUBSTITUTE(MAIN!C986, "0", ""), "1", ""), "2", ""), "3", ""), "4", ""), "5", ""), "6", ""), "7", ""), "8", ""), "9", ""))))</f>
        <v>--</v>
      </c>
      <c r="D986" t="str">
        <f>IF(ISBLANK(MAIN!D986), "--", IF(ISNUMBER(MATCH(SUBSTITUTE(LEFT(MAIN!D986, IFERROR(FIND(",", MAIN!D986)-1, LEN(MAIN!D986))), " ", ""), lookup_values!$B$2:$B$51, 0)), UPPER(SUBSTITUTE(LEFT(MAIN!D986, IFERROR(FIND(",", MAIN!D986)-1, LEN(MAIN!D986))), " ", "")), IF(ISNA(VLOOKUP(SUBSTITUTE(LEFT(MAIN!D986, IFERROR(FIND(",", MAIN!D986)-1, LEN(MAIN!D986))), " ", ""), lookup_values!$A$2:$B$51, 2, FALSE)), "--", VLOOKUP(SUBSTITUTE(LEFT(MAIN!D986, IFERROR(FIND(",", MAIN!D986)-1, LEN(MAIN!D986))), " ", ""), lookup_values!$A$2:$B$51, 2, FALSE))))</f>
        <v>--</v>
      </c>
      <c r="E986" t="str">
        <f>IF(CLEAN_DATA!D986&lt;&gt;"--","US",IF(ISBLANK(MAIN!E986), "--", IF(ISNUMBER(MATCH(SUBSTITUTE(LEFT(MAIN!E986, IFERROR(FIND(",", MAIN!E986)-1, LEN(MAIN!E986))), " ", ""), lookup_values!$E$2:$E$197, 0)), UPPER(SUBSTITUTE(LEFT(MAIN!E986, IFERROR(FIND(",", MAIN!E986)-1, LEN(MAIN!E986))), " ", "")), IF(ISNA(VLOOKUP(SUBSTITUTE(LEFT(MAIN!E986, IFERROR(FIND(",", MAIN!E986)-1, LEN(MAIN!E986))), " ", ""), lookup_values!$D$2:$E$197, 2, FALSE)), "--", VLOOKUP(SUBSTITUTE(LEFT(MAIN!E986, IFERROR(FIND(",", MAIN!E986)-1, LEN(MAIN!E986))), " ", ""), lookup_values!$D$2:$E$197, 2, FALSE)))))</f>
        <v>--</v>
      </c>
      <c r="F986" t="str">
        <f>IF(ISBLANK(MAIN!F986), "", IF(AND(ISNUMBER(VALUE(TRIM(MAIN!F986))), LEN(TRIM(MAIN!F986))=4), VALUE(TRIM(MAIN!F986)), ""))</f>
        <v/>
      </c>
      <c r="G986">
        <f>IF(ISBLANK(MAIN!G986), 0, IF(ISNUMBER(VALUE(TRIM(MAIN!G986))), VALUE(TRIM(MAIN!G986)), 0))</f>
        <v>0</v>
      </c>
      <c r="H986">
        <f>IF(ISBLANK(MAIN!H986), 0, IF(ISNUMBER(VALUE(TRIM(MAIN!H986))), VALUE(TRIM(MAIN!H986)), 0))</f>
        <v>0</v>
      </c>
      <c r="I986">
        <f>IF(ISBLANK(MAIN!I986), 0, IF(ISNUMBER(VALUE(TRIM(MAIN!I986))), VALUE(TRIM(MAIN!I986)), 0))</f>
        <v>0</v>
      </c>
      <c r="J986">
        <f>IF(ISBLANK(MAIN!J986), 0, IF(ISNUMBER(VALUE(TRIM(MAIN!J986))), VALUE(TRIM(MAIN!J986)), 0))</f>
        <v>0</v>
      </c>
      <c r="K986" cm="1">
        <f t="array" ref="K986">IFERROR(
    VALUE(
        IFERROR(
            UPPER(
                IF(MAX(IFERROR(SEARCH("WD",MAIN!G986:J986), 0))&gt;0, "WD",
                IF(MAX(IFERROR(SEARCH("NS",MAIN!G986:J986), 0))&gt;0, "NS",
                IF(MAX(IFERROR(SEARCH("NC",MAIN!G986:J986), 0))&gt;0, "NC",
                IF(MAX(IFERROR(SEARCH("DQ",MAIN!G986:J986), 0))&gt;0, "DQ",
                IF(ISNUMBER(SEARCH("WD",MAIN!K986)), "WD",
                IF(ISNUMBER(SEARCH("NS",MAIN!K986)), "NS",
                IF(ISNUMBER(SEARCH("NC",MAIN!K986)), "NC",
                IF(ISNUMBER(SEARCH("DQ",MAIN!K986)), "DQ",
                IF(ISNUMBER(SEARCH("A",MAIN!K986)), 0,
                IF(OR(MAIN!K986=0,MAIN!K986=""), 0, --TRIM(MAIN!K986)))))))))))),
            0
        )
    ),
    IFERROR(
        UPPER(
            IF(MAX(IFERROR(SEARCH("WD",MAIN!G986:J986), 0))&gt;0, "WD",
            IF(MAX(IFERROR(SEARCH("NS",MAIN!G986:J986), 0))&gt;0, "NS",
            IF(MAX(IFERROR(SEARCH("NC",MAIN!G986:J986), 0))&gt;0, "NC",
            IF(MAX(IFERROR(SEARCH("DQ",MAIN!G986:J986), 0))&gt;0, "DQ",
            IF(ISNUMBER(SEARCH("WD",MAIN!K986)), "WD",
            IF(ISNUMBER(SEARCH("NS",MAIN!K986)), "NS",
            IF(ISNUMBER(SEARCH("NC",MAIN!K986)), "NC",
            IF(ISNUMBER(SEARCH("DQ",MAIN!K986)), "DQ",
            IF(ISNUMBER(SEARCH("A",MAIN!K986)), 0,
            IF(OR(MAIN!K986=0,MAIN!K986=""), 0, --TRIM(MAIN!K986)))))))))))),
        0
    )
)</f>
        <v>0</v>
      </c>
    </row>
    <row r="987" spans="1:11" x14ac:dyDescent="0.25">
      <c r="A987" t="str">
        <f>IF(ISBLANK(MAIN!A987), "--", IFERROR(PROPER(SUBSTITUTE(SUBSTITUTE(SUBSTITUTE(SUBSTITUTE(SUBSTITUTE(SUBSTITUTE(SUBSTITUTE(SUBSTITUTE(SUBSTITUTE(SUBSTITUTE(LEFT(MAIN!A987, FIND(",",MAIN!A987) -1), "0", ""), "1", ""), "2", ""), "3", ""), "4", ""), "5", ""), "6", ""), "7", ""), "8", ""), "9", "")), PROPER(SUBSTITUTE(SUBSTITUTE(SUBSTITUTE(SUBSTITUTE(SUBSTITUTE(SUBSTITUTE(SUBSTITUTE(SUBSTITUTE(SUBSTITUTE(SUBSTITUTE(MAIN!A987, "0", ""), "1", ""), "2", ""), "3", ""), "4", ""), "5", ""), "6", ""), "7", ""), "8", ""), "9", ""))))</f>
        <v>--</v>
      </c>
      <c r="B987" t="str">
        <f>IF(ISBLANK(MAIN!B987), "--", IFERROR(PROPER(SUBSTITUTE(SUBSTITUTE(SUBSTITUTE(SUBSTITUTE(SUBSTITUTE(SUBSTITUTE(SUBSTITUTE(SUBSTITUTE(SUBSTITUTE(SUBSTITUTE(LEFT(MAIN!B987, FIND(",",MAIN!B987) -1), "0", ""), "1", ""), "2", ""), "3", ""), "4", ""), "5", ""), "6", ""), "7", ""), "8", ""), "9", "")), PROPER(SUBSTITUTE(SUBSTITUTE(SUBSTITUTE(SUBSTITUTE(SUBSTITUTE(SUBSTITUTE(SUBSTITUTE(SUBSTITUTE(SUBSTITUTE(SUBSTITUTE(MAIN!B987, "0", ""), "1", ""), "2", ""), "3", ""), "4", ""), "5", ""), "6", ""), "7", ""), "8", ""), "9", ""))))</f>
        <v>--</v>
      </c>
      <c r="C987" t="str">
        <f>IF(ISBLANK(MAIN!C987), "--", IFERROR(PROPER(SUBSTITUTE(SUBSTITUTE(SUBSTITUTE(SUBSTITUTE(SUBSTITUTE(SUBSTITUTE(SUBSTITUTE(SUBSTITUTE(SUBSTITUTE(SUBSTITUTE(LEFT(MAIN!C987, FIND(",",MAIN!C987) -1), "0", ""), "1", ""), "2", ""), "3", ""), "4", ""), "5", ""), "6", ""), "7", ""), "8", ""), "9", "")), PROPER(SUBSTITUTE(SUBSTITUTE(SUBSTITUTE(SUBSTITUTE(SUBSTITUTE(SUBSTITUTE(SUBSTITUTE(SUBSTITUTE(SUBSTITUTE(SUBSTITUTE(MAIN!C987, "0", ""), "1", ""), "2", ""), "3", ""), "4", ""), "5", ""), "6", ""), "7", ""), "8", ""), "9", ""))))</f>
        <v>--</v>
      </c>
      <c r="D987" t="str">
        <f>IF(ISBLANK(MAIN!D987), "--", IF(ISNUMBER(MATCH(SUBSTITUTE(LEFT(MAIN!D987, IFERROR(FIND(",", MAIN!D987)-1, LEN(MAIN!D987))), " ", ""), lookup_values!$B$2:$B$51, 0)), UPPER(SUBSTITUTE(LEFT(MAIN!D987, IFERROR(FIND(",", MAIN!D987)-1, LEN(MAIN!D987))), " ", "")), IF(ISNA(VLOOKUP(SUBSTITUTE(LEFT(MAIN!D987, IFERROR(FIND(",", MAIN!D987)-1, LEN(MAIN!D987))), " ", ""), lookup_values!$A$2:$B$51, 2, FALSE)), "--", VLOOKUP(SUBSTITUTE(LEFT(MAIN!D987, IFERROR(FIND(",", MAIN!D987)-1, LEN(MAIN!D987))), " ", ""), lookup_values!$A$2:$B$51, 2, FALSE))))</f>
        <v>--</v>
      </c>
      <c r="E987" t="str">
        <f>IF(CLEAN_DATA!D987&lt;&gt;"--","US",IF(ISBLANK(MAIN!E987), "--", IF(ISNUMBER(MATCH(SUBSTITUTE(LEFT(MAIN!E987, IFERROR(FIND(",", MAIN!E987)-1, LEN(MAIN!E987))), " ", ""), lookup_values!$E$2:$E$197, 0)), UPPER(SUBSTITUTE(LEFT(MAIN!E987, IFERROR(FIND(",", MAIN!E987)-1, LEN(MAIN!E987))), " ", "")), IF(ISNA(VLOOKUP(SUBSTITUTE(LEFT(MAIN!E987, IFERROR(FIND(",", MAIN!E987)-1, LEN(MAIN!E987))), " ", ""), lookup_values!$D$2:$E$197, 2, FALSE)), "--", VLOOKUP(SUBSTITUTE(LEFT(MAIN!E987, IFERROR(FIND(",", MAIN!E987)-1, LEN(MAIN!E987))), " ", ""), lookup_values!$D$2:$E$197, 2, FALSE)))))</f>
        <v>--</v>
      </c>
      <c r="F987" t="str">
        <f>IF(ISBLANK(MAIN!F987), "", IF(AND(ISNUMBER(VALUE(TRIM(MAIN!F987))), LEN(TRIM(MAIN!F987))=4), VALUE(TRIM(MAIN!F987)), ""))</f>
        <v/>
      </c>
      <c r="G987">
        <f>IF(ISBLANK(MAIN!G987), 0, IF(ISNUMBER(VALUE(TRIM(MAIN!G987))), VALUE(TRIM(MAIN!G987)), 0))</f>
        <v>0</v>
      </c>
      <c r="H987">
        <f>IF(ISBLANK(MAIN!H987), 0, IF(ISNUMBER(VALUE(TRIM(MAIN!H987))), VALUE(TRIM(MAIN!H987)), 0))</f>
        <v>0</v>
      </c>
      <c r="I987">
        <f>IF(ISBLANK(MAIN!I987), 0, IF(ISNUMBER(VALUE(TRIM(MAIN!I987))), VALUE(TRIM(MAIN!I987)), 0))</f>
        <v>0</v>
      </c>
      <c r="J987">
        <f>IF(ISBLANK(MAIN!J987), 0, IF(ISNUMBER(VALUE(TRIM(MAIN!J987))), VALUE(TRIM(MAIN!J987)), 0))</f>
        <v>0</v>
      </c>
      <c r="K987" cm="1">
        <f t="array" ref="K987">IFERROR(
    VALUE(
        IFERROR(
            UPPER(
                IF(MAX(IFERROR(SEARCH("WD",MAIN!G987:J987), 0))&gt;0, "WD",
                IF(MAX(IFERROR(SEARCH("NS",MAIN!G987:J987), 0))&gt;0, "NS",
                IF(MAX(IFERROR(SEARCH("NC",MAIN!G987:J987), 0))&gt;0, "NC",
                IF(MAX(IFERROR(SEARCH("DQ",MAIN!G987:J987), 0))&gt;0, "DQ",
                IF(ISNUMBER(SEARCH("WD",MAIN!K987)), "WD",
                IF(ISNUMBER(SEARCH("NS",MAIN!K987)), "NS",
                IF(ISNUMBER(SEARCH("NC",MAIN!K987)), "NC",
                IF(ISNUMBER(SEARCH("DQ",MAIN!K987)), "DQ",
                IF(ISNUMBER(SEARCH("A",MAIN!K987)), 0,
                IF(OR(MAIN!K987=0,MAIN!K987=""), 0, --TRIM(MAIN!K987)))))))))))),
            0
        )
    ),
    IFERROR(
        UPPER(
            IF(MAX(IFERROR(SEARCH("WD",MAIN!G987:J987), 0))&gt;0, "WD",
            IF(MAX(IFERROR(SEARCH("NS",MAIN!G987:J987), 0))&gt;0, "NS",
            IF(MAX(IFERROR(SEARCH("NC",MAIN!G987:J987), 0))&gt;0, "NC",
            IF(MAX(IFERROR(SEARCH("DQ",MAIN!G987:J987), 0))&gt;0, "DQ",
            IF(ISNUMBER(SEARCH("WD",MAIN!K987)), "WD",
            IF(ISNUMBER(SEARCH("NS",MAIN!K987)), "NS",
            IF(ISNUMBER(SEARCH("NC",MAIN!K987)), "NC",
            IF(ISNUMBER(SEARCH("DQ",MAIN!K987)), "DQ",
            IF(ISNUMBER(SEARCH("A",MAIN!K987)), 0,
            IF(OR(MAIN!K987=0,MAIN!K987=""), 0, --TRIM(MAIN!K987)))))))))))),
        0
    )
)</f>
        <v>0</v>
      </c>
    </row>
    <row r="988" spans="1:11" x14ac:dyDescent="0.25">
      <c r="A988" t="str">
        <f>IF(ISBLANK(MAIN!A988), "--", IFERROR(PROPER(SUBSTITUTE(SUBSTITUTE(SUBSTITUTE(SUBSTITUTE(SUBSTITUTE(SUBSTITUTE(SUBSTITUTE(SUBSTITUTE(SUBSTITUTE(SUBSTITUTE(LEFT(MAIN!A988, FIND(",",MAIN!A988) -1), "0", ""), "1", ""), "2", ""), "3", ""), "4", ""), "5", ""), "6", ""), "7", ""), "8", ""), "9", "")), PROPER(SUBSTITUTE(SUBSTITUTE(SUBSTITUTE(SUBSTITUTE(SUBSTITUTE(SUBSTITUTE(SUBSTITUTE(SUBSTITUTE(SUBSTITUTE(SUBSTITUTE(MAIN!A988, "0", ""), "1", ""), "2", ""), "3", ""), "4", ""), "5", ""), "6", ""), "7", ""), "8", ""), "9", ""))))</f>
        <v>--</v>
      </c>
      <c r="B988" t="str">
        <f>IF(ISBLANK(MAIN!B988), "--", IFERROR(PROPER(SUBSTITUTE(SUBSTITUTE(SUBSTITUTE(SUBSTITUTE(SUBSTITUTE(SUBSTITUTE(SUBSTITUTE(SUBSTITUTE(SUBSTITUTE(SUBSTITUTE(LEFT(MAIN!B988, FIND(",",MAIN!B988) -1), "0", ""), "1", ""), "2", ""), "3", ""), "4", ""), "5", ""), "6", ""), "7", ""), "8", ""), "9", "")), PROPER(SUBSTITUTE(SUBSTITUTE(SUBSTITUTE(SUBSTITUTE(SUBSTITUTE(SUBSTITUTE(SUBSTITUTE(SUBSTITUTE(SUBSTITUTE(SUBSTITUTE(MAIN!B988, "0", ""), "1", ""), "2", ""), "3", ""), "4", ""), "5", ""), "6", ""), "7", ""), "8", ""), "9", ""))))</f>
        <v>--</v>
      </c>
      <c r="C988" t="str">
        <f>IF(ISBLANK(MAIN!C988), "--", IFERROR(PROPER(SUBSTITUTE(SUBSTITUTE(SUBSTITUTE(SUBSTITUTE(SUBSTITUTE(SUBSTITUTE(SUBSTITUTE(SUBSTITUTE(SUBSTITUTE(SUBSTITUTE(LEFT(MAIN!C988, FIND(",",MAIN!C988) -1), "0", ""), "1", ""), "2", ""), "3", ""), "4", ""), "5", ""), "6", ""), "7", ""), "8", ""), "9", "")), PROPER(SUBSTITUTE(SUBSTITUTE(SUBSTITUTE(SUBSTITUTE(SUBSTITUTE(SUBSTITUTE(SUBSTITUTE(SUBSTITUTE(SUBSTITUTE(SUBSTITUTE(MAIN!C988, "0", ""), "1", ""), "2", ""), "3", ""), "4", ""), "5", ""), "6", ""), "7", ""), "8", ""), "9", ""))))</f>
        <v>--</v>
      </c>
      <c r="D988" t="str">
        <f>IF(ISBLANK(MAIN!D988), "--", IF(ISNUMBER(MATCH(SUBSTITUTE(LEFT(MAIN!D988, IFERROR(FIND(",", MAIN!D988)-1, LEN(MAIN!D988))), " ", ""), lookup_values!$B$2:$B$51, 0)), UPPER(SUBSTITUTE(LEFT(MAIN!D988, IFERROR(FIND(",", MAIN!D988)-1, LEN(MAIN!D988))), " ", "")), IF(ISNA(VLOOKUP(SUBSTITUTE(LEFT(MAIN!D988, IFERROR(FIND(",", MAIN!D988)-1, LEN(MAIN!D988))), " ", ""), lookup_values!$A$2:$B$51, 2, FALSE)), "--", VLOOKUP(SUBSTITUTE(LEFT(MAIN!D988, IFERROR(FIND(",", MAIN!D988)-1, LEN(MAIN!D988))), " ", ""), lookup_values!$A$2:$B$51, 2, FALSE))))</f>
        <v>--</v>
      </c>
      <c r="E988" t="str">
        <f>IF(CLEAN_DATA!D988&lt;&gt;"--","US",IF(ISBLANK(MAIN!E988), "--", IF(ISNUMBER(MATCH(SUBSTITUTE(LEFT(MAIN!E988, IFERROR(FIND(",", MAIN!E988)-1, LEN(MAIN!E988))), " ", ""), lookup_values!$E$2:$E$197, 0)), UPPER(SUBSTITUTE(LEFT(MAIN!E988, IFERROR(FIND(",", MAIN!E988)-1, LEN(MAIN!E988))), " ", "")), IF(ISNA(VLOOKUP(SUBSTITUTE(LEFT(MAIN!E988, IFERROR(FIND(",", MAIN!E988)-1, LEN(MAIN!E988))), " ", ""), lookup_values!$D$2:$E$197, 2, FALSE)), "--", VLOOKUP(SUBSTITUTE(LEFT(MAIN!E988, IFERROR(FIND(",", MAIN!E988)-1, LEN(MAIN!E988))), " ", ""), lookup_values!$D$2:$E$197, 2, FALSE)))))</f>
        <v>--</v>
      </c>
      <c r="F988" t="str">
        <f>IF(ISBLANK(MAIN!F988), "", IF(AND(ISNUMBER(VALUE(TRIM(MAIN!F988))), LEN(TRIM(MAIN!F988))=4), VALUE(TRIM(MAIN!F988)), ""))</f>
        <v/>
      </c>
      <c r="G988">
        <f>IF(ISBLANK(MAIN!G988), 0, IF(ISNUMBER(VALUE(TRIM(MAIN!G988))), VALUE(TRIM(MAIN!G988)), 0))</f>
        <v>0</v>
      </c>
      <c r="H988">
        <f>IF(ISBLANK(MAIN!H988), 0, IF(ISNUMBER(VALUE(TRIM(MAIN!H988))), VALUE(TRIM(MAIN!H988)), 0))</f>
        <v>0</v>
      </c>
      <c r="I988">
        <f>IF(ISBLANK(MAIN!I988), 0, IF(ISNUMBER(VALUE(TRIM(MAIN!I988))), VALUE(TRIM(MAIN!I988)), 0))</f>
        <v>0</v>
      </c>
      <c r="J988">
        <f>IF(ISBLANK(MAIN!J988), 0, IF(ISNUMBER(VALUE(TRIM(MAIN!J988))), VALUE(TRIM(MAIN!J988)), 0))</f>
        <v>0</v>
      </c>
      <c r="K988" cm="1">
        <f t="array" ref="K988">IFERROR(
    VALUE(
        IFERROR(
            UPPER(
                IF(MAX(IFERROR(SEARCH("WD",MAIN!G988:J988), 0))&gt;0, "WD",
                IF(MAX(IFERROR(SEARCH("NS",MAIN!G988:J988), 0))&gt;0, "NS",
                IF(MAX(IFERROR(SEARCH("NC",MAIN!G988:J988), 0))&gt;0, "NC",
                IF(MAX(IFERROR(SEARCH("DQ",MAIN!G988:J988), 0))&gt;0, "DQ",
                IF(ISNUMBER(SEARCH("WD",MAIN!K988)), "WD",
                IF(ISNUMBER(SEARCH("NS",MAIN!K988)), "NS",
                IF(ISNUMBER(SEARCH("NC",MAIN!K988)), "NC",
                IF(ISNUMBER(SEARCH("DQ",MAIN!K988)), "DQ",
                IF(ISNUMBER(SEARCH("A",MAIN!K988)), 0,
                IF(OR(MAIN!K988=0,MAIN!K988=""), 0, --TRIM(MAIN!K988)))))))))))),
            0
        )
    ),
    IFERROR(
        UPPER(
            IF(MAX(IFERROR(SEARCH("WD",MAIN!G988:J988), 0))&gt;0, "WD",
            IF(MAX(IFERROR(SEARCH("NS",MAIN!G988:J988), 0))&gt;0, "NS",
            IF(MAX(IFERROR(SEARCH("NC",MAIN!G988:J988), 0))&gt;0, "NC",
            IF(MAX(IFERROR(SEARCH("DQ",MAIN!G988:J988), 0))&gt;0, "DQ",
            IF(ISNUMBER(SEARCH("WD",MAIN!K988)), "WD",
            IF(ISNUMBER(SEARCH("NS",MAIN!K988)), "NS",
            IF(ISNUMBER(SEARCH("NC",MAIN!K988)), "NC",
            IF(ISNUMBER(SEARCH("DQ",MAIN!K988)), "DQ",
            IF(ISNUMBER(SEARCH("A",MAIN!K988)), 0,
            IF(OR(MAIN!K988=0,MAIN!K988=""), 0, --TRIM(MAIN!K988)))))))))))),
        0
    )
)</f>
        <v>0</v>
      </c>
    </row>
    <row r="989" spans="1:11" x14ac:dyDescent="0.25">
      <c r="A989" t="str">
        <f>IF(ISBLANK(MAIN!A989), "--", IFERROR(PROPER(SUBSTITUTE(SUBSTITUTE(SUBSTITUTE(SUBSTITUTE(SUBSTITUTE(SUBSTITUTE(SUBSTITUTE(SUBSTITUTE(SUBSTITUTE(SUBSTITUTE(LEFT(MAIN!A989, FIND(",",MAIN!A989) -1), "0", ""), "1", ""), "2", ""), "3", ""), "4", ""), "5", ""), "6", ""), "7", ""), "8", ""), "9", "")), PROPER(SUBSTITUTE(SUBSTITUTE(SUBSTITUTE(SUBSTITUTE(SUBSTITUTE(SUBSTITUTE(SUBSTITUTE(SUBSTITUTE(SUBSTITUTE(SUBSTITUTE(MAIN!A989, "0", ""), "1", ""), "2", ""), "3", ""), "4", ""), "5", ""), "6", ""), "7", ""), "8", ""), "9", ""))))</f>
        <v>--</v>
      </c>
      <c r="B989" t="str">
        <f>IF(ISBLANK(MAIN!B989), "--", IFERROR(PROPER(SUBSTITUTE(SUBSTITUTE(SUBSTITUTE(SUBSTITUTE(SUBSTITUTE(SUBSTITUTE(SUBSTITUTE(SUBSTITUTE(SUBSTITUTE(SUBSTITUTE(LEFT(MAIN!B989, FIND(",",MAIN!B989) -1), "0", ""), "1", ""), "2", ""), "3", ""), "4", ""), "5", ""), "6", ""), "7", ""), "8", ""), "9", "")), PROPER(SUBSTITUTE(SUBSTITUTE(SUBSTITUTE(SUBSTITUTE(SUBSTITUTE(SUBSTITUTE(SUBSTITUTE(SUBSTITUTE(SUBSTITUTE(SUBSTITUTE(MAIN!B989, "0", ""), "1", ""), "2", ""), "3", ""), "4", ""), "5", ""), "6", ""), "7", ""), "8", ""), "9", ""))))</f>
        <v>--</v>
      </c>
      <c r="C989" t="str">
        <f>IF(ISBLANK(MAIN!C989), "--", IFERROR(PROPER(SUBSTITUTE(SUBSTITUTE(SUBSTITUTE(SUBSTITUTE(SUBSTITUTE(SUBSTITUTE(SUBSTITUTE(SUBSTITUTE(SUBSTITUTE(SUBSTITUTE(LEFT(MAIN!C989, FIND(",",MAIN!C989) -1), "0", ""), "1", ""), "2", ""), "3", ""), "4", ""), "5", ""), "6", ""), "7", ""), "8", ""), "9", "")), PROPER(SUBSTITUTE(SUBSTITUTE(SUBSTITUTE(SUBSTITUTE(SUBSTITUTE(SUBSTITUTE(SUBSTITUTE(SUBSTITUTE(SUBSTITUTE(SUBSTITUTE(MAIN!C989, "0", ""), "1", ""), "2", ""), "3", ""), "4", ""), "5", ""), "6", ""), "7", ""), "8", ""), "9", ""))))</f>
        <v>--</v>
      </c>
      <c r="D989" t="str">
        <f>IF(ISBLANK(MAIN!D989), "--", IF(ISNUMBER(MATCH(SUBSTITUTE(LEFT(MAIN!D989, IFERROR(FIND(",", MAIN!D989)-1, LEN(MAIN!D989))), " ", ""), lookup_values!$B$2:$B$51, 0)), UPPER(SUBSTITUTE(LEFT(MAIN!D989, IFERROR(FIND(",", MAIN!D989)-1, LEN(MAIN!D989))), " ", "")), IF(ISNA(VLOOKUP(SUBSTITUTE(LEFT(MAIN!D989, IFERROR(FIND(",", MAIN!D989)-1, LEN(MAIN!D989))), " ", ""), lookup_values!$A$2:$B$51, 2, FALSE)), "--", VLOOKUP(SUBSTITUTE(LEFT(MAIN!D989, IFERROR(FIND(",", MAIN!D989)-1, LEN(MAIN!D989))), " ", ""), lookup_values!$A$2:$B$51, 2, FALSE))))</f>
        <v>--</v>
      </c>
      <c r="E989" t="str">
        <f>IF(CLEAN_DATA!D989&lt;&gt;"--","US",IF(ISBLANK(MAIN!E989), "--", IF(ISNUMBER(MATCH(SUBSTITUTE(LEFT(MAIN!E989, IFERROR(FIND(",", MAIN!E989)-1, LEN(MAIN!E989))), " ", ""), lookup_values!$E$2:$E$197, 0)), UPPER(SUBSTITUTE(LEFT(MAIN!E989, IFERROR(FIND(",", MAIN!E989)-1, LEN(MAIN!E989))), " ", "")), IF(ISNA(VLOOKUP(SUBSTITUTE(LEFT(MAIN!E989, IFERROR(FIND(",", MAIN!E989)-1, LEN(MAIN!E989))), " ", ""), lookup_values!$D$2:$E$197, 2, FALSE)), "--", VLOOKUP(SUBSTITUTE(LEFT(MAIN!E989, IFERROR(FIND(",", MAIN!E989)-1, LEN(MAIN!E989))), " ", ""), lookup_values!$D$2:$E$197, 2, FALSE)))))</f>
        <v>--</v>
      </c>
      <c r="F989" t="str">
        <f>IF(ISBLANK(MAIN!F989), "", IF(AND(ISNUMBER(VALUE(TRIM(MAIN!F989))), LEN(TRIM(MAIN!F989))=4), VALUE(TRIM(MAIN!F989)), ""))</f>
        <v/>
      </c>
      <c r="G989">
        <f>IF(ISBLANK(MAIN!G989), 0, IF(ISNUMBER(VALUE(TRIM(MAIN!G989))), VALUE(TRIM(MAIN!G989)), 0))</f>
        <v>0</v>
      </c>
      <c r="H989">
        <f>IF(ISBLANK(MAIN!H989), 0, IF(ISNUMBER(VALUE(TRIM(MAIN!H989))), VALUE(TRIM(MAIN!H989)), 0))</f>
        <v>0</v>
      </c>
      <c r="I989">
        <f>IF(ISBLANK(MAIN!I989), 0, IF(ISNUMBER(VALUE(TRIM(MAIN!I989))), VALUE(TRIM(MAIN!I989)), 0))</f>
        <v>0</v>
      </c>
      <c r="J989">
        <f>IF(ISBLANK(MAIN!J989), 0, IF(ISNUMBER(VALUE(TRIM(MAIN!J989))), VALUE(TRIM(MAIN!J989)), 0))</f>
        <v>0</v>
      </c>
      <c r="K989" cm="1">
        <f t="array" ref="K989">IFERROR(
    VALUE(
        IFERROR(
            UPPER(
                IF(MAX(IFERROR(SEARCH("WD",MAIN!G989:J989), 0))&gt;0, "WD",
                IF(MAX(IFERROR(SEARCH("NS",MAIN!G989:J989), 0))&gt;0, "NS",
                IF(MAX(IFERROR(SEARCH("NC",MAIN!G989:J989), 0))&gt;0, "NC",
                IF(MAX(IFERROR(SEARCH("DQ",MAIN!G989:J989), 0))&gt;0, "DQ",
                IF(ISNUMBER(SEARCH("WD",MAIN!K989)), "WD",
                IF(ISNUMBER(SEARCH("NS",MAIN!K989)), "NS",
                IF(ISNUMBER(SEARCH("NC",MAIN!K989)), "NC",
                IF(ISNUMBER(SEARCH("DQ",MAIN!K989)), "DQ",
                IF(ISNUMBER(SEARCH("A",MAIN!K989)), 0,
                IF(OR(MAIN!K989=0,MAIN!K989=""), 0, --TRIM(MAIN!K989)))))))))))),
            0
        )
    ),
    IFERROR(
        UPPER(
            IF(MAX(IFERROR(SEARCH("WD",MAIN!G989:J989), 0))&gt;0, "WD",
            IF(MAX(IFERROR(SEARCH("NS",MAIN!G989:J989), 0))&gt;0, "NS",
            IF(MAX(IFERROR(SEARCH("NC",MAIN!G989:J989), 0))&gt;0, "NC",
            IF(MAX(IFERROR(SEARCH("DQ",MAIN!G989:J989), 0))&gt;0, "DQ",
            IF(ISNUMBER(SEARCH("WD",MAIN!K989)), "WD",
            IF(ISNUMBER(SEARCH("NS",MAIN!K989)), "NS",
            IF(ISNUMBER(SEARCH("NC",MAIN!K989)), "NC",
            IF(ISNUMBER(SEARCH("DQ",MAIN!K989)), "DQ",
            IF(ISNUMBER(SEARCH("A",MAIN!K989)), 0,
            IF(OR(MAIN!K989=0,MAIN!K989=""), 0, --TRIM(MAIN!K989)))))))))))),
        0
    )
)</f>
        <v>0</v>
      </c>
    </row>
    <row r="990" spans="1:11" x14ac:dyDescent="0.25">
      <c r="A990" t="str">
        <f>IF(ISBLANK(MAIN!A990), "--", IFERROR(PROPER(SUBSTITUTE(SUBSTITUTE(SUBSTITUTE(SUBSTITUTE(SUBSTITUTE(SUBSTITUTE(SUBSTITUTE(SUBSTITUTE(SUBSTITUTE(SUBSTITUTE(LEFT(MAIN!A990, FIND(",",MAIN!A990) -1), "0", ""), "1", ""), "2", ""), "3", ""), "4", ""), "5", ""), "6", ""), "7", ""), "8", ""), "9", "")), PROPER(SUBSTITUTE(SUBSTITUTE(SUBSTITUTE(SUBSTITUTE(SUBSTITUTE(SUBSTITUTE(SUBSTITUTE(SUBSTITUTE(SUBSTITUTE(SUBSTITUTE(MAIN!A990, "0", ""), "1", ""), "2", ""), "3", ""), "4", ""), "5", ""), "6", ""), "7", ""), "8", ""), "9", ""))))</f>
        <v>--</v>
      </c>
      <c r="B990" t="str">
        <f>IF(ISBLANK(MAIN!B990), "--", IFERROR(PROPER(SUBSTITUTE(SUBSTITUTE(SUBSTITUTE(SUBSTITUTE(SUBSTITUTE(SUBSTITUTE(SUBSTITUTE(SUBSTITUTE(SUBSTITUTE(SUBSTITUTE(LEFT(MAIN!B990, FIND(",",MAIN!B990) -1), "0", ""), "1", ""), "2", ""), "3", ""), "4", ""), "5", ""), "6", ""), "7", ""), "8", ""), "9", "")), PROPER(SUBSTITUTE(SUBSTITUTE(SUBSTITUTE(SUBSTITUTE(SUBSTITUTE(SUBSTITUTE(SUBSTITUTE(SUBSTITUTE(SUBSTITUTE(SUBSTITUTE(MAIN!B990, "0", ""), "1", ""), "2", ""), "3", ""), "4", ""), "5", ""), "6", ""), "7", ""), "8", ""), "9", ""))))</f>
        <v>--</v>
      </c>
      <c r="C990" t="str">
        <f>IF(ISBLANK(MAIN!C990), "--", IFERROR(PROPER(SUBSTITUTE(SUBSTITUTE(SUBSTITUTE(SUBSTITUTE(SUBSTITUTE(SUBSTITUTE(SUBSTITUTE(SUBSTITUTE(SUBSTITUTE(SUBSTITUTE(LEFT(MAIN!C990, FIND(",",MAIN!C990) -1), "0", ""), "1", ""), "2", ""), "3", ""), "4", ""), "5", ""), "6", ""), "7", ""), "8", ""), "9", "")), PROPER(SUBSTITUTE(SUBSTITUTE(SUBSTITUTE(SUBSTITUTE(SUBSTITUTE(SUBSTITUTE(SUBSTITUTE(SUBSTITUTE(SUBSTITUTE(SUBSTITUTE(MAIN!C990, "0", ""), "1", ""), "2", ""), "3", ""), "4", ""), "5", ""), "6", ""), "7", ""), "8", ""), "9", ""))))</f>
        <v>--</v>
      </c>
      <c r="D990" t="str">
        <f>IF(ISBLANK(MAIN!D990), "--", IF(ISNUMBER(MATCH(SUBSTITUTE(LEFT(MAIN!D990, IFERROR(FIND(",", MAIN!D990)-1, LEN(MAIN!D990))), " ", ""), lookup_values!$B$2:$B$51, 0)), UPPER(SUBSTITUTE(LEFT(MAIN!D990, IFERROR(FIND(",", MAIN!D990)-1, LEN(MAIN!D990))), " ", "")), IF(ISNA(VLOOKUP(SUBSTITUTE(LEFT(MAIN!D990, IFERROR(FIND(",", MAIN!D990)-1, LEN(MAIN!D990))), " ", ""), lookup_values!$A$2:$B$51, 2, FALSE)), "--", VLOOKUP(SUBSTITUTE(LEFT(MAIN!D990, IFERROR(FIND(",", MAIN!D990)-1, LEN(MAIN!D990))), " ", ""), lookup_values!$A$2:$B$51, 2, FALSE))))</f>
        <v>--</v>
      </c>
      <c r="E990" t="str">
        <f>IF(CLEAN_DATA!D990&lt;&gt;"--","US",IF(ISBLANK(MAIN!E990), "--", IF(ISNUMBER(MATCH(SUBSTITUTE(LEFT(MAIN!E990, IFERROR(FIND(",", MAIN!E990)-1, LEN(MAIN!E990))), " ", ""), lookup_values!$E$2:$E$197, 0)), UPPER(SUBSTITUTE(LEFT(MAIN!E990, IFERROR(FIND(",", MAIN!E990)-1, LEN(MAIN!E990))), " ", "")), IF(ISNA(VLOOKUP(SUBSTITUTE(LEFT(MAIN!E990, IFERROR(FIND(",", MAIN!E990)-1, LEN(MAIN!E990))), " ", ""), lookup_values!$D$2:$E$197, 2, FALSE)), "--", VLOOKUP(SUBSTITUTE(LEFT(MAIN!E990, IFERROR(FIND(",", MAIN!E990)-1, LEN(MAIN!E990))), " ", ""), lookup_values!$D$2:$E$197, 2, FALSE)))))</f>
        <v>--</v>
      </c>
      <c r="F990" t="str">
        <f>IF(ISBLANK(MAIN!F990), "", IF(AND(ISNUMBER(VALUE(TRIM(MAIN!F990))), LEN(TRIM(MAIN!F990))=4), VALUE(TRIM(MAIN!F990)), ""))</f>
        <v/>
      </c>
      <c r="G990">
        <f>IF(ISBLANK(MAIN!G990), 0, IF(ISNUMBER(VALUE(TRIM(MAIN!G990))), VALUE(TRIM(MAIN!G990)), 0))</f>
        <v>0</v>
      </c>
      <c r="H990">
        <f>IF(ISBLANK(MAIN!H990), 0, IF(ISNUMBER(VALUE(TRIM(MAIN!H990))), VALUE(TRIM(MAIN!H990)), 0))</f>
        <v>0</v>
      </c>
      <c r="I990">
        <f>IF(ISBLANK(MAIN!I990), 0, IF(ISNUMBER(VALUE(TRIM(MAIN!I990))), VALUE(TRIM(MAIN!I990)), 0))</f>
        <v>0</v>
      </c>
      <c r="J990">
        <f>IF(ISBLANK(MAIN!J990), 0, IF(ISNUMBER(VALUE(TRIM(MAIN!J990))), VALUE(TRIM(MAIN!J990)), 0))</f>
        <v>0</v>
      </c>
      <c r="K990" cm="1">
        <f t="array" ref="K990">IFERROR(
    VALUE(
        IFERROR(
            UPPER(
                IF(MAX(IFERROR(SEARCH("WD",MAIN!G990:J990), 0))&gt;0, "WD",
                IF(MAX(IFERROR(SEARCH("NS",MAIN!G990:J990), 0))&gt;0, "NS",
                IF(MAX(IFERROR(SEARCH("NC",MAIN!G990:J990), 0))&gt;0, "NC",
                IF(MAX(IFERROR(SEARCH("DQ",MAIN!G990:J990), 0))&gt;0, "DQ",
                IF(ISNUMBER(SEARCH("WD",MAIN!K990)), "WD",
                IF(ISNUMBER(SEARCH("NS",MAIN!K990)), "NS",
                IF(ISNUMBER(SEARCH("NC",MAIN!K990)), "NC",
                IF(ISNUMBER(SEARCH("DQ",MAIN!K990)), "DQ",
                IF(ISNUMBER(SEARCH("A",MAIN!K990)), 0,
                IF(OR(MAIN!K990=0,MAIN!K990=""), 0, --TRIM(MAIN!K990)))))))))))),
            0
        )
    ),
    IFERROR(
        UPPER(
            IF(MAX(IFERROR(SEARCH("WD",MAIN!G990:J990), 0))&gt;0, "WD",
            IF(MAX(IFERROR(SEARCH("NS",MAIN!G990:J990), 0))&gt;0, "NS",
            IF(MAX(IFERROR(SEARCH("NC",MAIN!G990:J990), 0))&gt;0, "NC",
            IF(MAX(IFERROR(SEARCH("DQ",MAIN!G990:J990), 0))&gt;0, "DQ",
            IF(ISNUMBER(SEARCH("WD",MAIN!K990)), "WD",
            IF(ISNUMBER(SEARCH("NS",MAIN!K990)), "NS",
            IF(ISNUMBER(SEARCH("NC",MAIN!K990)), "NC",
            IF(ISNUMBER(SEARCH("DQ",MAIN!K990)), "DQ",
            IF(ISNUMBER(SEARCH("A",MAIN!K990)), 0,
            IF(OR(MAIN!K990=0,MAIN!K990=""), 0, --TRIM(MAIN!K990)))))))))))),
        0
    )
)</f>
        <v>0</v>
      </c>
    </row>
    <row r="991" spans="1:11" x14ac:dyDescent="0.25">
      <c r="A991" t="str">
        <f>IF(ISBLANK(MAIN!A991), "--", IFERROR(PROPER(SUBSTITUTE(SUBSTITUTE(SUBSTITUTE(SUBSTITUTE(SUBSTITUTE(SUBSTITUTE(SUBSTITUTE(SUBSTITUTE(SUBSTITUTE(SUBSTITUTE(LEFT(MAIN!A991, FIND(",",MAIN!A991) -1), "0", ""), "1", ""), "2", ""), "3", ""), "4", ""), "5", ""), "6", ""), "7", ""), "8", ""), "9", "")), PROPER(SUBSTITUTE(SUBSTITUTE(SUBSTITUTE(SUBSTITUTE(SUBSTITUTE(SUBSTITUTE(SUBSTITUTE(SUBSTITUTE(SUBSTITUTE(SUBSTITUTE(MAIN!A991, "0", ""), "1", ""), "2", ""), "3", ""), "4", ""), "5", ""), "6", ""), "7", ""), "8", ""), "9", ""))))</f>
        <v>--</v>
      </c>
      <c r="B991" t="str">
        <f>IF(ISBLANK(MAIN!B991), "--", IFERROR(PROPER(SUBSTITUTE(SUBSTITUTE(SUBSTITUTE(SUBSTITUTE(SUBSTITUTE(SUBSTITUTE(SUBSTITUTE(SUBSTITUTE(SUBSTITUTE(SUBSTITUTE(LEFT(MAIN!B991, FIND(",",MAIN!B991) -1), "0", ""), "1", ""), "2", ""), "3", ""), "4", ""), "5", ""), "6", ""), "7", ""), "8", ""), "9", "")), PROPER(SUBSTITUTE(SUBSTITUTE(SUBSTITUTE(SUBSTITUTE(SUBSTITUTE(SUBSTITUTE(SUBSTITUTE(SUBSTITUTE(SUBSTITUTE(SUBSTITUTE(MAIN!B991, "0", ""), "1", ""), "2", ""), "3", ""), "4", ""), "5", ""), "6", ""), "7", ""), "8", ""), "9", ""))))</f>
        <v>--</v>
      </c>
      <c r="C991" t="str">
        <f>IF(ISBLANK(MAIN!C991), "--", IFERROR(PROPER(SUBSTITUTE(SUBSTITUTE(SUBSTITUTE(SUBSTITUTE(SUBSTITUTE(SUBSTITUTE(SUBSTITUTE(SUBSTITUTE(SUBSTITUTE(SUBSTITUTE(LEFT(MAIN!C991, FIND(",",MAIN!C991) -1), "0", ""), "1", ""), "2", ""), "3", ""), "4", ""), "5", ""), "6", ""), "7", ""), "8", ""), "9", "")), PROPER(SUBSTITUTE(SUBSTITUTE(SUBSTITUTE(SUBSTITUTE(SUBSTITUTE(SUBSTITUTE(SUBSTITUTE(SUBSTITUTE(SUBSTITUTE(SUBSTITUTE(MAIN!C991, "0", ""), "1", ""), "2", ""), "3", ""), "4", ""), "5", ""), "6", ""), "7", ""), "8", ""), "9", ""))))</f>
        <v>--</v>
      </c>
      <c r="D991" t="str">
        <f>IF(ISBLANK(MAIN!D991), "--", IF(ISNUMBER(MATCH(SUBSTITUTE(LEFT(MAIN!D991, IFERROR(FIND(",", MAIN!D991)-1, LEN(MAIN!D991))), " ", ""), lookup_values!$B$2:$B$51, 0)), UPPER(SUBSTITUTE(LEFT(MAIN!D991, IFERROR(FIND(",", MAIN!D991)-1, LEN(MAIN!D991))), " ", "")), IF(ISNA(VLOOKUP(SUBSTITUTE(LEFT(MAIN!D991, IFERROR(FIND(",", MAIN!D991)-1, LEN(MAIN!D991))), " ", ""), lookup_values!$A$2:$B$51, 2, FALSE)), "--", VLOOKUP(SUBSTITUTE(LEFT(MAIN!D991, IFERROR(FIND(",", MAIN!D991)-1, LEN(MAIN!D991))), " ", ""), lookup_values!$A$2:$B$51, 2, FALSE))))</f>
        <v>--</v>
      </c>
      <c r="E991" t="str">
        <f>IF(CLEAN_DATA!D991&lt;&gt;"--","US",IF(ISBLANK(MAIN!E991), "--", IF(ISNUMBER(MATCH(SUBSTITUTE(LEFT(MAIN!E991, IFERROR(FIND(",", MAIN!E991)-1, LEN(MAIN!E991))), " ", ""), lookup_values!$E$2:$E$197, 0)), UPPER(SUBSTITUTE(LEFT(MAIN!E991, IFERROR(FIND(",", MAIN!E991)-1, LEN(MAIN!E991))), " ", "")), IF(ISNA(VLOOKUP(SUBSTITUTE(LEFT(MAIN!E991, IFERROR(FIND(",", MAIN!E991)-1, LEN(MAIN!E991))), " ", ""), lookup_values!$D$2:$E$197, 2, FALSE)), "--", VLOOKUP(SUBSTITUTE(LEFT(MAIN!E991, IFERROR(FIND(",", MAIN!E991)-1, LEN(MAIN!E991))), " ", ""), lookup_values!$D$2:$E$197, 2, FALSE)))))</f>
        <v>--</v>
      </c>
      <c r="F991" t="str">
        <f>IF(ISBLANK(MAIN!F991), "", IF(AND(ISNUMBER(VALUE(TRIM(MAIN!F991))), LEN(TRIM(MAIN!F991))=4), VALUE(TRIM(MAIN!F991)), ""))</f>
        <v/>
      </c>
      <c r="G991">
        <f>IF(ISBLANK(MAIN!G991), 0, IF(ISNUMBER(VALUE(TRIM(MAIN!G991))), VALUE(TRIM(MAIN!G991)), 0))</f>
        <v>0</v>
      </c>
      <c r="H991">
        <f>IF(ISBLANK(MAIN!H991), 0, IF(ISNUMBER(VALUE(TRIM(MAIN!H991))), VALUE(TRIM(MAIN!H991)), 0))</f>
        <v>0</v>
      </c>
      <c r="I991">
        <f>IF(ISBLANK(MAIN!I991), 0, IF(ISNUMBER(VALUE(TRIM(MAIN!I991))), VALUE(TRIM(MAIN!I991)), 0))</f>
        <v>0</v>
      </c>
      <c r="J991">
        <f>IF(ISBLANK(MAIN!J991), 0, IF(ISNUMBER(VALUE(TRIM(MAIN!J991))), VALUE(TRIM(MAIN!J991)), 0))</f>
        <v>0</v>
      </c>
      <c r="K991" cm="1">
        <f t="array" ref="K991">IFERROR(
    VALUE(
        IFERROR(
            UPPER(
                IF(MAX(IFERROR(SEARCH("WD",MAIN!G991:J991), 0))&gt;0, "WD",
                IF(MAX(IFERROR(SEARCH("NS",MAIN!G991:J991), 0))&gt;0, "NS",
                IF(MAX(IFERROR(SEARCH("NC",MAIN!G991:J991), 0))&gt;0, "NC",
                IF(MAX(IFERROR(SEARCH("DQ",MAIN!G991:J991), 0))&gt;0, "DQ",
                IF(ISNUMBER(SEARCH("WD",MAIN!K991)), "WD",
                IF(ISNUMBER(SEARCH("NS",MAIN!K991)), "NS",
                IF(ISNUMBER(SEARCH("NC",MAIN!K991)), "NC",
                IF(ISNUMBER(SEARCH("DQ",MAIN!K991)), "DQ",
                IF(ISNUMBER(SEARCH("A",MAIN!K991)), 0,
                IF(OR(MAIN!K991=0,MAIN!K991=""), 0, --TRIM(MAIN!K991)))))))))))),
            0
        )
    ),
    IFERROR(
        UPPER(
            IF(MAX(IFERROR(SEARCH("WD",MAIN!G991:J991), 0))&gt;0, "WD",
            IF(MAX(IFERROR(SEARCH("NS",MAIN!G991:J991), 0))&gt;0, "NS",
            IF(MAX(IFERROR(SEARCH("NC",MAIN!G991:J991), 0))&gt;0, "NC",
            IF(MAX(IFERROR(SEARCH("DQ",MAIN!G991:J991), 0))&gt;0, "DQ",
            IF(ISNUMBER(SEARCH("WD",MAIN!K991)), "WD",
            IF(ISNUMBER(SEARCH("NS",MAIN!K991)), "NS",
            IF(ISNUMBER(SEARCH("NC",MAIN!K991)), "NC",
            IF(ISNUMBER(SEARCH("DQ",MAIN!K991)), "DQ",
            IF(ISNUMBER(SEARCH("A",MAIN!K991)), 0,
            IF(OR(MAIN!K991=0,MAIN!K991=""), 0, --TRIM(MAIN!K991)))))))))))),
        0
    )
)</f>
        <v>0</v>
      </c>
    </row>
    <row r="992" spans="1:11" x14ac:dyDescent="0.25">
      <c r="A992" t="str">
        <f>IF(ISBLANK(MAIN!A992), "--", IFERROR(PROPER(SUBSTITUTE(SUBSTITUTE(SUBSTITUTE(SUBSTITUTE(SUBSTITUTE(SUBSTITUTE(SUBSTITUTE(SUBSTITUTE(SUBSTITUTE(SUBSTITUTE(LEFT(MAIN!A992, FIND(",",MAIN!A992) -1), "0", ""), "1", ""), "2", ""), "3", ""), "4", ""), "5", ""), "6", ""), "7", ""), "8", ""), "9", "")), PROPER(SUBSTITUTE(SUBSTITUTE(SUBSTITUTE(SUBSTITUTE(SUBSTITUTE(SUBSTITUTE(SUBSTITUTE(SUBSTITUTE(SUBSTITUTE(SUBSTITUTE(MAIN!A992, "0", ""), "1", ""), "2", ""), "3", ""), "4", ""), "5", ""), "6", ""), "7", ""), "8", ""), "9", ""))))</f>
        <v>--</v>
      </c>
      <c r="B992" t="str">
        <f>IF(ISBLANK(MAIN!B992), "--", IFERROR(PROPER(SUBSTITUTE(SUBSTITUTE(SUBSTITUTE(SUBSTITUTE(SUBSTITUTE(SUBSTITUTE(SUBSTITUTE(SUBSTITUTE(SUBSTITUTE(SUBSTITUTE(LEFT(MAIN!B992, FIND(",",MAIN!B992) -1), "0", ""), "1", ""), "2", ""), "3", ""), "4", ""), "5", ""), "6", ""), "7", ""), "8", ""), "9", "")), PROPER(SUBSTITUTE(SUBSTITUTE(SUBSTITUTE(SUBSTITUTE(SUBSTITUTE(SUBSTITUTE(SUBSTITUTE(SUBSTITUTE(SUBSTITUTE(SUBSTITUTE(MAIN!B992, "0", ""), "1", ""), "2", ""), "3", ""), "4", ""), "5", ""), "6", ""), "7", ""), "8", ""), "9", ""))))</f>
        <v>--</v>
      </c>
      <c r="C992" t="str">
        <f>IF(ISBLANK(MAIN!C992), "--", IFERROR(PROPER(SUBSTITUTE(SUBSTITUTE(SUBSTITUTE(SUBSTITUTE(SUBSTITUTE(SUBSTITUTE(SUBSTITUTE(SUBSTITUTE(SUBSTITUTE(SUBSTITUTE(LEFT(MAIN!C992, FIND(",",MAIN!C992) -1), "0", ""), "1", ""), "2", ""), "3", ""), "4", ""), "5", ""), "6", ""), "7", ""), "8", ""), "9", "")), PROPER(SUBSTITUTE(SUBSTITUTE(SUBSTITUTE(SUBSTITUTE(SUBSTITUTE(SUBSTITUTE(SUBSTITUTE(SUBSTITUTE(SUBSTITUTE(SUBSTITUTE(MAIN!C992, "0", ""), "1", ""), "2", ""), "3", ""), "4", ""), "5", ""), "6", ""), "7", ""), "8", ""), "9", ""))))</f>
        <v>--</v>
      </c>
      <c r="D992" t="str">
        <f>IF(ISBLANK(MAIN!D992), "--", IF(ISNUMBER(MATCH(SUBSTITUTE(LEFT(MAIN!D992, IFERROR(FIND(",", MAIN!D992)-1, LEN(MAIN!D992))), " ", ""), lookup_values!$B$2:$B$51, 0)), UPPER(SUBSTITUTE(LEFT(MAIN!D992, IFERROR(FIND(",", MAIN!D992)-1, LEN(MAIN!D992))), " ", "")), IF(ISNA(VLOOKUP(SUBSTITUTE(LEFT(MAIN!D992, IFERROR(FIND(",", MAIN!D992)-1, LEN(MAIN!D992))), " ", ""), lookup_values!$A$2:$B$51, 2, FALSE)), "--", VLOOKUP(SUBSTITUTE(LEFT(MAIN!D992, IFERROR(FIND(",", MAIN!D992)-1, LEN(MAIN!D992))), " ", ""), lookup_values!$A$2:$B$51, 2, FALSE))))</f>
        <v>--</v>
      </c>
      <c r="E992" t="str">
        <f>IF(CLEAN_DATA!D992&lt;&gt;"--","US",IF(ISBLANK(MAIN!E992), "--", IF(ISNUMBER(MATCH(SUBSTITUTE(LEFT(MAIN!E992, IFERROR(FIND(",", MAIN!E992)-1, LEN(MAIN!E992))), " ", ""), lookup_values!$E$2:$E$197, 0)), UPPER(SUBSTITUTE(LEFT(MAIN!E992, IFERROR(FIND(",", MAIN!E992)-1, LEN(MAIN!E992))), " ", "")), IF(ISNA(VLOOKUP(SUBSTITUTE(LEFT(MAIN!E992, IFERROR(FIND(",", MAIN!E992)-1, LEN(MAIN!E992))), " ", ""), lookup_values!$D$2:$E$197, 2, FALSE)), "--", VLOOKUP(SUBSTITUTE(LEFT(MAIN!E992, IFERROR(FIND(",", MAIN!E992)-1, LEN(MAIN!E992))), " ", ""), lookup_values!$D$2:$E$197, 2, FALSE)))))</f>
        <v>--</v>
      </c>
      <c r="F992" t="str">
        <f>IF(ISBLANK(MAIN!F992), "", IF(AND(ISNUMBER(VALUE(TRIM(MAIN!F992))), LEN(TRIM(MAIN!F992))=4), VALUE(TRIM(MAIN!F992)), ""))</f>
        <v/>
      </c>
      <c r="G992">
        <f>IF(ISBLANK(MAIN!G992), 0, IF(ISNUMBER(VALUE(TRIM(MAIN!G992))), VALUE(TRIM(MAIN!G992)), 0))</f>
        <v>0</v>
      </c>
      <c r="H992">
        <f>IF(ISBLANK(MAIN!H992), 0, IF(ISNUMBER(VALUE(TRIM(MAIN!H992))), VALUE(TRIM(MAIN!H992)), 0))</f>
        <v>0</v>
      </c>
      <c r="I992">
        <f>IF(ISBLANK(MAIN!I992), 0, IF(ISNUMBER(VALUE(TRIM(MAIN!I992))), VALUE(TRIM(MAIN!I992)), 0))</f>
        <v>0</v>
      </c>
      <c r="J992">
        <f>IF(ISBLANK(MAIN!J992), 0, IF(ISNUMBER(VALUE(TRIM(MAIN!J992))), VALUE(TRIM(MAIN!J992)), 0))</f>
        <v>0</v>
      </c>
      <c r="K992" cm="1">
        <f t="array" ref="K992">IFERROR(
    VALUE(
        IFERROR(
            UPPER(
                IF(MAX(IFERROR(SEARCH("WD",MAIN!G992:J992), 0))&gt;0, "WD",
                IF(MAX(IFERROR(SEARCH("NS",MAIN!G992:J992), 0))&gt;0, "NS",
                IF(MAX(IFERROR(SEARCH("NC",MAIN!G992:J992), 0))&gt;0, "NC",
                IF(MAX(IFERROR(SEARCH("DQ",MAIN!G992:J992), 0))&gt;0, "DQ",
                IF(ISNUMBER(SEARCH("WD",MAIN!K992)), "WD",
                IF(ISNUMBER(SEARCH("NS",MAIN!K992)), "NS",
                IF(ISNUMBER(SEARCH("NC",MAIN!K992)), "NC",
                IF(ISNUMBER(SEARCH("DQ",MAIN!K992)), "DQ",
                IF(ISNUMBER(SEARCH("A",MAIN!K992)), 0,
                IF(OR(MAIN!K992=0,MAIN!K992=""), 0, --TRIM(MAIN!K992)))))))))))),
            0
        )
    ),
    IFERROR(
        UPPER(
            IF(MAX(IFERROR(SEARCH("WD",MAIN!G992:J992), 0))&gt;0, "WD",
            IF(MAX(IFERROR(SEARCH("NS",MAIN!G992:J992), 0))&gt;0, "NS",
            IF(MAX(IFERROR(SEARCH("NC",MAIN!G992:J992), 0))&gt;0, "NC",
            IF(MAX(IFERROR(SEARCH("DQ",MAIN!G992:J992), 0))&gt;0, "DQ",
            IF(ISNUMBER(SEARCH("WD",MAIN!K992)), "WD",
            IF(ISNUMBER(SEARCH("NS",MAIN!K992)), "NS",
            IF(ISNUMBER(SEARCH("NC",MAIN!K992)), "NC",
            IF(ISNUMBER(SEARCH("DQ",MAIN!K992)), "DQ",
            IF(ISNUMBER(SEARCH("A",MAIN!K992)), 0,
            IF(OR(MAIN!K992=0,MAIN!K992=""), 0, --TRIM(MAIN!K992)))))))))))),
        0
    )
)</f>
        <v>0</v>
      </c>
    </row>
    <row r="993" spans="1:11" x14ac:dyDescent="0.25">
      <c r="A993" t="str">
        <f>IF(ISBLANK(MAIN!A993), "--", IFERROR(PROPER(SUBSTITUTE(SUBSTITUTE(SUBSTITUTE(SUBSTITUTE(SUBSTITUTE(SUBSTITUTE(SUBSTITUTE(SUBSTITUTE(SUBSTITUTE(SUBSTITUTE(LEFT(MAIN!A993, FIND(",",MAIN!A993) -1), "0", ""), "1", ""), "2", ""), "3", ""), "4", ""), "5", ""), "6", ""), "7", ""), "8", ""), "9", "")), PROPER(SUBSTITUTE(SUBSTITUTE(SUBSTITUTE(SUBSTITUTE(SUBSTITUTE(SUBSTITUTE(SUBSTITUTE(SUBSTITUTE(SUBSTITUTE(SUBSTITUTE(MAIN!A993, "0", ""), "1", ""), "2", ""), "3", ""), "4", ""), "5", ""), "6", ""), "7", ""), "8", ""), "9", ""))))</f>
        <v>--</v>
      </c>
      <c r="B993" t="str">
        <f>IF(ISBLANK(MAIN!B993), "--", IFERROR(PROPER(SUBSTITUTE(SUBSTITUTE(SUBSTITUTE(SUBSTITUTE(SUBSTITUTE(SUBSTITUTE(SUBSTITUTE(SUBSTITUTE(SUBSTITUTE(SUBSTITUTE(LEFT(MAIN!B993, FIND(",",MAIN!B993) -1), "0", ""), "1", ""), "2", ""), "3", ""), "4", ""), "5", ""), "6", ""), "7", ""), "8", ""), "9", "")), PROPER(SUBSTITUTE(SUBSTITUTE(SUBSTITUTE(SUBSTITUTE(SUBSTITUTE(SUBSTITUTE(SUBSTITUTE(SUBSTITUTE(SUBSTITUTE(SUBSTITUTE(MAIN!B993, "0", ""), "1", ""), "2", ""), "3", ""), "4", ""), "5", ""), "6", ""), "7", ""), "8", ""), "9", ""))))</f>
        <v>--</v>
      </c>
      <c r="C993" t="str">
        <f>IF(ISBLANK(MAIN!C993), "--", IFERROR(PROPER(SUBSTITUTE(SUBSTITUTE(SUBSTITUTE(SUBSTITUTE(SUBSTITUTE(SUBSTITUTE(SUBSTITUTE(SUBSTITUTE(SUBSTITUTE(SUBSTITUTE(LEFT(MAIN!C993, FIND(",",MAIN!C993) -1), "0", ""), "1", ""), "2", ""), "3", ""), "4", ""), "5", ""), "6", ""), "7", ""), "8", ""), "9", "")), PROPER(SUBSTITUTE(SUBSTITUTE(SUBSTITUTE(SUBSTITUTE(SUBSTITUTE(SUBSTITUTE(SUBSTITUTE(SUBSTITUTE(SUBSTITUTE(SUBSTITUTE(MAIN!C993, "0", ""), "1", ""), "2", ""), "3", ""), "4", ""), "5", ""), "6", ""), "7", ""), "8", ""), "9", ""))))</f>
        <v>--</v>
      </c>
      <c r="D993" t="str">
        <f>IF(ISBLANK(MAIN!D993), "--", IF(ISNUMBER(MATCH(SUBSTITUTE(LEFT(MAIN!D993, IFERROR(FIND(",", MAIN!D993)-1, LEN(MAIN!D993))), " ", ""), lookup_values!$B$2:$B$51, 0)), UPPER(SUBSTITUTE(LEFT(MAIN!D993, IFERROR(FIND(",", MAIN!D993)-1, LEN(MAIN!D993))), " ", "")), IF(ISNA(VLOOKUP(SUBSTITUTE(LEFT(MAIN!D993, IFERROR(FIND(",", MAIN!D993)-1, LEN(MAIN!D993))), " ", ""), lookup_values!$A$2:$B$51, 2, FALSE)), "--", VLOOKUP(SUBSTITUTE(LEFT(MAIN!D993, IFERROR(FIND(",", MAIN!D993)-1, LEN(MAIN!D993))), " ", ""), lookup_values!$A$2:$B$51, 2, FALSE))))</f>
        <v>--</v>
      </c>
      <c r="E993" t="str">
        <f>IF(CLEAN_DATA!D993&lt;&gt;"--","US",IF(ISBLANK(MAIN!E993), "--", IF(ISNUMBER(MATCH(SUBSTITUTE(LEFT(MAIN!E993, IFERROR(FIND(",", MAIN!E993)-1, LEN(MAIN!E993))), " ", ""), lookup_values!$E$2:$E$197, 0)), UPPER(SUBSTITUTE(LEFT(MAIN!E993, IFERROR(FIND(",", MAIN!E993)-1, LEN(MAIN!E993))), " ", "")), IF(ISNA(VLOOKUP(SUBSTITUTE(LEFT(MAIN!E993, IFERROR(FIND(",", MAIN!E993)-1, LEN(MAIN!E993))), " ", ""), lookup_values!$D$2:$E$197, 2, FALSE)), "--", VLOOKUP(SUBSTITUTE(LEFT(MAIN!E993, IFERROR(FIND(",", MAIN!E993)-1, LEN(MAIN!E993))), " ", ""), lookup_values!$D$2:$E$197, 2, FALSE)))))</f>
        <v>--</v>
      </c>
      <c r="F993" t="str">
        <f>IF(ISBLANK(MAIN!F993), "", IF(AND(ISNUMBER(VALUE(TRIM(MAIN!F993))), LEN(TRIM(MAIN!F993))=4), VALUE(TRIM(MAIN!F993)), ""))</f>
        <v/>
      </c>
      <c r="G993">
        <f>IF(ISBLANK(MAIN!G993), 0, IF(ISNUMBER(VALUE(TRIM(MAIN!G993))), VALUE(TRIM(MAIN!G993)), 0))</f>
        <v>0</v>
      </c>
      <c r="H993">
        <f>IF(ISBLANK(MAIN!H993), 0, IF(ISNUMBER(VALUE(TRIM(MAIN!H993))), VALUE(TRIM(MAIN!H993)), 0))</f>
        <v>0</v>
      </c>
      <c r="I993">
        <f>IF(ISBLANK(MAIN!I993), 0, IF(ISNUMBER(VALUE(TRIM(MAIN!I993))), VALUE(TRIM(MAIN!I993)), 0))</f>
        <v>0</v>
      </c>
      <c r="J993">
        <f>IF(ISBLANK(MAIN!J993), 0, IF(ISNUMBER(VALUE(TRIM(MAIN!J993))), VALUE(TRIM(MAIN!J993)), 0))</f>
        <v>0</v>
      </c>
      <c r="K993" cm="1">
        <f t="array" ref="K993">IFERROR(
    VALUE(
        IFERROR(
            UPPER(
                IF(MAX(IFERROR(SEARCH("WD",MAIN!G993:J993), 0))&gt;0, "WD",
                IF(MAX(IFERROR(SEARCH("NS",MAIN!G993:J993), 0))&gt;0, "NS",
                IF(MAX(IFERROR(SEARCH("NC",MAIN!G993:J993), 0))&gt;0, "NC",
                IF(MAX(IFERROR(SEARCH("DQ",MAIN!G993:J993), 0))&gt;0, "DQ",
                IF(ISNUMBER(SEARCH("WD",MAIN!K993)), "WD",
                IF(ISNUMBER(SEARCH("NS",MAIN!K993)), "NS",
                IF(ISNUMBER(SEARCH("NC",MAIN!K993)), "NC",
                IF(ISNUMBER(SEARCH("DQ",MAIN!K993)), "DQ",
                IF(ISNUMBER(SEARCH("A",MAIN!K993)), 0,
                IF(OR(MAIN!K993=0,MAIN!K993=""), 0, --TRIM(MAIN!K993)))))))))))),
            0
        )
    ),
    IFERROR(
        UPPER(
            IF(MAX(IFERROR(SEARCH("WD",MAIN!G993:J993), 0))&gt;0, "WD",
            IF(MAX(IFERROR(SEARCH("NS",MAIN!G993:J993), 0))&gt;0, "NS",
            IF(MAX(IFERROR(SEARCH("NC",MAIN!G993:J993), 0))&gt;0, "NC",
            IF(MAX(IFERROR(SEARCH("DQ",MAIN!G993:J993), 0))&gt;0, "DQ",
            IF(ISNUMBER(SEARCH("WD",MAIN!K993)), "WD",
            IF(ISNUMBER(SEARCH("NS",MAIN!K993)), "NS",
            IF(ISNUMBER(SEARCH("NC",MAIN!K993)), "NC",
            IF(ISNUMBER(SEARCH("DQ",MAIN!K993)), "DQ",
            IF(ISNUMBER(SEARCH("A",MAIN!K993)), 0,
            IF(OR(MAIN!K993=0,MAIN!K993=""), 0, --TRIM(MAIN!K993)))))))))))),
        0
    )
)</f>
        <v>0</v>
      </c>
    </row>
    <row r="994" spans="1:11" x14ac:dyDescent="0.25">
      <c r="A994" t="str">
        <f>IF(ISBLANK(MAIN!A994), "--", IFERROR(PROPER(SUBSTITUTE(SUBSTITUTE(SUBSTITUTE(SUBSTITUTE(SUBSTITUTE(SUBSTITUTE(SUBSTITUTE(SUBSTITUTE(SUBSTITUTE(SUBSTITUTE(LEFT(MAIN!A994, FIND(",",MAIN!A994) -1), "0", ""), "1", ""), "2", ""), "3", ""), "4", ""), "5", ""), "6", ""), "7", ""), "8", ""), "9", "")), PROPER(SUBSTITUTE(SUBSTITUTE(SUBSTITUTE(SUBSTITUTE(SUBSTITUTE(SUBSTITUTE(SUBSTITUTE(SUBSTITUTE(SUBSTITUTE(SUBSTITUTE(MAIN!A994, "0", ""), "1", ""), "2", ""), "3", ""), "4", ""), "5", ""), "6", ""), "7", ""), "8", ""), "9", ""))))</f>
        <v>--</v>
      </c>
      <c r="B994" t="str">
        <f>IF(ISBLANK(MAIN!B994), "--", IFERROR(PROPER(SUBSTITUTE(SUBSTITUTE(SUBSTITUTE(SUBSTITUTE(SUBSTITUTE(SUBSTITUTE(SUBSTITUTE(SUBSTITUTE(SUBSTITUTE(SUBSTITUTE(LEFT(MAIN!B994, FIND(",",MAIN!B994) -1), "0", ""), "1", ""), "2", ""), "3", ""), "4", ""), "5", ""), "6", ""), "7", ""), "8", ""), "9", "")), PROPER(SUBSTITUTE(SUBSTITUTE(SUBSTITUTE(SUBSTITUTE(SUBSTITUTE(SUBSTITUTE(SUBSTITUTE(SUBSTITUTE(SUBSTITUTE(SUBSTITUTE(MAIN!B994, "0", ""), "1", ""), "2", ""), "3", ""), "4", ""), "5", ""), "6", ""), "7", ""), "8", ""), "9", ""))))</f>
        <v>--</v>
      </c>
      <c r="C994" t="str">
        <f>IF(ISBLANK(MAIN!C994), "--", IFERROR(PROPER(SUBSTITUTE(SUBSTITUTE(SUBSTITUTE(SUBSTITUTE(SUBSTITUTE(SUBSTITUTE(SUBSTITUTE(SUBSTITUTE(SUBSTITUTE(SUBSTITUTE(LEFT(MAIN!C994, FIND(",",MAIN!C994) -1), "0", ""), "1", ""), "2", ""), "3", ""), "4", ""), "5", ""), "6", ""), "7", ""), "8", ""), "9", "")), PROPER(SUBSTITUTE(SUBSTITUTE(SUBSTITUTE(SUBSTITUTE(SUBSTITUTE(SUBSTITUTE(SUBSTITUTE(SUBSTITUTE(SUBSTITUTE(SUBSTITUTE(MAIN!C994, "0", ""), "1", ""), "2", ""), "3", ""), "4", ""), "5", ""), "6", ""), "7", ""), "8", ""), "9", ""))))</f>
        <v>--</v>
      </c>
      <c r="D994" t="str">
        <f>IF(ISBLANK(MAIN!D994), "--", IF(ISNUMBER(MATCH(SUBSTITUTE(LEFT(MAIN!D994, IFERROR(FIND(",", MAIN!D994)-1, LEN(MAIN!D994))), " ", ""), lookup_values!$B$2:$B$51, 0)), UPPER(SUBSTITUTE(LEFT(MAIN!D994, IFERROR(FIND(",", MAIN!D994)-1, LEN(MAIN!D994))), " ", "")), IF(ISNA(VLOOKUP(SUBSTITUTE(LEFT(MAIN!D994, IFERROR(FIND(",", MAIN!D994)-1, LEN(MAIN!D994))), " ", ""), lookup_values!$A$2:$B$51, 2, FALSE)), "--", VLOOKUP(SUBSTITUTE(LEFT(MAIN!D994, IFERROR(FIND(",", MAIN!D994)-1, LEN(MAIN!D994))), " ", ""), lookup_values!$A$2:$B$51, 2, FALSE))))</f>
        <v>--</v>
      </c>
      <c r="E994" t="str">
        <f>IF(CLEAN_DATA!D994&lt;&gt;"--","US",IF(ISBLANK(MAIN!E994), "--", IF(ISNUMBER(MATCH(SUBSTITUTE(LEFT(MAIN!E994, IFERROR(FIND(",", MAIN!E994)-1, LEN(MAIN!E994))), " ", ""), lookup_values!$E$2:$E$197, 0)), UPPER(SUBSTITUTE(LEFT(MAIN!E994, IFERROR(FIND(",", MAIN!E994)-1, LEN(MAIN!E994))), " ", "")), IF(ISNA(VLOOKUP(SUBSTITUTE(LEFT(MAIN!E994, IFERROR(FIND(",", MAIN!E994)-1, LEN(MAIN!E994))), " ", ""), lookup_values!$D$2:$E$197, 2, FALSE)), "--", VLOOKUP(SUBSTITUTE(LEFT(MAIN!E994, IFERROR(FIND(",", MAIN!E994)-1, LEN(MAIN!E994))), " ", ""), lookup_values!$D$2:$E$197, 2, FALSE)))))</f>
        <v>--</v>
      </c>
      <c r="F994" t="str">
        <f>IF(ISBLANK(MAIN!F994), "", IF(AND(ISNUMBER(VALUE(TRIM(MAIN!F994))), LEN(TRIM(MAIN!F994))=4), VALUE(TRIM(MAIN!F994)), ""))</f>
        <v/>
      </c>
      <c r="G994">
        <f>IF(ISBLANK(MAIN!G994), 0, IF(ISNUMBER(VALUE(TRIM(MAIN!G994))), VALUE(TRIM(MAIN!G994)), 0))</f>
        <v>0</v>
      </c>
      <c r="H994">
        <f>IF(ISBLANK(MAIN!H994), 0, IF(ISNUMBER(VALUE(TRIM(MAIN!H994))), VALUE(TRIM(MAIN!H994)), 0))</f>
        <v>0</v>
      </c>
      <c r="I994">
        <f>IF(ISBLANK(MAIN!I994), 0, IF(ISNUMBER(VALUE(TRIM(MAIN!I994))), VALUE(TRIM(MAIN!I994)), 0))</f>
        <v>0</v>
      </c>
      <c r="J994">
        <f>IF(ISBLANK(MAIN!J994), 0, IF(ISNUMBER(VALUE(TRIM(MAIN!J994))), VALUE(TRIM(MAIN!J994)), 0))</f>
        <v>0</v>
      </c>
      <c r="K994" cm="1">
        <f t="array" ref="K994">IFERROR(
    VALUE(
        IFERROR(
            UPPER(
                IF(MAX(IFERROR(SEARCH("WD",MAIN!G994:J994), 0))&gt;0, "WD",
                IF(MAX(IFERROR(SEARCH("NS",MAIN!G994:J994), 0))&gt;0, "NS",
                IF(MAX(IFERROR(SEARCH("NC",MAIN!G994:J994), 0))&gt;0, "NC",
                IF(MAX(IFERROR(SEARCH("DQ",MAIN!G994:J994), 0))&gt;0, "DQ",
                IF(ISNUMBER(SEARCH("WD",MAIN!K994)), "WD",
                IF(ISNUMBER(SEARCH("NS",MAIN!K994)), "NS",
                IF(ISNUMBER(SEARCH("NC",MAIN!K994)), "NC",
                IF(ISNUMBER(SEARCH("DQ",MAIN!K994)), "DQ",
                IF(ISNUMBER(SEARCH("A",MAIN!K994)), 0,
                IF(OR(MAIN!K994=0,MAIN!K994=""), 0, --TRIM(MAIN!K994)))))))))))),
            0
        )
    ),
    IFERROR(
        UPPER(
            IF(MAX(IFERROR(SEARCH("WD",MAIN!G994:J994), 0))&gt;0, "WD",
            IF(MAX(IFERROR(SEARCH("NS",MAIN!G994:J994), 0))&gt;0, "NS",
            IF(MAX(IFERROR(SEARCH("NC",MAIN!G994:J994), 0))&gt;0, "NC",
            IF(MAX(IFERROR(SEARCH("DQ",MAIN!G994:J994), 0))&gt;0, "DQ",
            IF(ISNUMBER(SEARCH("WD",MAIN!K994)), "WD",
            IF(ISNUMBER(SEARCH("NS",MAIN!K994)), "NS",
            IF(ISNUMBER(SEARCH("NC",MAIN!K994)), "NC",
            IF(ISNUMBER(SEARCH("DQ",MAIN!K994)), "DQ",
            IF(ISNUMBER(SEARCH("A",MAIN!K994)), 0,
            IF(OR(MAIN!K994=0,MAIN!K994=""), 0, --TRIM(MAIN!K994)))))))))))),
        0
    )
)</f>
        <v>0</v>
      </c>
    </row>
    <row r="995" spans="1:11" x14ac:dyDescent="0.25">
      <c r="A995" t="str">
        <f>IF(ISBLANK(MAIN!A995), "--", IFERROR(PROPER(SUBSTITUTE(SUBSTITUTE(SUBSTITUTE(SUBSTITUTE(SUBSTITUTE(SUBSTITUTE(SUBSTITUTE(SUBSTITUTE(SUBSTITUTE(SUBSTITUTE(LEFT(MAIN!A995, FIND(",",MAIN!A995) -1), "0", ""), "1", ""), "2", ""), "3", ""), "4", ""), "5", ""), "6", ""), "7", ""), "8", ""), "9", "")), PROPER(SUBSTITUTE(SUBSTITUTE(SUBSTITUTE(SUBSTITUTE(SUBSTITUTE(SUBSTITUTE(SUBSTITUTE(SUBSTITUTE(SUBSTITUTE(SUBSTITUTE(MAIN!A995, "0", ""), "1", ""), "2", ""), "3", ""), "4", ""), "5", ""), "6", ""), "7", ""), "8", ""), "9", ""))))</f>
        <v>--</v>
      </c>
      <c r="B995" t="str">
        <f>IF(ISBLANK(MAIN!B995), "--", IFERROR(PROPER(SUBSTITUTE(SUBSTITUTE(SUBSTITUTE(SUBSTITUTE(SUBSTITUTE(SUBSTITUTE(SUBSTITUTE(SUBSTITUTE(SUBSTITUTE(SUBSTITUTE(LEFT(MAIN!B995, FIND(",",MAIN!B995) -1), "0", ""), "1", ""), "2", ""), "3", ""), "4", ""), "5", ""), "6", ""), "7", ""), "8", ""), "9", "")), PROPER(SUBSTITUTE(SUBSTITUTE(SUBSTITUTE(SUBSTITUTE(SUBSTITUTE(SUBSTITUTE(SUBSTITUTE(SUBSTITUTE(SUBSTITUTE(SUBSTITUTE(MAIN!B995, "0", ""), "1", ""), "2", ""), "3", ""), "4", ""), "5", ""), "6", ""), "7", ""), "8", ""), "9", ""))))</f>
        <v>--</v>
      </c>
      <c r="C995" t="str">
        <f>IF(ISBLANK(MAIN!C995), "--", IFERROR(PROPER(SUBSTITUTE(SUBSTITUTE(SUBSTITUTE(SUBSTITUTE(SUBSTITUTE(SUBSTITUTE(SUBSTITUTE(SUBSTITUTE(SUBSTITUTE(SUBSTITUTE(LEFT(MAIN!C995, FIND(",",MAIN!C995) -1), "0", ""), "1", ""), "2", ""), "3", ""), "4", ""), "5", ""), "6", ""), "7", ""), "8", ""), "9", "")), PROPER(SUBSTITUTE(SUBSTITUTE(SUBSTITUTE(SUBSTITUTE(SUBSTITUTE(SUBSTITUTE(SUBSTITUTE(SUBSTITUTE(SUBSTITUTE(SUBSTITUTE(MAIN!C995, "0", ""), "1", ""), "2", ""), "3", ""), "4", ""), "5", ""), "6", ""), "7", ""), "8", ""), "9", ""))))</f>
        <v>--</v>
      </c>
      <c r="D995" t="str">
        <f>IF(ISBLANK(MAIN!D995), "--", IF(ISNUMBER(MATCH(SUBSTITUTE(LEFT(MAIN!D995, IFERROR(FIND(",", MAIN!D995)-1, LEN(MAIN!D995))), " ", ""), lookup_values!$B$2:$B$51, 0)), UPPER(SUBSTITUTE(LEFT(MAIN!D995, IFERROR(FIND(",", MAIN!D995)-1, LEN(MAIN!D995))), " ", "")), IF(ISNA(VLOOKUP(SUBSTITUTE(LEFT(MAIN!D995, IFERROR(FIND(",", MAIN!D995)-1, LEN(MAIN!D995))), " ", ""), lookup_values!$A$2:$B$51, 2, FALSE)), "--", VLOOKUP(SUBSTITUTE(LEFT(MAIN!D995, IFERROR(FIND(",", MAIN!D995)-1, LEN(MAIN!D995))), " ", ""), lookup_values!$A$2:$B$51, 2, FALSE))))</f>
        <v>--</v>
      </c>
      <c r="E995" t="str">
        <f>IF(CLEAN_DATA!D995&lt;&gt;"--","US",IF(ISBLANK(MAIN!E995), "--", IF(ISNUMBER(MATCH(SUBSTITUTE(LEFT(MAIN!E995, IFERROR(FIND(",", MAIN!E995)-1, LEN(MAIN!E995))), " ", ""), lookup_values!$E$2:$E$197, 0)), UPPER(SUBSTITUTE(LEFT(MAIN!E995, IFERROR(FIND(",", MAIN!E995)-1, LEN(MAIN!E995))), " ", "")), IF(ISNA(VLOOKUP(SUBSTITUTE(LEFT(MAIN!E995, IFERROR(FIND(",", MAIN!E995)-1, LEN(MAIN!E995))), " ", ""), lookup_values!$D$2:$E$197, 2, FALSE)), "--", VLOOKUP(SUBSTITUTE(LEFT(MAIN!E995, IFERROR(FIND(",", MAIN!E995)-1, LEN(MAIN!E995))), " ", ""), lookup_values!$D$2:$E$197, 2, FALSE)))))</f>
        <v>--</v>
      </c>
      <c r="F995" t="str">
        <f>IF(ISBLANK(MAIN!F995), "", IF(AND(ISNUMBER(VALUE(TRIM(MAIN!F995))), LEN(TRIM(MAIN!F995))=4), VALUE(TRIM(MAIN!F995)), ""))</f>
        <v/>
      </c>
      <c r="G995">
        <f>IF(ISBLANK(MAIN!G995), 0, IF(ISNUMBER(VALUE(TRIM(MAIN!G995))), VALUE(TRIM(MAIN!G995)), 0))</f>
        <v>0</v>
      </c>
      <c r="H995">
        <f>IF(ISBLANK(MAIN!H995), 0, IF(ISNUMBER(VALUE(TRIM(MAIN!H995))), VALUE(TRIM(MAIN!H995)), 0))</f>
        <v>0</v>
      </c>
      <c r="I995">
        <f>IF(ISBLANK(MAIN!I995), 0, IF(ISNUMBER(VALUE(TRIM(MAIN!I995))), VALUE(TRIM(MAIN!I995)), 0))</f>
        <v>0</v>
      </c>
      <c r="J995">
        <f>IF(ISBLANK(MAIN!J995), 0, IF(ISNUMBER(VALUE(TRIM(MAIN!J995))), VALUE(TRIM(MAIN!J995)), 0))</f>
        <v>0</v>
      </c>
      <c r="K995" cm="1">
        <f t="array" ref="K995">IFERROR(
    VALUE(
        IFERROR(
            UPPER(
                IF(MAX(IFERROR(SEARCH("WD",MAIN!G995:J995), 0))&gt;0, "WD",
                IF(MAX(IFERROR(SEARCH("NS",MAIN!G995:J995), 0))&gt;0, "NS",
                IF(MAX(IFERROR(SEARCH("NC",MAIN!G995:J995), 0))&gt;0, "NC",
                IF(MAX(IFERROR(SEARCH("DQ",MAIN!G995:J995), 0))&gt;0, "DQ",
                IF(ISNUMBER(SEARCH("WD",MAIN!K995)), "WD",
                IF(ISNUMBER(SEARCH("NS",MAIN!K995)), "NS",
                IF(ISNUMBER(SEARCH("NC",MAIN!K995)), "NC",
                IF(ISNUMBER(SEARCH("DQ",MAIN!K995)), "DQ",
                IF(ISNUMBER(SEARCH("A",MAIN!K995)), 0,
                IF(OR(MAIN!K995=0,MAIN!K995=""), 0, --TRIM(MAIN!K995)))))))))))),
            0
        )
    ),
    IFERROR(
        UPPER(
            IF(MAX(IFERROR(SEARCH("WD",MAIN!G995:J995), 0))&gt;0, "WD",
            IF(MAX(IFERROR(SEARCH("NS",MAIN!G995:J995), 0))&gt;0, "NS",
            IF(MAX(IFERROR(SEARCH("NC",MAIN!G995:J995), 0))&gt;0, "NC",
            IF(MAX(IFERROR(SEARCH("DQ",MAIN!G995:J995), 0))&gt;0, "DQ",
            IF(ISNUMBER(SEARCH("WD",MAIN!K995)), "WD",
            IF(ISNUMBER(SEARCH("NS",MAIN!K995)), "NS",
            IF(ISNUMBER(SEARCH("NC",MAIN!K995)), "NC",
            IF(ISNUMBER(SEARCH("DQ",MAIN!K995)), "DQ",
            IF(ISNUMBER(SEARCH("A",MAIN!K995)), 0,
            IF(OR(MAIN!K995=0,MAIN!K995=""), 0, --TRIM(MAIN!K995)))))))))))),
        0
    )
)</f>
        <v>0</v>
      </c>
    </row>
    <row r="996" spans="1:11" x14ac:dyDescent="0.25">
      <c r="A996" t="str">
        <f>IF(ISBLANK(MAIN!A996), "--", IFERROR(PROPER(SUBSTITUTE(SUBSTITUTE(SUBSTITUTE(SUBSTITUTE(SUBSTITUTE(SUBSTITUTE(SUBSTITUTE(SUBSTITUTE(SUBSTITUTE(SUBSTITUTE(LEFT(MAIN!A996, FIND(",",MAIN!A996) -1), "0", ""), "1", ""), "2", ""), "3", ""), "4", ""), "5", ""), "6", ""), "7", ""), "8", ""), "9", "")), PROPER(SUBSTITUTE(SUBSTITUTE(SUBSTITUTE(SUBSTITUTE(SUBSTITUTE(SUBSTITUTE(SUBSTITUTE(SUBSTITUTE(SUBSTITUTE(SUBSTITUTE(MAIN!A996, "0", ""), "1", ""), "2", ""), "3", ""), "4", ""), "5", ""), "6", ""), "7", ""), "8", ""), "9", ""))))</f>
        <v>--</v>
      </c>
      <c r="B996" t="str">
        <f>IF(ISBLANK(MAIN!B996), "--", IFERROR(PROPER(SUBSTITUTE(SUBSTITUTE(SUBSTITUTE(SUBSTITUTE(SUBSTITUTE(SUBSTITUTE(SUBSTITUTE(SUBSTITUTE(SUBSTITUTE(SUBSTITUTE(LEFT(MAIN!B996, FIND(",",MAIN!B996) -1), "0", ""), "1", ""), "2", ""), "3", ""), "4", ""), "5", ""), "6", ""), "7", ""), "8", ""), "9", "")), PROPER(SUBSTITUTE(SUBSTITUTE(SUBSTITUTE(SUBSTITUTE(SUBSTITUTE(SUBSTITUTE(SUBSTITUTE(SUBSTITUTE(SUBSTITUTE(SUBSTITUTE(MAIN!B996, "0", ""), "1", ""), "2", ""), "3", ""), "4", ""), "5", ""), "6", ""), "7", ""), "8", ""), "9", ""))))</f>
        <v>--</v>
      </c>
      <c r="C996" t="str">
        <f>IF(ISBLANK(MAIN!C996), "--", IFERROR(PROPER(SUBSTITUTE(SUBSTITUTE(SUBSTITUTE(SUBSTITUTE(SUBSTITUTE(SUBSTITUTE(SUBSTITUTE(SUBSTITUTE(SUBSTITUTE(SUBSTITUTE(LEFT(MAIN!C996, FIND(",",MAIN!C996) -1), "0", ""), "1", ""), "2", ""), "3", ""), "4", ""), "5", ""), "6", ""), "7", ""), "8", ""), "9", "")), PROPER(SUBSTITUTE(SUBSTITUTE(SUBSTITUTE(SUBSTITUTE(SUBSTITUTE(SUBSTITUTE(SUBSTITUTE(SUBSTITUTE(SUBSTITUTE(SUBSTITUTE(MAIN!C996, "0", ""), "1", ""), "2", ""), "3", ""), "4", ""), "5", ""), "6", ""), "7", ""), "8", ""), "9", ""))))</f>
        <v>--</v>
      </c>
      <c r="D996" t="str">
        <f>IF(ISBLANK(MAIN!D996), "--", IF(ISNUMBER(MATCH(SUBSTITUTE(LEFT(MAIN!D996, IFERROR(FIND(",", MAIN!D996)-1, LEN(MAIN!D996))), " ", ""), lookup_values!$B$2:$B$51, 0)), UPPER(SUBSTITUTE(LEFT(MAIN!D996, IFERROR(FIND(",", MAIN!D996)-1, LEN(MAIN!D996))), " ", "")), IF(ISNA(VLOOKUP(SUBSTITUTE(LEFT(MAIN!D996, IFERROR(FIND(",", MAIN!D996)-1, LEN(MAIN!D996))), " ", ""), lookup_values!$A$2:$B$51, 2, FALSE)), "--", VLOOKUP(SUBSTITUTE(LEFT(MAIN!D996, IFERROR(FIND(",", MAIN!D996)-1, LEN(MAIN!D996))), " ", ""), lookup_values!$A$2:$B$51, 2, FALSE))))</f>
        <v>--</v>
      </c>
      <c r="E996" t="str">
        <f>IF(CLEAN_DATA!D996&lt;&gt;"--","US",IF(ISBLANK(MAIN!E996), "--", IF(ISNUMBER(MATCH(SUBSTITUTE(LEFT(MAIN!E996, IFERROR(FIND(",", MAIN!E996)-1, LEN(MAIN!E996))), " ", ""), lookup_values!$E$2:$E$197, 0)), UPPER(SUBSTITUTE(LEFT(MAIN!E996, IFERROR(FIND(",", MAIN!E996)-1, LEN(MAIN!E996))), " ", "")), IF(ISNA(VLOOKUP(SUBSTITUTE(LEFT(MAIN!E996, IFERROR(FIND(",", MAIN!E996)-1, LEN(MAIN!E996))), " ", ""), lookup_values!$D$2:$E$197, 2, FALSE)), "--", VLOOKUP(SUBSTITUTE(LEFT(MAIN!E996, IFERROR(FIND(",", MAIN!E996)-1, LEN(MAIN!E996))), " ", ""), lookup_values!$D$2:$E$197, 2, FALSE)))))</f>
        <v>--</v>
      </c>
      <c r="F996" t="str">
        <f>IF(ISBLANK(MAIN!F996), "", IF(AND(ISNUMBER(VALUE(TRIM(MAIN!F996))), LEN(TRIM(MAIN!F996))=4), VALUE(TRIM(MAIN!F996)), ""))</f>
        <v/>
      </c>
      <c r="G996">
        <f>IF(ISBLANK(MAIN!G996), 0, IF(ISNUMBER(VALUE(TRIM(MAIN!G996))), VALUE(TRIM(MAIN!G996)), 0))</f>
        <v>0</v>
      </c>
      <c r="H996">
        <f>IF(ISBLANK(MAIN!H996), 0, IF(ISNUMBER(VALUE(TRIM(MAIN!H996))), VALUE(TRIM(MAIN!H996)), 0))</f>
        <v>0</v>
      </c>
      <c r="I996">
        <f>IF(ISBLANK(MAIN!I996), 0, IF(ISNUMBER(VALUE(TRIM(MAIN!I996))), VALUE(TRIM(MAIN!I996)), 0))</f>
        <v>0</v>
      </c>
      <c r="J996">
        <f>IF(ISBLANK(MAIN!J996), 0, IF(ISNUMBER(VALUE(TRIM(MAIN!J996))), VALUE(TRIM(MAIN!J996)), 0))</f>
        <v>0</v>
      </c>
      <c r="K996" cm="1">
        <f t="array" ref="K996">IFERROR(
    VALUE(
        IFERROR(
            UPPER(
                IF(MAX(IFERROR(SEARCH("WD",MAIN!G996:J996), 0))&gt;0, "WD",
                IF(MAX(IFERROR(SEARCH("NS",MAIN!G996:J996), 0))&gt;0, "NS",
                IF(MAX(IFERROR(SEARCH("NC",MAIN!G996:J996), 0))&gt;0, "NC",
                IF(MAX(IFERROR(SEARCH("DQ",MAIN!G996:J996), 0))&gt;0, "DQ",
                IF(ISNUMBER(SEARCH("WD",MAIN!K996)), "WD",
                IF(ISNUMBER(SEARCH("NS",MAIN!K996)), "NS",
                IF(ISNUMBER(SEARCH("NC",MAIN!K996)), "NC",
                IF(ISNUMBER(SEARCH("DQ",MAIN!K996)), "DQ",
                IF(ISNUMBER(SEARCH("A",MAIN!K996)), 0,
                IF(OR(MAIN!K996=0,MAIN!K996=""), 0, --TRIM(MAIN!K996)))))))))))),
            0
        )
    ),
    IFERROR(
        UPPER(
            IF(MAX(IFERROR(SEARCH("WD",MAIN!G996:J996), 0))&gt;0, "WD",
            IF(MAX(IFERROR(SEARCH("NS",MAIN!G996:J996), 0))&gt;0, "NS",
            IF(MAX(IFERROR(SEARCH("NC",MAIN!G996:J996), 0))&gt;0, "NC",
            IF(MAX(IFERROR(SEARCH("DQ",MAIN!G996:J996), 0))&gt;0, "DQ",
            IF(ISNUMBER(SEARCH("WD",MAIN!K996)), "WD",
            IF(ISNUMBER(SEARCH("NS",MAIN!K996)), "NS",
            IF(ISNUMBER(SEARCH("NC",MAIN!K996)), "NC",
            IF(ISNUMBER(SEARCH("DQ",MAIN!K996)), "DQ",
            IF(ISNUMBER(SEARCH("A",MAIN!K996)), 0,
            IF(OR(MAIN!K996=0,MAIN!K996=""), 0, --TRIM(MAIN!K996)))))))))))),
        0
    )
)</f>
        <v>0</v>
      </c>
    </row>
    <row r="997" spans="1:11" x14ac:dyDescent="0.25">
      <c r="A997" t="str">
        <f>IF(ISBLANK(MAIN!A997), "--", IFERROR(PROPER(SUBSTITUTE(SUBSTITUTE(SUBSTITUTE(SUBSTITUTE(SUBSTITUTE(SUBSTITUTE(SUBSTITUTE(SUBSTITUTE(SUBSTITUTE(SUBSTITUTE(LEFT(MAIN!A997, FIND(",",MAIN!A997) -1), "0", ""), "1", ""), "2", ""), "3", ""), "4", ""), "5", ""), "6", ""), "7", ""), "8", ""), "9", "")), PROPER(SUBSTITUTE(SUBSTITUTE(SUBSTITUTE(SUBSTITUTE(SUBSTITUTE(SUBSTITUTE(SUBSTITUTE(SUBSTITUTE(SUBSTITUTE(SUBSTITUTE(MAIN!A997, "0", ""), "1", ""), "2", ""), "3", ""), "4", ""), "5", ""), "6", ""), "7", ""), "8", ""), "9", ""))))</f>
        <v>--</v>
      </c>
      <c r="B997" t="str">
        <f>IF(ISBLANK(MAIN!B997), "--", IFERROR(PROPER(SUBSTITUTE(SUBSTITUTE(SUBSTITUTE(SUBSTITUTE(SUBSTITUTE(SUBSTITUTE(SUBSTITUTE(SUBSTITUTE(SUBSTITUTE(SUBSTITUTE(LEFT(MAIN!B997, FIND(",",MAIN!B997) -1), "0", ""), "1", ""), "2", ""), "3", ""), "4", ""), "5", ""), "6", ""), "7", ""), "8", ""), "9", "")), PROPER(SUBSTITUTE(SUBSTITUTE(SUBSTITUTE(SUBSTITUTE(SUBSTITUTE(SUBSTITUTE(SUBSTITUTE(SUBSTITUTE(SUBSTITUTE(SUBSTITUTE(MAIN!B997, "0", ""), "1", ""), "2", ""), "3", ""), "4", ""), "5", ""), "6", ""), "7", ""), "8", ""), "9", ""))))</f>
        <v>--</v>
      </c>
      <c r="C997" t="str">
        <f>IF(ISBLANK(MAIN!C997), "--", IFERROR(PROPER(SUBSTITUTE(SUBSTITUTE(SUBSTITUTE(SUBSTITUTE(SUBSTITUTE(SUBSTITUTE(SUBSTITUTE(SUBSTITUTE(SUBSTITUTE(SUBSTITUTE(LEFT(MAIN!C997, FIND(",",MAIN!C997) -1), "0", ""), "1", ""), "2", ""), "3", ""), "4", ""), "5", ""), "6", ""), "7", ""), "8", ""), "9", "")), PROPER(SUBSTITUTE(SUBSTITUTE(SUBSTITUTE(SUBSTITUTE(SUBSTITUTE(SUBSTITUTE(SUBSTITUTE(SUBSTITUTE(SUBSTITUTE(SUBSTITUTE(MAIN!C997, "0", ""), "1", ""), "2", ""), "3", ""), "4", ""), "5", ""), "6", ""), "7", ""), "8", ""), "9", ""))))</f>
        <v>--</v>
      </c>
      <c r="D997" t="str">
        <f>IF(ISBLANK(MAIN!D997), "--", IF(ISNUMBER(MATCH(SUBSTITUTE(LEFT(MAIN!D997, IFERROR(FIND(",", MAIN!D997)-1, LEN(MAIN!D997))), " ", ""), lookup_values!$B$2:$B$51, 0)), UPPER(SUBSTITUTE(LEFT(MAIN!D997, IFERROR(FIND(",", MAIN!D997)-1, LEN(MAIN!D997))), " ", "")), IF(ISNA(VLOOKUP(SUBSTITUTE(LEFT(MAIN!D997, IFERROR(FIND(",", MAIN!D997)-1, LEN(MAIN!D997))), " ", ""), lookup_values!$A$2:$B$51, 2, FALSE)), "--", VLOOKUP(SUBSTITUTE(LEFT(MAIN!D997, IFERROR(FIND(",", MAIN!D997)-1, LEN(MAIN!D997))), " ", ""), lookup_values!$A$2:$B$51, 2, FALSE))))</f>
        <v>--</v>
      </c>
      <c r="E997" t="str">
        <f>IF(CLEAN_DATA!D997&lt;&gt;"--","US",IF(ISBLANK(MAIN!E997), "--", IF(ISNUMBER(MATCH(SUBSTITUTE(LEFT(MAIN!E997, IFERROR(FIND(",", MAIN!E997)-1, LEN(MAIN!E997))), " ", ""), lookup_values!$E$2:$E$197, 0)), UPPER(SUBSTITUTE(LEFT(MAIN!E997, IFERROR(FIND(",", MAIN!E997)-1, LEN(MAIN!E997))), " ", "")), IF(ISNA(VLOOKUP(SUBSTITUTE(LEFT(MAIN!E997, IFERROR(FIND(",", MAIN!E997)-1, LEN(MAIN!E997))), " ", ""), lookup_values!$D$2:$E$197, 2, FALSE)), "--", VLOOKUP(SUBSTITUTE(LEFT(MAIN!E997, IFERROR(FIND(",", MAIN!E997)-1, LEN(MAIN!E997))), " ", ""), lookup_values!$D$2:$E$197, 2, FALSE)))))</f>
        <v>--</v>
      </c>
      <c r="F997" t="str">
        <f>IF(ISBLANK(MAIN!F997), "", IF(AND(ISNUMBER(VALUE(TRIM(MAIN!F997))), LEN(TRIM(MAIN!F997))=4), VALUE(TRIM(MAIN!F997)), ""))</f>
        <v/>
      </c>
      <c r="G997">
        <f>IF(ISBLANK(MAIN!G997), 0, IF(ISNUMBER(VALUE(TRIM(MAIN!G997))), VALUE(TRIM(MAIN!G997)), 0))</f>
        <v>0</v>
      </c>
      <c r="H997">
        <f>IF(ISBLANK(MAIN!H997), 0, IF(ISNUMBER(VALUE(TRIM(MAIN!H997))), VALUE(TRIM(MAIN!H997)), 0))</f>
        <v>0</v>
      </c>
      <c r="I997">
        <f>IF(ISBLANK(MAIN!I997), 0, IF(ISNUMBER(VALUE(TRIM(MAIN!I997))), VALUE(TRIM(MAIN!I997)), 0))</f>
        <v>0</v>
      </c>
      <c r="J997">
        <f>IF(ISBLANK(MAIN!J997), 0, IF(ISNUMBER(VALUE(TRIM(MAIN!J997))), VALUE(TRIM(MAIN!J997)), 0))</f>
        <v>0</v>
      </c>
      <c r="K997" cm="1">
        <f t="array" ref="K997">IFERROR(
    VALUE(
        IFERROR(
            UPPER(
                IF(MAX(IFERROR(SEARCH("WD",MAIN!G997:J997), 0))&gt;0, "WD",
                IF(MAX(IFERROR(SEARCH("NS",MAIN!G997:J997), 0))&gt;0, "NS",
                IF(MAX(IFERROR(SEARCH("NC",MAIN!G997:J997), 0))&gt;0, "NC",
                IF(MAX(IFERROR(SEARCH("DQ",MAIN!G997:J997), 0))&gt;0, "DQ",
                IF(ISNUMBER(SEARCH("WD",MAIN!K997)), "WD",
                IF(ISNUMBER(SEARCH("NS",MAIN!K997)), "NS",
                IF(ISNUMBER(SEARCH("NC",MAIN!K997)), "NC",
                IF(ISNUMBER(SEARCH("DQ",MAIN!K997)), "DQ",
                IF(ISNUMBER(SEARCH("A",MAIN!K997)), 0,
                IF(OR(MAIN!K997=0,MAIN!K997=""), 0, --TRIM(MAIN!K997)))))))))))),
            0
        )
    ),
    IFERROR(
        UPPER(
            IF(MAX(IFERROR(SEARCH("WD",MAIN!G997:J997), 0))&gt;0, "WD",
            IF(MAX(IFERROR(SEARCH("NS",MAIN!G997:J997), 0))&gt;0, "NS",
            IF(MAX(IFERROR(SEARCH("NC",MAIN!G997:J997), 0))&gt;0, "NC",
            IF(MAX(IFERROR(SEARCH("DQ",MAIN!G997:J997), 0))&gt;0, "DQ",
            IF(ISNUMBER(SEARCH("WD",MAIN!K997)), "WD",
            IF(ISNUMBER(SEARCH("NS",MAIN!K997)), "NS",
            IF(ISNUMBER(SEARCH("NC",MAIN!K997)), "NC",
            IF(ISNUMBER(SEARCH("DQ",MAIN!K997)), "DQ",
            IF(ISNUMBER(SEARCH("A",MAIN!K997)), 0,
            IF(OR(MAIN!K997=0,MAIN!K997=""), 0, --TRIM(MAIN!K997)))))))))))),
        0
    )
)</f>
        <v>0</v>
      </c>
    </row>
    <row r="998" spans="1:11" x14ac:dyDescent="0.25">
      <c r="A998" t="str">
        <f>IF(ISBLANK(MAIN!A998), "--", IFERROR(PROPER(SUBSTITUTE(SUBSTITUTE(SUBSTITUTE(SUBSTITUTE(SUBSTITUTE(SUBSTITUTE(SUBSTITUTE(SUBSTITUTE(SUBSTITUTE(SUBSTITUTE(LEFT(MAIN!A998, FIND(",",MAIN!A998) -1), "0", ""), "1", ""), "2", ""), "3", ""), "4", ""), "5", ""), "6", ""), "7", ""), "8", ""), "9", "")), PROPER(SUBSTITUTE(SUBSTITUTE(SUBSTITUTE(SUBSTITUTE(SUBSTITUTE(SUBSTITUTE(SUBSTITUTE(SUBSTITUTE(SUBSTITUTE(SUBSTITUTE(MAIN!A998, "0", ""), "1", ""), "2", ""), "3", ""), "4", ""), "5", ""), "6", ""), "7", ""), "8", ""), "9", ""))))</f>
        <v>--</v>
      </c>
      <c r="B998" t="str">
        <f>IF(ISBLANK(MAIN!B998), "--", IFERROR(PROPER(SUBSTITUTE(SUBSTITUTE(SUBSTITUTE(SUBSTITUTE(SUBSTITUTE(SUBSTITUTE(SUBSTITUTE(SUBSTITUTE(SUBSTITUTE(SUBSTITUTE(LEFT(MAIN!B998, FIND(",",MAIN!B998) -1), "0", ""), "1", ""), "2", ""), "3", ""), "4", ""), "5", ""), "6", ""), "7", ""), "8", ""), "9", "")), PROPER(SUBSTITUTE(SUBSTITUTE(SUBSTITUTE(SUBSTITUTE(SUBSTITUTE(SUBSTITUTE(SUBSTITUTE(SUBSTITUTE(SUBSTITUTE(SUBSTITUTE(MAIN!B998, "0", ""), "1", ""), "2", ""), "3", ""), "4", ""), "5", ""), "6", ""), "7", ""), "8", ""), "9", ""))))</f>
        <v>--</v>
      </c>
      <c r="C998" t="str">
        <f>IF(ISBLANK(MAIN!C998), "--", IFERROR(PROPER(SUBSTITUTE(SUBSTITUTE(SUBSTITUTE(SUBSTITUTE(SUBSTITUTE(SUBSTITUTE(SUBSTITUTE(SUBSTITUTE(SUBSTITUTE(SUBSTITUTE(LEFT(MAIN!C998, FIND(",",MAIN!C998) -1), "0", ""), "1", ""), "2", ""), "3", ""), "4", ""), "5", ""), "6", ""), "7", ""), "8", ""), "9", "")), PROPER(SUBSTITUTE(SUBSTITUTE(SUBSTITUTE(SUBSTITUTE(SUBSTITUTE(SUBSTITUTE(SUBSTITUTE(SUBSTITUTE(SUBSTITUTE(SUBSTITUTE(MAIN!C998, "0", ""), "1", ""), "2", ""), "3", ""), "4", ""), "5", ""), "6", ""), "7", ""), "8", ""), "9", ""))))</f>
        <v>--</v>
      </c>
      <c r="D998" t="str">
        <f>IF(ISBLANK(MAIN!D998), "--", IF(ISNUMBER(MATCH(SUBSTITUTE(LEFT(MAIN!D998, IFERROR(FIND(",", MAIN!D998)-1, LEN(MAIN!D998))), " ", ""), lookup_values!$B$2:$B$51, 0)), UPPER(SUBSTITUTE(LEFT(MAIN!D998, IFERROR(FIND(",", MAIN!D998)-1, LEN(MAIN!D998))), " ", "")), IF(ISNA(VLOOKUP(SUBSTITUTE(LEFT(MAIN!D998, IFERROR(FIND(",", MAIN!D998)-1, LEN(MAIN!D998))), " ", ""), lookup_values!$A$2:$B$51, 2, FALSE)), "--", VLOOKUP(SUBSTITUTE(LEFT(MAIN!D998, IFERROR(FIND(",", MAIN!D998)-1, LEN(MAIN!D998))), " ", ""), lookup_values!$A$2:$B$51, 2, FALSE))))</f>
        <v>--</v>
      </c>
      <c r="E998" t="str">
        <f>IF(CLEAN_DATA!D998&lt;&gt;"--","US",IF(ISBLANK(MAIN!E998), "--", IF(ISNUMBER(MATCH(SUBSTITUTE(LEFT(MAIN!E998, IFERROR(FIND(",", MAIN!E998)-1, LEN(MAIN!E998))), " ", ""), lookup_values!$E$2:$E$197, 0)), UPPER(SUBSTITUTE(LEFT(MAIN!E998, IFERROR(FIND(",", MAIN!E998)-1, LEN(MAIN!E998))), " ", "")), IF(ISNA(VLOOKUP(SUBSTITUTE(LEFT(MAIN!E998, IFERROR(FIND(",", MAIN!E998)-1, LEN(MAIN!E998))), " ", ""), lookup_values!$D$2:$E$197, 2, FALSE)), "--", VLOOKUP(SUBSTITUTE(LEFT(MAIN!E998, IFERROR(FIND(",", MAIN!E998)-1, LEN(MAIN!E998))), " ", ""), lookup_values!$D$2:$E$197, 2, FALSE)))))</f>
        <v>--</v>
      </c>
      <c r="F998" t="str">
        <f>IF(ISBLANK(MAIN!F998), "", IF(AND(ISNUMBER(VALUE(TRIM(MAIN!F998))), LEN(TRIM(MAIN!F998))=4), VALUE(TRIM(MAIN!F998)), ""))</f>
        <v/>
      </c>
      <c r="G998">
        <f>IF(ISBLANK(MAIN!G998), 0, IF(ISNUMBER(VALUE(TRIM(MAIN!G998))), VALUE(TRIM(MAIN!G998)), 0))</f>
        <v>0</v>
      </c>
      <c r="H998">
        <f>IF(ISBLANK(MAIN!H998), 0, IF(ISNUMBER(VALUE(TRIM(MAIN!H998))), VALUE(TRIM(MAIN!H998)), 0))</f>
        <v>0</v>
      </c>
      <c r="I998">
        <f>IF(ISBLANK(MAIN!I998), 0, IF(ISNUMBER(VALUE(TRIM(MAIN!I998))), VALUE(TRIM(MAIN!I998)), 0))</f>
        <v>0</v>
      </c>
      <c r="J998">
        <f>IF(ISBLANK(MAIN!J998), 0, IF(ISNUMBER(VALUE(TRIM(MAIN!J998))), VALUE(TRIM(MAIN!J998)), 0))</f>
        <v>0</v>
      </c>
      <c r="K998" cm="1">
        <f t="array" ref="K998">IFERROR(
    VALUE(
        IFERROR(
            UPPER(
                IF(MAX(IFERROR(SEARCH("WD",MAIN!G998:J998), 0))&gt;0, "WD",
                IF(MAX(IFERROR(SEARCH("NS",MAIN!G998:J998), 0))&gt;0, "NS",
                IF(MAX(IFERROR(SEARCH("NC",MAIN!G998:J998), 0))&gt;0, "NC",
                IF(MAX(IFERROR(SEARCH("DQ",MAIN!G998:J998), 0))&gt;0, "DQ",
                IF(ISNUMBER(SEARCH("WD",MAIN!K998)), "WD",
                IF(ISNUMBER(SEARCH("NS",MAIN!K998)), "NS",
                IF(ISNUMBER(SEARCH("NC",MAIN!K998)), "NC",
                IF(ISNUMBER(SEARCH("DQ",MAIN!K998)), "DQ",
                IF(ISNUMBER(SEARCH("A",MAIN!K998)), 0,
                IF(OR(MAIN!K998=0,MAIN!K998=""), 0, --TRIM(MAIN!K998)))))))))))),
            0
        )
    ),
    IFERROR(
        UPPER(
            IF(MAX(IFERROR(SEARCH("WD",MAIN!G998:J998), 0))&gt;0, "WD",
            IF(MAX(IFERROR(SEARCH("NS",MAIN!G998:J998), 0))&gt;0, "NS",
            IF(MAX(IFERROR(SEARCH("NC",MAIN!G998:J998), 0))&gt;0, "NC",
            IF(MAX(IFERROR(SEARCH("DQ",MAIN!G998:J998), 0))&gt;0, "DQ",
            IF(ISNUMBER(SEARCH("WD",MAIN!K998)), "WD",
            IF(ISNUMBER(SEARCH("NS",MAIN!K998)), "NS",
            IF(ISNUMBER(SEARCH("NC",MAIN!K998)), "NC",
            IF(ISNUMBER(SEARCH("DQ",MAIN!K998)), "DQ",
            IF(ISNUMBER(SEARCH("A",MAIN!K998)), 0,
            IF(OR(MAIN!K998=0,MAIN!K998=""), 0, --TRIM(MAIN!K998)))))))))))),
        0
    )
)</f>
        <v>0</v>
      </c>
    </row>
    <row r="999" spans="1:11" x14ac:dyDescent="0.25">
      <c r="A999" t="str">
        <f>IF(ISBLANK(MAIN!A999), "--", IFERROR(PROPER(SUBSTITUTE(SUBSTITUTE(SUBSTITUTE(SUBSTITUTE(SUBSTITUTE(SUBSTITUTE(SUBSTITUTE(SUBSTITUTE(SUBSTITUTE(SUBSTITUTE(LEFT(MAIN!A999, FIND(",",MAIN!A999) -1), "0", ""), "1", ""), "2", ""), "3", ""), "4", ""), "5", ""), "6", ""), "7", ""), "8", ""), "9", "")), PROPER(SUBSTITUTE(SUBSTITUTE(SUBSTITUTE(SUBSTITUTE(SUBSTITUTE(SUBSTITUTE(SUBSTITUTE(SUBSTITUTE(SUBSTITUTE(SUBSTITUTE(MAIN!A999, "0", ""), "1", ""), "2", ""), "3", ""), "4", ""), "5", ""), "6", ""), "7", ""), "8", ""), "9", ""))))</f>
        <v>--</v>
      </c>
      <c r="B999" t="str">
        <f>IF(ISBLANK(MAIN!B999), "--", IFERROR(PROPER(SUBSTITUTE(SUBSTITUTE(SUBSTITUTE(SUBSTITUTE(SUBSTITUTE(SUBSTITUTE(SUBSTITUTE(SUBSTITUTE(SUBSTITUTE(SUBSTITUTE(LEFT(MAIN!B999, FIND(",",MAIN!B999) -1), "0", ""), "1", ""), "2", ""), "3", ""), "4", ""), "5", ""), "6", ""), "7", ""), "8", ""), "9", "")), PROPER(SUBSTITUTE(SUBSTITUTE(SUBSTITUTE(SUBSTITUTE(SUBSTITUTE(SUBSTITUTE(SUBSTITUTE(SUBSTITUTE(SUBSTITUTE(SUBSTITUTE(MAIN!B999, "0", ""), "1", ""), "2", ""), "3", ""), "4", ""), "5", ""), "6", ""), "7", ""), "8", ""), "9", ""))))</f>
        <v>--</v>
      </c>
      <c r="C999" t="str">
        <f>IF(ISBLANK(MAIN!C999), "--", IFERROR(PROPER(SUBSTITUTE(SUBSTITUTE(SUBSTITUTE(SUBSTITUTE(SUBSTITUTE(SUBSTITUTE(SUBSTITUTE(SUBSTITUTE(SUBSTITUTE(SUBSTITUTE(LEFT(MAIN!C999, FIND(",",MAIN!C999) -1), "0", ""), "1", ""), "2", ""), "3", ""), "4", ""), "5", ""), "6", ""), "7", ""), "8", ""), "9", "")), PROPER(SUBSTITUTE(SUBSTITUTE(SUBSTITUTE(SUBSTITUTE(SUBSTITUTE(SUBSTITUTE(SUBSTITUTE(SUBSTITUTE(SUBSTITUTE(SUBSTITUTE(MAIN!C999, "0", ""), "1", ""), "2", ""), "3", ""), "4", ""), "5", ""), "6", ""), "7", ""), "8", ""), "9", ""))))</f>
        <v>--</v>
      </c>
      <c r="D999" t="str">
        <f>IF(ISBLANK(MAIN!D999), "--", IF(ISNUMBER(MATCH(SUBSTITUTE(LEFT(MAIN!D999, IFERROR(FIND(",", MAIN!D999)-1, LEN(MAIN!D999))), " ", ""), lookup_values!$B$2:$B$51, 0)), UPPER(SUBSTITUTE(LEFT(MAIN!D999, IFERROR(FIND(",", MAIN!D999)-1, LEN(MAIN!D999))), " ", "")), IF(ISNA(VLOOKUP(SUBSTITUTE(LEFT(MAIN!D999, IFERROR(FIND(",", MAIN!D999)-1, LEN(MAIN!D999))), " ", ""), lookup_values!$A$2:$B$51, 2, FALSE)), "--", VLOOKUP(SUBSTITUTE(LEFT(MAIN!D999, IFERROR(FIND(",", MAIN!D999)-1, LEN(MAIN!D999))), " ", ""), lookup_values!$A$2:$B$51, 2, FALSE))))</f>
        <v>--</v>
      </c>
      <c r="E999" t="str">
        <f>IF(CLEAN_DATA!D999&lt;&gt;"--","US",IF(ISBLANK(MAIN!E999), "--", IF(ISNUMBER(MATCH(SUBSTITUTE(LEFT(MAIN!E999, IFERROR(FIND(",", MAIN!E999)-1, LEN(MAIN!E999))), " ", ""), lookup_values!$E$2:$E$197, 0)), UPPER(SUBSTITUTE(LEFT(MAIN!E999, IFERROR(FIND(",", MAIN!E999)-1, LEN(MAIN!E999))), " ", "")), IF(ISNA(VLOOKUP(SUBSTITUTE(LEFT(MAIN!E999, IFERROR(FIND(",", MAIN!E999)-1, LEN(MAIN!E999))), " ", ""), lookup_values!$D$2:$E$197, 2, FALSE)), "--", VLOOKUP(SUBSTITUTE(LEFT(MAIN!E999, IFERROR(FIND(",", MAIN!E999)-1, LEN(MAIN!E999))), " ", ""), lookup_values!$D$2:$E$197, 2, FALSE)))))</f>
        <v>--</v>
      </c>
      <c r="F999" t="str">
        <f>IF(ISBLANK(MAIN!F999), "", IF(AND(ISNUMBER(VALUE(TRIM(MAIN!F999))), LEN(TRIM(MAIN!F999))=4), VALUE(TRIM(MAIN!F999)), ""))</f>
        <v/>
      </c>
      <c r="G999">
        <f>IF(ISBLANK(MAIN!G999), 0, IF(ISNUMBER(VALUE(TRIM(MAIN!G999))), VALUE(TRIM(MAIN!G999)), 0))</f>
        <v>0</v>
      </c>
      <c r="H999">
        <f>IF(ISBLANK(MAIN!H999), 0, IF(ISNUMBER(VALUE(TRIM(MAIN!H999))), VALUE(TRIM(MAIN!H999)), 0))</f>
        <v>0</v>
      </c>
      <c r="I999">
        <f>IF(ISBLANK(MAIN!I999), 0, IF(ISNUMBER(VALUE(TRIM(MAIN!I999))), VALUE(TRIM(MAIN!I999)), 0))</f>
        <v>0</v>
      </c>
      <c r="J999">
        <f>IF(ISBLANK(MAIN!J999), 0, IF(ISNUMBER(VALUE(TRIM(MAIN!J999))), VALUE(TRIM(MAIN!J999)), 0))</f>
        <v>0</v>
      </c>
      <c r="K999" cm="1">
        <f t="array" ref="K999">IFERROR(
    VALUE(
        IFERROR(
            UPPER(
                IF(MAX(IFERROR(SEARCH("WD",MAIN!G999:J999), 0))&gt;0, "WD",
                IF(MAX(IFERROR(SEARCH("NS",MAIN!G999:J999), 0))&gt;0, "NS",
                IF(MAX(IFERROR(SEARCH("NC",MAIN!G999:J999), 0))&gt;0, "NC",
                IF(MAX(IFERROR(SEARCH("DQ",MAIN!G999:J999), 0))&gt;0, "DQ",
                IF(ISNUMBER(SEARCH("WD",MAIN!K999)), "WD",
                IF(ISNUMBER(SEARCH("NS",MAIN!K999)), "NS",
                IF(ISNUMBER(SEARCH("NC",MAIN!K999)), "NC",
                IF(ISNUMBER(SEARCH("DQ",MAIN!K999)), "DQ",
                IF(ISNUMBER(SEARCH("A",MAIN!K999)), 0,
                IF(OR(MAIN!K999=0,MAIN!K999=""), 0, --TRIM(MAIN!K999)))))))))))),
            0
        )
    ),
    IFERROR(
        UPPER(
            IF(MAX(IFERROR(SEARCH("WD",MAIN!G999:J999), 0))&gt;0, "WD",
            IF(MAX(IFERROR(SEARCH("NS",MAIN!G999:J999), 0))&gt;0, "NS",
            IF(MAX(IFERROR(SEARCH("NC",MAIN!G999:J999), 0))&gt;0, "NC",
            IF(MAX(IFERROR(SEARCH("DQ",MAIN!G999:J999), 0))&gt;0, "DQ",
            IF(ISNUMBER(SEARCH("WD",MAIN!K999)), "WD",
            IF(ISNUMBER(SEARCH("NS",MAIN!K999)), "NS",
            IF(ISNUMBER(SEARCH("NC",MAIN!K999)), "NC",
            IF(ISNUMBER(SEARCH("DQ",MAIN!K999)), "DQ",
            IF(ISNUMBER(SEARCH("A",MAIN!K999)), 0,
            IF(OR(MAIN!K999=0,MAIN!K999=""), 0, --TRIM(MAIN!K999)))))))))))),
        0
    )
)</f>
        <v>0</v>
      </c>
    </row>
    <row r="1000" spans="1:11" x14ac:dyDescent="0.25">
      <c r="A1000" t="str">
        <f>IF(ISBLANK(MAIN!A1000), "--", IFERROR(PROPER(SUBSTITUTE(SUBSTITUTE(SUBSTITUTE(SUBSTITUTE(SUBSTITUTE(SUBSTITUTE(SUBSTITUTE(SUBSTITUTE(SUBSTITUTE(SUBSTITUTE(LEFT(MAIN!A1000, FIND(",",MAIN!A1000) -1), "0", ""), "1", ""), "2", ""), "3", ""), "4", ""), "5", ""), "6", ""), "7", ""), "8", ""), "9", "")), PROPER(SUBSTITUTE(SUBSTITUTE(SUBSTITUTE(SUBSTITUTE(SUBSTITUTE(SUBSTITUTE(SUBSTITUTE(SUBSTITUTE(SUBSTITUTE(SUBSTITUTE(MAIN!A1000, "0", ""), "1", ""), "2", ""), "3", ""), "4", ""), "5", ""), "6", ""), "7", ""), "8", ""), "9", ""))))</f>
        <v>--</v>
      </c>
      <c r="B1000" t="str">
        <f>IF(ISBLANK(MAIN!B1000), "--", IFERROR(PROPER(SUBSTITUTE(SUBSTITUTE(SUBSTITUTE(SUBSTITUTE(SUBSTITUTE(SUBSTITUTE(SUBSTITUTE(SUBSTITUTE(SUBSTITUTE(SUBSTITUTE(LEFT(MAIN!B1000, FIND(",",MAIN!B1000) -1), "0", ""), "1", ""), "2", ""), "3", ""), "4", ""), "5", ""), "6", ""), "7", ""), "8", ""), "9", "")), PROPER(SUBSTITUTE(SUBSTITUTE(SUBSTITUTE(SUBSTITUTE(SUBSTITUTE(SUBSTITUTE(SUBSTITUTE(SUBSTITUTE(SUBSTITUTE(SUBSTITUTE(MAIN!B1000, "0", ""), "1", ""), "2", ""), "3", ""), "4", ""), "5", ""), "6", ""), "7", ""), "8", ""), "9", ""))))</f>
        <v>--</v>
      </c>
      <c r="C1000" t="str">
        <f>IF(ISBLANK(MAIN!C1000), "--", IFERROR(PROPER(SUBSTITUTE(SUBSTITUTE(SUBSTITUTE(SUBSTITUTE(SUBSTITUTE(SUBSTITUTE(SUBSTITUTE(SUBSTITUTE(SUBSTITUTE(SUBSTITUTE(LEFT(MAIN!C1000, FIND(",",MAIN!C1000) -1), "0", ""), "1", ""), "2", ""), "3", ""), "4", ""), "5", ""), "6", ""), "7", ""), "8", ""), "9", "")), PROPER(SUBSTITUTE(SUBSTITUTE(SUBSTITUTE(SUBSTITUTE(SUBSTITUTE(SUBSTITUTE(SUBSTITUTE(SUBSTITUTE(SUBSTITUTE(SUBSTITUTE(MAIN!C1000, "0", ""), "1", ""), "2", ""), "3", ""), "4", ""), "5", ""), "6", ""), "7", ""), "8", ""), "9", ""))))</f>
        <v>--</v>
      </c>
      <c r="D1000" t="str">
        <f>IF(ISBLANK(MAIN!D1000), "--", IF(ISNUMBER(MATCH(SUBSTITUTE(LEFT(MAIN!D1000, IFERROR(FIND(",", MAIN!D1000)-1, LEN(MAIN!D1000))), " ", ""), lookup_values!$B$2:$B$51, 0)), UPPER(SUBSTITUTE(LEFT(MAIN!D1000, IFERROR(FIND(",", MAIN!D1000)-1, LEN(MAIN!D1000))), " ", "")), IF(ISNA(VLOOKUP(SUBSTITUTE(LEFT(MAIN!D1000, IFERROR(FIND(",", MAIN!D1000)-1, LEN(MAIN!D1000))), " ", ""), lookup_values!$A$2:$B$51, 2, FALSE)), "--", VLOOKUP(SUBSTITUTE(LEFT(MAIN!D1000, IFERROR(FIND(",", MAIN!D1000)-1, LEN(MAIN!D1000))), " ", ""), lookup_values!$A$2:$B$51, 2, FALSE))))</f>
        <v>--</v>
      </c>
      <c r="E1000" t="str">
        <f>IF(CLEAN_DATA!D1000&lt;&gt;"--","US",IF(ISBLANK(MAIN!E1000), "--", IF(ISNUMBER(MATCH(SUBSTITUTE(LEFT(MAIN!E1000, IFERROR(FIND(",", MAIN!E1000)-1, LEN(MAIN!E1000))), " ", ""), lookup_values!$E$2:$E$197, 0)), UPPER(SUBSTITUTE(LEFT(MAIN!E1000, IFERROR(FIND(",", MAIN!E1000)-1, LEN(MAIN!E1000))), " ", "")), IF(ISNA(VLOOKUP(SUBSTITUTE(LEFT(MAIN!E1000, IFERROR(FIND(",", MAIN!E1000)-1, LEN(MAIN!E1000))), " ", ""), lookup_values!$D$2:$E$197, 2, FALSE)), "--", VLOOKUP(SUBSTITUTE(LEFT(MAIN!E1000, IFERROR(FIND(",", MAIN!E1000)-1, LEN(MAIN!E1000))), " ", ""), lookup_values!$D$2:$E$197, 2, FALSE)))))</f>
        <v>--</v>
      </c>
      <c r="F1000" t="str">
        <f>IF(ISBLANK(MAIN!F1000), "", IF(AND(ISNUMBER(VALUE(TRIM(MAIN!F1000))), LEN(TRIM(MAIN!F1000))=4), VALUE(TRIM(MAIN!F1000)), ""))</f>
        <v/>
      </c>
      <c r="G1000">
        <f>IF(ISBLANK(MAIN!G1000), 0, IF(ISNUMBER(VALUE(TRIM(MAIN!G1000))), VALUE(TRIM(MAIN!G1000)), 0))</f>
        <v>0</v>
      </c>
      <c r="H1000">
        <f>IF(ISBLANK(MAIN!H1000), 0, IF(ISNUMBER(VALUE(TRIM(MAIN!H1000))), VALUE(TRIM(MAIN!H1000)), 0))</f>
        <v>0</v>
      </c>
      <c r="I1000">
        <f>IF(ISBLANK(MAIN!I1000), 0, IF(ISNUMBER(VALUE(TRIM(MAIN!I1000))), VALUE(TRIM(MAIN!I1000)), 0))</f>
        <v>0</v>
      </c>
      <c r="J1000">
        <f>IF(ISBLANK(MAIN!J1000), 0, IF(ISNUMBER(VALUE(TRIM(MAIN!J1000))), VALUE(TRIM(MAIN!J1000)), 0))</f>
        <v>0</v>
      </c>
      <c r="K1000" cm="1">
        <f t="array" ref="K1000">IFERROR(
    VALUE(
        IFERROR(
            UPPER(
                IF(MAX(IFERROR(SEARCH("WD",MAIN!G1000:J1000), 0))&gt;0, "WD",
                IF(MAX(IFERROR(SEARCH("NS",MAIN!G1000:J1000), 0))&gt;0, "NS",
                IF(MAX(IFERROR(SEARCH("NC",MAIN!G1000:J1000), 0))&gt;0, "NC",
                IF(MAX(IFERROR(SEARCH("DQ",MAIN!G1000:J1000), 0))&gt;0, "DQ",
                IF(ISNUMBER(SEARCH("WD",MAIN!K1000)), "WD",
                IF(ISNUMBER(SEARCH("NS",MAIN!K1000)), "NS",
                IF(ISNUMBER(SEARCH("NC",MAIN!K1000)), "NC",
                IF(ISNUMBER(SEARCH("DQ",MAIN!K1000)), "DQ",
                IF(ISNUMBER(SEARCH("A",MAIN!K1000)), 0,
                IF(OR(MAIN!K1000=0,MAIN!K1000=""), 0, --TRIM(MAIN!K1000)))))))))))),
            0
        )
    ),
    IFERROR(
        UPPER(
            IF(MAX(IFERROR(SEARCH("WD",MAIN!G1000:J1000), 0))&gt;0, "WD",
            IF(MAX(IFERROR(SEARCH("NS",MAIN!G1000:J1000), 0))&gt;0, "NS",
            IF(MAX(IFERROR(SEARCH("NC",MAIN!G1000:J1000), 0))&gt;0, "NC",
            IF(MAX(IFERROR(SEARCH("DQ",MAIN!G1000:J1000), 0))&gt;0, "DQ",
            IF(ISNUMBER(SEARCH("WD",MAIN!K1000)), "WD",
            IF(ISNUMBER(SEARCH("NS",MAIN!K1000)), "NS",
            IF(ISNUMBER(SEARCH("NC",MAIN!K1000)), "NC",
            IF(ISNUMBER(SEARCH("DQ",MAIN!K1000)), "DQ",
            IF(ISNUMBER(SEARCH("A",MAIN!K1000)), 0,
            IF(OR(MAIN!K1000=0,MAIN!K1000=""), 0, --TRIM(MAIN!K1000)))))))))))),
        0
    )
)</f>
        <v>0</v>
      </c>
    </row>
  </sheetData>
  <sheetProtection algorithmName="SHA-512" hashValue="bmoAZbS9H2cy/duesXf4bxNYD/B5m9zJamVemdKNPb5VrAKeD7G0TxNA0BylNha5rgW0GSjAwuUkGSRNyyZJ6A==" saltValue="wr1HnpPQztuQT1sdjD3Rkg==" spinCount="100000" sheet="1" objects="1" scenarios="1"/>
  <mergeCells count="1">
    <mergeCell ref="A1:K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E0474-0C64-4BC8-B374-3DC3A647757B}">
  <sheetPr codeName="Sheet4"/>
  <dimension ref="A1:H197"/>
  <sheetViews>
    <sheetView workbookViewId="0"/>
  </sheetViews>
  <sheetFormatPr defaultRowHeight="15" x14ac:dyDescent="0.25"/>
  <cols>
    <col min="1" max="1" width="14" bestFit="1" customWidth="1"/>
    <col min="2" max="2" width="12.5703125" bestFit="1" customWidth="1"/>
    <col min="4" max="4" width="34.140625" bestFit="1" customWidth="1"/>
    <col min="5" max="5" width="12.5703125" bestFit="1" customWidth="1"/>
    <col min="7" max="7" width="15.140625" bestFit="1" customWidth="1"/>
  </cols>
  <sheetData>
    <row r="1" spans="1:8" x14ac:dyDescent="0.25">
      <c r="A1" s="1" t="s">
        <v>1</v>
      </c>
      <c r="B1" s="1" t="s">
        <v>2</v>
      </c>
      <c r="D1" s="1" t="s">
        <v>53</v>
      </c>
      <c r="E1" s="1" t="s">
        <v>2</v>
      </c>
      <c r="H1" s="1"/>
    </row>
    <row r="2" spans="1:8" x14ac:dyDescent="0.25">
      <c r="A2" t="s">
        <v>227</v>
      </c>
      <c r="B2" t="s">
        <v>3</v>
      </c>
      <c r="D2" t="s">
        <v>435</v>
      </c>
      <c r="E2" t="s">
        <v>54</v>
      </c>
      <c r="G2" s="1"/>
    </row>
    <row r="3" spans="1:8" x14ac:dyDescent="0.25">
      <c r="A3" t="s">
        <v>228</v>
      </c>
      <c r="B3" t="s">
        <v>4</v>
      </c>
      <c r="D3" t="s">
        <v>436</v>
      </c>
      <c r="E3" t="s">
        <v>54</v>
      </c>
      <c r="G3" s="1"/>
    </row>
    <row r="4" spans="1:8" x14ac:dyDescent="0.25">
      <c r="A4" t="s">
        <v>229</v>
      </c>
      <c r="B4" t="s">
        <v>5</v>
      </c>
      <c r="D4" t="s">
        <v>267</v>
      </c>
      <c r="E4" t="s">
        <v>55</v>
      </c>
      <c r="G4" s="1"/>
    </row>
    <row r="5" spans="1:8" x14ac:dyDescent="0.25">
      <c r="A5" t="s">
        <v>230</v>
      </c>
      <c r="B5" t="s">
        <v>6</v>
      </c>
      <c r="D5" t="s">
        <v>268</v>
      </c>
      <c r="E5" t="s">
        <v>3</v>
      </c>
      <c r="G5" s="1"/>
    </row>
    <row r="6" spans="1:8" x14ac:dyDescent="0.25">
      <c r="A6" t="s">
        <v>231</v>
      </c>
      <c r="B6" t="s">
        <v>7</v>
      </c>
      <c r="D6" t="s">
        <v>269</v>
      </c>
      <c r="E6" t="s">
        <v>56</v>
      </c>
      <c r="G6" s="1"/>
    </row>
    <row r="7" spans="1:8" x14ac:dyDescent="0.25">
      <c r="A7" t="s">
        <v>232</v>
      </c>
      <c r="B7" t="s">
        <v>8</v>
      </c>
      <c r="D7" t="s">
        <v>270</v>
      </c>
      <c r="E7" t="s">
        <v>57</v>
      </c>
      <c r="G7" s="1"/>
    </row>
    <row r="8" spans="1:8" x14ac:dyDescent="0.25">
      <c r="A8" t="s">
        <v>233</v>
      </c>
      <c r="B8" t="s">
        <v>9</v>
      </c>
      <c r="D8" t="s">
        <v>271</v>
      </c>
      <c r="E8" t="s">
        <v>58</v>
      </c>
      <c r="G8" s="1"/>
    </row>
    <row r="9" spans="1:8" x14ac:dyDescent="0.25">
      <c r="A9" t="s">
        <v>234</v>
      </c>
      <c r="B9" t="s">
        <v>10</v>
      </c>
      <c r="D9" t="s">
        <v>437</v>
      </c>
      <c r="E9" t="s">
        <v>59</v>
      </c>
      <c r="G9" s="1"/>
    </row>
    <row r="10" spans="1:8" x14ac:dyDescent="0.25">
      <c r="A10" t="s">
        <v>235</v>
      </c>
      <c r="B10" t="s">
        <v>11</v>
      </c>
      <c r="D10" t="s">
        <v>272</v>
      </c>
      <c r="E10" t="s">
        <v>6</v>
      </c>
      <c r="G10" s="1"/>
    </row>
    <row r="11" spans="1:8" x14ac:dyDescent="0.25">
      <c r="A11" t="s">
        <v>236</v>
      </c>
      <c r="B11" t="s">
        <v>12</v>
      </c>
      <c r="D11" t="s">
        <v>273</v>
      </c>
      <c r="E11" t="s">
        <v>60</v>
      </c>
      <c r="G11" s="1"/>
    </row>
    <row r="12" spans="1:8" x14ac:dyDescent="0.25">
      <c r="A12" t="s">
        <v>237</v>
      </c>
      <c r="B12" t="s">
        <v>13</v>
      </c>
      <c r="D12" t="s">
        <v>274</v>
      </c>
      <c r="E12" t="s">
        <v>61</v>
      </c>
      <c r="G12" s="1"/>
    </row>
    <row r="13" spans="1:8" x14ac:dyDescent="0.25">
      <c r="A13" t="s">
        <v>238</v>
      </c>
      <c r="B13" t="s">
        <v>14</v>
      </c>
      <c r="D13" t="s">
        <v>275</v>
      </c>
      <c r="E13" t="s">
        <v>62</v>
      </c>
      <c r="G13" s="1"/>
    </row>
    <row r="14" spans="1:8" x14ac:dyDescent="0.25">
      <c r="A14" t="s">
        <v>239</v>
      </c>
      <c r="B14" t="s">
        <v>15</v>
      </c>
      <c r="D14" t="s">
        <v>276</v>
      </c>
      <c r="E14" t="s">
        <v>5</v>
      </c>
      <c r="G14" s="1"/>
    </row>
    <row r="15" spans="1:8" x14ac:dyDescent="0.25">
      <c r="A15" t="s">
        <v>240</v>
      </c>
      <c r="B15" t="s">
        <v>16</v>
      </c>
      <c r="D15" t="s">
        <v>277</v>
      </c>
      <c r="E15" t="s">
        <v>63</v>
      </c>
      <c r="G15" s="1"/>
    </row>
    <row r="16" spans="1:8" x14ac:dyDescent="0.25">
      <c r="A16" t="s">
        <v>241</v>
      </c>
      <c r="B16" t="s">
        <v>17</v>
      </c>
      <c r="D16" t="s">
        <v>278</v>
      </c>
      <c r="E16" t="s">
        <v>64</v>
      </c>
      <c r="G16" s="1"/>
    </row>
    <row r="17" spans="1:7" x14ac:dyDescent="0.25">
      <c r="A17" t="s">
        <v>242</v>
      </c>
      <c r="B17" t="s">
        <v>18</v>
      </c>
      <c r="D17" t="s">
        <v>279</v>
      </c>
      <c r="E17" t="s">
        <v>65</v>
      </c>
      <c r="G17" s="1"/>
    </row>
    <row r="18" spans="1:7" x14ac:dyDescent="0.25">
      <c r="A18" t="s">
        <v>243</v>
      </c>
      <c r="B18" t="s">
        <v>19</v>
      </c>
      <c r="D18" t="s">
        <v>280</v>
      </c>
      <c r="E18" t="s">
        <v>66</v>
      </c>
      <c r="G18" s="1"/>
    </row>
    <row r="19" spans="1:7" x14ac:dyDescent="0.25">
      <c r="A19" t="s">
        <v>244</v>
      </c>
      <c r="B19" t="s">
        <v>20</v>
      </c>
      <c r="D19" t="s">
        <v>281</v>
      </c>
      <c r="E19" t="s">
        <v>67</v>
      </c>
      <c r="G19" s="1"/>
    </row>
    <row r="20" spans="1:7" x14ac:dyDescent="0.25">
      <c r="A20" t="s">
        <v>245</v>
      </c>
      <c r="B20" t="s">
        <v>21</v>
      </c>
      <c r="D20" t="s">
        <v>282</v>
      </c>
      <c r="E20" t="s">
        <v>68</v>
      </c>
      <c r="G20" s="1"/>
    </row>
    <row r="21" spans="1:7" x14ac:dyDescent="0.25">
      <c r="A21" t="s">
        <v>246</v>
      </c>
      <c r="B21" t="s">
        <v>22</v>
      </c>
      <c r="D21" t="s">
        <v>283</v>
      </c>
      <c r="E21" t="s">
        <v>69</v>
      </c>
      <c r="G21" s="1"/>
    </row>
    <row r="22" spans="1:7" x14ac:dyDescent="0.25">
      <c r="A22" t="s">
        <v>247</v>
      </c>
      <c r="B22" t="s">
        <v>23</v>
      </c>
      <c r="D22" t="s">
        <v>284</v>
      </c>
      <c r="E22" t="s">
        <v>70</v>
      </c>
      <c r="G22" s="1"/>
    </row>
    <row r="23" spans="1:7" x14ac:dyDescent="0.25">
      <c r="A23" t="s">
        <v>248</v>
      </c>
      <c r="B23" t="s">
        <v>24</v>
      </c>
      <c r="D23" t="s">
        <v>285</v>
      </c>
      <c r="E23" t="s">
        <v>71</v>
      </c>
      <c r="G23" s="1"/>
    </row>
    <row r="24" spans="1:7" x14ac:dyDescent="0.25">
      <c r="A24" t="s">
        <v>249</v>
      </c>
      <c r="B24" t="s">
        <v>25</v>
      </c>
      <c r="D24" t="s">
        <v>286</v>
      </c>
      <c r="E24" t="s">
        <v>72</v>
      </c>
      <c r="G24" s="1"/>
    </row>
    <row r="25" spans="1:7" x14ac:dyDescent="0.25">
      <c r="A25" t="s">
        <v>250</v>
      </c>
      <c r="B25" t="s">
        <v>26</v>
      </c>
      <c r="D25" t="s">
        <v>438</v>
      </c>
      <c r="E25" t="s">
        <v>73</v>
      </c>
      <c r="G25" s="1"/>
    </row>
    <row r="26" spans="1:7" x14ac:dyDescent="0.25">
      <c r="A26" t="s">
        <v>251</v>
      </c>
      <c r="B26" t="s">
        <v>27</v>
      </c>
      <c r="D26" t="s">
        <v>287</v>
      </c>
      <c r="E26" t="s">
        <v>74</v>
      </c>
      <c r="G26" s="1"/>
    </row>
    <row r="27" spans="1:7" x14ac:dyDescent="0.25">
      <c r="A27" t="s">
        <v>252</v>
      </c>
      <c r="B27" t="s">
        <v>28</v>
      </c>
      <c r="D27" t="s">
        <v>288</v>
      </c>
      <c r="E27" t="s">
        <v>75</v>
      </c>
      <c r="G27" s="1"/>
    </row>
    <row r="28" spans="1:7" x14ac:dyDescent="0.25">
      <c r="A28" t="s">
        <v>253</v>
      </c>
      <c r="B28" t="s">
        <v>29</v>
      </c>
      <c r="D28" t="s">
        <v>289</v>
      </c>
      <c r="E28" t="s">
        <v>76</v>
      </c>
      <c r="G28" s="1"/>
    </row>
    <row r="29" spans="1:7" x14ac:dyDescent="0.25">
      <c r="A29" t="s">
        <v>254</v>
      </c>
      <c r="B29" t="s">
        <v>30</v>
      </c>
      <c r="D29" t="s">
        <v>290</v>
      </c>
      <c r="E29" t="s">
        <v>77</v>
      </c>
      <c r="G29" s="1"/>
    </row>
    <row r="30" spans="1:7" x14ac:dyDescent="0.25">
      <c r="A30" t="s">
        <v>474</v>
      </c>
      <c r="B30" t="s">
        <v>31</v>
      </c>
      <c r="D30" t="s">
        <v>439</v>
      </c>
      <c r="E30" t="s">
        <v>78</v>
      </c>
      <c r="G30" s="1"/>
    </row>
    <row r="31" spans="1:7" x14ac:dyDescent="0.25">
      <c r="A31" t="s">
        <v>475</v>
      </c>
      <c r="B31" t="s">
        <v>32</v>
      </c>
      <c r="D31" t="s">
        <v>291</v>
      </c>
      <c r="E31" t="s">
        <v>79</v>
      </c>
      <c r="G31" s="1"/>
    </row>
    <row r="32" spans="1:7" x14ac:dyDescent="0.25">
      <c r="A32" t="s">
        <v>476</v>
      </c>
      <c r="B32" t="s">
        <v>33</v>
      </c>
      <c r="D32" t="s">
        <v>440</v>
      </c>
      <c r="E32" t="s">
        <v>80</v>
      </c>
      <c r="G32" s="1"/>
    </row>
    <row r="33" spans="1:7" x14ac:dyDescent="0.25">
      <c r="A33" t="s">
        <v>477</v>
      </c>
      <c r="B33" t="s">
        <v>34</v>
      </c>
      <c r="D33" t="s">
        <v>441</v>
      </c>
      <c r="E33" t="s">
        <v>81</v>
      </c>
      <c r="G33" s="1"/>
    </row>
    <row r="34" spans="1:7" x14ac:dyDescent="0.25">
      <c r="A34" t="s">
        <v>478</v>
      </c>
      <c r="B34" t="s">
        <v>35</v>
      </c>
      <c r="D34" t="s">
        <v>292</v>
      </c>
      <c r="E34" t="s">
        <v>82</v>
      </c>
      <c r="G34" s="1"/>
    </row>
    <row r="35" spans="1:7" x14ac:dyDescent="0.25">
      <c r="A35" t="s">
        <v>479</v>
      </c>
      <c r="B35" t="s">
        <v>36</v>
      </c>
      <c r="D35" t="s">
        <v>293</v>
      </c>
      <c r="E35" t="s">
        <v>83</v>
      </c>
      <c r="G35" s="1"/>
    </row>
    <row r="36" spans="1:7" x14ac:dyDescent="0.25">
      <c r="A36" t="s">
        <v>255</v>
      </c>
      <c r="B36" t="s">
        <v>37</v>
      </c>
      <c r="D36" t="s">
        <v>294</v>
      </c>
      <c r="E36" t="s">
        <v>7</v>
      </c>
      <c r="G36" s="1"/>
    </row>
    <row r="37" spans="1:7" x14ac:dyDescent="0.25">
      <c r="A37" t="s">
        <v>256</v>
      </c>
      <c r="B37" t="s">
        <v>38</v>
      </c>
      <c r="D37" t="s">
        <v>442</v>
      </c>
      <c r="E37" t="s">
        <v>84</v>
      </c>
      <c r="G37" s="1"/>
    </row>
    <row r="38" spans="1:7" x14ac:dyDescent="0.25">
      <c r="A38" t="s">
        <v>257</v>
      </c>
      <c r="B38" t="s">
        <v>39</v>
      </c>
      <c r="D38" t="s">
        <v>295</v>
      </c>
      <c r="E38" t="s">
        <v>85</v>
      </c>
      <c r="G38" s="1"/>
    </row>
    <row r="39" spans="1:7" x14ac:dyDescent="0.25">
      <c r="A39" t="s">
        <v>258</v>
      </c>
      <c r="B39" t="s">
        <v>40</v>
      </c>
      <c r="D39" t="s">
        <v>296</v>
      </c>
      <c r="E39" t="s">
        <v>86</v>
      </c>
      <c r="G39" s="1"/>
    </row>
    <row r="40" spans="1:7" x14ac:dyDescent="0.25">
      <c r="A40" t="s">
        <v>480</v>
      </c>
      <c r="B40" t="s">
        <v>41</v>
      </c>
      <c r="D40" t="s">
        <v>297</v>
      </c>
      <c r="E40" t="s">
        <v>87</v>
      </c>
      <c r="G40" s="1"/>
    </row>
    <row r="41" spans="1:7" x14ac:dyDescent="0.25">
      <c r="A41" t="s">
        <v>481</v>
      </c>
      <c r="B41" t="s">
        <v>42</v>
      </c>
      <c r="D41" t="s">
        <v>298</v>
      </c>
      <c r="E41" t="s">
        <v>8</v>
      </c>
      <c r="G41" s="1"/>
    </row>
    <row r="42" spans="1:7" x14ac:dyDescent="0.25">
      <c r="A42" t="s">
        <v>482</v>
      </c>
      <c r="B42" t="s">
        <v>43</v>
      </c>
      <c r="D42" t="s">
        <v>299</v>
      </c>
      <c r="E42" t="s">
        <v>88</v>
      </c>
      <c r="G42" s="1"/>
    </row>
    <row r="43" spans="1:7" x14ac:dyDescent="0.25">
      <c r="A43" t="s">
        <v>259</v>
      </c>
      <c r="B43" t="s">
        <v>44</v>
      </c>
      <c r="D43" t="s">
        <v>443</v>
      </c>
      <c r="E43" t="s">
        <v>89</v>
      </c>
      <c r="G43" s="1"/>
    </row>
    <row r="44" spans="1:7" x14ac:dyDescent="0.25">
      <c r="A44" t="s">
        <v>260</v>
      </c>
      <c r="B44" t="s">
        <v>45</v>
      </c>
      <c r="D44" t="s">
        <v>444</v>
      </c>
      <c r="E44" t="s">
        <v>90</v>
      </c>
      <c r="G44" s="1"/>
    </row>
    <row r="45" spans="1:7" x14ac:dyDescent="0.25">
      <c r="A45" t="s">
        <v>261</v>
      </c>
      <c r="B45" t="s">
        <v>46</v>
      </c>
      <c r="D45" t="s">
        <v>300</v>
      </c>
      <c r="E45" t="s">
        <v>91</v>
      </c>
      <c r="G45" s="1"/>
    </row>
    <row r="46" spans="1:7" x14ac:dyDescent="0.25">
      <c r="A46" t="s">
        <v>262</v>
      </c>
      <c r="B46" t="s">
        <v>47</v>
      </c>
      <c r="D46" t="s">
        <v>301</v>
      </c>
      <c r="E46" t="s">
        <v>92</v>
      </c>
      <c r="G46" s="1"/>
    </row>
    <row r="47" spans="1:7" x14ac:dyDescent="0.25">
      <c r="A47" t="s">
        <v>263</v>
      </c>
      <c r="B47" t="s">
        <v>48</v>
      </c>
      <c r="D47" t="s">
        <v>302</v>
      </c>
      <c r="E47" t="s">
        <v>93</v>
      </c>
      <c r="G47" s="1"/>
    </row>
    <row r="48" spans="1:7" x14ac:dyDescent="0.25">
      <c r="A48" t="s">
        <v>264</v>
      </c>
      <c r="B48" t="s">
        <v>49</v>
      </c>
      <c r="D48" t="s">
        <v>445</v>
      </c>
      <c r="E48" t="s">
        <v>94</v>
      </c>
      <c r="G48" s="1"/>
    </row>
    <row r="49" spans="1:7" x14ac:dyDescent="0.25">
      <c r="A49" t="s">
        <v>483</v>
      </c>
      <c r="B49" t="s">
        <v>50</v>
      </c>
      <c r="D49" t="s">
        <v>446</v>
      </c>
      <c r="E49" t="s">
        <v>95</v>
      </c>
      <c r="G49" s="1"/>
    </row>
    <row r="50" spans="1:7" x14ac:dyDescent="0.25">
      <c r="A50" t="s">
        <v>265</v>
      </c>
      <c r="B50" t="s">
        <v>51</v>
      </c>
      <c r="D50" t="s">
        <v>303</v>
      </c>
      <c r="E50" t="s">
        <v>96</v>
      </c>
      <c r="G50" s="1"/>
    </row>
    <row r="51" spans="1:7" x14ac:dyDescent="0.25">
      <c r="A51" t="s">
        <v>266</v>
      </c>
      <c r="B51" t="s">
        <v>52</v>
      </c>
      <c r="D51" t="s">
        <v>304</v>
      </c>
      <c r="E51" t="s">
        <v>97</v>
      </c>
      <c r="G51" s="1"/>
    </row>
    <row r="52" spans="1:7" x14ac:dyDescent="0.25">
      <c r="D52" t="s">
        <v>305</v>
      </c>
      <c r="E52" t="s">
        <v>98</v>
      </c>
      <c r="G52" s="1"/>
    </row>
    <row r="53" spans="1:7" x14ac:dyDescent="0.25">
      <c r="D53" t="s">
        <v>447</v>
      </c>
      <c r="E53" t="s">
        <v>99</v>
      </c>
    </row>
    <row r="54" spans="1:7" x14ac:dyDescent="0.25">
      <c r="D54" t="s">
        <v>306</v>
      </c>
      <c r="E54" t="s">
        <v>100</v>
      </c>
    </row>
    <row r="55" spans="1:7" x14ac:dyDescent="0.25">
      <c r="D55" t="s">
        <v>307</v>
      </c>
      <c r="E55" t="s">
        <v>101</v>
      </c>
    </row>
    <row r="56" spans="1:7" x14ac:dyDescent="0.25">
      <c r="D56" t="s">
        <v>448</v>
      </c>
      <c r="E56" t="s">
        <v>102</v>
      </c>
    </row>
    <row r="57" spans="1:7" x14ac:dyDescent="0.25">
      <c r="D57" t="s">
        <v>449</v>
      </c>
      <c r="E57" t="s">
        <v>103</v>
      </c>
    </row>
    <row r="58" spans="1:7" x14ac:dyDescent="0.25">
      <c r="D58" t="s">
        <v>308</v>
      </c>
      <c r="E58" t="s">
        <v>104</v>
      </c>
    </row>
    <row r="59" spans="1:7" x14ac:dyDescent="0.25">
      <c r="D59" t="s">
        <v>309</v>
      </c>
      <c r="E59" t="s">
        <v>105</v>
      </c>
    </row>
    <row r="60" spans="1:7" x14ac:dyDescent="0.25">
      <c r="D60" t="s">
        <v>450</v>
      </c>
      <c r="E60" t="s">
        <v>106</v>
      </c>
    </row>
    <row r="61" spans="1:7" x14ac:dyDescent="0.25">
      <c r="D61" t="s">
        <v>310</v>
      </c>
      <c r="E61" t="s">
        <v>107</v>
      </c>
    </row>
    <row r="62" spans="1:7" x14ac:dyDescent="0.25">
      <c r="D62" t="s">
        <v>311</v>
      </c>
      <c r="E62" t="s">
        <v>108</v>
      </c>
    </row>
    <row r="63" spans="1:7" x14ac:dyDescent="0.25">
      <c r="D63" t="s">
        <v>312</v>
      </c>
      <c r="E63" t="s">
        <v>109</v>
      </c>
    </row>
    <row r="64" spans="1:7" x14ac:dyDescent="0.25">
      <c r="D64" t="s">
        <v>313</v>
      </c>
      <c r="E64" t="s">
        <v>110</v>
      </c>
    </row>
    <row r="65" spans="4:5" x14ac:dyDescent="0.25">
      <c r="D65" t="s">
        <v>314</v>
      </c>
      <c r="E65" t="s">
        <v>12</v>
      </c>
    </row>
    <row r="66" spans="4:5" x14ac:dyDescent="0.25">
      <c r="D66" t="s">
        <v>315</v>
      </c>
      <c r="E66" t="s">
        <v>111</v>
      </c>
    </row>
    <row r="67" spans="4:5" x14ac:dyDescent="0.25">
      <c r="D67" t="s">
        <v>236</v>
      </c>
      <c r="E67" t="s">
        <v>112</v>
      </c>
    </row>
    <row r="68" spans="4:5" x14ac:dyDescent="0.25">
      <c r="D68" t="s">
        <v>316</v>
      </c>
      <c r="E68" t="s">
        <v>10</v>
      </c>
    </row>
    <row r="69" spans="4:5" x14ac:dyDescent="0.25">
      <c r="D69" t="s">
        <v>317</v>
      </c>
      <c r="E69" t="s">
        <v>113</v>
      </c>
    </row>
    <row r="70" spans="4:5" x14ac:dyDescent="0.25">
      <c r="D70" t="s">
        <v>318</v>
      </c>
      <c r="E70" t="s">
        <v>114</v>
      </c>
    </row>
    <row r="71" spans="4:5" x14ac:dyDescent="0.25">
      <c r="D71" t="s">
        <v>319</v>
      </c>
      <c r="E71" t="s">
        <v>115</v>
      </c>
    </row>
    <row r="72" spans="4:5" x14ac:dyDescent="0.25">
      <c r="D72" t="s">
        <v>320</v>
      </c>
      <c r="E72" t="s">
        <v>116</v>
      </c>
    </row>
    <row r="73" spans="4:5" x14ac:dyDescent="0.25">
      <c r="D73" t="s">
        <v>321</v>
      </c>
      <c r="E73" t="s">
        <v>117</v>
      </c>
    </row>
    <row r="74" spans="4:5" x14ac:dyDescent="0.25">
      <c r="D74" t="s">
        <v>322</v>
      </c>
      <c r="E74" t="s">
        <v>118</v>
      </c>
    </row>
    <row r="75" spans="4:5" x14ac:dyDescent="0.25">
      <c r="D75" t="s">
        <v>323</v>
      </c>
      <c r="E75" t="s">
        <v>119</v>
      </c>
    </row>
    <row r="76" spans="4:5" x14ac:dyDescent="0.25">
      <c r="D76" t="s">
        <v>324</v>
      </c>
      <c r="E76" t="s">
        <v>120</v>
      </c>
    </row>
    <row r="77" spans="4:5" x14ac:dyDescent="0.25">
      <c r="D77" t="s">
        <v>451</v>
      </c>
      <c r="E77" t="s">
        <v>48</v>
      </c>
    </row>
    <row r="78" spans="4:5" x14ac:dyDescent="0.25">
      <c r="D78" t="s">
        <v>325</v>
      </c>
      <c r="E78" t="s">
        <v>121</v>
      </c>
    </row>
    <row r="79" spans="4:5" x14ac:dyDescent="0.25">
      <c r="D79" t="s">
        <v>326</v>
      </c>
      <c r="E79" t="s">
        <v>122</v>
      </c>
    </row>
    <row r="80" spans="4:5" x14ac:dyDescent="0.25">
      <c r="D80" t="s">
        <v>327</v>
      </c>
      <c r="E80" t="s">
        <v>123</v>
      </c>
    </row>
    <row r="81" spans="4:5" x14ac:dyDescent="0.25">
      <c r="D81" t="s">
        <v>328</v>
      </c>
      <c r="E81" t="s">
        <v>16</v>
      </c>
    </row>
    <row r="82" spans="4:5" x14ac:dyDescent="0.25">
      <c r="D82" t="s">
        <v>329</v>
      </c>
      <c r="E82" t="s">
        <v>14</v>
      </c>
    </row>
    <row r="83" spans="4:5" x14ac:dyDescent="0.25">
      <c r="D83" t="s">
        <v>330</v>
      </c>
      <c r="E83" t="s">
        <v>124</v>
      </c>
    </row>
    <row r="84" spans="4:5" x14ac:dyDescent="0.25">
      <c r="D84" t="s">
        <v>331</v>
      </c>
      <c r="E84" t="s">
        <v>125</v>
      </c>
    </row>
    <row r="85" spans="4:5" x14ac:dyDescent="0.25">
      <c r="D85" t="s">
        <v>332</v>
      </c>
      <c r="E85" t="s">
        <v>126</v>
      </c>
    </row>
    <row r="86" spans="4:5" x14ac:dyDescent="0.25">
      <c r="D86" t="s">
        <v>333</v>
      </c>
      <c r="E86" t="s">
        <v>15</v>
      </c>
    </row>
    <row r="87" spans="4:5" x14ac:dyDescent="0.25">
      <c r="D87" t="s">
        <v>334</v>
      </c>
      <c r="E87" t="s">
        <v>127</v>
      </c>
    </row>
    <row r="88" spans="4:5" x14ac:dyDescent="0.25">
      <c r="D88" t="s">
        <v>335</v>
      </c>
      <c r="E88" t="s">
        <v>128</v>
      </c>
    </row>
    <row r="89" spans="4:5" x14ac:dyDescent="0.25">
      <c r="D89" t="s">
        <v>336</v>
      </c>
      <c r="E89" t="s">
        <v>129</v>
      </c>
    </row>
    <row r="90" spans="4:5" x14ac:dyDescent="0.25">
      <c r="D90" t="s">
        <v>337</v>
      </c>
      <c r="E90" t="s">
        <v>130</v>
      </c>
    </row>
    <row r="91" spans="4:5" x14ac:dyDescent="0.25">
      <c r="D91" t="s">
        <v>338</v>
      </c>
      <c r="E91" t="s">
        <v>131</v>
      </c>
    </row>
    <row r="92" spans="4:5" x14ac:dyDescent="0.25">
      <c r="D92" t="s">
        <v>339</v>
      </c>
      <c r="E92" t="s">
        <v>132</v>
      </c>
    </row>
    <row r="93" spans="4:5" x14ac:dyDescent="0.25">
      <c r="D93" t="s">
        <v>340</v>
      </c>
      <c r="E93" t="s">
        <v>133</v>
      </c>
    </row>
    <row r="94" spans="4:5" x14ac:dyDescent="0.25">
      <c r="D94" t="s">
        <v>341</v>
      </c>
      <c r="E94" t="s">
        <v>134</v>
      </c>
    </row>
    <row r="95" spans="4:5" x14ac:dyDescent="0.25">
      <c r="D95" t="s">
        <v>342</v>
      </c>
      <c r="E95" t="s">
        <v>135</v>
      </c>
    </row>
    <row r="96" spans="4:5" x14ac:dyDescent="0.25">
      <c r="D96" t="s">
        <v>343</v>
      </c>
      <c r="E96" t="s">
        <v>20</v>
      </c>
    </row>
    <row r="97" spans="4:5" x14ac:dyDescent="0.25">
      <c r="D97" t="s">
        <v>344</v>
      </c>
      <c r="E97" t="s">
        <v>136</v>
      </c>
    </row>
    <row r="98" spans="4:5" x14ac:dyDescent="0.25">
      <c r="D98" t="s">
        <v>345</v>
      </c>
      <c r="E98" t="s">
        <v>137</v>
      </c>
    </row>
    <row r="99" spans="4:5" x14ac:dyDescent="0.25">
      <c r="D99" t="s">
        <v>346</v>
      </c>
      <c r="E99" t="s">
        <v>138</v>
      </c>
    </row>
    <row r="100" spans="4:5" x14ac:dyDescent="0.25">
      <c r="D100" t="s">
        <v>347</v>
      </c>
      <c r="E100" t="s">
        <v>139</v>
      </c>
    </row>
    <row r="101" spans="4:5" x14ac:dyDescent="0.25">
      <c r="D101" t="s">
        <v>348</v>
      </c>
      <c r="E101" t="s">
        <v>140</v>
      </c>
    </row>
    <row r="102" spans="4:5" x14ac:dyDescent="0.25">
      <c r="D102" t="s">
        <v>349</v>
      </c>
      <c r="E102" t="s">
        <v>141</v>
      </c>
    </row>
    <row r="103" spans="4:5" x14ac:dyDescent="0.25">
      <c r="D103" t="s">
        <v>350</v>
      </c>
      <c r="E103" t="s">
        <v>142</v>
      </c>
    </row>
    <row r="104" spans="4:5" x14ac:dyDescent="0.25">
      <c r="D104" t="s">
        <v>351</v>
      </c>
      <c r="E104" t="s">
        <v>143</v>
      </c>
    </row>
    <row r="105" spans="4:5" x14ac:dyDescent="0.25">
      <c r="D105" t="s">
        <v>352</v>
      </c>
      <c r="E105" t="s">
        <v>144</v>
      </c>
    </row>
    <row r="106" spans="4:5" x14ac:dyDescent="0.25">
      <c r="D106" t="s">
        <v>353</v>
      </c>
      <c r="E106" t="s">
        <v>145</v>
      </c>
    </row>
    <row r="107" spans="4:5" x14ac:dyDescent="0.25">
      <c r="D107" t="s">
        <v>354</v>
      </c>
      <c r="E107" t="s">
        <v>146</v>
      </c>
    </row>
    <row r="108" spans="4:5" x14ac:dyDescent="0.25">
      <c r="D108" t="s">
        <v>355</v>
      </c>
      <c r="E108" t="s">
        <v>147</v>
      </c>
    </row>
    <row r="109" spans="4:5" x14ac:dyDescent="0.25">
      <c r="D109" t="s">
        <v>356</v>
      </c>
      <c r="E109" t="s">
        <v>148</v>
      </c>
    </row>
    <row r="110" spans="4:5" x14ac:dyDescent="0.25">
      <c r="D110" t="s">
        <v>357</v>
      </c>
      <c r="E110" t="s">
        <v>28</v>
      </c>
    </row>
    <row r="111" spans="4:5" x14ac:dyDescent="0.25">
      <c r="D111" t="s">
        <v>452</v>
      </c>
      <c r="E111" t="s">
        <v>149</v>
      </c>
    </row>
    <row r="112" spans="4:5" x14ac:dyDescent="0.25">
      <c r="D112" t="s">
        <v>358</v>
      </c>
      <c r="E112" t="s">
        <v>150</v>
      </c>
    </row>
    <row r="113" spans="4:5" x14ac:dyDescent="0.25">
      <c r="D113" t="s">
        <v>359</v>
      </c>
      <c r="E113" t="s">
        <v>151</v>
      </c>
    </row>
    <row r="114" spans="4:5" x14ac:dyDescent="0.25">
      <c r="D114" t="s">
        <v>360</v>
      </c>
      <c r="E114" t="s">
        <v>152</v>
      </c>
    </row>
    <row r="115" spans="4:5" x14ac:dyDescent="0.25">
      <c r="D115" t="s">
        <v>361</v>
      </c>
      <c r="E115" t="s">
        <v>153</v>
      </c>
    </row>
    <row r="116" spans="4:5" x14ac:dyDescent="0.25">
      <c r="D116" t="s">
        <v>362</v>
      </c>
      <c r="E116" t="s">
        <v>22</v>
      </c>
    </row>
    <row r="117" spans="4:5" x14ac:dyDescent="0.25">
      <c r="D117" t="s">
        <v>363</v>
      </c>
      <c r="E117" t="s">
        <v>154</v>
      </c>
    </row>
    <row r="118" spans="4:5" x14ac:dyDescent="0.25">
      <c r="D118" t="s">
        <v>364</v>
      </c>
      <c r="E118" t="s">
        <v>25</v>
      </c>
    </row>
    <row r="119" spans="4:5" x14ac:dyDescent="0.25">
      <c r="D119" t="s">
        <v>365</v>
      </c>
      <c r="E119" t="s">
        <v>21</v>
      </c>
    </row>
    <row r="120" spans="4:5" x14ac:dyDescent="0.25">
      <c r="D120" t="s">
        <v>366</v>
      </c>
      <c r="E120" t="s">
        <v>23</v>
      </c>
    </row>
    <row r="121" spans="4:5" x14ac:dyDescent="0.25">
      <c r="D121" t="s">
        <v>367</v>
      </c>
      <c r="E121" t="s">
        <v>155</v>
      </c>
    </row>
    <row r="122" spans="4:5" x14ac:dyDescent="0.25">
      <c r="D122" t="s">
        <v>453</v>
      </c>
      <c r="E122" t="s">
        <v>156</v>
      </c>
    </row>
    <row r="123" spans="4:5" x14ac:dyDescent="0.25">
      <c r="D123" t="s">
        <v>368</v>
      </c>
      <c r="E123" t="s">
        <v>157</v>
      </c>
    </row>
    <row r="124" spans="4:5" x14ac:dyDescent="0.25">
      <c r="D124" t="s">
        <v>369</v>
      </c>
      <c r="E124" t="s">
        <v>158</v>
      </c>
    </row>
    <row r="125" spans="4:5" x14ac:dyDescent="0.25">
      <c r="D125" t="s">
        <v>370</v>
      </c>
      <c r="E125" t="s">
        <v>159</v>
      </c>
    </row>
    <row r="126" spans="4:5" x14ac:dyDescent="0.25">
      <c r="D126" t="s">
        <v>371</v>
      </c>
      <c r="E126" t="s">
        <v>160</v>
      </c>
    </row>
    <row r="127" spans="4:5" x14ac:dyDescent="0.25">
      <c r="D127" t="s">
        <v>454</v>
      </c>
      <c r="E127" t="s">
        <v>161</v>
      </c>
    </row>
    <row r="128" spans="4:5" x14ac:dyDescent="0.25">
      <c r="D128" t="s">
        <v>372</v>
      </c>
      <c r="E128" t="s">
        <v>162</v>
      </c>
    </row>
    <row r="129" spans="4:5" x14ac:dyDescent="0.25">
      <c r="D129" t="s">
        <v>373</v>
      </c>
      <c r="E129" t="s">
        <v>29</v>
      </c>
    </row>
    <row r="130" spans="4:5" x14ac:dyDescent="0.25">
      <c r="D130" t="s">
        <v>374</v>
      </c>
      <c r="E130" t="s">
        <v>163</v>
      </c>
    </row>
    <row r="131" spans="4:5" x14ac:dyDescent="0.25">
      <c r="D131" t="s">
        <v>455</v>
      </c>
      <c r="E131" t="s">
        <v>164</v>
      </c>
    </row>
    <row r="132" spans="4:5" x14ac:dyDescent="0.25">
      <c r="D132" t="s">
        <v>456</v>
      </c>
      <c r="E132" t="s">
        <v>165</v>
      </c>
    </row>
    <row r="133" spans="4:5" x14ac:dyDescent="0.25">
      <c r="D133" t="s">
        <v>375</v>
      </c>
      <c r="E133" t="s">
        <v>166</v>
      </c>
    </row>
    <row r="134" spans="4:5" x14ac:dyDescent="0.25">
      <c r="D134" t="s">
        <v>376</v>
      </c>
      <c r="E134" t="s">
        <v>167</v>
      </c>
    </row>
    <row r="135" spans="4:5" x14ac:dyDescent="0.25">
      <c r="D135" t="s">
        <v>377</v>
      </c>
      <c r="E135" t="s">
        <v>168</v>
      </c>
    </row>
    <row r="136" spans="4:5" x14ac:dyDescent="0.25">
      <c r="D136" t="s">
        <v>378</v>
      </c>
      <c r="E136" t="s">
        <v>169</v>
      </c>
    </row>
    <row r="137" spans="4:5" x14ac:dyDescent="0.25">
      <c r="D137" t="s">
        <v>457</v>
      </c>
      <c r="E137" t="s">
        <v>170</v>
      </c>
    </row>
    <row r="138" spans="4:5" x14ac:dyDescent="0.25">
      <c r="D138" t="s">
        <v>379</v>
      </c>
      <c r="E138" t="s">
        <v>40</v>
      </c>
    </row>
    <row r="139" spans="4:5" x14ac:dyDescent="0.25">
      <c r="D139" t="s">
        <v>458</v>
      </c>
      <c r="E139" t="s">
        <v>171</v>
      </c>
    </row>
    <row r="140" spans="4:5" x14ac:dyDescent="0.25">
      <c r="D140" t="s">
        <v>380</v>
      </c>
      <c r="E140" t="s">
        <v>172</v>
      </c>
    </row>
    <row r="141" spans="4:5" x14ac:dyDescent="0.25">
      <c r="D141" t="s">
        <v>381</v>
      </c>
      <c r="E141" t="s">
        <v>173</v>
      </c>
    </row>
    <row r="142" spans="4:5" x14ac:dyDescent="0.25">
      <c r="D142" t="s">
        <v>382</v>
      </c>
      <c r="E142" t="s">
        <v>174</v>
      </c>
    </row>
    <row r="143" spans="4:5" x14ac:dyDescent="0.25">
      <c r="D143" t="s">
        <v>383</v>
      </c>
      <c r="E143" t="s">
        <v>175</v>
      </c>
    </row>
    <row r="144" spans="4:5" x14ac:dyDescent="0.25">
      <c r="D144" t="s">
        <v>384</v>
      </c>
      <c r="E144" t="s">
        <v>176</v>
      </c>
    </row>
    <row r="145" spans="4:5" x14ac:dyDescent="0.25">
      <c r="D145" t="s">
        <v>385</v>
      </c>
      <c r="E145" t="s">
        <v>177</v>
      </c>
    </row>
    <row r="146" spans="4:5" x14ac:dyDescent="0.25">
      <c r="D146" t="s">
        <v>386</v>
      </c>
      <c r="E146" t="s">
        <v>178</v>
      </c>
    </row>
    <row r="147" spans="4:5" x14ac:dyDescent="0.25">
      <c r="D147" t="s">
        <v>387</v>
      </c>
      <c r="E147" t="s">
        <v>179</v>
      </c>
    </row>
    <row r="148" spans="4:5" x14ac:dyDescent="0.25">
      <c r="D148" t="s">
        <v>388</v>
      </c>
      <c r="E148" t="s">
        <v>180</v>
      </c>
    </row>
    <row r="149" spans="4:5" x14ac:dyDescent="0.25">
      <c r="D149" t="s">
        <v>459</v>
      </c>
      <c r="E149" t="s">
        <v>181</v>
      </c>
    </row>
    <row r="150" spans="4:5" x14ac:dyDescent="0.25">
      <c r="D150" t="s">
        <v>460</v>
      </c>
      <c r="E150" t="s">
        <v>182</v>
      </c>
    </row>
    <row r="151" spans="4:5" x14ac:dyDescent="0.25">
      <c r="D151" t="s">
        <v>461</v>
      </c>
      <c r="E151" t="s">
        <v>183</v>
      </c>
    </row>
    <row r="152" spans="4:5" x14ac:dyDescent="0.25">
      <c r="D152" t="s">
        <v>389</v>
      </c>
      <c r="E152" t="s">
        <v>184</v>
      </c>
    </row>
    <row r="153" spans="4:5" x14ac:dyDescent="0.25">
      <c r="D153" t="s">
        <v>462</v>
      </c>
      <c r="E153" t="s">
        <v>185</v>
      </c>
    </row>
    <row r="154" spans="4:5" x14ac:dyDescent="0.25">
      <c r="D154" t="s">
        <v>463</v>
      </c>
      <c r="E154" t="s">
        <v>186</v>
      </c>
    </row>
    <row r="155" spans="4:5" x14ac:dyDescent="0.25">
      <c r="D155" t="s">
        <v>464</v>
      </c>
      <c r="E155" t="s">
        <v>187</v>
      </c>
    </row>
    <row r="156" spans="4:5" x14ac:dyDescent="0.25">
      <c r="D156" t="s">
        <v>390</v>
      </c>
      <c r="E156" t="s">
        <v>188</v>
      </c>
    </row>
    <row r="157" spans="4:5" x14ac:dyDescent="0.25">
      <c r="D157" t="s">
        <v>391</v>
      </c>
      <c r="E157" t="s">
        <v>189</v>
      </c>
    </row>
    <row r="158" spans="4:5" x14ac:dyDescent="0.25">
      <c r="D158" t="s">
        <v>392</v>
      </c>
      <c r="E158" t="s">
        <v>42</v>
      </c>
    </row>
    <row r="159" spans="4:5" x14ac:dyDescent="0.25">
      <c r="D159" t="s">
        <v>465</v>
      </c>
      <c r="E159" t="s">
        <v>190</v>
      </c>
    </row>
    <row r="160" spans="4:5" x14ac:dyDescent="0.25">
      <c r="D160" t="s">
        <v>393</v>
      </c>
      <c r="E160" t="s">
        <v>191</v>
      </c>
    </row>
    <row r="161" spans="4:5" x14ac:dyDescent="0.25">
      <c r="D161" t="s">
        <v>394</v>
      </c>
      <c r="E161" t="s">
        <v>192</v>
      </c>
    </row>
    <row r="162" spans="4:5" x14ac:dyDescent="0.25">
      <c r="D162" t="s">
        <v>395</v>
      </c>
      <c r="E162" t="s">
        <v>193</v>
      </c>
    </row>
    <row r="163" spans="4:5" x14ac:dyDescent="0.25">
      <c r="D163" t="s">
        <v>466</v>
      </c>
      <c r="E163" t="s">
        <v>194</v>
      </c>
    </row>
    <row r="164" spans="4:5" x14ac:dyDescent="0.25">
      <c r="D164" t="s">
        <v>396</v>
      </c>
      <c r="E164" t="s">
        <v>195</v>
      </c>
    </row>
    <row r="165" spans="4:5" x14ac:dyDescent="0.25">
      <c r="D165" t="s">
        <v>467</v>
      </c>
      <c r="E165" t="s">
        <v>196</v>
      </c>
    </row>
    <row r="166" spans="4:5" x14ac:dyDescent="0.25">
      <c r="D166" t="s">
        <v>468</v>
      </c>
      <c r="E166" t="s">
        <v>197</v>
      </c>
    </row>
    <row r="167" spans="4:5" x14ac:dyDescent="0.25">
      <c r="D167" t="s">
        <v>469</v>
      </c>
      <c r="E167" t="s">
        <v>198</v>
      </c>
    </row>
    <row r="168" spans="4:5" x14ac:dyDescent="0.25">
      <c r="D168" t="s">
        <v>397</v>
      </c>
      <c r="E168" t="s">
        <v>199</v>
      </c>
    </row>
    <row r="169" spans="4:5" x14ac:dyDescent="0.25">
      <c r="D169" t="s">
        <v>470</v>
      </c>
      <c r="E169" t="s">
        <v>200</v>
      </c>
    </row>
    <row r="170" spans="4:5" x14ac:dyDescent="0.25">
      <c r="D170" t="s">
        <v>398</v>
      </c>
      <c r="E170" t="s">
        <v>43</v>
      </c>
    </row>
    <row r="171" spans="4:5" x14ac:dyDescent="0.25">
      <c r="D171" t="s">
        <v>399</v>
      </c>
      <c r="E171" t="s">
        <v>201</v>
      </c>
    </row>
    <row r="172" spans="4:5" x14ac:dyDescent="0.25">
      <c r="D172" t="s">
        <v>400</v>
      </c>
      <c r="E172" t="s">
        <v>202</v>
      </c>
    </row>
    <row r="173" spans="4:5" x14ac:dyDescent="0.25">
      <c r="D173" t="s">
        <v>401</v>
      </c>
      <c r="E173" t="s">
        <v>203</v>
      </c>
    </row>
    <row r="174" spans="4:5" x14ac:dyDescent="0.25">
      <c r="D174" t="s">
        <v>402</v>
      </c>
      <c r="E174" t="s">
        <v>204</v>
      </c>
    </row>
    <row r="175" spans="4:5" x14ac:dyDescent="0.25">
      <c r="D175" t="s">
        <v>403</v>
      </c>
      <c r="E175" t="s">
        <v>205</v>
      </c>
    </row>
    <row r="176" spans="4:5" x14ac:dyDescent="0.25">
      <c r="D176" t="s">
        <v>404</v>
      </c>
      <c r="E176" t="s">
        <v>206</v>
      </c>
    </row>
    <row r="177" spans="4:5" x14ac:dyDescent="0.25">
      <c r="D177" t="s">
        <v>405</v>
      </c>
      <c r="E177" t="s">
        <v>207</v>
      </c>
    </row>
    <row r="178" spans="4:5" x14ac:dyDescent="0.25">
      <c r="D178" t="s">
        <v>406</v>
      </c>
      <c r="E178" t="s">
        <v>208</v>
      </c>
    </row>
    <row r="179" spans="4:5" x14ac:dyDescent="0.25">
      <c r="D179" t="s">
        <v>407</v>
      </c>
      <c r="E179" t="s">
        <v>209</v>
      </c>
    </row>
    <row r="180" spans="4:5" x14ac:dyDescent="0.25">
      <c r="D180" t="s">
        <v>408</v>
      </c>
      <c r="E180" t="s">
        <v>210</v>
      </c>
    </row>
    <row r="181" spans="4:5" x14ac:dyDescent="0.25">
      <c r="D181" t="s">
        <v>471</v>
      </c>
      <c r="E181" t="s">
        <v>211</v>
      </c>
    </row>
    <row r="182" spans="4:5" x14ac:dyDescent="0.25">
      <c r="D182" t="s">
        <v>409</v>
      </c>
      <c r="E182" t="s">
        <v>44</v>
      </c>
    </row>
    <row r="183" spans="4:5" x14ac:dyDescent="0.25">
      <c r="D183" t="s">
        <v>410</v>
      </c>
      <c r="E183" t="s">
        <v>212</v>
      </c>
    </row>
    <row r="184" spans="4:5" x14ac:dyDescent="0.25">
      <c r="D184" t="s">
        <v>411</v>
      </c>
      <c r="E184" t="s">
        <v>213</v>
      </c>
    </row>
    <row r="185" spans="4:5" x14ac:dyDescent="0.25">
      <c r="D185" t="s">
        <v>412</v>
      </c>
      <c r="E185" t="s">
        <v>214</v>
      </c>
    </row>
    <row r="186" spans="4:5" x14ac:dyDescent="0.25">
      <c r="D186" t="s">
        <v>413</v>
      </c>
      <c r="E186" t="s">
        <v>215</v>
      </c>
    </row>
    <row r="187" spans="4:5" x14ac:dyDescent="0.25">
      <c r="D187" t="s">
        <v>414</v>
      </c>
      <c r="E187" t="s">
        <v>216</v>
      </c>
    </row>
    <row r="188" spans="4:5" x14ac:dyDescent="0.25">
      <c r="D188" t="s">
        <v>472</v>
      </c>
      <c r="E188" t="s">
        <v>217</v>
      </c>
    </row>
    <row r="189" spans="4:5" x14ac:dyDescent="0.25">
      <c r="D189" t="s">
        <v>473</v>
      </c>
      <c r="E189" t="s">
        <v>218</v>
      </c>
    </row>
    <row r="190" spans="4:5" x14ac:dyDescent="0.25">
      <c r="D190" t="s">
        <v>415</v>
      </c>
      <c r="E190" t="s">
        <v>219</v>
      </c>
    </row>
    <row r="191" spans="4:5" x14ac:dyDescent="0.25">
      <c r="D191" t="s">
        <v>416</v>
      </c>
      <c r="E191" t="s">
        <v>220</v>
      </c>
    </row>
    <row r="192" spans="4:5" x14ac:dyDescent="0.25">
      <c r="D192" t="s">
        <v>417</v>
      </c>
      <c r="E192" t="s">
        <v>221</v>
      </c>
    </row>
    <row r="193" spans="4:5" x14ac:dyDescent="0.25">
      <c r="D193" t="s">
        <v>418</v>
      </c>
      <c r="E193" t="s">
        <v>222</v>
      </c>
    </row>
    <row r="194" spans="4:5" x14ac:dyDescent="0.25">
      <c r="D194" t="s">
        <v>419</v>
      </c>
      <c r="E194" t="s">
        <v>223</v>
      </c>
    </row>
    <row r="195" spans="4:5" x14ac:dyDescent="0.25">
      <c r="D195" t="s">
        <v>420</v>
      </c>
      <c r="E195" t="s">
        <v>224</v>
      </c>
    </row>
    <row r="196" spans="4:5" x14ac:dyDescent="0.25">
      <c r="D196" t="s">
        <v>421</v>
      </c>
      <c r="E196" t="s">
        <v>225</v>
      </c>
    </row>
    <row r="197" spans="4:5" x14ac:dyDescent="0.25">
      <c r="D197" t="s">
        <v>422</v>
      </c>
      <c r="E197" t="s">
        <v>226</v>
      </c>
    </row>
  </sheetData>
  <sheetProtection algorithmName="SHA-512" hashValue="N9ZFuXmws+c+Twb4/eum8IcPPOXzJ/c/IPuBd/PSSIwFSZ46DCrdu/kl+/xfc39iAMa8lRUgpzpU+9Xv3WF/cQ==" saltValue="dIPfg0HUFQH0mH2HxMsE2g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READ_ME</vt:lpstr>
      <vt:lpstr>CLEAN_DATA</vt:lpstr>
      <vt:lpstr>lookup_values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Cataldo</dc:creator>
  <cp:lastModifiedBy>Patrick Cataldo</cp:lastModifiedBy>
  <dcterms:created xsi:type="dcterms:W3CDTF">2015-06-05T18:17:20Z</dcterms:created>
  <dcterms:modified xsi:type="dcterms:W3CDTF">2023-07-22T01:05:09Z</dcterms:modified>
</cp:coreProperties>
</file>